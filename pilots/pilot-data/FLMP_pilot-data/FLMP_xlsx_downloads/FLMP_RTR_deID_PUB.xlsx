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ral Tests by Person CRLN" sheetId="1" r:id="rId5"/>
    <sheet state="visible" name="Referral Test Data CRLN" sheetId="2" r:id="rId6"/>
    <sheet state="visible" name="Referral Tests by Person FLSP" sheetId="3" r:id="rId7"/>
    <sheet state="visible" name="Referral Test Data FLSP" sheetId="4" r:id="rId8"/>
    <sheet state="visible" name="ALL Pos and Incl IMPORT" sheetId="5" r:id="rId9"/>
    <sheet state="visible" name="Pos and Incl IMPORT" sheetId="6" r:id="rId10"/>
    <sheet state="visible" name="RTR Source Data - CRLN" sheetId="7" r:id="rId11"/>
    <sheet state="visible" name="Proces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absolute row number
</t>
      </text>
    </comment>
    <comment authorId="0" ref="Y6">
      <text>
        <t xml:space="preserve">treat as single data point with pos antigen
</t>
      </text>
    </comment>
    <comment authorId="0" ref="T9">
      <text>
        <t xml:space="preserve">manually deleted the return antigen tests from 1-14
</t>
      </text>
    </comment>
    <comment authorId="0" ref="U30">
      <text>
        <t xml:space="preserve">more than 3 referral results so used the last one  - see Eval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=IF(EXACT(H2,"DELETED"),"DELETED", VLOOKUP(H2,IMPORTRANGE('Pos and Incl IMPORT'!$A$2,"Person!C$2:E"),3,FALSE))</t>
      </text>
    </comment>
    <comment authorId="0" ref="I1">
      <text>
        <t xml:space="preserve">Rapid Antigen
PCR
LAMP
Other (Specify in Notes)</t>
      </text>
    </comment>
    <comment authorId="0" ref="J1">
      <text>
        <t xml:space="preserve">Model/Brand of Rapid Antigen, PCR, other test used</t>
      </text>
    </comment>
    <comment authorId="0" ref="K1">
      <text>
        <t xml:space="preserve">Positive
Negative
Inconclusive
Other (Specify in Notes)</t>
      </text>
    </comment>
    <comment authorId="0" ref="M1">
      <text>
        <t xml:space="preserve">Is the person experiencing symptoms at the time of Referral Test collection?</t>
      </text>
    </comment>
    <comment authorId="0" ref="N1">
      <text>
        <t xml:space="preserve">Has the person received at least one dose of any Covid19 vaccine?  Use Notes to provide further detail.</t>
      </text>
    </comment>
    <comment authorId="0" ref="O1">
      <text>
        <t xml:space="preserve">Notes related to the Referral Test entry itself</t>
      </text>
    </comment>
    <comment authorId="0" ref="P1">
      <text>
        <t xml:space="preserve">Use Source Notes field to provide any additional information necessary to connect the Referral table entry to the data in the Processed Info or Source Data tabs (for traceability)</t>
      </text>
    </comment>
    <comment authorId="0" ref="Q1">
      <text>
        <t xml:space="preserve">Initial FL Pos Tube ID for corresponding Case Cluster
</t>
      </text>
    </comment>
    <comment authorId="0" ref="A6">
      <text>
        <t xml:space="preserve">RT Jan26 - Changed “Andrew” to “Lindsey” in the Referral Test Data CRLN Because I think that was a typo and the Carillon student was Lindsey and there's no mention of an Andrew in APIVO at all or in the correspondence gdoc.</t>
      </text>
    </comment>
    <comment authorId="0" ref="G7">
      <text>
        <t xml:space="preserve">added Dec25 RT
</t>
      </text>
    </comment>
    <comment authorId="0" ref="G9">
      <text>
        <t xml:space="preserve">added Dec25 RT
</t>
      </text>
    </comment>
    <comment authorId="0" ref="G11">
      <text>
        <t xml:space="preserve">added Dec25 RT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absolute row number
</t>
      </text>
    </comment>
    <comment authorId="0" ref="H1">
      <text>
        <t xml:space="preserve">don't use - manually match Tube IDs to VALUES Pos and Incl</t>
      </text>
    </comment>
    <comment authorId="0" ref="I1">
      <text>
        <t xml:space="preserve">manually match Tube IDs to VALUES Pos and Incl
</t>
      </text>
    </comment>
    <comment authorId="0" ref="Z1">
      <text>
        <t xml:space="preserve">also see Index Case FloodLAMP Result Eval in VALUES Pos and Incl tab in APS file</t>
      </text>
    </comment>
    <comment authorId="0" ref="K2">
      <text>
        <t xml:space="preserve">formula not working so just paste value - thin kit's a problem with the VLOOKUP on the tubeID that is a number instead of a string
</t>
      </text>
    </comment>
    <comment authorId="0" ref="T4">
      <text>
        <t xml:space="preserve">Exclude Lab Purif PCR result because it was collected 2 days after pooled positive
</t>
      </text>
    </comment>
    <comment authorId="0" ref="R9">
      <text>
        <t xml:space="preserve">not sure why formula not working so pasted values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=IF(EXACT(H2,"DELETED"),"DELETED", VLOOKUP(H2,IMPORTRANGE('Pos and Incl IMPORT'!$A$2,"Person!C$2:E"),3,FALSE))</t>
      </text>
    </comment>
    <comment authorId="0" ref="I1">
      <text>
        <t xml:space="preserve">Rapid Antigen
PCR
LAMP
Other (Specify in Notes)</t>
      </text>
    </comment>
    <comment authorId="0" ref="J1">
      <text>
        <t xml:space="preserve">Model/Brand of Rapid Antigen, PCR, other test used</t>
      </text>
    </comment>
    <comment authorId="0" ref="K1">
      <text>
        <t xml:space="preserve">Positive
Negative
Inconclusive
Other (Specify in Notes)</t>
      </text>
    </comment>
    <comment authorId="0" ref="M1">
      <text>
        <t xml:space="preserve">Is the person experiencing symptoms at the time of Referral Test collection?</t>
      </text>
    </comment>
    <comment authorId="0" ref="N1">
      <text>
        <t xml:space="preserve">Has the person received at least one dose of any Covid19 vaccine?  Use Notes to provide further detail.</t>
      </text>
    </comment>
    <comment authorId="0" ref="O1">
      <text>
        <t xml:space="preserve">Notes related to the Referral Test entry itself</t>
      </text>
    </comment>
    <comment authorId="0" ref="P1">
      <text>
        <t xml:space="preserve">Use Source Notes field to provide any additional information necessary to connect the Referral table entry to the data in the Processed Info or Source Data tabs (for traceability)</t>
      </text>
    </comment>
    <comment authorId="0" ref="Q1">
      <text>
        <t xml:space="preserve">Initial FL Pos Tube ID for corresponding Case Cluster
</t>
      </text>
    </comment>
    <comment authorId="0" ref="E21">
      <text>
        <t xml:space="preserve">RT Jan26 think this was a typos - said 1-22 but result date was 1-13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Lookup
</t>
      </text>
    </comment>
  </commentList>
</comments>
</file>

<file path=xl/sharedStrings.xml><?xml version="1.0" encoding="utf-8"?>
<sst xmlns="http://schemas.openxmlformats.org/spreadsheetml/2006/main" count="741" uniqueCount="223">
  <si>
    <t>PARTICIPANT FIRSTNAME</t>
  </si>
  <si>
    <t>PARTICIPANT LASTNAME</t>
  </si>
  <si>
    <t>PARTICIPANT FULLNAME</t>
  </si>
  <si>
    <t>PARTICIPANT ID</t>
  </si>
  <si>
    <t>Referral Match Row</t>
  </si>
  <si>
    <t>Num FloodLAMP Results Pos or Incl</t>
  </si>
  <si>
    <t>FloodLAMP Match Row</t>
  </si>
  <si>
    <t>FloodLAMP Tube ID</t>
  </si>
  <si>
    <t>Lookup Indiv or Pool?</t>
  </si>
  <si>
    <t>FloodLAMP Test Result</t>
  </si>
  <si>
    <t>FloodLAMP Test Date</t>
  </si>
  <si>
    <t>1st Referral Test Date</t>
  </si>
  <si>
    <t>Antigen Neg with Other Positive</t>
  </si>
  <si>
    <t>Referral Overall Result</t>
  </si>
  <si>
    <t>1st Referral Test Type</t>
  </si>
  <si>
    <t>1st Referral Test Result</t>
  </si>
  <si>
    <t>2nd Referral Test Type</t>
  </si>
  <si>
    <t>2nd Referral Test Result</t>
  </si>
  <si>
    <t>3rd Referral Test Type</t>
  </si>
  <si>
    <t>3rd Referral Test Result</t>
  </si>
  <si>
    <t>ID</t>
  </si>
  <si>
    <t>INDIV or +Pool &amp; Antigen</t>
  </si>
  <si>
    <t>Antigen Result for FL Pos</t>
  </si>
  <si>
    <t>Referral Eval</t>
  </si>
  <si>
    <t>FLT1136</t>
  </si>
  <si>
    <t>NA - Return Test</t>
  </si>
  <si>
    <t>NA</t>
  </si>
  <si>
    <t>FL test (pos) was test to return after anitgen pos test 8 days prior</t>
  </si>
  <si>
    <t>FLB5852</t>
  </si>
  <si>
    <t>INDIV</t>
  </si>
  <si>
    <t>FL NEG</t>
  </si>
  <si>
    <t>FL test (neg) was test to return after anitgen pos test 7 days prior</t>
  </si>
  <si>
    <t>FLB5889</t>
  </si>
  <si>
    <t>FL test (pos) was test to return after anitgen pos test 7 days prior</t>
  </si>
  <si>
    <t>FLB5830</t>
  </si>
  <si>
    <t>FL test (pos) was test to return after anitgen pos test 5 days prior</t>
  </si>
  <si>
    <t>FLB6845</t>
  </si>
  <si>
    <t>Positive</t>
  </si>
  <si>
    <t>POS</t>
  </si>
  <si>
    <t>Only initial FL positive pool - no indiv deconv</t>
  </si>
  <si>
    <t>NO I FL</t>
  </si>
  <si>
    <t>Non-CRLN child that test pos by antigen so no indiv deconv FL test</t>
  </si>
  <si>
    <t>CRLN child that test pos by antigen so no indiv deconv FL test</t>
  </si>
  <si>
    <t>NEG</t>
  </si>
  <si>
    <t>parent tested neg by antigen so did indiv deconv FL test and was pos</t>
  </si>
  <si>
    <t>Antigen</t>
  </si>
  <si>
    <t>PCR</t>
  </si>
  <si>
    <t>known pos that tested pos by FL - not sure if they told us about antigen result before FL test</t>
  </si>
  <si>
    <t>this was a later return test - the CRLN child did not test on 1-10 with parents</t>
  </si>
  <si>
    <t>FL pos pool of 3 in morning then indiv deconvl with FL and this person was neg along with one other both by PCR, and 3rd pool person was PCR pos</t>
  </si>
  <si>
    <t>FL pos pool of 3 in morning then indiv deconvl with FL and only this person was pos (other 2 FL and the referral PCR neg) - ignore neg antigen tests for analysis because they were 6 days before and 5 days after FL tests</t>
  </si>
  <si>
    <t>MA57</t>
  </si>
  <si>
    <t>FL pos pool of 3 in morning then indiv deconvl with FL and this person was neg but there was 1 FL deconv pos that was confirmed by PCR (neg by antigen initally then pos 2 days later)</t>
  </si>
  <si>
    <t>MA108</t>
  </si>
  <si>
    <t>FL pos pool of 3 in morning then indiv deconvl with FL and this person was pos that was confirmed by PCR (neg by antigen initally then pos 2 days later) - other 3 in pool neg by PCR and antigen</t>
  </si>
  <si>
    <t>MA82</t>
  </si>
  <si>
    <t>MA100A</t>
  </si>
  <si>
    <t>FLE202</t>
  </si>
  <si>
    <t>FL incl pool of 3, then indiv deconv and 1 of 3 pos, this one was confrimed by PCR and antigen</t>
  </si>
  <si>
    <t>FLE269</t>
  </si>
  <si>
    <t>FL incl pool of 3, then indiv deconv and 1 of 3 pos, this one was FL neg and also neg by PCR and antigen</t>
  </si>
  <si>
    <t>FLB5969</t>
  </si>
  <si>
    <t>FL incl pool of 3, then indiv deconv and 1 of 3 pos, this one was FL neg and also neg by antigen byt pos by PCR</t>
  </si>
  <si>
    <t>AH365</t>
  </si>
  <si>
    <t>CRLN child (no symptomys) - FL pos pool of 4 then indiv deconv by FL with 1 of 4 pos and this one confimed by PCR</t>
  </si>
  <si>
    <t>AH245</t>
  </si>
  <si>
    <t>AJ9253</t>
  </si>
  <si>
    <t>AH679</t>
  </si>
  <si>
    <t>Partner tested pos by antigen then this partner tested neg by antigen 3 days in a row then next day was FL pos, which was confirmed by PCR collected same day and resulted 2 days later (this was a teacher - so FL screening likely stopped spread!)</t>
  </si>
  <si>
    <t>NO FL testing</t>
  </si>
  <si>
    <t>IDs Included</t>
  </si>
  <si>
    <t>Count</t>
  </si>
  <si>
    <t>Number of FloodLAMP Test Person Cases with Referral Antigen Tests</t>
  </si>
  <si>
    <t>10,11,19,29</t>
  </si>
  <si>
    <t>Number of FloodLAMP Positive Test Person Cases with Antigen Negative - Agree with Referral Test Positive (usually PCR or later aAntigen) but Initial Antigen Negative</t>
  </si>
  <si>
    <t>MANUAL is used when the person's name appears more than once in the Positives and Inconclusives list</t>
  </si>
  <si>
    <t>5,12,14,22</t>
  </si>
  <si>
    <t>Number of FloodLAMP Positive Test Person Cases with Antigen Positive</t>
  </si>
  <si>
    <t>Fill in the TubeID manually by matching the date and make cell white</t>
  </si>
  <si>
    <t>Number of FloodLAMP Positive Test Person Cases confirmed with Referral Tests but Other Non-Antigen Test Negative</t>
  </si>
  <si>
    <t>Change col I and J formula to use VLOOKUP</t>
  </si>
  <si>
    <t>MUST CLEAR EXTRA ROWS AT BOTTOM</t>
  </si>
  <si>
    <t>REFERRAL TEST COLLECTION DATE</t>
  </si>
  <si>
    <t>REFERRAL TEST COLLECTION TIME</t>
  </si>
  <si>
    <t>REFERRAL TEST RESULT DATE</t>
  </si>
  <si>
    <t>REFERRAL TEST RESULT TIME</t>
  </si>
  <si>
    <t>REFERRAL TEST TYPE</t>
  </si>
  <si>
    <t>REFERRAL TEST MODEL</t>
  </si>
  <si>
    <t>REFERRAL TEST RESULT</t>
  </si>
  <si>
    <t>REFERRAL TEST CT (IF PCR)</t>
  </si>
  <si>
    <t>SYMPTOMS?</t>
  </si>
  <si>
    <t>VACCINATED?</t>
  </si>
  <si>
    <t>NOTES</t>
  </si>
  <si>
    <t>SOURCE NOTES</t>
  </si>
  <si>
    <t>INIT FL POS TUBE ID FROM CASE CLUSTER</t>
  </si>
  <si>
    <t>FLMP858721</t>
  </si>
  <si>
    <t>FLMP939793</t>
  </si>
  <si>
    <t>Collection date may have been 12/31/2022</t>
  </si>
  <si>
    <t>Positive before FL test, FL test was return testing. (NOT false Neg)</t>
  </si>
  <si>
    <t>FLMP172687</t>
  </si>
  <si>
    <t>FLMP549529</t>
  </si>
  <si>
    <t>FLMP915544</t>
  </si>
  <si>
    <t>Uncertainty as to exact collection/result date - stated to be "a few days before 1/6/2022"</t>
  </si>
  <si>
    <t>FLMP652238</t>
  </si>
  <si>
    <t>Negative</t>
  </si>
  <si>
    <t>FLMP473007</t>
  </si>
  <si>
    <t>FLMP776278</t>
  </si>
  <si>
    <t>FLT1433</t>
  </si>
  <si>
    <t>FLMP828735</t>
  </si>
  <si>
    <t>FLMP302189</t>
  </si>
  <si>
    <t>BinaxNow</t>
  </si>
  <si>
    <t>FLMP857562</t>
  </si>
  <si>
    <t>FLMP147333</t>
  </si>
  <si>
    <t>FLT1465</t>
  </si>
  <si>
    <t>FLMP601970</t>
  </si>
  <si>
    <t>FLT1129</t>
  </si>
  <si>
    <t>FLMP330127</t>
  </si>
  <si>
    <t>FLT1400</t>
  </si>
  <si>
    <t>FLMP969044</t>
  </si>
  <si>
    <t>FLT1161</t>
  </si>
  <si>
    <t>FLMP887888</t>
  </si>
  <si>
    <t>iHealth</t>
  </si>
  <si>
    <t>FLMP876455</t>
  </si>
  <si>
    <t>FLMP472803</t>
  </si>
  <si>
    <t>AG721</t>
  </si>
  <si>
    <t>FLMP687722</t>
  </si>
  <si>
    <t>Unknown</t>
  </si>
  <si>
    <t>FLMP464138</t>
  </si>
  <si>
    <t>FLMP132170</t>
  </si>
  <si>
    <t>FLMP552537</t>
  </si>
  <si>
    <t>FLMP254321</t>
  </si>
  <si>
    <t>FLMP705416</t>
  </si>
  <si>
    <t>FLMP608363</t>
  </si>
  <si>
    <t>AJ8958</t>
  </si>
  <si>
    <t>FLMP325595</t>
  </si>
  <si>
    <t>FLMP779627</t>
  </si>
  <si>
    <t>FLMP322473</t>
  </si>
  <si>
    <t>FLMP987142</t>
  </si>
  <si>
    <t>FLB6807</t>
  </si>
  <si>
    <t>FLMP942437</t>
  </si>
  <si>
    <t>FLMP290315</t>
  </si>
  <si>
    <t>Corresponding FloodLAMP Tube ID</t>
  </si>
  <si>
    <t>POOL</t>
  </si>
  <si>
    <t>Initial pooled positive that detected an unknown positive.</t>
  </si>
  <si>
    <t>351430B</t>
  </si>
  <si>
    <t>Confirmed positive using DirectPCR and also by a referral lab PCR test</t>
  </si>
  <si>
    <t>351430A</t>
  </si>
  <si>
    <t>Positive by Lab Purif PCR collected 2 days after FL initial pooled positive - had high exposure to person in pool who was positive</t>
  </si>
  <si>
    <t>MA1215</t>
  </si>
  <si>
    <t>FL pooled test during routine screening detected an unknown positive - confirmed right away by antigen test.</t>
  </si>
  <si>
    <t>MAX288FIX</t>
  </si>
  <si>
    <t>Rapid Antigen</t>
  </si>
  <si>
    <t>See Case Report 2022-01-01_MS Case Report - New Years Eve.pdf - was first Pos by FloodLAMP then was Neg by 3 molecular tests (Lucira, Detect, and Accula), before turning Pos by antigen 2 days later</t>
  </si>
  <si>
    <t>MA26</t>
  </si>
  <si>
    <t>Was positive in duplicate on FL and confirmed by one LAB Purif PCR test (other said Neg) - see case report.</t>
  </si>
  <si>
    <t>AH7754</t>
  </si>
  <si>
    <t>Other member of pooled positive that was neg by referral tests</t>
  </si>
  <si>
    <t>FL pooled positive was confirmed with a Lucira that Antigen missed - see detailed report on referral testing FLSP Referral Test for 2022-12-15 Gary and Mithrabut confounding is that same 2 people in pool were Neg (AG2168) in a collection an hour later</t>
  </si>
  <si>
    <t>FLMP268140</t>
  </si>
  <si>
    <t>Direct PCR</t>
  </si>
  <si>
    <t>FloodLAMP EasyPCR</t>
  </si>
  <si>
    <t>Sample is FL Tube 351430</t>
  </si>
  <si>
    <t>FL Run File P17</t>
  </si>
  <si>
    <t>FLMP466389</t>
  </si>
  <si>
    <t>Sample is FL Tube 351430B</t>
  </si>
  <si>
    <t>FL Run File P19</t>
  </si>
  <si>
    <t>Lab Purif PCR</t>
  </si>
  <si>
    <t>Stanford</t>
  </si>
  <si>
    <t>FloodLAMP SalivaDirect</t>
  </si>
  <si>
    <t>Sample is FL Tube 351430D</t>
  </si>
  <si>
    <t>FLMP197976</t>
  </si>
  <si>
    <t>Sample is FL Tube 351430A</t>
  </si>
  <si>
    <t>Sample is FL Tube 351430C</t>
  </si>
  <si>
    <t>FLMP619442</t>
  </si>
  <si>
    <t>BinaXNow</t>
  </si>
  <si>
    <t>photo on iphone</t>
  </si>
  <si>
    <t>MA1463</t>
  </si>
  <si>
    <t>FLMP964950</t>
  </si>
  <si>
    <t>FlowFlex</t>
  </si>
  <si>
    <t>Case Report for NYE</t>
  </si>
  <si>
    <t>LAMP Device</t>
  </si>
  <si>
    <t>Detect</t>
  </si>
  <si>
    <t>Lucira</t>
  </si>
  <si>
    <t>Nasal Swab</t>
  </si>
  <si>
    <t>Throat Swab</t>
  </si>
  <si>
    <t>Rapid PCR</t>
  </si>
  <si>
    <t>Accula</t>
  </si>
  <si>
    <t>FLMP233123</t>
  </si>
  <si>
    <t>Lab PCR</t>
  </si>
  <si>
    <t>Wallgreens Drive Thru</t>
  </si>
  <si>
    <t>from email receipt</t>
  </si>
  <si>
    <t>MEDLAB2020</t>
  </si>
  <si>
    <t>From email receipt</t>
  </si>
  <si>
    <t>FLMP618864</t>
  </si>
  <si>
    <t>gdoc on case</t>
  </si>
  <si>
    <t>CareStart</t>
  </si>
  <si>
    <t>FLMP183184</t>
  </si>
  <si>
    <t>IMPORTS &gt;&gt;
URL link below</t>
  </si>
  <si>
    <t>Sample Person1 ID</t>
  </si>
  <si>
    <t>Sample Person2 ID</t>
  </si>
  <si>
    <t>Sample Person3 ID</t>
  </si>
  <si>
    <t>Sample Person4 ID</t>
  </si>
  <si>
    <t>Num Instances Name</t>
  </si>
  <si>
    <t>FLMP_RFR_deID_PUB</t>
  </si>
  <si>
    <t>Indiv or Pool?</t>
  </si>
  <si>
    <t>FLMP_APS_deID_PUB</t>
  </si>
  <si>
    <t>For source information, see the following gdoc report:</t>
  </si>
  <si>
    <t>FLMP - FLSP and Carillon Referral correspondence</t>
  </si>
  <si>
    <t>Step</t>
  </si>
  <si>
    <t>FLSP</t>
  </si>
  <si>
    <t>CRLN</t>
  </si>
  <si>
    <t>Gather primary information / sources in the deployment Raw data folder on the PHI drive</t>
  </si>
  <si>
    <t>Copy RTR Correction Template into deployment folder on PHI drive, name according to Prog4Chars_RTR_PHI_vN.N</t>
  </si>
  <si>
    <r>
      <rPr>
        <rFont val="Arial"/>
        <color theme="1"/>
        <sz val="11.0"/>
      </rPr>
      <t xml:space="preserve">Copy primary / source information into the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tabs and/or use these tabs to provide links to external source files, give these tabs short descriptive names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</si>
  <si>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to perform any process, resolution, and organization steps needed to prepare the data to be entered into the table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</si>
  <si>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 xml:space="preserve">Organize and label the data so that traceability between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tab and the </t>
    </r>
    <r>
      <rPr>
        <rFont val="Arial"/>
        <b/>
        <color theme="1"/>
        <sz val="11.0"/>
      </rPr>
      <t xml:space="preserve">Referral </t>
    </r>
    <r>
      <rPr>
        <rFont val="Arial"/>
        <color theme="1"/>
        <sz val="11.0"/>
      </rPr>
      <t xml:space="preserve">tab can be made clear (use Source Notes column on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to establish this connection where needed)</t>
    </r>
  </si>
  <si>
    <r>
      <rPr>
        <rFont val="Arial"/>
        <color theme="1"/>
        <sz val="11.0"/>
      </rPr>
      <t xml:space="preserve">List and describe the </t>
    </r>
    <r>
      <rPr>
        <rFont val="Arial"/>
        <b/>
        <color rgb="FF0000FF"/>
        <sz val="11.0"/>
      </rPr>
      <t>Process Substeps</t>
    </r>
    <r>
      <rPr>
        <rFont val="Arial"/>
        <color theme="1"/>
        <sz val="11.0"/>
      </rPr>
      <t xml:space="preserve"> used during this step below</t>
    </r>
  </si>
  <si>
    <r>
      <rPr>
        <rFont val="Arial"/>
        <color theme="1"/>
        <sz val="11.0"/>
      </rPr>
      <t xml:space="preserve">Use the </t>
    </r>
    <r>
      <rPr>
        <rFont val="Arial"/>
        <b/>
        <color theme="1"/>
        <sz val="11.0"/>
      </rPr>
      <t>Processed Info</t>
    </r>
    <r>
      <rPr>
        <rFont val="Arial"/>
        <color theme="1"/>
        <sz val="11.0"/>
      </rPr>
      <t xml:space="preserve"> and/or </t>
    </r>
    <r>
      <rPr>
        <rFont val="Arial"/>
        <b/>
        <color theme="1"/>
        <sz val="11.0"/>
      </rPr>
      <t>Source Data</t>
    </r>
    <r>
      <rPr>
        <rFont val="Arial"/>
        <color theme="1"/>
        <sz val="11.0"/>
      </rPr>
      <t xml:space="preserve"> to fill out the columns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</t>
    </r>
  </si>
  <si>
    <r>
      <rPr>
        <rFont val="Arial"/>
        <color theme="1"/>
        <sz val="11.0"/>
      </rPr>
      <t>Fill out the</t>
    </r>
    <r>
      <rPr>
        <rFont val="Arial"/>
        <b/>
        <color theme="1"/>
        <sz val="11.0"/>
      </rPr>
      <t xml:space="preserve"> Person ID</t>
    </r>
    <r>
      <rPr>
        <rFont val="Arial"/>
        <color theme="1"/>
        <sz val="11.0"/>
      </rPr>
      <t xml:space="preserve"> column on the </t>
    </r>
    <r>
      <rPr>
        <rFont val="Arial"/>
        <b/>
        <color theme="1"/>
        <sz val="11.0"/>
      </rPr>
      <t>Referral</t>
    </r>
    <r>
      <rPr>
        <rFont val="Arial"/>
        <color theme="1"/>
        <sz val="11.0"/>
      </rPr>
      <t xml:space="preserve"> tab using the </t>
    </r>
    <r>
      <rPr>
        <rFont val="Arial"/>
        <b/>
        <color theme="1"/>
        <sz val="11.0"/>
      </rPr>
      <t>DeID Key</t>
    </r>
    <r>
      <rPr>
        <rFont val="Arial"/>
        <color theme="1"/>
        <sz val="11.0"/>
      </rPr>
      <t xml:space="preserve"> in the APS file for this deployment</t>
    </r>
  </si>
  <si>
    <t>Copy the non-PHI column data into the columns on the CD RTR tab</t>
  </si>
  <si>
    <t>Move CD RTR to Main &gt; Data drive</t>
  </si>
  <si>
    <t>Process Substeps</t>
  </si>
  <si>
    <t>Referral table filled out directly from Source Data Notes (linked from RTR Source Data - CRLN tab) - no processing or organizational steps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</si>
</sst>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:ss am/pm"/>
    <numFmt numFmtId="166" formatCode="h:mm am/pm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color theme="1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</font>
    <font>
      <b/>
      <u/>
      <sz val="14.0"/>
      <color theme="1"/>
      <name val="Arial"/>
    </font>
    <font>
      <sz val="11.0"/>
      <color theme="1"/>
      <name val="Arial"/>
    </font>
    <font>
      <b/>
      <u/>
      <sz val="14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9">
    <border/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2" fontId="3" numFmtId="0" xfId="0" applyFill="1" applyFont="1"/>
    <xf borderId="0" fillId="3" fontId="3" numFmtId="0" xfId="0" applyFill="1" applyFont="1"/>
    <xf borderId="0" fillId="4" fontId="3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0" fillId="5" fontId="3" numFmtId="0" xfId="0" applyAlignment="1" applyFill="1" applyFont="1">
      <alignment horizontal="center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horizontal="center" vertical="bottom"/>
    </xf>
    <xf borderId="0" fillId="6" fontId="4" numFmtId="0" xfId="0" applyAlignment="1" applyFont="1">
      <alignment horizontal="right" vertical="bottom"/>
    </xf>
    <xf borderId="0" fillId="6" fontId="4" numFmtId="164" xfId="0" applyAlignment="1" applyFont="1" applyNumberFormat="1">
      <alignment horizontal="right" vertical="bottom"/>
    </xf>
    <xf borderId="0" fillId="2" fontId="3" numFmtId="164" xfId="0" applyFont="1" applyNumberFormat="1"/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7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8" fontId="3" numFmtId="0" xfId="0" applyFill="1" applyFont="1"/>
    <xf borderId="1" fillId="2" fontId="3" numFmtId="0" xfId="0" applyBorder="1" applyFont="1"/>
    <xf borderId="1" fillId="8" fontId="3" numFmtId="0" xfId="0" applyBorder="1" applyFont="1"/>
    <xf borderId="1" fillId="2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0" fontId="3" numFmtId="0" xfId="0" applyBorder="1" applyFont="1"/>
    <xf borderId="1" fillId="6" fontId="4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right"/>
    </xf>
    <xf borderId="1" fillId="6" fontId="3" numFmtId="164" xfId="0" applyAlignment="1" applyBorder="1" applyFont="1" applyNumberFormat="1">
      <alignment horizontal="right"/>
    </xf>
    <xf borderId="1" fillId="2" fontId="3" numFmtId="164" xfId="0" applyBorder="1" applyFont="1" applyNumberFormat="1"/>
    <xf borderId="1" fillId="9" fontId="3" numFmtId="0" xfId="0" applyBorder="1" applyFill="1" applyFont="1"/>
    <xf borderId="1" fillId="9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/>
    </xf>
    <xf borderId="1" fillId="7" fontId="3" numFmtId="0" xfId="0" applyBorder="1" applyFont="1"/>
    <xf borderId="1" fillId="0" fontId="3" numFmtId="0" xfId="0" applyAlignment="1" applyBorder="1" applyFont="1">
      <alignment readingOrder="0"/>
    </xf>
    <xf borderId="0" fillId="6" fontId="3" numFmtId="0" xfId="0" applyAlignment="1" applyFont="1">
      <alignment horizontal="right"/>
    </xf>
    <xf borderId="0" fillId="6" fontId="3" numFmtId="164" xfId="0" applyAlignment="1" applyFont="1" applyNumberFormat="1">
      <alignment horizontal="right"/>
    </xf>
    <xf borderId="0" fillId="10" fontId="3" numFmtId="0" xfId="0" applyFill="1" applyFont="1"/>
    <xf borderId="0" fillId="7" fontId="3" numFmtId="0" xfId="0" applyFont="1"/>
    <xf borderId="0" fillId="9" fontId="3" numFmtId="0" xfId="0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11" fontId="3" numFmtId="0" xfId="0" applyFill="1" applyFont="1"/>
    <xf borderId="0" fillId="11" fontId="3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6" fontId="3" numFmtId="0" xfId="0" applyBorder="1" applyFont="1"/>
    <xf borderId="0" fillId="0" fontId="3" numFmtId="164" xfId="0" applyAlignment="1" applyFont="1" applyNumberFormat="1">
      <alignment readingOrder="0"/>
    </xf>
    <xf borderId="0" fillId="6" fontId="3" numFmtId="0" xfId="0" applyFont="1"/>
    <xf borderId="1" fillId="10" fontId="3" numFmtId="0" xfId="0" applyBorder="1" applyFont="1"/>
    <xf borderId="1" fillId="0" fontId="4" numFmtId="0" xfId="0" applyAlignment="1" applyBorder="1" applyFont="1">
      <alignment horizontal="center" vertical="bottom"/>
    </xf>
    <xf borderId="1" fillId="6" fontId="3" numFmtId="0" xfId="0" applyAlignment="1" applyBorder="1" applyFont="1">
      <alignment readingOrder="0"/>
    </xf>
    <xf borderId="0" fillId="6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11" fontId="3" numFmtId="0" xfId="0" applyBorder="1" applyFont="1"/>
    <xf borderId="1" fillId="9" fontId="3" numFmtId="0" xfId="0" applyAlignment="1" applyBorder="1" applyFont="1">
      <alignment readingOrder="0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shrinkToFit="0" vertical="bottom" wrapText="1"/>
    </xf>
    <xf borderId="0" fillId="12" fontId="1" numFmtId="0" xfId="0" applyAlignment="1" applyFill="1" applyFont="1">
      <alignment shrinkToFit="0" vertical="bottom" wrapText="1"/>
    </xf>
    <xf borderId="0" fillId="9" fontId="1" numFmtId="0" xfId="0" applyAlignment="1" applyFont="1">
      <alignment readingOrder="0" shrinkToFit="0" vertical="bottom" wrapText="1"/>
    </xf>
    <xf borderId="0" fillId="2" fontId="3" numFmtId="0" xfId="0" applyAlignment="1" applyFont="1">
      <alignment horizontal="left"/>
    </xf>
    <xf borderId="0" fillId="2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shrinkToFit="0" wrapText="0"/>
    </xf>
    <xf borderId="0" fillId="2" fontId="3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left" vertical="bottom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 readingOrder="0"/>
    </xf>
    <xf borderId="1" fillId="0" fontId="4" numFmtId="164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shrinkToFit="0" wrapText="0"/>
    </xf>
    <xf borderId="0" fillId="13" fontId="3" numFmtId="0" xfId="0" applyAlignment="1" applyFill="1" applyFont="1">
      <alignment readingOrder="0"/>
    </xf>
    <xf borderId="0" fillId="13" fontId="3" numFmtId="0" xfId="0" applyAlignment="1" applyFont="1">
      <alignment horizontal="left"/>
    </xf>
    <xf borderId="0" fillId="13" fontId="4" numFmtId="164" xfId="0" applyAlignment="1" applyFont="1" applyNumberFormat="1">
      <alignment horizontal="right" vertical="bottom"/>
    </xf>
    <xf borderId="0" fillId="13" fontId="3" numFmtId="165" xfId="0" applyAlignment="1" applyFont="1" applyNumberFormat="1">
      <alignment readingOrder="0"/>
    </xf>
    <xf borderId="2" fillId="2" fontId="3" numFmtId="0" xfId="0" applyAlignment="1" applyBorder="1" applyFont="1">
      <alignment horizontal="left"/>
    </xf>
    <xf borderId="3" fillId="0" fontId="3" numFmtId="0" xfId="0" applyAlignment="1" applyBorder="1" applyFont="1">
      <alignment readingOrder="0"/>
    </xf>
    <xf borderId="4" fillId="2" fontId="3" numFmtId="0" xfId="0" applyAlignment="1" applyBorder="1" applyFont="1">
      <alignment horizontal="left"/>
    </xf>
    <xf borderId="5" fillId="0" fontId="3" numFmtId="0" xfId="0" applyAlignment="1" applyBorder="1" applyFont="1">
      <alignment readingOrder="0"/>
    </xf>
    <xf borderId="0" fillId="0" fontId="3" numFmtId="165" xfId="0" applyFont="1" applyNumberFormat="1"/>
    <xf borderId="6" fillId="2" fontId="3" numFmtId="0" xfId="0" applyAlignment="1" applyBorder="1" applyFont="1">
      <alignment horizontal="left"/>
    </xf>
    <xf borderId="7" fillId="2" fontId="3" numFmtId="0" xfId="0" applyAlignment="1" applyBorder="1" applyFont="1">
      <alignment horizontal="left" readingOrder="0"/>
    </xf>
    <xf borderId="7" fillId="0" fontId="4" numFmtId="164" xfId="0" applyAlignment="1" applyBorder="1" applyFont="1" applyNumberFormat="1">
      <alignment horizontal="right" vertical="bottom"/>
    </xf>
    <xf borderId="7" fillId="0" fontId="3" numFmtId="165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Alignment="1" applyBorder="1" applyFont="1">
      <alignment readingOrder="0"/>
    </xf>
    <xf borderId="2" fillId="11" fontId="3" numFmtId="0" xfId="0" applyAlignment="1" applyBorder="1" applyFont="1">
      <alignment horizontal="left"/>
    </xf>
    <xf borderId="1" fillId="11" fontId="4" numFmtId="164" xfId="0" applyAlignment="1" applyBorder="1" applyFont="1" applyNumberFormat="1">
      <alignment horizontal="right" vertical="bottom"/>
    </xf>
    <xf borderId="1" fillId="11" fontId="3" numFmtId="165" xfId="0" applyAlignment="1" applyBorder="1" applyFont="1" applyNumberFormat="1">
      <alignment readingOrder="0"/>
    </xf>
    <xf borderId="1" fillId="11" fontId="3" numFmtId="0" xfId="0" applyAlignment="1" applyBorder="1" applyFont="1">
      <alignment readingOrder="0"/>
    </xf>
    <xf borderId="3" fillId="11" fontId="3" numFmtId="0" xfId="0" applyAlignment="1" applyBorder="1" applyFont="1">
      <alignment readingOrder="0"/>
    </xf>
    <xf borderId="4" fillId="13" fontId="3" numFmtId="0" xfId="0" applyAlignment="1" applyBorder="1" applyFont="1">
      <alignment horizontal="left"/>
    </xf>
    <xf borderId="5" fillId="13" fontId="3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164" xfId="0" applyAlignment="1" applyFont="1" applyNumberFormat="1">
      <alignment horizontal="right" readingOrder="0" vertical="bottom"/>
    </xf>
    <xf borderId="0" fillId="0" fontId="3" numFmtId="0" xfId="0" applyFont="1"/>
    <xf borderId="0" fillId="6" fontId="3" numFmtId="0" xfId="0" applyAlignment="1" applyFont="1">
      <alignment horizontal="center"/>
    </xf>
    <xf borderId="0" fillId="6" fontId="3" numFmtId="164" xfId="0" applyAlignment="1" applyFont="1" applyNumberFormat="1">
      <alignment horizontal="right" readingOrder="0"/>
    </xf>
    <xf borderId="1" fillId="2" fontId="3" numFmtId="49" xfId="0" applyBorder="1" applyFont="1" applyNumberFormat="1"/>
    <xf borderId="1" fillId="0" fontId="3" numFmtId="0" xfId="0" applyAlignment="1" applyBorder="1" applyFont="1">
      <alignment horizontal="left" readingOrder="0"/>
    </xf>
    <xf borderId="1" fillId="6" fontId="4" numFmtId="0" xfId="0" applyAlignment="1" applyBorder="1" applyFont="1">
      <alignment horizontal="right" vertical="bottom"/>
    </xf>
    <xf borderId="1" fillId="6" fontId="4" numFmtId="164" xfId="0" applyAlignment="1" applyBorder="1" applyFont="1" applyNumberFormat="1">
      <alignment horizontal="right" vertical="bottom"/>
    </xf>
    <xf borderId="1" fillId="7" fontId="4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/>
    </xf>
    <xf borderId="1" fillId="14" fontId="3" numFmtId="0" xfId="0" applyBorder="1" applyFill="1" applyFont="1"/>
    <xf borderId="1" fillId="0" fontId="7" numFmtId="0" xfId="0" applyAlignment="1" applyBorder="1" applyFont="1">
      <alignment readingOrder="0"/>
    </xf>
    <xf borderId="0" fillId="13" fontId="3" numFmtId="0" xfId="0" applyFont="1"/>
    <xf borderId="0" fillId="0" fontId="8" numFmtId="0" xfId="0" applyAlignment="1" applyFont="1">
      <alignment readingOrder="0"/>
    </xf>
    <xf borderId="0" fillId="2" fontId="4" numFmtId="0" xfId="0" applyAlignment="1" applyFont="1">
      <alignment horizontal="right" readingOrder="0" vertical="bottom"/>
    </xf>
    <xf borderId="0" fillId="0" fontId="9" numFmtId="0" xfId="0" applyAlignment="1" applyFont="1">
      <alignment shrinkToFit="0" vertical="bottom" wrapText="1"/>
    </xf>
    <xf borderId="0" fillId="12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9" fontId="9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10" numFmtId="0" xfId="0" applyFont="1"/>
    <xf borderId="0" fillId="0" fontId="11" numFmtId="164" xfId="0" applyAlignment="1" applyFont="1" applyNumberFormat="1">
      <alignment horizontal="right" vertical="bottom"/>
    </xf>
    <xf borderId="0" fillId="0" fontId="11" numFmtId="21" xfId="0" applyAlignment="1" applyFont="1" applyNumberFormat="1">
      <alignment horizontal="right" vertical="bottom"/>
    </xf>
    <xf borderId="0" fillId="0" fontId="10" numFmtId="21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0" fontId="10" numFmtId="0" xfId="0" applyAlignment="1" applyBorder="1" applyFont="1">
      <alignment readingOrder="0"/>
    </xf>
    <xf borderId="1" fillId="0" fontId="10" numFmtId="49" xfId="0" applyAlignment="1" applyBorder="1" applyFont="1" applyNumberFormat="1">
      <alignment readingOrder="0"/>
    </xf>
    <xf borderId="1" fillId="2" fontId="4" numFmtId="0" xfId="0" applyAlignment="1" applyBorder="1" applyFont="1">
      <alignment vertical="bottom"/>
    </xf>
    <xf borderId="1" fillId="2" fontId="10" numFmtId="0" xfId="0" applyAlignment="1" applyBorder="1" applyFont="1">
      <alignment horizontal="center"/>
    </xf>
    <xf borderId="1" fillId="0" fontId="11" numFmtId="164" xfId="0" applyAlignment="1" applyBorder="1" applyFont="1" applyNumberFormat="1">
      <alignment horizontal="right" vertical="bottom"/>
    </xf>
    <xf borderId="1" fillId="0" fontId="10" numFmtId="21" xfId="0" applyAlignment="1" applyBorder="1" applyFont="1" applyNumberFormat="1">
      <alignment readingOrder="0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12" fontId="12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readingOrder="0" vertical="bottom"/>
    </xf>
    <xf borderId="1" fillId="0" fontId="3" numFmtId="21" xfId="0" applyAlignment="1" applyBorder="1" applyFont="1" applyNumberFormat="1">
      <alignment readingOrder="0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/>
    </xf>
    <xf borderId="0" fillId="0" fontId="3" numFmtId="21" xfId="0" applyAlignment="1" applyFont="1" applyNumberFormat="1">
      <alignment readingOrder="0"/>
    </xf>
    <xf borderId="0" fillId="2" fontId="10" numFmtId="0" xfId="0" applyAlignment="1" applyFont="1">
      <alignment horizontal="center"/>
    </xf>
    <xf borderId="1" fillId="2" fontId="10" numFmtId="0" xfId="0" applyAlignment="1" applyBorder="1" applyFont="1">
      <alignment horizontal="center"/>
    </xf>
    <xf borderId="1" fillId="0" fontId="12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0" numFmtId="0" xfId="0" applyAlignment="1" applyFont="1">
      <alignment horizontal="left"/>
    </xf>
    <xf borderId="0" fillId="0" fontId="10" numFmtId="49" xfId="0" applyAlignment="1" applyFont="1" applyNumberFormat="1">
      <alignment readingOrder="0"/>
    </xf>
    <xf borderId="0" fillId="0" fontId="11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166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0" numFmtId="165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15" fontId="1" numFmtId="0" xfId="0" applyAlignment="1" applyFill="1" applyFont="1">
      <alignment vertical="bottom"/>
    </xf>
    <xf borderId="0" fillId="3" fontId="1" numFmtId="0" xfId="0" applyAlignment="1" applyFont="1">
      <alignment shrinkToFit="0" vertical="bottom" wrapText="1"/>
    </xf>
    <xf borderId="0" fillId="8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3" fontId="4" numFmtId="4" xfId="0" applyAlignment="1" applyFont="1" applyNumberFormat="1">
      <alignment vertical="bottom"/>
    </xf>
    <xf borderId="0" fillId="8" fontId="3" numFmtId="164" xfId="0" applyFont="1" applyNumberFormat="1"/>
    <xf borderId="0" fillId="8" fontId="3" numFmtId="21" xfId="0" applyFont="1" applyNumberFormat="1"/>
    <xf borderId="0" fillId="2" fontId="4" numFmtId="0" xfId="0" applyAlignment="1" applyFont="1">
      <alignment horizontal="center" vertical="bottom"/>
    </xf>
    <xf borderId="0" fillId="3" fontId="2" numFmtId="0" xfId="0" applyAlignment="1" applyFont="1">
      <alignment shrinkToFit="0" wrapText="1"/>
    </xf>
    <xf borderId="0" fillId="8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8" fontId="3" numFmtId="0" xfId="0" applyAlignment="1" applyFont="1">
      <alignment horizontal="left"/>
    </xf>
    <xf borderId="0" fillId="8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file/d/183vDbgAbIlGBqyKEeQXxiJ8IX4DQdLy8/view?usp=sharing" TargetMode="External"/><Relationship Id="rId3" Type="http://schemas.openxmlformats.org/officeDocument/2006/relationships/hyperlink" Target="https://docs.google.com/document/d/1VP5xoKuaWoiObcYqFPfrH_x1CmQ9pLU0MMw3-VjlFYc/edit?usp=drive_link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docs.google.com/spreadsheets/d/16CwPJ9LeknD8lJFTr-gJSx916WZaGEMbN6iKnlVx4dI/edit?usp=sharing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docs.google.com/spreadsheets/d/1ni39vn-fdXq0HrOgHbim_FK0OZidUv-YBLvzPwhhlFQ/edit?usp=sharing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88"/>
    <col customWidth="1" min="3" max="3" width="20.5"/>
    <col customWidth="1" min="4" max="4" width="13.63"/>
    <col customWidth="1" min="5" max="5" width="9.38"/>
    <col customWidth="1" min="6" max="6" width="15.25"/>
    <col customWidth="1" min="7" max="7" width="16.88"/>
    <col customWidth="1" min="8" max="8" width="10.5"/>
    <col customWidth="1" min="9" max="11" width="13.88"/>
    <col customWidth="1" min="14" max="14" width="14.5"/>
    <col customWidth="1" min="15" max="15" width="14.13"/>
    <col customWidth="1" min="22" max="22" width="9.88"/>
    <col customWidth="1" min="23" max="23" width="4.88"/>
    <col customWidth="1" min="25" max="25" width="8.5"/>
    <col customWidth="1" min="26" max="26" width="10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tr">
        <f>CONCATENATE(SUM(F2:F83), " Num Sequential Referral Tests")</f>
        <v>85 Num Sequential Referral Tests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5"/>
      <c r="X1" s="6" t="str">
        <f>CONCATENATE(COUNTIF(X2:X83,TRUE), " Included in APS Pos and Incl?")</f>
        <v>30 Included in APS Pos and Incl?</v>
      </c>
      <c r="Y1" s="7" t="s">
        <v>21</v>
      </c>
      <c r="Z1" s="2" t="s">
        <v>22</v>
      </c>
      <c r="AA1" s="8" t="s">
        <v>23</v>
      </c>
    </row>
    <row r="2">
      <c r="A2" s="9"/>
      <c r="B2" s="9"/>
      <c r="C2" s="10"/>
      <c r="D2" s="10" t="str">
        <f>IFERROR(__xludf.DUMMYFUNCTION("FILTER('Referral Test Data CRLN'!D2:D100, ('Referral Test Data CRLN'!D2:D100 &lt;&gt; 'Referral Test Data CRLN'!D1:D99))
"),"FLMP858721")</f>
        <v>FLMP858721</v>
      </c>
      <c r="E2" s="11">
        <f>MATCH(D2,'Referral Test Data CRLN'!D$1:D83,0)</f>
        <v>2</v>
      </c>
      <c r="F2" s="11">
        <f>IF(ISBLANK(E3),COUNTA('Referral Test Data CRLN'!D$2:D83)-SUM(F1:F$2),E3-E2)</f>
        <v>1</v>
      </c>
      <c r="G2" s="12">
        <f>IFERROR(VLOOKUP(D2,'ALL Pos and Incl IMPORT'!Q$2:U83,5,FALSE),0)</f>
        <v>1</v>
      </c>
      <c r="H2" s="13"/>
      <c r="I2" s="14" t="s">
        <v>24</v>
      </c>
      <c r="J2" s="15" t="str">
        <f>VLOOKUP(I2,'Pos and Incl IMPORT'!B$2:U$83,20,FALSE)</f>
        <v>INDIV</v>
      </c>
      <c r="K2" s="16" t="str">
        <f>IFERROR(__xludf.DUMMYFUNCTION("VLOOKUP(I2,IMPORTRANGE('ALL Pos and Incl IMPORT'!$A$2,""ALL Tube Results!A2:F""),6,FALSE)"),"Positive")</f>
        <v>Positive</v>
      </c>
      <c r="L2" s="17">
        <f>IFERROR(__xludf.DUMMYFUNCTION("VLOOKUP(I2,IMPORTRANGE('ALL Pos and Incl IMPORT'!$A$2,""ALL Tube Results!A2:F""),3,FALSE)"),44567.0)</f>
        <v>44567</v>
      </c>
      <c r="M2" s="18">
        <f t="array" ref="M2">INDEX('Referral Test Data CRLN'!$C$1:$P83,$E2,3)</f>
        <v>44924</v>
      </c>
      <c r="N2" s="19" t="s">
        <v>25</v>
      </c>
      <c r="O2" s="20" t="s">
        <v>25</v>
      </c>
      <c r="P2" s="21" t="str">
        <f t="array" ref="P2">INDEX('Referral Test Data CRLN'!$C$1:$P83,$E2,7)</f>
        <v>Antigen</v>
      </c>
      <c r="Q2" s="21" t="str">
        <f t="array" ref="Q2">INDEX('Referral Test Data CRLN'!$C$1:$P83,$E2,9)</f>
        <v>Positive</v>
      </c>
      <c r="R2" s="14" t="str">
        <f t="array" ref="R2">IF(OR($E2+1&lt;$E3, AND(ISBLANK($E3), ($E2-1)&lt;COUNT(#REF!))), INDEX('Referral Test Data CRLN'!$C$1:$P83,$E2+1,7), IFERROR(0/0,""))
</f>
        <v/>
      </c>
      <c r="S2" s="14" t="str">
        <f t="array" ref="S2">IF(OR($E2+1&lt;$E3, AND(ISBLANK($E3), ($E2-1)&lt;COUNT(#REF!))), INDEX('Referral Test Data CRLN'!$C$1:$P83,$E2+1,9),IFERROR(0/0,""))</f>
        <v/>
      </c>
      <c r="T2" s="14" t="str">
        <f t="array" ref="T2">IF(OR($E2+2&lt;$E3, AND(ISBLANK($E3), ($E2-1)&lt;COUNT(#REF!))), INDEX('Referral Test Data CRLN'!$C$1:$P83,$E2+2,7),IFERROR(0/0,""))</f>
        <v/>
      </c>
      <c r="U2" s="14" t="str">
        <f t="array" ref="U2">IF(OR($E2+2&lt;$E3, AND(ISBLANK($E3), ($E2-1)&lt;COUNT(#REF!))), INDEX('Referral Test Data CRLN'!$C$1:$P83,$E2+2,9),IFERROR(0/0,""))</f>
        <v/>
      </c>
      <c r="V2" s="22">
        <v>1.0</v>
      </c>
      <c r="W2" s="9"/>
      <c r="X2" s="23" t="b">
        <v>1</v>
      </c>
      <c r="Y2" s="24" t="s">
        <v>26</v>
      </c>
      <c r="Z2" s="25"/>
      <c r="AA2" s="14" t="s">
        <v>27</v>
      </c>
    </row>
    <row r="3">
      <c r="A3" s="9"/>
      <c r="B3" s="9"/>
      <c r="C3" s="26"/>
      <c r="D3" s="26" t="str">
        <f>IFERROR(__xludf.DUMMYFUNCTION("""COMPUTED_VALUE"""),"FLMP939793")</f>
        <v>FLMP939793</v>
      </c>
      <c r="E3" s="12">
        <f t="array" ref="E3">IFERROR(
  MATCH(D3, INDIRECT("'Referral Test Data CRLN'!D" &amp; E2 + 1 &amp; ":D"), 0) + E2, 
  MATCH(D3, 'Referral Test Data CRLN'!D3:D83, 0)
)</f>
        <v>3</v>
      </c>
      <c r="F3" s="12">
        <f>IF(ISBLANK(E4),COUNTA('Referral Test Data CRLN'!D$2:D83)-SUM(F2:F$2),E4-E3)</f>
        <v>1</v>
      </c>
      <c r="G3" s="12">
        <f>IFERROR(VLOOKUP(D3,'ALL Pos and Incl IMPORT'!Q$2:U83,5,FALSE),0)</f>
        <v>0</v>
      </c>
      <c r="H3" s="13"/>
      <c r="I3" s="14" t="s">
        <v>28</v>
      </c>
      <c r="J3" s="25" t="s">
        <v>29</v>
      </c>
      <c r="K3" s="16" t="str">
        <f>IFERROR(__xludf.DUMMYFUNCTION("VLOOKUP(I3,IMPORTRANGE('ALL Pos and Incl IMPORT'!$A$2,""ALL Tube Results!A2:F""),6,FALSE)"),"Negative")</f>
        <v>Negative</v>
      </c>
      <c r="L3" s="17">
        <f>IFERROR(__xludf.DUMMYFUNCTION("VLOOKUP(I3,IMPORTRANGE('ALL Pos and Incl IMPORT'!$A$2,""ALL Tube Results!A2:F""),3,FALSE)"),44567.0)</f>
        <v>44567</v>
      </c>
      <c r="M3" s="18">
        <f t="array" ref="M3">INDEX('Referral Test Data CRLN'!$C$1:$P83,$E3,3)</f>
        <v>44925</v>
      </c>
      <c r="N3" s="19" t="s">
        <v>25</v>
      </c>
      <c r="O3" s="20" t="s">
        <v>25</v>
      </c>
      <c r="P3" s="21" t="str">
        <f t="array" ref="P3">INDEX('Referral Test Data CRLN'!$C$1:$P83,$E3,7)</f>
        <v>Antigen</v>
      </c>
      <c r="Q3" s="21" t="str">
        <f t="array" ref="Q3">INDEX('Referral Test Data CRLN'!$C$1:$P83,$E3,9)</f>
        <v>Positive</v>
      </c>
      <c r="R3" s="14" t="str">
        <f t="array" ref="R3">IF(OR($E3+1&lt;$E4, AND(ISBLANK($E4), ($E3-1)&lt;COUNT(#REF!))), INDEX('Referral Test Data CRLN'!$C$1:$P83,$E3+1,7), IFERROR(0/0,""))
</f>
        <v/>
      </c>
      <c r="S3" s="14" t="str">
        <f t="array" ref="S3">IF(OR($E3+1&lt;$E4, AND(ISBLANK($E4), ($E3-1)&lt;COUNT(#REF!))), INDEX('Referral Test Data CRLN'!$C$1:$P83,$E3+1,9),IFERROR(0/0,""))</f>
        <v/>
      </c>
      <c r="T3" s="14" t="str">
        <f t="array" ref="T3">IF(OR($E3+2&lt;$E4, AND(ISBLANK($E4), ($E3-1)&lt;COUNT(#REF!))), INDEX('Referral Test Data CRLN'!$C$1:$P83,$E3+2,7),IFERROR(0/0,""))</f>
        <v/>
      </c>
      <c r="U3" s="14" t="str">
        <f t="array" ref="U3">IF(OR($E3+2&lt;$E4, AND(ISBLANK($E4), ($E3-1)&lt;COUNT(#REF!))), INDEX('Referral Test Data CRLN'!$C$1:$P83,$E3+2,9),IFERROR(0/0,""))</f>
        <v/>
      </c>
      <c r="V3" s="22">
        <v>2.0</v>
      </c>
      <c r="W3" s="9"/>
      <c r="X3" s="22" t="s">
        <v>30</v>
      </c>
      <c r="Y3" s="22" t="s">
        <v>26</v>
      </c>
      <c r="Z3" s="25"/>
      <c r="AA3" s="14" t="s">
        <v>31</v>
      </c>
    </row>
    <row r="4">
      <c r="A4" s="9"/>
      <c r="B4" s="9"/>
      <c r="C4" s="26"/>
      <c r="D4" s="26" t="str">
        <f>IFERROR(__xludf.DUMMYFUNCTION("""COMPUTED_VALUE"""),"FLMP172687")</f>
        <v>FLMP172687</v>
      </c>
      <c r="E4" s="12">
        <f t="array" ref="E4">IFERROR(
  MATCH(D4, INDIRECT("'Referral Test Data CRLN'!D" &amp; E3 + 1 &amp; ":D"), 0) + E3, 
  MATCH(D4, 'Referral Test Data CRLN'!D4:D83, 0)
)</f>
        <v>4</v>
      </c>
      <c r="F4" s="12">
        <f>IF(ISBLANK(E5),COUNTA('Referral Test Data CRLN'!D$2:D83)-SUM(F$2:F3),E5-E4)</f>
        <v>1</v>
      </c>
      <c r="G4" s="12">
        <f>IFERROR(VLOOKUP(D4,'ALL Pos and Incl IMPORT'!Q$2:U83,5,FALSE),0)</f>
        <v>1</v>
      </c>
      <c r="H4" s="13"/>
      <c r="I4" s="14" t="s">
        <v>32</v>
      </c>
      <c r="J4" s="15" t="str">
        <f>VLOOKUP(I4,'Pos and Incl IMPORT'!B$2:U$83,20,FALSE)</f>
        <v>INDIV</v>
      </c>
      <c r="K4" s="16" t="str">
        <f>IFERROR(__xludf.DUMMYFUNCTION("VLOOKUP(I4,IMPORTRANGE('ALL Pos and Incl IMPORT'!$A$2,""ALL Tube Results!A2:F""),6,FALSE)"),"Positive")</f>
        <v>Positive</v>
      </c>
      <c r="L4" s="17">
        <f>IFERROR(__xludf.DUMMYFUNCTION("VLOOKUP(I4,IMPORTRANGE('ALL Pos and Incl IMPORT'!$A$2,""ALL Tube Results!A2:F""),3,FALSE)"),44567.0)</f>
        <v>44567</v>
      </c>
      <c r="M4" s="18">
        <f t="array" ref="M4">INDEX('Referral Test Data CRLN'!$C$1:$P83,$E4,3)</f>
        <v>44925</v>
      </c>
      <c r="N4" s="19" t="s">
        <v>25</v>
      </c>
      <c r="O4" s="20" t="s">
        <v>25</v>
      </c>
      <c r="P4" s="21" t="str">
        <f t="array" ref="P4">INDEX('Referral Test Data CRLN'!$C$1:$P83,$E4,7)</f>
        <v>Antigen</v>
      </c>
      <c r="Q4" s="21" t="str">
        <f t="array" ref="Q4">INDEX('Referral Test Data CRLN'!$C$1:$P83,$E4,9)</f>
        <v>Positive</v>
      </c>
      <c r="R4" s="14" t="str">
        <f t="array" ref="R4">IF(OR($E4+1&lt;$E5, AND(ISBLANK($E5), ($E4-1)&lt;COUNT(#REF!))), INDEX('Referral Test Data CRLN'!$C$1:$P83,$E4+1,7), IFERROR(0/0,""))
</f>
        <v/>
      </c>
      <c r="S4" s="14" t="str">
        <f t="array" ref="S4">IF(OR($E4+1&lt;$E5, AND(ISBLANK($E5), ($E4-1)&lt;COUNT(#REF!))), INDEX('Referral Test Data CRLN'!$C$1:$P83,$E4+1,9),IFERROR(0/0,""))</f>
        <v/>
      </c>
      <c r="T4" s="14" t="str">
        <f t="array" ref="T4">IF(OR($E4+2&lt;$E5, AND(ISBLANK($E5), ($E4-1)&lt;COUNT(#REF!))), INDEX('Referral Test Data CRLN'!$C$1:$P83,$E4+2,7),IFERROR(0/0,""))</f>
        <v/>
      </c>
      <c r="U4" s="14" t="str">
        <f t="array" ref="U4">IF(OR($E4+2&lt;$E5, AND(ISBLANK($E5), ($E4-1)&lt;COUNT(#REF!))), INDEX('Referral Test Data CRLN'!$C$1:$P83,$E4+2,9),IFERROR(0/0,""))</f>
        <v/>
      </c>
      <c r="V4" s="22">
        <v>3.0</v>
      </c>
      <c r="W4" s="9"/>
      <c r="X4" s="23" t="b">
        <v>1</v>
      </c>
      <c r="Y4" s="22" t="s">
        <v>26</v>
      </c>
      <c r="Z4" s="25"/>
      <c r="AA4" s="14" t="s">
        <v>33</v>
      </c>
    </row>
    <row r="5">
      <c r="A5" s="9"/>
      <c r="B5" s="9"/>
      <c r="C5" s="26"/>
      <c r="D5" s="26" t="str">
        <f>IFERROR(__xludf.DUMMYFUNCTION("""COMPUTED_VALUE"""),"FLMP549529")</f>
        <v>FLMP549529</v>
      </c>
      <c r="E5" s="12">
        <f t="array" ref="E5">IFERROR(
  MATCH(D5, INDIRECT("'Referral Test Data CRLN'!D" &amp; E4 + 1 &amp; ":D"), 0) + E4, 
  MATCH(D5, 'Referral Test Data CRLN'!D5:D83, 0)
)</f>
        <v>5</v>
      </c>
      <c r="F5" s="12">
        <f>IF(ISBLANK(E6),COUNTA('Referral Test Data CRLN'!D$2:D83)-SUM(F$2:F4),E6-E5)</f>
        <v>1</v>
      </c>
      <c r="G5" s="12">
        <f>IFERROR(VLOOKUP(D5,'ALL Pos and Incl IMPORT'!Q$2:U83,5,FALSE),0)</f>
        <v>1</v>
      </c>
      <c r="H5" s="13"/>
      <c r="I5" s="14" t="s">
        <v>34</v>
      </c>
      <c r="J5" s="15" t="str">
        <f>VLOOKUP(I5,'Pos and Incl IMPORT'!B$2:U$83,20,FALSE)</f>
        <v>INDIV</v>
      </c>
      <c r="K5" s="16" t="str">
        <f>IFERROR(__xludf.DUMMYFUNCTION("VLOOKUP(I5,IMPORTRANGE('ALL Pos and Incl IMPORT'!$A$2,""ALL Tube Results!A2:F""),6,FALSE)"),"Positive")</f>
        <v>Positive</v>
      </c>
      <c r="L5" s="17">
        <f>IFERROR(__xludf.DUMMYFUNCTION("VLOOKUP(I5,IMPORTRANGE('ALL Pos and Incl IMPORT'!$A$2,""ALL Tube Results!A2:F""),3,FALSE)"),44567.0)</f>
        <v>44567</v>
      </c>
      <c r="M5" s="18">
        <f t="array" ref="M5">INDEX('Referral Test Data CRLN'!$C$1:$P83,$E5,3)</f>
        <v>44562</v>
      </c>
      <c r="N5" s="19" t="s">
        <v>25</v>
      </c>
      <c r="O5" s="20" t="s">
        <v>25</v>
      </c>
      <c r="P5" s="21" t="str">
        <f t="array" ref="P5">INDEX('Referral Test Data CRLN'!$C$1:$P83,$E5,7)</f>
        <v>Antigen</v>
      </c>
      <c r="Q5" s="21" t="str">
        <f t="array" ref="Q5">INDEX('Referral Test Data CRLN'!$C$1:$P83,$E5,9)</f>
        <v>Positive</v>
      </c>
      <c r="R5" s="14" t="str">
        <f t="array" ref="R5">IF(OR($E5+1&lt;$E6, AND(ISBLANK($E6), ($E5-1)&lt;COUNT(#REF!))), INDEX('Referral Test Data CRLN'!$C$1:$P83,$E5+1,7), IFERROR(0/0,""))
</f>
        <v/>
      </c>
      <c r="S5" s="14" t="str">
        <f t="array" ref="S5">IF(OR($E5+1&lt;$E6, AND(ISBLANK($E6), ($E5-1)&lt;COUNT(#REF!))), INDEX('Referral Test Data CRLN'!$C$1:$P83,$E5+1,9),IFERROR(0/0,""))</f>
        <v/>
      </c>
      <c r="T5" s="14" t="str">
        <f t="array" ref="T5">IF(OR($E5+2&lt;$E6, AND(ISBLANK($E6), ($E5-1)&lt;COUNT(#REF!))), INDEX('Referral Test Data CRLN'!$C$1:$P83,$E5+2,7),IFERROR(0/0,""))</f>
        <v/>
      </c>
      <c r="U5" s="14" t="str">
        <f t="array" ref="U5">IF(OR($E5+2&lt;$E6, AND(ISBLANK($E6), ($E5-1)&lt;COUNT(#REF!))), INDEX('Referral Test Data CRLN'!$C$1:$P83,$E5+2,9),IFERROR(0/0,""))</f>
        <v/>
      </c>
      <c r="V5" s="22">
        <v>4.0</v>
      </c>
      <c r="W5" s="9"/>
      <c r="X5" s="23" t="b">
        <v>1</v>
      </c>
      <c r="Y5" s="22" t="s">
        <v>26</v>
      </c>
      <c r="Z5" s="25"/>
      <c r="AA5" s="14" t="s">
        <v>35</v>
      </c>
    </row>
    <row r="6">
      <c r="A6" s="27"/>
      <c r="B6" s="27"/>
      <c r="C6" s="28"/>
      <c r="D6" s="28" t="str">
        <f>IFERROR(__xludf.DUMMYFUNCTION("""COMPUTED_VALUE"""),"FLMP915544")</f>
        <v>FLMP915544</v>
      </c>
      <c r="E6" s="29">
        <f t="array" ref="E6">IFERROR(
  MATCH(D6, INDIRECT("'Referral Test Data CRLN'!D" &amp; E5 + 1 &amp; ":D"), 0) + E5, 
  MATCH(D6, 'Referral Test Data CRLN'!D6:D83, 0)
)</f>
        <v>6</v>
      </c>
      <c r="F6" s="29">
        <f>IF(ISBLANK(E7),COUNTA('Referral Test Data CRLN'!D$2:D83)-SUM(F$2:F5),E7-E6)</f>
        <v>2</v>
      </c>
      <c r="G6" s="29">
        <f>IFERROR(VLOOKUP(D6,'ALL Pos and Incl IMPORT'!Q$2:U83,5,FALSE),0)</f>
        <v>0</v>
      </c>
      <c r="H6" s="30"/>
      <c r="I6" s="31" t="s">
        <v>36</v>
      </c>
      <c r="J6" s="32" t="str">
        <f>VLOOKUP(I6,'Pos and Incl IMPORT'!B$2:U$83,20,FALSE)</f>
        <v>POOL</v>
      </c>
      <c r="K6" s="33" t="str">
        <f>IFERROR(__xludf.DUMMYFUNCTION("VLOOKUP(I6,IMPORTRANGE('ALL Pos and Incl IMPORT'!$A$2,""ALL Tube Results!A2:F""),6,FALSE)"),"Positive")</f>
        <v>Positive</v>
      </c>
      <c r="L6" s="34">
        <f>IFERROR(__xludf.DUMMYFUNCTION("VLOOKUP(I6,IMPORTRANGE('ALL Pos and Incl IMPORT'!$A$2,""ALL Tube Results!A2:F""),3,FALSE)"),44563.0)</f>
        <v>44563</v>
      </c>
      <c r="M6" s="35">
        <f t="array" ref="M6">INDEX('Referral Test Data CRLN'!$C$1:$P83,$E6,3)</f>
        <v>44564</v>
      </c>
      <c r="N6" s="27" t="b">
        <f t="shared" ref="N6:N19" si="1">IF(AND(EXACT(P6,"Antigen"),EXACT(Q6,"Negative"),OR(EXACT(S6,"Positive"),EXACT(U6,"Positive"))),TRUE,FALSE)</f>
        <v>0</v>
      </c>
      <c r="O6" s="36" t="s">
        <v>37</v>
      </c>
      <c r="P6" s="36" t="str">
        <f t="array" ref="P6">INDEX('Referral Test Data CRLN'!$C$1:$P83,$E6,7)</f>
        <v>Antigen</v>
      </c>
      <c r="Q6" s="36" t="str">
        <f t="array" ref="Q6">INDEX('Referral Test Data CRLN'!$C$1:$P83,$E6,9)</f>
        <v>Positive</v>
      </c>
      <c r="R6" s="37" t="str">
        <f t="array" ref="R6">IF(OR($E6+1&lt;$E7, AND(ISBLANK($E7), ($E6-1)&lt;COUNT(#REF!))), INDEX('Referral Test Data CRLN'!$C$1:$P83,$E6+1,7), IFERROR(0/0,""))
</f>
        <v>PCR</v>
      </c>
      <c r="S6" s="37" t="str">
        <f t="array" ref="S6">IF(OR($E6+1&lt;$E7, AND(ISBLANK($E7), ($E6-1)&lt;COUNT(#REF!))), INDEX('Referral Test Data CRLN'!$C$1:$P83,$E6+1,9),IFERROR(0/0,""))</f>
        <v>Positive</v>
      </c>
      <c r="T6" s="38" t="str">
        <f t="array" ref="T6">IF(OR($E6+2&lt;$E7, AND(ISBLANK($E7), ($E6-1)&lt;COUNT(#REF!))), INDEX('Referral Test Data CRLN'!$C$1:$P83,$E6+2,7),IFERROR(0/0,""))</f>
        <v/>
      </c>
      <c r="U6" s="38" t="str">
        <f t="array" ref="U6">IF(OR($E6+2&lt;$E7, AND(ISBLANK($E7), ($E6-1)&lt;COUNT(#REF!))), INDEX('Referral Test Data CRLN'!$C$1:$P83,$E6+2,9),IFERROR(0/0,""))</f>
        <v/>
      </c>
      <c r="V6" s="39">
        <v>5.0</v>
      </c>
      <c r="W6" s="27"/>
      <c r="X6" s="40" t="b">
        <v>1</v>
      </c>
      <c r="Y6" s="41" t="b">
        <v>1</v>
      </c>
      <c r="Z6" s="39" t="s">
        <v>38</v>
      </c>
      <c r="AA6" s="41" t="s">
        <v>39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>
      <c r="A7" s="9"/>
      <c r="B7" s="9"/>
      <c r="C7" s="26"/>
      <c r="D7" s="26" t="str">
        <f>IFERROR(__xludf.DUMMYFUNCTION("""COMPUTED_VALUE"""),"FLMP652238")</f>
        <v>FLMP652238</v>
      </c>
      <c r="E7" s="12">
        <f t="array" ref="E7">IFERROR(
  MATCH(D7, INDIRECT("'Referral Test Data CRLN'!D" &amp; E6 + 1 &amp; ":D"), 0) + E6, 
  MATCH(D7, 'Referral Test Data CRLN'!D7:D83, 0)
)</f>
        <v>8</v>
      </c>
      <c r="F7" s="12">
        <f>IF(ISBLANK(E8),COUNTA('Referral Test Data CRLN'!D$2:D83)-SUM(F$2:F6),E8-E7)</f>
        <v>2</v>
      </c>
      <c r="G7" s="12">
        <f>IFERROR(VLOOKUP(D7,'ALL Pos and Incl IMPORT'!Q$2:U83,5,FALSE),0)</f>
        <v>1</v>
      </c>
      <c r="H7" s="13"/>
      <c r="I7" s="21" t="str">
        <f t="array" ref="I7">INDEX('Referral Test Data CRLN'!$C$1:$Q83,$E7,15)</f>
        <v>FLB6845</v>
      </c>
      <c r="J7" s="15" t="str">
        <f>VLOOKUP(I7,'Pos and Incl IMPORT'!B$2:U$83,20,FALSE)</f>
        <v>POOL</v>
      </c>
      <c r="K7" s="42" t="str">
        <f>IFERROR(__xludf.DUMMYFUNCTION("VLOOKUP(I7,IMPORTRANGE('ALL Pos and Incl IMPORT'!$A$2,""ALL Tube Results!A2:F""),6,FALSE)"),"Positive")</f>
        <v>Positive</v>
      </c>
      <c r="L7" s="43">
        <f>IFERROR(__xludf.DUMMYFUNCTION("VLOOKUP(I7,IMPORTRANGE('ALL Pos and Incl IMPORT'!$A$2,""ALL Tube Results!A2:F""),3,FALSE)"),44563.0)</f>
        <v>44563</v>
      </c>
      <c r="M7" s="18">
        <f t="array" ref="M7">INDEX('Referral Test Data CRLN'!$C$1:$P83,$E7,3)</f>
        <v>44564</v>
      </c>
      <c r="N7" s="9" t="b">
        <f t="shared" si="1"/>
        <v>0</v>
      </c>
      <c r="O7" s="44" t="str">
        <f>Q7</f>
        <v>Negative</v>
      </c>
      <c r="P7" s="44" t="str">
        <f t="array" ref="P7">INDEX('Referral Test Data CRLN'!$C$1:$P83,$E7,7)</f>
        <v>Antigen</v>
      </c>
      <c r="Q7" s="44" t="str">
        <f t="array" ref="Q7">INDEX('Referral Test Data CRLN'!$C$1:$P83,$E7,9)</f>
        <v>Negative</v>
      </c>
      <c r="R7" s="44" t="str">
        <f t="array" ref="R7">IF(OR($E7+1&lt;$E8, AND(ISBLANK($E8), ($E7-1)&lt;COUNT(#REF!))), INDEX('Referral Test Data CRLN'!$C$1:$P83,$E7+1,7), IFERROR(0/0,""))
</f>
        <v>PCR</v>
      </c>
      <c r="S7" s="44" t="str">
        <f t="array" ref="S7">IF(OR($E7+1&lt;$E8, AND(ISBLANK($E8), ($E7-1)&lt;COUNT(#REF!))), INDEX('Referral Test Data CRLN'!$C$1:$P83,$E7+1,9),IFERROR(0/0,""))</f>
        <v>Negative</v>
      </c>
      <c r="T7" s="21" t="str">
        <f t="array" ref="T7">IF(OR($E7+2&lt;$E8, AND(ISBLANK($E8), ($E7-1)&lt;COUNT(#REF!))), INDEX('Referral Test Data CRLN'!$C$1:$P83,$E7+2,7),IFERROR(0/0,""))</f>
        <v/>
      </c>
      <c r="U7" s="21" t="str">
        <f t="array" ref="U7">IF(OR($E7+2&lt;$E8, AND(ISBLANK($E8), ($E7-1)&lt;COUNT(#REF!))), INDEX('Referral Test Data CRLN'!$C$1:$P83,$E7+2,9),IFERROR(0/0,""))</f>
        <v/>
      </c>
      <c r="V7" s="22">
        <v>6.0</v>
      </c>
      <c r="W7" s="9"/>
      <c r="X7" s="45" t="b">
        <v>1</v>
      </c>
      <c r="Z7" s="22"/>
      <c r="AA7" s="20" t="s">
        <v>39</v>
      </c>
    </row>
    <row r="8">
      <c r="A8" s="9"/>
      <c r="B8" s="9"/>
      <c r="C8" s="26"/>
      <c r="D8" s="26" t="str">
        <f>IFERROR(__xludf.DUMMYFUNCTION("""COMPUTED_VALUE"""),"FLMP473007")</f>
        <v>FLMP473007</v>
      </c>
      <c r="E8" s="12">
        <f t="array" ref="E8">IFERROR(
  MATCH(D8, INDIRECT("'Referral Test Data CRLN'!D" &amp; E7 + 1 &amp; ":D"), 0) + E7, 
  MATCH(D8, 'Referral Test Data CRLN'!D8:D83, 0)
)</f>
        <v>10</v>
      </c>
      <c r="F8" s="12">
        <f>IF(ISBLANK(E9),COUNTA('Referral Test Data CRLN'!D$2:D83)-SUM(F$2:F7),E9-E8)</f>
        <v>2</v>
      </c>
      <c r="G8" s="12">
        <f>IFERROR(VLOOKUP(D8,'ALL Pos and Incl IMPORT'!Q$2:U83,5,FALSE),0)</f>
        <v>0</v>
      </c>
      <c r="H8" s="13"/>
      <c r="I8" s="21" t="str">
        <f t="array" ref="I8">INDEX('Referral Test Data CRLN'!$C$1:$Q83,$E8,15)</f>
        <v>FLB6845</v>
      </c>
      <c r="J8" s="15" t="str">
        <f>VLOOKUP(I8,'Pos and Incl IMPORT'!B$2:U$83,20,FALSE)</f>
        <v>POOL</v>
      </c>
      <c r="K8" s="42" t="str">
        <f>IFERROR(__xludf.DUMMYFUNCTION("VLOOKUP(I8,IMPORTRANGE('ALL Pos and Incl IMPORT'!$A$2,""ALL Tube Results!A2:F""),6,FALSE)"),"Positive")</f>
        <v>Positive</v>
      </c>
      <c r="L8" s="43">
        <f>IFERROR(__xludf.DUMMYFUNCTION("VLOOKUP(I8,IMPORTRANGE('ALL Pos and Incl IMPORT'!$A$2,""ALL Tube Results!A2:F""),3,FALSE)"),44563.0)</f>
        <v>44563</v>
      </c>
      <c r="M8" s="18">
        <f t="array" ref="M8">INDEX('Referral Test Data CRLN'!$C$1:$P83,$E8,3)</f>
        <v>44564</v>
      </c>
      <c r="N8" s="9" t="b">
        <f t="shared" si="1"/>
        <v>0</v>
      </c>
      <c r="O8" s="46" t="s">
        <v>37</v>
      </c>
      <c r="P8" s="46" t="str">
        <f t="array" ref="P8">INDEX('Referral Test Data CRLN'!$C$1:$P83,$E8,7)</f>
        <v>Antigen</v>
      </c>
      <c r="Q8" s="46" t="str">
        <f t="array" ref="Q8">INDEX('Referral Test Data CRLN'!$C$1:$P83,$E8,9)</f>
        <v>Positive</v>
      </c>
      <c r="R8" s="46" t="str">
        <f t="array" ref="R8">IF(OR($E8+1&lt;$E9, AND(ISBLANK($E9), ($E8-1)&lt;COUNT(#REF!))), INDEX('Referral Test Data CRLN'!$C$1:$P83,$E8+1,7), IFERROR(0/0,""))
</f>
        <v>PCR</v>
      </c>
      <c r="S8" s="46" t="str">
        <f t="array" ref="S8">IF(OR($E8+1&lt;$E9, AND(ISBLANK($E9), ($E8-1)&lt;COUNT(#REF!))), INDEX('Referral Test Data CRLN'!$C$1:$P83,$E8+1,9),IFERROR(0/0,""))</f>
        <v>Positive</v>
      </c>
      <c r="T8" s="21" t="str">
        <f t="array" ref="T8">IF(OR($E8+2&lt;$E9, AND(ISBLANK($E9), ($E8-1)&lt;COUNT(#REF!))), INDEX('Referral Test Data CRLN'!$C$1:$P83,$E8+2,7),IFERROR(0/0,""))</f>
        <v/>
      </c>
      <c r="U8" s="21" t="str">
        <f t="array" ref="U8">IF(OR($E8+2&lt;$E9, AND(ISBLANK($E9), ($E8-1)&lt;COUNT(#REF!))), INDEX('Referral Test Data CRLN'!$C$1:$P83,$E8+2,9),IFERROR(0/0,""))</f>
        <v/>
      </c>
      <c r="V8" s="22">
        <v>7.0</v>
      </c>
      <c r="W8" s="9"/>
      <c r="X8" s="45" t="b">
        <v>1</v>
      </c>
      <c r="Z8" s="22"/>
      <c r="AA8" s="20" t="s">
        <v>39</v>
      </c>
    </row>
    <row r="9">
      <c r="A9" s="27"/>
      <c r="B9" s="27"/>
      <c r="C9" s="28"/>
      <c r="D9" s="28" t="str">
        <f>IFERROR(__xludf.DUMMYFUNCTION("""COMPUTED_VALUE"""),"FLMP776278")</f>
        <v>FLMP776278</v>
      </c>
      <c r="E9" s="29">
        <f t="array" ref="E9">IFERROR(
  MATCH(D9, INDIRECT("'Referral Test Data CRLN'!D" &amp; E8 + 1 &amp; ":D"), 0) + E8, 
  MATCH(D9, 'Referral Test Data CRLN'!D9:D83, 0)
)</f>
        <v>12</v>
      </c>
      <c r="F9" s="29">
        <f>IF(ISBLANK(E10),COUNTA('Referral Test Data CRLN'!D$2:D83)-SUM(F$2:F8),E10-E9)</f>
        <v>3</v>
      </c>
      <c r="G9" s="29">
        <f>IFERROR(VLOOKUP(D9,'ALL Pos and Incl IMPORT'!Q$2:U83,5,FALSE),0)</f>
        <v>3</v>
      </c>
      <c r="H9" s="30"/>
      <c r="I9" s="31" t="str">
        <f t="array" ref="I9">INDEX('Referral Test Data CRLN'!$C$1:$Q83,$E9,15)</f>
        <v>FLT1433</v>
      </c>
      <c r="J9" s="32" t="str">
        <f>VLOOKUP(I9,'Pos and Incl IMPORT'!B$2:U$83,20,FALSE)</f>
        <v>POOL</v>
      </c>
      <c r="K9" s="33" t="str">
        <f>IFERROR(__xludf.DUMMYFUNCTION("VLOOKUP(I9,IMPORTRANGE('ALL Pos and Incl IMPORT'!$A$2,""ALL Tube Results!A2:F""),6,FALSE)"),"Positive")</f>
        <v>Positive</v>
      </c>
      <c r="L9" s="34">
        <f>IFERROR(__xludf.DUMMYFUNCTION("VLOOKUP(I9,IMPORTRANGE('ALL Pos and Incl IMPORT'!$A$2,""ALL Tube Results!A2:F""),3,FALSE)"),44563.0)</f>
        <v>44563</v>
      </c>
      <c r="M9" s="35">
        <f t="array" ref="M9">INDEX('Referral Test Data CRLN'!$C$1:$P83,$E9,3)</f>
        <v>44565</v>
      </c>
      <c r="N9" s="27" t="b">
        <f t="shared" si="1"/>
        <v>0</v>
      </c>
      <c r="O9" s="36" t="s">
        <v>37</v>
      </c>
      <c r="P9" s="36" t="str">
        <f t="array" ref="P9">INDEX('Referral Test Data CRLN'!$C$1:$P83,$E9,7)</f>
        <v>Antigen</v>
      </c>
      <c r="Q9" s="36" t="str">
        <f t="array" ref="Q9">INDEX('Referral Test Data CRLN'!$C$1:$P83,$E9,9)</f>
        <v>Positive</v>
      </c>
      <c r="R9" s="36" t="str">
        <f t="array" ref="R9">IF(OR($E9+1&lt;$E10, AND(ISBLANK($E10), ($E9-1)&lt;COUNT(#REF!))), INDEX('Referral Test Data CRLN'!$C$1:$P83,$E9+1,7), IFERROR(0/0,""))
</f>
        <v>PCR</v>
      </c>
      <c r="S9" s="36" t="str">
        <f t="array" ref="S9">IF(OR($E9+1&lt;$E10, AND(ISBLANK($E10), ($E9-1)&lt;COUNT(#REF!))), INDEX('Referral Test Data CRLN'!$C$1:$P83,$E9+1,9),IFERROR(0/0,""))</f>
        <v>Positive</v>
      </c>
      <c r="T9" s="31"/>
      <c r="U9" s="31"/>
      <c r="V9" s="39">
        <v>8.0</v>
      </c>
      <c r="W9" s="27"/>
      <c r="X9" s="40" t="b">
        <v>1</v>
      </c>
      <c r="Y9" s="39" t="s">
        <v>40</v>
      </c>
      <c r="Z9" s="47"/>
      <c r="AA9" s="41" t="s">
        <v>41</v>
      </c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>
      <c r="A10" s="9"/>
      <c r="B10" s="9"/>
      <c r="C10" s="26"/>
      <c r="D10" s="26" t="str">
        <f>IFERROR(__xludf.DUMMYFUNCTION("""COMPUTED_VALUE"""),"FLMP828735")</f>
        <v>FLMP828735</v>
      </c>
      <c r="E10" s="12">
        <f t="array" ref="E10">IFERROR(
  MATCH(D10, INDIRECT("'Referral Test Data CRLN'!D" &amp; E9 + 1 &amp; ":D"), 0) + E9, 
  MATCH(D10, 'Referral Test Data CRLN'!D10:D83, 0)
)</f>
        <v>15</v>
      </c>
      <c r="F10" s="12">
        <f>IF(ISBLANK(E11),COUNTA('Referral Test Data CRLN'!D$2:D83)-SUM(F$2:F9),E11-E10)</f>
        <v>4</v>
      </c>
      <c r="G10" s="12">
        <f>IFERROR(VLOOKUP(D10,'ALL Pos and Incl IMPORT'!Q$2:U83,5,FALSE),0)</f>
        <v>3</v>
      </c>
      <c r="H10" s="13"/>
      <c r="I10" s="21" t="str">
        <f t="array" ref="I10">INDEX('Referral Test Data CRLN'!$C$1:$Q83,$E10,15)</f>
        <v>FLT1433</v>
      </c>
      <c r="J10" s="15" t="str">
        <f>VLOOKUP(I10,'Pos and Incl IMPORT'!B$2:U$83,20,FALSE)</f>
        <v>POOL</v>
      </c>
      <c r="K10" s="42" t="str">
        <f>IFERROR(__xludf.DUMMYFUNCTION("VLOOKUP(I10,IMPORTRANGE('ALL Pos and Incl IMPORT'!$A$2,""ALL Tube Results!A2:F""),6,FALSE)"),"Positive")</f>
        <v>Positive</v>
      </c>
      <c r="L10" s="43">
        <f>IFERROR(__xludf.DUMMYFUNCTION("VLOOKUP(I10,IMPORTRANGE('ALL Pos and Incl IMPORT'!$A$2,""ALL Tube Results!A2:F""),3,FALSE)"),44563.0)</f>
        <v>44563</v>
      </c>
      <c r="M10" s="18">
        <f t="array" ref="M10">INDEX('Referral Test Data CRLN'!$C$1:$P83,$E10,3)</f>
        <v>44565</v>
      </c>
      <c r="N10" s="9" t="b">
        <f t="shared" si="1"/>
        <v>0</v>
      </c>
      <c r="O10" s="46" t="s">
        <v>37</v>
      </c>
      <c r="P10" s="46" t="str">
        <f t="array" ref="P10">INDEX('Referral Test Data CRLN'!$C$1:$P83,$E10,7)</f>
        <v>Antigen</v>
      </c>
      <c r="Q10" s="46" t="str">
        <f t="array" ref="Q10">INDEX('Referral Test Data CRLN'!$C$1:$P83,$E10,9)</f>
        <v>Positive</v>
      </c>
      <c r="R10" s="46" t="str">
        <f t="array" ref="R10">IF(OR($E10+1&lt;$E11, AND(ISBLANK($E11), ($E10-1)&lt;COUNT(#REF!))), INDEX('Referral Test Data CRLN'!$C$1:$P83,$E10+1,7), IFERROR(0/0,""))
</f>
        <v>PCR</v>
      </c>
      <c r="S10" s="46" t="str">
        <f t="array" ref="S10">IF(OR($E10+1&lt;$E11, AND(ISBLANK($E11), ($E10-1)&lt;COUNT(#REF!))), INDEX('Referral Test Data CRLN'!$C$1:$P83,$E10+1,9),IFERROR(0/0,""))</f>
        <v>Positive</v>
      </c>
      <c r="V10" s="22">
        <v>9.0</v>
      </c>
      <c r="W10" s="9"/>
      <c r="X10" s="45" t="b">
        <v>1</v>
      </c>
      <c r="Y10" s="22" t="s">
        <v>40</v>
      </c>
      <c r="Z10" s="48"/>
      <c r="AA10" s="20" t="s">
        <v>42</v>
      </c>
    </row>
    <row r="11">
      <c r="A11" s="9"/>
      <c r="B11" s="9"/>
      <c r="C11" s="26"/>
      <c r="D11" s="26" t="str">
        <f>IFERROR(__xludf.DUMMYFUNCTION("""COMPUTED_VALUE"""),"FLMP302189")</f>
        <v>FLMP302189</v>
      </c>
      <c r="E11" s="12">
        <f t="array" ref="E11">IFERROR(
  MATCH(D11, INDIRECT("'Referral Test Data CRLN'!D" &amp; E10 + 1 &amp; ":D"), 0) + E10, 
  MATCH(D11, 'Referral Test Data CRLN'!D11:D83, 0)
)</f>
        <v>19</v>
      </c>
      <c r="F11" s="12">
        <f>IF(ISBLANK(E12),COUNTA('Referral Test Data CRLN'!D$2:D83)-SUM(F$2:F10),E12-E11)</f>
        <v>3</v>
      </c>
      <c r="G11" s="12">
        <f>IFERROR(VLOOKUP(D11,'ALL Pos and Incl IMPORT'!Q$2:U83,5,FALSE),0)</f>
        <v>4</v>
      </c>
      <c r="H11" s="13"/>
      <c r="I11" s="21" t="str">
        <f t="array" ref="I11">INDEX('Referral Test Data CRLN'!$C$1:$Q83,$E11,15)</f>
        <v>FLT1433</v>
      </c>
      <c r="J11" s="15" t="str">
        <f>VLOOKUP(I11,'Pos and Incl IMPORT'!B$2:U$83,20,FALSE)</f>
        <v>POOL</v>
      </c>
      <c r="K11" s="42" t="str">
        <f>IFERROR(__xludf.DUMMYFUNCTION("VLOOKUP(I11,IMPORTRANGE('ALL Pos and Incl IMPORT'!$A$2,""ALL Tube Results!A2:F""),6,FALSE)"),"Positive")</f>
        <v>Positive</v>
      </c>
      <c r="L11" s="43">
        <f>IFERROR(__xludf.DUMMYFUNCTION("VLOOKUP(I11,IMPORTRANGE('ALL Pos and Incl IMPORT'!$A$2,""ALL Tube Results!A2:F""),3,FALSE)"),44563.0)</f>
        <v>44563</v>
      </c>
      <c r="M11" s="18">
        <f t="array" ref="M11">INDEX('Referral Test Data CRLN'!$C$1:$P83,$E11,3)</f>
        <v>44563</v>
      </c>
      <c r="N11" s="9" t="b">
        <f t="shared" si="1"/>
        <v>1</v>
      </c>
      <c r="O11" s="46" t="s">
        <v>37</v>
      </c>
      <c r="P11" s="49" t="str">
        <f t="array" ref="P11">INDEX('Referral Test Data CRLN'!$C$1:$P83,$E11,7)</f>
        <v>Antigen</v>
      </c>
      <c r="Q11" s="49" t="str">
        <f t="array" ref="Q11">INDEX('Referral Test Data CRLN'!$C$1:$P83,$E11,9)</f>
        <v>Negative</v>
      </c>
      <c r="R11" s="46" t="str">
        <f t="array" ref="R11">IF(OR($E11+1&lt;$E12, AND(ISBLANK($E12), ($E11-1)&lt;COUNT(#REF!))), INDEX('Referral Test Data CRLN'!$C$1:$P83,$E11+1,7), IFERROR(0/0,""))
</f>
        <v>PCR</v>
      </c>
      <c r="S11" s="46" t="str">
        <f t="array" ref="S11">IF(OR($E11+1&lt;$E12, AND(ISBLANK($E12), ($E11-1)&lt;COUNT(#REF!))), INDEX('Referral Test Data CRLN'!$C$1:$P83,$E11+1,9),IFERROR(0/0,""))</f>
        <v>Positive</v>
      </c>
      <c r="V11" s="22">
        <v>10.0</v>
      </c>
      <c r="W11" s="9"/>
      <c r="X11" s="45" t="b">
        <v>1</v>
      </c>
      <c r="Y11" s="20" t="b">
        <v>1</v>
      </c>
      <c r="Z11" s="50" t="s">
        <v>43</v>
      </c>
      <c r="AA11" s="20" t="s">
        <v>44</v>
      </c>
    </row>
    <row r="12">
      <c r="A12" s="9"/>
      <c r="B12" s="9"/>
      <c r="C12" s="26"/>
      <c r="D12" s="26" t="str">
        <f>IFERROR(__xludf.DUMMYFUNCTION("""COMPUTED_VALUE"""),"FLMP857562")</f>
        <v>FLMP857562</v>
      </c>
      <c r="E12" s="12">
        <f t="array" ref="E12">IFERROR(
  MATCH(D12, INDIRECT("'Referral Test Data CRLN'!D" &amp; E11 + 1 &amp; ":D"), 0) + E11, 
  MATCH(D12, 'Referral Test Data CRLN'!D12:D83, 0)
)</f>
        <v>22</v>
      </c>
      <c r="F12" s="12">
        <f>IF(ISBLANK(E13),COUNTA('Referral Test Data CRLN'!D$2:D83)-SUM(F$2:F11),E13-E12)</f>
        <v>3</v>
      </c>
      <c r="G12" s="12">
        <f>IFERROR(VLOOKUP(D12,'ALL Pos and Incl IMPORT'!Q$2:U83,5,FALSE),0)</f>
        <v>2</v>
      </c>
      <c r="H12" s="13"/>
      <c r="I12" s="21" t="str">
        <f t="array" ref="I12">INDEX('Referral Test Data CRLN'!$C$1:$Q83,$E12,15)</f>
        <v>FLT1433</v>
      </c>
      <c r="J12" s="15" t="str">
        <f>VLOOKUP(I12,'Pos and Incl IMPORT'!B$2:U$83,20,FALSE)</f>
        <v>POOL</v>
      </c>
      <c r="K12" s="42" t="str">
        <f>IFERROR(__xludf.DUMMYFUNCTION("VLOOKUP(I12,IMPORTRANGE('ALL Pos and Incl IMPORT'!$A$2,""ALL Tube Results!A2:F""),6,FALSE)"),"Positive")</f>
        <v>Positive</v>
      </c>
      <c r="L12" s="43">
        <f>IFERROR(__xludf.DUMMYFUNCTION("VLOOKUP(I12,IMPORTRANGE('ALL Pos and Incl IMPORT'!$A$2,""ALL Tube Results!A2:F""),3,FALSE)"),44563.0)</f>
        <v>44563</v>
      </c>
      <c r="M12" s="18">
        <f t="array" ref="M12">INDEX('Referral Test Data CRLN'!$C$1:$P83,$E12,3)</f>
        <v>44563</v>
      </c>
      <c r="N12" s="9" t="b">
        <f t="shared" si="1"/>
        <v>1</v>
      </c>
      <c r="O12" s="46" t="s">
        <v>37</v>
      </c>
      <c r="P12" s="49" t="str">
        <f t="array" ref="P12">INDEX('Referral Test Data CRLN'!$C$1:$P83,$E12,7)</f>
        <v>Antigen</v>
      </c>
      <c r="Q12" s="49" t="str">
        <f t="array" ref="Q12">INDEX('Referral Test Data CRLN'!$C$1:$P83,$E12,9)</f>
        <v>Negative</v>
      </c>
      <c r="R12" s="46" t="str">
        <f t="array" ref="R12">IF(OR($E12+1&lt;$E13, AND(ISBLANK($E13), ($E12-1)&lt;COUNT(#REF!))), INDEX('Referral Test Data CRLN'!$C$1:$P83,$E12+1,7), IFERROR(0/0,""))
</f>
        <v>PCR</v>
      </c>
      <c r="S12" s="46" t="str">
        <f t="array" ref="S12">IF(OR($E12+1&lt;$E13, AND(ISBLANK($E13), ($E12-1)&lt;COUNT(#REF!))), INDEX('Referral Test Data CRLN'!$C$1:$P83,$E12+1,9),IFERROR(0/0,""))</f>
        <v>Positive</v>
      </c>
      <c r="V12" s="48">
        <v>11.0</v>
      </c>
      <c r="W12" s="9"/>
      <c r="X12" s="45" t="b">
        <v>1</v>
      </c>
      <c r="Y12" s="20" t="b">
        <v>1</v>
      </c>
      <c r="Z12" s="50" t="s">
        <v>43</v>
      </c>
      <c r="AA12" s="20" t="s">
        <v>44</v>
      </c>
    </row>
    <row r="13">
      <c r="A13" s="27"/>
      <c r="B13" s="27"/>
      <c r="C13" s="28"/>
      <c r="D13" s="28" t="str">
        <f>IFERROR(__xludf.DUMMYFUNCTION("""COMPUTED_VALUE"""),"FLMP147333")</f>
        <v>FLMP147333</v>
      </c>
      <c r="E13" s="29">
        <f t="array" ref="E13">IFERROR(
  MATCH(D13, INDIRECT("'Referral Test Data CRLN'!D" &amp; E12 + 1 &amp; ":D"), 0) + E12, 
  MATCH(D13, 'Referral Test Data CRLN'!D13:D83, 0)
)</f>
        <v>25</v>
      </c>
      <c r="F13" s="29">
        <f>IF(ISBLANK(E14),COUNTA('Referral Test Data CRLN'!D$2:D83)-SUM(F$2:F12),E14-E13)</f>
        <v>6</v>
      </c>
      <c r="G13" s="29">
        <f>IFERROR(VLOOKUP(D13,'ALL Pos and Incl IMPORT'!Q$2:U83,5,FALSE),0)</f>
        <v>2</v>
      </c>
      <c r="H13" s="30"/>
      <c r="I13" s="31" t="str">
        <f t="array" ref="I13">INDEX('Referral Test Data CRLN'!$C$1:$Q83,$E13,15)</f>
        <v>FLT1465</v>
      </c>
      <c r="J13" s="32" t="str">
        <f>VLOOKUP(I13,'Pos and Incl IMPORT'!B$2:U$83,20,FALSE)</f>
        <v>INDIV</v>
      </c>
      <c r="K13" s="33" t="str">
        <f>IFERROR(__xludf.DUMMYFUNCTION("VLOOKUP(I13,IMPORTRANGE('ALL Pos and Incl IMPORT'!$A$2,""ALL Tube Results!A2:F""),6,FALSE)"),"Positive")</f>
        <v>Positive</v>
      </c>
      <c r="L13" s="34">
        <f>IFERROR(__xludf.DUMMYFUNCTION("VLOOKUP(I13,IMPORTRANGE('ALL Pos and Incl IMPORT'!$A$2,""ALL Tube Results!A2:F""),3,FALSE)"),44571.0)</f>
        <v>44571</v>
      </c>
      <c r="M13" s="51">
        <v>44570.0</v>
      </c>
      <c r="N13" s="27" t="b">
        <f t="shared" si="1"/>
        <v>0</v>
      </c>
      <c r="O13" s="36" t="s">
        <v>37</v>
      </c>
      <c r="P13" s="31" t="s">
        <v>45</v>
      </c>
      <c r="Q13" s="31" t="s">
        <v>37</v>
      </c>
      <c r="R13" s="31" t="s">
        <v>46</v>
      </c>
      <c r="S13" s="31" t="s">
        <v>37</v>
      </c>
      <c r="T13" s="31"/>
      <c r="U13" s="31"/>
      <c r="V13" s="47">
        <v>12.0</v>
      </c>
      <c r="W13" s="27"/>
      <c r="X13" s="40" t="b">
        <v>1</v>
      </c>
      <c r="Y13" s="52" t="b">
        <f>AND(OR(EXACT("Antigen",P13),EXACT("Antigen",R13),EXACT("Antigen",T13)),EXACT(J13,"INDIV"))</f>
        <v>1</v>
      </c>
      <c r="Z13" s="39" t="s">
        <v>38</v>
      </c>
      <c r="AA13" s="41" t="s">
        <v>47</v>
      </c>
      <c r="AB13" s="31"/>
      <c r="AC13" s="31"/>
      <c r="AD13" s="31"/>
      <c r="AE13" s="31"/>
      <c r="AF13" s="31"/>
      <c r="AG13" s="31"/>
      <c r="AH13" s="31"/>
      <c r="AI13" s="31"/>
      <c r="AJ13" s="31"/>
      <c r="AK13" s="31"/>
    </row>
    <row r="14">
      <c r="A14" s="9"/>
      <c r="B14" s="9"/>
      <c r="C14" s="26"/>
      <c r="D14" s="26" t="str">
        <f>IFERROR(__xludf.DUMMYFUNCTION("""COMPUTED_VALUE"""),"FLMP601970")</f>
        <v>FLMP601970</v>
      </c>
      <c r="E14" s="12">
        <f t="array" ref="E14">IFERROR(
  MATCH(D14, INDIRECT("'Referral Test Data CRLN'!D" &amp; E13 + 1 &amp; ":D"), 0) + E13, 
  MATCH(D14, 'Referral Test Data CRLN'!D14:D83, 0)
)</f>
        <v>31</v>
      </c>
      <c r="F14" s="12">
        <f>IF(ISBLANK(E15),COUNTA('Referral Test Data CRLN'!D$2:D83)-SUM(F$2:F13),E15-E14)</f>
        <v>1</v>
      </c>
      <c r="G14" s="12">
        <f>IFERROR(VLOOKUP(D14,'ALL Pos and Incl IMPORT'!Q$2:U83,5,FALSE),0)</f>
        <v>1</v>
      </c>
      <c r="H14" s="13"/>
      <c r="I14" s="21" t="str">
        <f t="array" ref="I14">INDEX('Referral Test Data CRLN'!$C$1:$Q83,$E14,15)</f>
        <v>FLT1129</v>
      </c>
      <c r="J14" s="15" t="str">
        <f>VLOOKUP(I14,'Pos and Incl IMPORT'!B$2:U$83,20,FALSE)</f>
        <v>INDIV</v>
      </c>
      <c r="K14" s="42" t="str">
        <f>IFERROR(__xludf.DUMMYFUNCTION("VLOOKUP(I14,IMPORTRANGE('ALL Pos and Incl IMPORT'!$A$2,""ALL Tube Results!A2:F""),6,FALSE)"),"Positive")</f>
        <v>Positive</v>
      </c>
      <c r="L14" s="43">
        <f>IFERROR(__xludf.DUMMYFUNCTION("VLOOKUP(I14,IMPORTRANGE('ALL Pos and Incl IMPORT'!$A$2,""ALL Tube Results!A2:F""),3,FALSE)"),44578.0)</f>
        <v>44578</v>
      </c>
      <c r="M14" s="18">
        <f t="array" ref="M14">INDEX('Referral Test Data CRLN'!$C$1:$P83,$E14,3)</f>
        <v>44579</v>
      </c>
      <c r="N14" s="9" t="b">
        <f t="shared" si="1"/>
        <v>0</v>
      </c>
      <c r="O14" s="46" t="str">
        <f>Q14</f>
        <v>Positive</v>
      </c>
      <c r="P14" s="46" t="str">
        <f t="array" ref="P14">INDEX('Referral Test Data CRLN'!$C$1:$P83,$E14,7)</f>
        <v>Antigen</v>
      </c>
      <c r="Q14" s="46" t="str">
        <f t="array" ref="Q14">INDEX('Referral Test Data CRLN'!$C$1:$P83,$E14,9)</f>
        <v>Positive</v>
      </c>
      <c r="R14" s="21" t="str">
        <f t="array" ref="R14">IF(OR($E14+1&lt;$E15, AND(ISBLANK($E15), ($E14-1)&lt;COUNT(#REF!))), INDEX('Referral Test Data CRLN'!$C$1:$P83,$E14+1,7), IFERROR(0/0,""))
</f>
        <v/>
      </c>
      <c r="S14" s="21" t="str">
        <f t="array" ref="S14">IF(OR($E14+1&lt;$E15, AND(ISBLANK($E15), ($E14-1)&lt;COUNT(#REF!))), INDEX('Referral Test Data CRLN'!$C$1:$P83,$E14+1,9),IFERROR(0/0,""))</f>
        <v/>
      </c>
      <c r="T14" s="21" t="str">
        <f t="array" ref="T14">IF(OR($E14+2&lt;$E15, AND(ISBLANK($E15), ($E14-1)&lt;COUNT(#REF!))), INDEX('Referral Test Data CRLN'!$C$1:$P83,$E14+2,7),IFERROR(0/0,""))</f>
        <v/>
      </c>
      <c r="U14" s="21" t="str">
        <f t="array" ref="U14">IF(OR($E14+2&lt;$E15, AND(ISBLANK($E15), ($E14-1)&lt;COUNT(#REF!))), INDEX('Referral Test Data CRLN'!$C$1:$P83,$E14+2,9),IFERROR(0/0,""))</f>
        <v/>
      </c>
      <c r="V14" s="48">
        <v>13.0</v>
      </c>
      <c r="W14" s="9"/>
      <c r="X14" s="45" t="b">
        <v>1</v>
      </c>
      <c r="Y14" s="22" t="s">
        <v>40</v>
      </c>
      <c r="Z14" s="48"/>
      <c r="AA14" s="20" t="s">
        <v>48</v>
      </c>
    </row>
    <row r="15">
      <c r="A15" s="9"/>
      <c r="B15" s="9"/>
      <c r="C15" s="26"/>
      <c r="D15" s="26" t="str">
        <f>IFERROR(__xludf.DUMMYFUNCTION("""COMPUTED_VALUE"""),"FLMP330127")</f>
        <v>FLMP330127</v>
      </c>
      <c r="E15" s="12">
        <f t="array" ref="E15">IFERROR(
  MATCH(D15, INDIRECT("'Referral Test Data CRLN'!D" &amp; E14 + 1 &amp; ":D"), 0) + E14, 
  MATCH(D15, 'Referral Test Data CRLN'!D15:D83, 0)
)</f>
        <v>32</v>
      </c>
      <c r="F15" s="12">
        <f>IF(ISBLANK(E16),COUNTA('Referral Test Data CRLN'!D$2:D83)-SUM(F$2:F14),E16-E15)</f>
        <v>4</v>
      </c>
      <c r="G15" s="12">
        <f>IFERROR(VLOOKUP(D15,'ALL Pos and Incl IMPORT'!Q$2:U83,5,FALSE),0)</f>
        <v>2</v>
      </c>
      <c r="H15" s="13"/>
      <c r="I15" s="21" t="str">
        <f t="array" ref="I15">INDEX('Referral Test Data CRLN'!$C$1:$Q83,$E15,15)</f>
        <v>FLT1400</v>
      </c>
      <c r="J15" s="15" t="str">
        <f>VLOOKUP(I15,'Pos and Incl IMPORT'!B$2:U$83,20,FALSE)</f>
        <v>INDIV</v>
      </c>
      <c r="K15" s="42" t="str">
        <f>IFERROR(__xludf.DUMMYFUNCTION("VLOOKUP(I15,IMPORTRANGE('ALL Pos and Incl IMPORT'!$A$2,""ALL Tube Results!A2:F""),6,FALSE)"),"Positive")</f>
        <v>Positive</v>
      </c>
      <c r="L15" s="43">
        <f>IFERROR(__xludf.DUMMYFUNCTION("VLOOKUP(I15,IMPORTRANGE('ALL Pos and Incl IMPORT'!$A$2,""ALL Tube Results!A2:F""),3,FALSE)"),44571.0)</f>
        <v>44571</v>
      </c>
      <c r="M15" s="53">
        <v>44568.0</v>
      </c>
      <c r="N15" s="9" t="b">
        <f t="shared" si="1"/>
        <v>0</v>
      </c>
      <c r="O15" s="46" t="str">
        <f>S15</f>
        <v>Positive</v>
      </c>
      <c r="P15" s="21" t="s">
        <v>45</v>
      </c>
      <c r="Q15" s="21" t="s">
        <v>37</v>
      </c>
      <c r="R15" s="21" t="s">
        <v>46</v>
      </c>
      <c r="S15" s="21" t="s">
        <v>37</v>
      </c>
      <c r="V15" s="48">
        <v>14.0</v>
      </c>
      <c r="W15" s="9"/>
      <c r="X15" s="45" t="b">
        <v>1</v>
      </c>
      <c r="Y15" s="54" t="b">
        <f t="shared" ref="Y15:Y18" si="2">AND(OR(EXACT("Antigen",P15),EXACT("Antigen",R15),EXACT("Antigen",T15)),EXACT(J15,"INDIV"))</f>
        <v>1</v>
      </c>
      <c r="Z15" s="22" t="s">
        <v>38</v>
      </c>
      <c r="AA15" s="20" t="s">
        <v>47</v>
      </c>
    </row>
    <row r="16">
      <c r="A16" s="27"/>
      <c r="B16" s="27"/>
      <c r="C16" s="28"/>
      <c r="D16" s="28" t="str">
        <f>IFERROR(__xludf.DUMMYFUNCTION("""COMPUTED_VALUE"""),"FLMP969044")</f>
        <v>FLMP969044</v>
      </c>
      <c r="E16" s="29">
        <f t="array" ref="E16">IFERROR(
  MATCH(D16, INDIRECT("'Referral Test Data CRLN'!D" &amp; E15 + 1 &amp; ":D"), 0) + E15, 
  MATCH(D16, 'Referral Test Data CRLN'!D16:D83, 0)
)</f>
        <v>36</v>
      </c>
      <c r="F16" s="29">
        <f>IF(ISBLANK(E17),COUNTA('Referral Test Data CRLN'!D$2:D83)-SUM(F$2:F15),E17-E16)</f>
        <v>1</v>
      </c>
      <c r="G16" s="29">
        <f>IFERROR(VLOOKUP(D16,'ALL Pos and Incl IMPORT'!Q$2:U83,5,FALSE),0)</f>
        <v>0</v>
      </c>
      <c r="H16" s="30"/>
      <c r="I16" s="31" t="str">
        <f t="array" ref="I16">INDEX('Referral Test Data CRLN'!$C$1:$Q83,$E16,15)</f>
        <v>FLT1161</v>
      </c>
      <c r="J16" s="32" t="str">
        <f>VLOOKUP(I16,'Pos and Incl IMPORT'!B$2:U$83,20,FALSE)</f>
        <v>POOL</v>
      </c>
      <c r="K16" s="33" t="str">
        <f>IFERROR(__xludf.DUMMYFUNCTION("VLOOKUP(I16,IMPORTRANGE('ALL Pos and Incl IMPORT'!$A$2,""ALL Tube Results!A2:F""),6,FALSE)"),"Positive")</f>
        <v>Positive</v>
      </c>
      <c r="L16" s="34">
        <f>IFERROR(__xludf.DUMMYFUNCTION("VLOOKUP(I16,IMPORTRANGE('ALL Pos and Incl IMPORT'!$A$2,""ALL Tube Results!A2:F""),3,FALSE)"),44571.0)</f>
        <v>44571</v>
      </c>
      <c r="M16" s="35">
        <f t="array" ref="M16">INDEX('Referral Test Data CRLN'!$C$1:$P83,$E16,3)</f>
        <v>44573</v>
      </c>
      <c r="N16" s="27" t="b">
        <f t="shared" si="1"/>
        <v>0</v>
      </c>
      <c r="O16" s="55" t="str">
        <f t="shared" ref="O16:O19" si="3">Q16</f>
        <v>Negative</v>
      </c>
      <c r="P16" s="55" t="str">
        <f t="array" ref="P16">INDEX('Referral Test Data CRLN'!$C$1:$P83,$E16,7)</f>
        <v>PCR</v>
      </c>
      <c r="Q16" s="55" t="str">
        <f t="array" ref="Q16">INDEX('Referral Test Data CRLN'!$C$1:$P83,$E16,9)</f>
        <v>Negative</v>
      </c>
      <c r="R16" s="31" t="str">
        <f t="array" ref="R16">IF(OR($E16+1&lt;$E17, AND(ISBLANK($E17), ($E16-1)&lt;COUNT(#REF!))), INDEX('Referral Test Data CRLN'!$C$1:$P83,$E16+1,7), IFERROR(0/0,""))
</f>
        <v/>
      </c>
      <c r="S16" s="31" t="str">
        <f t="array" ref="S16">IF(OR($E16+1&lt;$E17, AND(ISBLANK($E17), ($E16-1)&lt;COUNT(#REF!))), INDEX('Referral Test Data CRLN'!$C$1:$P83,$E16+1,9),IFERROR(0/0,""))</f>
        <v/>
      </c>
      <c r="T16" s="31" t="str">
        <f t="array" ref="T16">IF(OR($E16+2&lt;$E17, AND(ISBLANK($E17), ($E16-1)&lt;COUNT(#REF!))), INDEX('Referral Test Data CRLN'!$C$1:$P83,$E16+2,7),IFERROR(0/0,""))</f>
        <v/>
      </c>
      <c r="U16" s="31" t="str">
        <f t="array" ref="U16">IF(OR($E16+2&lt;$E17, AND(ISBLANK($E17), ($E16-1)&lt;COUNT(#REF!))), INDEX('Referral Test Data CRLN'!$C$1:$P83,$E16+2,9),IFERROR(0/0,""))</f>
        <v/>
      </c>
      <c r="V16" s="47">
        <v>15.0</v>
      </c>
      <c r="W16" s="27"/>
      <c r="X16" s="40" t="b">
        <v>1</v>
      </c>
      <c r="Y16" s="52" t="b">
        <f t="shared" si="2"/>
        <v>0</v>
      </c>
      <c r="Z16" s="47"/>
      <c r="AA16" s="41" t="s">
        <v>49</v>
      </c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>
      <c r="A17" s="9"/>
      <c r="B17" s="9"/>
      <c r="C17" s="26"/>
      <c r="D17" s="26" t="str">
        <f>IFERROR(__xludf.DUMMYFUNCTION("""COMPUTED_VALUE"""),"FLMP887888")</f>
        <v>FLMP887888</v>
      </c>
      <c r="E17" s="12">
        <f t="array" ref="E17">IFERROR(
  MATCH(D17, INDIRECT("'Referral Test Data CRLN'!D" &amp; E16 + 1 &amp; ":D"), 0) + E16, 
  MATCH(D17, 'Referral Test Data CRLN'!D17:D83, 0)
)</f>
        <v>37</v>
      </c>
      <c r="F17" s="12">
        <f>IF(ISBLANK(E18),COUNTA('Referral Test Data CRLN'!D$2:D83)-SUM(F$2:F16),E18-E17)</f>
        <v>4</v>
      </c>
      <c r="G17" s="12">
        <f>IFERROR(VLOOKUP(D17,'ALL Pos and Incl IMPORT'!Q$2:U83,5,FALSE),0)</f>
        <v>2</v>
      </c>
      <c r="H17" s="13"/>
      <c r="I17" s="21" t="str">
        <f t="array" ref="I17">INDEX('Referral Test Data CRLN'!$C$1:$Q83,$E17,15)</f>
        <v>FLT1161</v>
      </c>
      <c r="J17" s="15" t="str">
        <f>VLOOKUP(I17,'Pos and Incl IMPORT'!B$2:U$83,20,FALSE)</f>
        <v>POOL</v>
      </c>
      <c r="K17" s="42" t="str">
        <f>IFERROR(__xludf.DUMMYFUNCTION("VLOOKUP(I17,IMPORTRANGE('ALL Pos and Incl IMPORT'!$A$2,""ALL Tube Results!A2:F""),6,FALSE)"),"Positive")</f>
        <v>Positive</v>
      </c>
      <c r="L17" s="43">
        <f>IFERROR(__xludf.DUMMYFUNCTION("VLOOKUP(I17,IMPORTRANGE('ALL Pos and Incl IMPORT'!$A$2,""ALL Tube Results!A2:F""),3,FALSE)"),44571.0)</f>
        <v>44571</v>
      </c>
      <c r="M17" s="18">
        <f t="array" ref="M17">INDEX('Referral Test Data CRLN'!$C$1:$P83,$E17,3)</f>
        <v>44565</v>
      </c>
      <c r="N17" s="9" t="b">
        <f t="shared" si="1"/>
        <v>0</v>
      </c>
      <c r="O17" s="46" t="str">
        <f t="shared" si="3"/>
        <v>Positive</v>
      </c>
      <c r="P17" s="46" t="s">
        <v>46</v>
      </c>
      <c r="Q17" s="46" t="s">
        <v>37</v>
      </c>
      <c r="V17" s="48">
        <v>16.0</v>
      </c>
      <c r="W17" s="9"/>
      <c r="X17" s="45" t="b">
        <v>1</v>
      </c>
      <c r="Y17" s="54" t="b">
        <f t="shared" si="2"/>
        <v>0</v>
      </c>
      <c r="Z17" s="48"/>
      <c r="AA17" s="20" t="s">
        <v>50</v>
      </c>
    </row>
    <row r="18">
      <c r="A18" s="9"/>
      <c r="B18" s="9"/>
      <c r="C18" s="26"/>
      <c r="D18" s="26" t="str">
        <f>IFERROR(__xludf.DUMMYFUNCTION("""COMPUTED_VALUE"""),"FLMP876455")</f>
        <v>FLMP876455</v>
      </c>
      <c r="E18" s="12">
        <f t="array" ref="E18">IFERROR(
  MATCH(D18, INDIRECT("'Referral Test Data CRLN'!D" &amp; E17 + 1 &amp; ":D"), 0) + E17, 
  MATCH(D18, 'Referral Test Data CRLN'!D18:D83, 0)
)</f>
        <v>41</v>
      </c>
      <c r="F18" s="12">
        <f>IF(ISBLANK(E19),COUNTA('Referral Test Data CRLN'!D$2:D83)-SUM(F$2:F17),E19-E18)</f>
        <v>1</v>
      </c>
      <c r="G18" s="12">
        <f>IFERROR(VLOOKUP(D18,'ALL Pos and Incl IMPORT'!Q$2:U83,5,FALSE),0)</f>
        <v>0</v>
      </c>
      <c r="H18" s="13"/>
      <c r="I18" s="21" t="str">
        <f t="array" ref="I18">INDEX('Referral Test Data CRLN'!$C$1:$Q83,$E18,15)</f>
        <v>FLT1161</v>
      </c>
      <c r="J18" s="15" t="str">
        <f>VLOOKUP(I18,'Pos and Incl IMPORT'!B$2:U$83,20,FALSE)</f>
        <v>POOL</v>
      </c>
      <c r="K18" s="42" t="str">
        <f>IFERROR(__xludf.DUMMYFUNCTION("VLOOKUP(I18,IMPORTRANGE('ALL Pos and Incl IMPORT'!$A$2,""ALL Tube Results!A2:F""),6,FALSE)"),"Positive")</f>
        <v>Positive</v>
      </c>
      <c r="L18" s="43">
        <f>IFERROR(__xludf.DUMMYFUNCTION("VLOOKUP(I18,IMPORTRANGE('ALL Pos and Incl IMPORT'!$A$2,""ALL Tube Results!A2:F""),3,FALSE)"),44571.0)</f>
        <v>44571</v>
      </c>
      <c r="M18" s="18">
        <f t="array" ref="M18">INDEX('Referral Test Data CRLN'!$C$1:$P83,$E18,3)</f>
        <v>44573</v>
      </c>
      <c r="N18" s="9" t="b">
        <f t="shared" si="1"/>
        <v>0</v>
      </c>
      <c r="O18" s="44" t="str">
        <f t="shared" si="3"/>
        <v>Negative</v>
      </c>
      <c r="P18" s="44" t="str">
        <f t="array" ref="P18">INDEX('Referral Test Data CRLN'!$C$1:$P83,$E18,7)</f>
        <v>PCR</v>
      </c>
      <c r="Q18" s="44" t="str">
        <f t="array" ref="Q18">INDEX('Referral Test Data CRLN'!$C$1:$P83,$E18,9)</f>
        <v>Negative</v>
      </c>
      <c r="R18" s="21" t="str">
        <f t="array" ref="R18">IF(OR($E18+1&lt;$E19, AND(ISBLANK($E19), ($E18-1)&lt;COUNT(#REF!))), INDEX('Referral Test Data CRLN'!$C$1:$P83,$E18+1,7), IFERROR(0/0,""))
</f>
        <v/>
      </c>
      <c r="S18" s="21" t="str">
        <f t="array" ref="S18">IF(OR($E18+1&lt;$E19, AND(ISBLANK($E19), ($E18-1)&lt;COUNT(#REF!))), INDEX('Referral Test Data CRLN'!$C$1:$P83,$E18+1,9),IFERROR(0/0,""))</f>
        <v/>
      </c>
      <c r="T18" s="21" t="str">
        <f t="array" ref="T18">IF(OR($E18+2&lt;$E19, AND(ISBLANK($E19), ($E18-1)&lt;COUNT(#REF!))), INDEX('Referral Test Data CRLN'!$C$1:$P83,$E18+2,7),IFERROR(0/0,""))</f>
        <v/>
      </c>
      <c r="U18" s="21" t="str">
        <f t="array" ref="U18">IF(OR($E18+2&lt;$E19, AND(ISBLANK($E19), ($E18-1)&lt;COUNT(#REF!))), INDEX('Referral Test Data CRLN'!$C$1:$P83,$E18+2,9),IFERROR(0/0,""))</f>
        <v/>
      </c>
      <c r="V18" s="48">
        <v>17.0</v>
      </c>
      <c r="W18" s="9"/>
      <c r="X18" s="45" t="b">
        <v>1</v>
      </c>
      <c r="Y18" s="54" t="b">
        <f t="shared" si="2"/>
        <v>0</v>
      </c>
      <c r="Z18" s="48"/>
      <c r="AA18" s="20" t="s">
        <v>49</v>
      </c>
    </row>
    <row r="19">
      <c r="A19" s="27"/>
      <c r="B19" s="27"/>
      <c r="C19" s="28"/>
      <c r="D19" s="28" t="str">
        <f>IFERROR(__xludf.DUMMYFUNCTION("""COMPUTED_VALUE"""),"FLMP472803")</f>
        <v>FLMP472803</v>
      </c>
      <c r="E19" s="29">
        <f t="array" ref="E19">IFERROR(
  MATCH(D19, INDIRECT("'Referral Test Data CRLN'!D" &amp; E18 + 1 &amp; ":D"), 0) + E18, 
  MATCH(D19, 'Referral Test Data CRLN'!D19:D83, 0)
)</f>
        <v>42</v>
      </c>
      <c r="F19" s="29">
        <f>IF(ISBLANK(E20),COUNTA('Referral Test Data CRLN'!D$2:D83)-SUM(F$2:F18),E20-E19)</f>
        <v>7</v>
      </c>
      <c r="G19" s="29">
        <f>IFERROR(VLOOKUP(D19,'ALL Pos and Incl IMPORT'!Q$2:U83,5,FALSE),0)</f>
        <v>1</v>
      </c>
      <c r="H19" s="30"/>
      <c r="I19" s="41" t="s">
        <v>51</v>
      </c>
      <c r="J19" s="56" t="s">
        <v>29</v>
      </c>
      <c r="K19" s="33" t="str">
        <f>IFERROR(__xludf.DUMMYFUNCTION("VLOOKUP(I19,IMPORTRANGE('ALL Pos and Incl IMPORT'!$A$2,""ALL Tube Results!A2:F""),6,FALSE)"),"Negative")</f>
        <v>Negative</v>
      </c>
      <c r="L19" s="34">
        <f>IFERROR(__xludf.DUMMYFUNCTION("VLOOKUP(I19,IMPORTRANGE('ALL Pos and Incl IMPORT'!$A$2,""ALL Tube Results!A2:F""),3,FALSE)"),44683.0)</f>
        <v>44683</v>
      </c>
      <c r="M19" s="35">
        <f t="array" ref="M19">INDEX('Referral Test Data CRLN'!$C$1:$P83,$E19,3)</f>
        <v>44683</v>
      </c>
      <c r="N19" s="27" t="b">
        <f t="shared" si="1"/>
        <v>0</v>
      </c>
      <c r="O19" s="55" t="str">
        <f t="shared" si="3"/>
        <v>Negative</v>
      </c>
      <c r="P19" s="55" t="str">
        <f t="array" ref="P19">INDEX('Referral Test Data CRLN'!$C$1:$P83,$E19,7)</f>
        <v>PCR</v>
      </c>
      <c r="Q19" s="55" t="str">
        <f t="array" ref="Q19">INDEX('Referral Test Data CRLN'!$C$1:$P83,$E19,9)</f>
        <v>Negative</v>
      </c>
      <c r="R19" s="55" t="str">
        <f t="array" ref="R19">IF(OR($E19+1&lt;$E20, AND(ISBLANK($E20), ($E19-1)&lt;COUNT(#REF!))), INDEX('Referral Test Data CRLN'!$C$1:$P83,$E19+1,7), IFERROR(0/0,""))
</f>
        <v>Antigen</v>
      </c>
      <c r="S19" s="55" t="str">
        <f t="array" ref="S19">IF(OR($E19+1&lt;$E20, AND(ISBLANK($E20), ($E19-1)&lt;COUNT(#REF!))), INDEX('Referral Test Data CRLN'!$C$1:$P83,$E19+1,9),IFERROR(0/0,""))</f>
        <v>Negative</v>
      </c>
      <c r="T19" s="55" t="str">
        <f t="array" ref="T19">IF(OR($E19+2&lt;$E20, AND(ISBLANK($E20), ($E19-1)&lt;COUNT(#REF!))), INDEX('Referral Test Data CRLN'!$C$1:$P83,$E19+2,7),IFERROR(0/0,""))</f>
        <v>Antigen</v>
      </c>
      <c r="U19" s="55" t="str">
        <f t="array" ref="U19">IF(OR($E19+2&lt;$E20, AND(ISBLANK($E20), ($E19-1)&lt;COUNT(#REF!))), INDEX('Referral Test Data CRLN'!$C$1:$P83,$E19+2,9),IFERROR(0/0,""))</f>
        <v>Negative</v>
      </c>
      <c r="V19" s="47">
        <v>18.0</v>
      </c>
      <c r="W19" s="27"/>
      <c r="X19" s="40" t="b">
        <v>1</v>
      </c>
      <c r="Y19" s="57" t="b">
        <v>1</v>
      </c>
      <c r="Z19" s="47"/>
      <c r="AA19" s="41" t="s">
        <v>52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>
      <c r="A20" s="9"/>
      <c r="B20" s="9"/>
      <c r="C20" s="26"/>
      <c r="D20" s="26" t="str">
        <f>IFERROR(__xludf.DUMMYFUNCTION("""COMPUTED_VALUE"""),"FLMP687722")</f>
        <v>FLMP687722</v>
      </c>
      <c r="E20" s="12">
        <f t="array" ref="E20">IFERROR(
  MATCH(D20, INDIRECT("'Referral Test Data CRLN'!D" &amp; E19 + 1 &amp; ":D"), 0) + E19, 
  MATCH(D20, 'Referral Test Data CRLN'!D20:D83, 0)
)</f>
        <v>49</v>
      </c>
      <c r="F20" s="12">
        <f>IF(ISBLANK(E21),COUNTA('Referral Test Data CRLN'!D$2:D83)-SUM(F$2:F19),E21-E20)</f>
        <v>8</v>
      </c>
      <c r="G20" s="12">
        <f>IFERROR(VLOOKUP(D20,'ALL Pos and Incl IMPORT'!Q$2:U83,5,FALSE),0)</f>
        <v>2</v>
      </c>
      <c r="H20" s="13"/>
      <c r="I20" s="20" t="s">
        <v>53</v>
      </c>
      <c r="J20" s="15" t="str">
        <f>VLOOKUP(I20,'Pos and Incl IMPORT'!B$2:U$83,20,FALSE)</f>
        <v>INDIV</v>
      </c>
      <c r="K20" s="42" t="str">
        <f>IFERROR(__xludf.DUMMYFUNCTION("VLOOKUP(I20,IMPORTRANGE('ALL Pos and Incl IMPORT'!$A$2,""ALL Tube Results!A2:F""),6,FALSE)"),"Positive")</f>
        <v>Positive</v>
      </c>
      <c r="L20" s="43">
        <f>IFERROR(__xludf.DUMMYFUNCTION("VLOOKUP(I20,IMPORTRANGE('ALL Pos and Incl IMPORT'!$A$2,""ALL Tube Results!A2:F""),3,FALSE)"),44683.0)</f>
        <v>44683</v>
      </c>
      <c r="M20" s="18">
        <f t="array" ref="M20">INDEX('Referral Test Data CRLN'!$C$1:$P83,$E20,3)</f>
        <v>44683</v>
      </c>
      <c r="N20" s="19" t="b">
        <v>1</v>
      </c>
      <c r="O20" s="46" t="str">
        <f>S20</f>
        <v>Positive</v>
      </c>
      <c r="P20" s="49" t="str">
        <f t="array" ref="P20">INDEX('Referral Test Data CRLN'!$C$1:$P83,$E20,7)</f>
        <v>Antigen</v>
      </c>
      <c r="Q20" s="49" t="str">
        <f t="array" ref="Q20">INDEX('Referral Test Data CRLN'!$C$1:$P83,$E20,9)</f>
        <v>Negative</v>
      </c>
      <c r="R20" s="46" t="str">
        <f t="array" ref="R20">IF(OR($E20+1&lt;$E21, AND(ISBLANK($E21), ($E20-1)&lt;COUNT(#REF!))), INDEX('Referral Test Data CRLN'!$C$1:$P83,$E20+1,7), IFERROR(0/0,""))
</f>
        <v>PCR</v>
      </c>
      <c r="S20" s="46" t="str">
        <f t="array" ref="S20">IF(OR($E20+1&lt;$E21, AND(ISBLANK($E21), ($E20-1)&lt;COUNT(#REF!))), INDEX('Referral Test Data CRLN'!$C$1:$P83,$E20+1,9),IFERROR(0/0,""))</f>
        <v>Positive</v>
      </c>
      <c r="T20" s="46" t="str">
        <f t="array" ref="T20">IF(OR($E20+2&lt;$E21, AND(ISBLANK($E21), ($E20-1)&lt;COUNT(#REF!))), INDEX('Referral Test Data CRLN'!$C$1:$P83,$E20+2,7),IFERROR(0/0,""))</f>
        <v>Antigen</v>
      </c>
      <c r="U20" s="46" t="str">
        <f t="array" ref="U20">IF(OR($E20+2&lt;$E21, AND(ISBLANK($E21), ($E20-1)&lt;COUNT(#REF!))), INDEX('Referral Test Data CRLN'!$C$1:$P83,$E20+2,9),IFERROR(0/0,""))</f>
        <v>Positive</v>
      </c>
      <c r="V20" s="48">
        <v>19.0</v>
      </c>
      <c r="W20" s="9"/>
      <c r="X20" s="45" t="b">
        <v>1</v>
      </c>
      <c r="Y20" s="58" t="b">
        <v>1</v>
      </c>
      <c r="Z20" s="50" t="s">
        <v>43</v>
      </c>
      <c r="AA20" s="20" t="s">
        <v>54</v>
      </c>
    </row>
    <row r="21">
      <c r="A21" s="9"/>
      <c r="B21" s="9"/>
      <c r="C21" s="26"/>
      <c r="D21" s="26" t="str">
        <f>IFERROR(__xludf.DUMMYFUNCTION("""COMPUTED_VALUE"""),"FLMP464138")</f>
        <v>FLMP464138</v>
      </c>
      <c r="E21" s="12">
        <f t="array" ref="E21">IFERROR(
  MATCH(D21, INDIRECT("'Referral Test Data CRLN'!D" &amp; E20 + 1 &amp; ":D"), 0) + E20, 
  MATCH(D21, 'Referral Test Data CRLN'!D21:D83, 0)
)</f>
        <v>57</v>
      </c>
      <c r="F21" s="12">
        <f>IF(ISBLANK(E22),COUNTA('Referral Test Data CRLN'!D$2:D83)-SUM(F$2:F20),E22-E21)</f>
        <v>7</v>
      </c>
      <c r="G21" s="12">
        <f>IFERROR(VLOOKUP(D21,'ALL Pos and Incl IMPORT'!Q$2:U83,5,FALSE),0)</f>
        <v>0</v>
      </c>
      <c r="H21" s="13"/>
      <c r="I21" s="20" t="s">
        <v>55</v>
      </c>
      <c r="J21" s="25" t="s">
        <v>29</v>
      </c>
      <c r="K21" s="42" t="str">
        <f>IFERROR(__xludf.DUMMYFUNCTION("VLOOKUP(I21,IMPORTRANGE('ALL Pos and Incl IMPORT'!$A$2,""ALL Tube Results!A2:F""),6,FALSE)"),"Negative")</f>
        <v>Negative</v>
      </c>
      <c r="L21" s="43">
        <f>IFERROR(__xludf.DUMMYFUNCTION("VLOOKUP(I21,IMPORTRANGE('ALL Pos and Incl IMPORT'!$A$2,""ALL Tube Results!A2:F""),3,FALSE)"),44683.0)</f>
        <v>44683</v>
      </c>
      <c r="M21" s="18">
        <f t="array" ref="M21">INDEX('Referral Test Data CRLN'!$C$1:$P83,$E21,3)</f>
        <v>44683</v>
      </c>
      <c r="N21" s="9" t="b">
        <f t="shared" ref="N21:N29" si="4">IF(AND(EXACT(P21,"Antigen"),EXACT(Q21,"Negative"),OR(EXACT(S21,"Positive"),EXACT(U21,"Positive"))),TRUE,FALSE)</f>
        <v>0</v>
      </c>
      <c r="O21" s="44" t="str">
        <f t="shared" ref="O21:O22" si="5">Q21</f>
        <v>Negative</v>
      </c>
      <c r="P21" s="44" t="str">
        <f t="array" ref="P21">INDEX('Referral Test Data CRLN'!$C$1:$P83,$E21,7)</f>
        <v>PCR</v>
      </c>
      <c r="Q21" s="44" t="str">
        <f t="array" ref="Q21">INDEX('Referral Test Data CRLN'!$C$1:$P83,$E21,9)</f>
        <v>Negative</v>
      </c>
      <c r="R21" s="44" t="str">
        <f t="array" ref="R21">IF(OR($E21+1&lt;$E22, AND(ISBLANK($E22), ($E21-1)&lt;COUNT(#REF!))), INDEX('Referral Test Data CRLN'!$C$1:$P83,$E21+1,7), IFERROR(0/0,""))
</f>
        <v>Antigen</v>
      </c>
      <c r="S21" s="44" t="str">
        <f t="array" ref="S21">IF(OR($E21+1&lt;$E22, AND(ISBLANK($E22), ($E21-1)&lt;COUNT(#REF!))), INDEX('Referral Test Data CRLN'!$C$1:$P83,$E21+1,9),IFERROR(0/0,""))</f>
        <v>Negative</v>
      </c>
      <c r="T21" s="44" t="str">
        <f t="array" ref="T21">IF(OR($E21+2&lt;$E22, AND(ISBLANK($E22), ($E21-1)&lt;COUNT(#REF!))), INDEX('Referral Test Data CRLN'!$C$1:$P83,$E21+2,7),IFERROR(0/0,""))</f>
        <v>Antigen</v>
      </c>
      <c r="U21" s="44" t="str">
        <f t="array" ref="U21">IF(OR($E21+2&lt;$E22, AND(ISBLANK($E22), ($E21-1)&lt;COUNT(#REF!))), INDEX('Referral Test Data CRLN'!$C$1:$P83,$E21+2,9),IFERROR(0/0,""))</f>
        <v>Negative</v>
      </c>
      <c r="V21" s="48">
        <v>20.0</v>
      </c>
      <c r="W21" s="9"/>
      <c r="X21" s="45" t="b">
        <v>1</v>
      </c>
      <c r="Y21" s="58" t="b">
        <v>1</v>
      </c>
      <c r="Z21" s="48"/>
      <c r="AA21" s="20" t="s">
        <v>52</v>
      </c>
    </row>
    <row r="22">
      <c r="A22" s="9"/>
      <c r="B22" s="9"/>
      <c r="C22" s="26"/>
      <c r="D22" s="26" t="str">
        <f>IFERROR(__xludf.DUMMYFUNCTION("""COMPUTED_VALUE"""),"FLMP132170")</f>
        <v>FLMP132170</v>
      </c>
      <c r="E22" s="12">
        <f t="array" ref="E22">IFERROR(
  MATCH(D22, INDIRECT("'Referral Test Data CRLN'!D" &amp; E21 + 1 &amp; ":D"), 0) + E21, 
  MATCH(D22, 'Referral Test Data CRLN'!D22:D83, 0)
)</f>
        <v>64</v>
      </c>
      <c r="F22" s="12">
        <f>IF(ISBLANK(E23),COUNTA('Referral Test Data CRLN'!D$2:D83)-SUM(F$2:F21),E23-E22)</f>
        <v>7</v>
      </c>
      <c r="G22" s="12">
        <f>IFERROR(VLOOKUP(D22,'ALL Pos and Incl IMPORT'!Q$2:U83,5,FALSE),0)</f>
        <v>0</v>
      </c>
      <c r="H22" s="13"/>
      <c r="I22" s="20" t="s">
        <v>56</v>
      </c>
      <c r="J22" s="25" t="s">
        <v>29</v>
      </c>
      <c r="K22" s="42" t="str">
        <f>IFERROR(__xludf.DUMMYFUNCTION("VLOOKUP(I22,IMPORTRANGE('ALL Pos and Incl IMPORT'!$A$2,""ALL Tube Results!A2:F""),6,FALSE)"),"Negative")</f>
        <v>Negative</v>
      </c>
      <c r="L22" s="43">
        <f>IFERROR(__xludf.DUMMYFUNCTION("VLOOKUP(I22,IMPORTRANGE('ALL Pos and Incl IMPORT'!$A$2,""ALL Tube Results!A2:F""),3,FALSE)"),44683.0)</f>
        <v>44683</v>
      </c>
      <c r="M22" s="18">
        <f t="array" ref="M22">INDEX('Referral Test Data CRLN'!$C$1:$P83,$E22,3)</f>
        <v>44683</v>
      </c>
      <c r="N22" s="9" t="b">
        <f t="shared" si="4"/>
        <v>0</v>
      </c>
      <c r="O22" s="44" t="str">
        <f t="shared" si="5"/>
        <v>Negative</v>
      </c>
      <c r="P22" s="44" t="str">
        <f t="array" ref="P22">INDEX('Referral Test Data CRLN'!$C$1:$P83,$E22,7)</f>
        <v>PCR</v>
      </c>
      <c r="Q22" s="44" t="str">
        <f t="array" ref="Q22">INDEX('Referral Test Data CRLN'!$C$1:$P83,$E22,9)</f>
        <v>Negative</v>
      </c>
      <c r="R22" s="44" t="str">
        <f t="array" ref="R22">IF(OR($E22+1&lt;$E23, AND(ISBLANK($E23), ($E22-1)&lt;COUNT(#REF!))), INDEX('Referral Test Data CRLN'!$C$1:$P83,$E22+1,7), IFERROR(0/0,""))
</f>
        <v>Antigen</v>
      </c>
      <c r="S22" s="44" t="str">
        <f t="array" ref="S22">IF(OR($E22+1&lt;$E23, AND(ISBLANK($E23), ($E22-1)&lt;COUNT(#REF!))), INDEX('Referral Test Data CRLN'!$C$1:$P83,$E22+1,9),IFERROR(0/0,""))</f>
        <v>Negative</v>
      </c>
      <c r="T22" s="44" t="str">
        <f t="array" ref="T22">IF(OR($E22+2&lt;$E23, AND(ISBLANK($E23), ($E22-1)&lt;COUNT(#REF!))), INDEX('Referral Test Data CRLN'!$C$1:$P83,$E22+2,7),IFERROR(0/0,""))</f>
        <v>Antigen</v>
      </c>
      <c r="U22" s="44" t="str">
        <f t="array" ref="U22">IF(OR($E22+2&lt;$E23, AND(ISBLANK($E23), ($E22-1)&lt;COUNT(#REF!))), INDEX('Referral Test Data CRLN'!$C$1:$P83,$E22+2,9),IFERROR(0/0,""))</f>
        <v>Negative</v>
      </c>
      <c r="V22" s="48">
        <v>21.0</v>
      </c>
      <c r="W22" s="9"/>
      <c r="X22" s="45" t="b">
        <v>1</v>
      </c>
      <c r="Y22" s="58" t="b">
        <v>1</v>
      </c>
      <c r="Z22" s="48"/>
      <c r="AA22" s="20" t="s">
        <v>52</v>
      </c>
    </row>
    <row r="23">
      <c r="A23" s="27"/>
      <c r="B23" s="27"/>
      <c r="C23" s="28"/>
      <c r="D23" s="28" t="str">
        <f>IFERROR(__xludf.DUMMYFUNCTION("""COMPUTED_VALUE"""),"FLMP552537")</f>
        <v>FLMP552537</v>
      </c>
      <c r="E23" s="29">
        <f t="array" ref="E23">IFERROR(
  MATCH(D23, INDIRECT("'Referral Test Data CRLN'!D" &amp; E22 + 1 &amp; ":D"), 0) + E22, 
  MATCH(D23, 'Referral Test Data CRLN'!D23:D83, 0)
)</f>
        <v>71</v>
      </c>
      <c r="F23" s="29">
        <f>IF(ISBLANK(E24),COUNTA('Referral Test Data CRLN'!D$2:D83)-SUM(F$2:F22),E24-E23)</f>
        <v>2</v>
      </c>
      <c r="G23" s="29">
        <f>IFERROR(VLOOKUP(D23,'ALL Pos and Incl IMPORT'!Q$2:U83,5,FALSE),0)</f>
        <v>2</v>
      </c>
      <c r="H23" s="30"/>
      <c r="I23" s="41" t="s">
        <v>57</v>
      </c>
      <c r="J23" s="32" t="str">
        <f>VLOOKUP(I23,'Pos and Incl IMPORT'!B$2:U$83,20,FALSE)</f>
        <v>INDIV</v>
      </c>
      <c r="K23" s="33" t="str">
        <f>IFERROR(__xludf.DUMMYFUNCTION("VLOOKUP(I23,IMPORTRANGE('ALL Pos and Incl IMPORT'!$A$2,""ALL Tube Results!A2:F""),6,FALSE)"),"Positive")</f>
        <v>Positive</v>
      </c>
      <c r="L23" s="34">
        <f>IFERROR(__xludf.DUMMYFUNCTION("VLOOKUP(I23,IMPORTRANGE('ALL Pos and Incl IMPORT'!$A$2,""ALL Tube Results!A2:F""),3,FALSE)"),44690.0)</f>
        <v>44690</v>
      </c>
      <c r="M23" s="35">
        <f t="array" ref="M23">INDEX('Referral Test Data CRLN'!$C$1:$P83,$E23,3)</f>
        <v>44690</v>
      </c>
      <c r="N23" s="27" t="b">
        <f t="shared" si="4"/>
        <v>0</v>
      </c>
      <c r="O23" s="36" t="str">
        <f t="shared" ref="O23:O25" si="6">S23</f>
        <v>Positive</v>
      </c>
      <c r="P23" s="36" t="str">
        <f t="array" ref="P23">INDEX('Referral Test Data CRLN'!$C$1:$P83,$E23,7)</f>
        <v>Antigen</v>
      </c>
      <c r="Q23" s="36" t="str">
        <f t="array" ref="Q23">INDEX('Referral Test Data CRLN'!$C$1:$P83,$E23,9)</f>
        <v>Positive</v>
      </c>
      <c r="R23" s="36" t="str">
        <f t="array" ref="R23">IF(OR($E23+1&lt;$E24, AND(ISBLANK($E24), ($E23-1)&lt;COUNT(#REF!))), INDEX('Referral Test Data CRLN'!$C$1:$P83,$E23+1,7), IFERROR(0/0,""))
</f>
        <v>PCR</v>
      </c>
      <c r="S23" s="36" t="str">
        <f t="array" ref="S23">IF(OR($E23+1&lt;$E24, AND(ISBLANK($E24), ($E23-1)&lt;COUNT(#REF!))), INDEX('Referral Test Data CRLN'!$C$1:$P83,$E23+1,9),IFERROR(0/0,""))</f>
        <v>Positive</v>
      </c>
      <c r="T23" s="31" t="str">
        <f t="array" ref="T23">IF(OR($E23+2&lt;$E24, AND(ISBLANK($E24), ($E23-1)&lt;COUNT(#REF!))), INDEX('Referral Test Data CRLN'!$C$1:$P83,$E23+2,7),IFERROR(0/0,""))</f>
        <v/>
      </c>
      <c r="U23" s="31" t="str">
        <f t="array" ref="U23">IF(OR($E23+2&lt;$E24, AND(ISBLANK($E24), ($E23-1)&lt;COUNT(#REF!))), INDEX('Referral Test Data CRLN'!$C$1:$P83,$E23+2,9),IFERROR(0/0,""))</f>
        <v/>
      </c>
      <c r="V23" s="47">
        <v>22.0</v>
      </c>
      <c r="W23" s="27"/>
      <c r="X23" s="40" t="b">
        <v>1</v>
      </c>
      <c r="Y23" s="52" t="b">
        <f t="shared" ref="Y23:Y32" si="7">AND(OR(EXACT("Antigen",P23),EXACT("Antigen",R23),EXACT("Antigen",T23)),EXACT(J23,"INDIV"))</f>
        <v>1</v>
      </c>
      <c r="Z23" s="39" t="s">
        <v>38</v>
      </c>
      <c r="AA23" s="41" t="s">
        <v>58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31"/>
    </row>
    <row r="24">
      <c r="A24" s="9"/>
      <c r="B24" s="9"/>
      <c r="C24" s="26"/>
      <c r="D24" s="26" t="str">
        <f>IFERROR(__xludf.DUMMYFUNCTION("""COMPUTED_VALUE"""),"FLMP254321")</f>
        <v>FLMP254321</v>
      </c>
      <c r="E24" s="12">
        <f t="array" ref="E24">IFERROR(
  MATCH(D24, INDIRECT("'Referral Test Data CRLN'!D" &amp; E23 + 1 &amp; ":D"), 0) + E23, 
  MATCH(D24, 'Referral Test Data CRLN'!D24:D83, 0)
)</f>
        <v>73</v>
      </c>
      <c r="F24" s="12">
        <f>IF(ISBLANK(E25),COUNTA('Referral Test Data CRLN'!D$2:D83)-SUM(F$2:F23),E25-E24)</f>
        <v>2</v>
      </c>
      <c r="G24" s="12">
        <f>IFERROR(VLOOKUP(D24,'ALL Pos and Incl IMPORT'!Q$2:U83,5,FALSE),0)</f>
        <v>0</v>
      </c>
      <c r="H24" s="13"/>
      <c r="I24" s="20" t="s">
        <v>59</v>
      </c>
      <c r="J24" s="25" t="s">
        <v>29</v>
      </c>
      <c r="K24" s="42" t="str">
        <f>IFERROR(__xludf.DUMMYFUNCTION("VLOOKUP(I24,IMPORTRANGE('ALL Pos and Incl IMPORT'!$A$2,""ALL Tube Results!A2:F""),6,FALSE)"),"Negative")</f>
        <v>Negative</v>
      </c>
      <c r="L24" s="43">
        <f>IFERROR(__xludf.DUMMYFUNCTION("VLOOKUP(I24,IMPORTRANGE('ALL Pos and Incl IMPORT'!$A$2,""ALL Tube Results!A2:F""),3,FALSE)"),44690.0)</f>
        <v>44690</v>
      </c>
      <c r="M24" s="18">
        <f t="array" ref="M24">INDEX('Referral Test Data CRLN'!$C$1:$P83,$E24,3)</f>
        <v>44690</v>
      </c>
      <c r="N24" s="9" t="b">
        <f t="shared" si="4"/>
        <v>0</v>
      </c>
      <c r="O24" s="44" t="str">
        <f t="shared" si="6"/>
        <v>Negative</v>
      </c>
      <c r="P24" s="44" t="str">
        <f t="array" ref="P24">INDEX('Referral Test Data CRLN'!$C$1:$P83,$E24,7)</f>
        <v>Antigen</v>
      </c>
      <c r="Q24" s="44" t="str">
        <f t="array" ref="Q24">INDEX('Referral Test Data CRLN'!$C$1:$P83,$E24,9)</f>
        <v>Negative</v>
      </c>
      <c r="R24" s="44" t="str">
        <f t="array" ref="R24">IF(OR($E24+1&lt;$E25, AND(ISBLANK($E25), ($E24-1)&lt;COUNT(#REF!))), INDEX('Referral Test Data CRLN'!$C$1:$P83,$E24+1,7), IFERROR(0/0,""))
</f>
        <v>PCR</v>
      </c>
      <c r="S24" s="44" t="str">
        <f t="array" ref="S24">IF(OR($E24+1&lt;$E25, AND(ISBLANK($E25), ($E24-1)&lt;COUNT(#REF!))), INDEX('Referral Test Data CRLN'!$C$1:$P83,$E24+1,9),IFERROR(0/0,""))</f>
        <v>Negative</v>
      </c>
      <c r="T24" s="21" t="str">
        <f t="array" ref="T24">IF(OR($E24+2&lt;$E25, AND(ISBLANK($E25), ($E24-1)&lt;COUNT(#REF!))), INDEX('Referral Test Data CRLN'!$C$1:$P83,$E24+2,7),IFERROR(0/0,""))</f>
        <v/>
      </c>
      <c r="U24" s="21" t="str">
        <f t="array" ref="U24">IF(OR($E24+2&lt;$E25, AND(ISBLANK($E25), ($E24-1)&lt;COUNT(#REF!))), INDEX('Referral Test Data CRLN'!$C$1:$P83,$E24+2,9),IFERROR(0/0,""))</f>
        <v/>
      </c>
      <c r="V24" s="48">
        <v>23.0</v>
      </c>
      <c r="W24" s="9"/>
      <c r="X24" s="45" t="b">
        <v>1</v>
      </c>
      <c r="Y24" s="54" t="b">
        <f t="shared" si="7"/>
        <v>1</v>
      </c>
      <c r="Z24" s="48"/>
      <c r="AA24" s="20" t="s">
        <v>60</v>
      </c>
    </row>
    <row r="25">
      <c r="A25" s="9"/>
      <c r="B25" s="9"/>
      <c r="C25" s="26"/>
      <c r="D25" s="26" t="str">
        <f>IFERROR(__xludf.DUMMYFUNCTION("""COMPUTED_VALUE"""),"FLMP705416")</f>
        <v>FLMP705416</v>
      </c>
      <c r="E25" s="12">
        <f t="array" ref="E25">IFERROR(
  MATCH(D25, INDIRECT("'Referral Test Data CRLN'!D" &amp; E24 + 1 &amp; ":D"), 0) + E24, 
  MATCH(D25, 'Referral Test Data CRLN'!D25:D83, 0)
)</f>
        <v>75</v>
      </c>
      <c r="F25" s="12">
        <f>IF(ISBLANK(E26),COUNTA('Referral Test Data CRLN'!D$2:D83)-SUM(F$2:F24),E26-E25)</f>
        <v>2</v>
      </c>
      <c r="G25" s="12">
        <f>IFERROR(VLOOKUP(D25,'ALL Pos and Incl IMPORT'!Q$2:U83,5,FALSE),0)</f>
        <v>0</v>
      </c>
      <c r="H25" s="13"/>
      <c r="I25" s="20" t="s">
        <v>61</v>
      </c>
      <c r="J25" s="25" t="s">
        <v>29</v>
      </c>
      <c r="K25" s="42" t="str">
        <f>IFERROR(__xludf.DUMMYFUNCTION("VLOOKUP(I25,IMPORTRANGE('ALL Pos and Incl IMPORT'!$A$2,""ALL Tube Results!A2:F""),6,FALSE)"),"Negative")</f>
        <v>Negative</v>
      </c>
      <c r="L25" s="43">
        <f>IFERROR(__xludf.DUMMYFUNCTION("VLOOKUP(I25,IMPORTRANGE('ALL Pos and Incl IMPORT'!$A$2,""ALL Tube Results!A2:F""),3,FALSE)"),44690.0)</f>
        <v>44690</v>
      </c>
      <c r="M25" s="18">
        <f t="array" ref="M25">INDEX('Referral Test Data CRLN'!$C$1:$P83,$E25,3)</f>
        <v>44690</v>
      </c>
      <c r="N25" s="9" t="b">
        <f t="shared" si="4"/>
        <v>1</v>
      </c>
      <c r="O25" s="46" t="str">
        <f t="shared" si="6"/>
        <v>Positive</v>
      </c>
      <c r="P25" s="49" t="str">
        <f t="array" ref="P25">INDEX('Referral Test Data CRLN'!$C$1:$P83,$E25,7)</f>
        <v>Antigen</v>
      </c>
      <c r="Q25" s="49" t="str">
        <f t="array" ref="Q25">INDEX('Referral Test Data CRLN'!$C$1:$P83,$E25,9)</f>
        <v>Negative</v>
      </c>
      <c r="R25" s="46" t="str">
        <f t="array" ref="R25">IF(OR($E25+1&lt;$E26, AND(ISBLANK($E26), ($E25-1)&lt;COUNT(#REF!))), INDEX('Referral Test Data CRLN'!$C$1:$P83,$E25+1,7), IFERROR(0/0,""))
</f>
        <v>PCR</v>
      </c>
      <c r="S25" s="46" t="str">
        <f t="array" ref="S25">IF(OR($E25+1&lt;$E26, AND(ISBLANK($E26), ($E25-1)&lt;COUNT(#REF!))), INDEX('Referral Test Data CRLN'!$C$1:$P83,$E25+1,9),IFERROR(0/0,""))</f>
        <v>Positive</v>
      </c>
      <c r="T25" s="21" t="str">
        <f t="array" ref="T25">IF(OR($E25+2&lt;$E26, AND(ISBLANK($E26), ($E25-1)&lt;COUNT(#REF!))), INDEX('Referral Test Data CRLN'!$C$1:$P83,$E25+2,7),IFERROR(0/0,""))</f>
        <v/>
      </c>
      <c r="U25" s="21" t="str">
        <f t="array" ref="U25">IF(OR($E25+2&lt;$E26, AND(ISBLANK($E26), ($E25-1)&lt;COUNT(#REF!))), INDEX('Referral Test Data CRLN'!$C$1:$P83,$E25+2,9),IFERROR(0/0,""))</f>
        <v/>
      </c>
      <c r="V25" s="48">
        <v>24.0</v>
      </c>
      <c r="W25" s="9"/>
      <c r="X25" s="45" t="b">
        <v>1</v>
      </c>
      <c r="Y25" s="54" t="b">
        <f t="shared" si="7"/>
        <v>1</v>
      </c>
      <c r="Z25" s="48"/>
      <c r="AA25" s="20" t="s">
        <v>62</v>
      </c>
    </row>
    <row r="26">
      <c r="A26" s="27"/>
      <c r="B26" s="27"/>
      <c r="C26" s="28"/>
      <c r="D26" s="28" t="str">
        <f>IFERROR(__xludf.DUMMYFUNCTION("""COMPUTED_VALUE"""),"FLMP608363")</f>
        <v>FLMP608363</v>
      </c>
      <c r="E26" s="29">
        <f t="array" ref="E26">IFERROR(
  MATCH(D26, INDIRECT("'Referral Test Data CRLN'!D" &amp; E25 + 1 &amp; ":D"), 0) + E25, 
  MATCH(D26, 'Referral Test Data CRLN'!D26:D83, 0)
)</f>
        <v>77</v>
      </c>
      <c r="F26" s="29">
        <f>IF(ISBLANK(E27),COUNTA('Referral Test Data CRLN'!D$2:D83)-SUM(F$2:F25),E27-E26)</f>
        <v>1</v>
      </c>
      <c r="G26" s="29">
        <f>IFERROR(VLOOKUP(D26,'ALL Pos and Incl IMPORT'!Q$2:U83,5,FALSE),0)</f>
        <v>2</v>
      </c>
      <c r="H26" s="30"/>
      <c r="I26" s="41" t="s">
        <v>63</v>
      </c>
      <c r="J26" s="32" t="str">
        <f>VLOOKUP(I26,'Pos and Incl IMPORT'!B$2:U$83,20,FALSE)</f>
        <v>INDIV</v>
      </c>
      <c r="K26" s="33" t="str">
        <f>IFERROR(__xludf.DUMMYFUNCTION("VLOOKUP(I26,IMPORTRANGE('ALL Pos and Incl IMPORT'!$A$2,""ALL Tube Results!A2:F""),6,FALSE)"),"Positive")</f>
        <v>Positive</v>
      </c>
      <c r="L26" s="34">
        <f>IFERROR(__xludf.DUMMYFUNCTION("VLOOKUP(I26,IMPORTRANGE('ALL Pos and Incl IMPORT'!$A$2,""ALL Tube Results!A2:F""),3,FALSE)"),44690.0)</f>
        <v>44690</v>
      </c>
      <c r="M26" s="35">
        <f t="array" ref="M26">INDEX('Referral Test Data CRLN'!$C$1:$P83,$E26,3)</f>
        <v>44690</v>
      </c>
      <c r="N26" s="27" t="b">
        <f t="shared" si="4"/>
        <v>0</v>
      </c>
      <c r="O26" s="36" t="str">
        <f t="shared" ref="O26:O29" si="8">Q26</f>
        <v>Positive</v>
      </c>
      <c r="P26" s="36" t="str">
        <f t="array" ref="P26">INDEX('Referral Test Data CRLN'!$C$1:$P83,$E26,7)</f>
        <v>PCR</v>
      </c>
      <c r="Q26" s="36" t="str">
        <f t="array" ref="Q26">INDEX('Referral Test Data CRLN'!$C$1:$P83,$E26,9)</f>
        <v>Positive</v>
      </c>
      <c r="R26" s="31" t="str">
        <f t="array" ref="R26">IF(OR($E26+1&lt;$E27, AND(ISBLANK($E27), ($E26-1)&lt;COUNT(#REF!))), INDEX('Referral Test Data CRLN'!$C$1:$P83,$E26+1,7), IFERROR(0/0,""))
</f>
        <v/>
      </c>
      <c r="S26" s="31" t="str">
        <f t="array" ref="S26">IF(OR($E26+1&lt;$E27, AND(ISBLANK($E27), ($E26-1)&lt;COUNT(#REF!))), INDEX('Referral Test Data CRLN'!$C$1:$P83,$E26+1,9),IFERROR(0/0,""))</f>
        <v/>
      </c>
      <c r="T26" s="31" t="str">
        <f t="array" ref="T26">IF(OR($E26+2&lt;$E27, AND(ISBLANK($E27), ($E26-1)&lt;COUNT(#REF!))), INDEX('Referral Test Data CRLN'!$C$1:$P83,$E26+2,7),IFERROR(0/0,""))</f>
        <v/>
      </c>
      <c r="U26" s="31" t="str">
        <f t="array" ref="U26">IF(OR($E26+2&lt;$E27, AND(ISBLANK($E27), ($E26-1)&lt;COUNT(#REF!))), INDEX('Referral Test Data CRLN'!$C$1:$P83,$E26+2,9),IFERROR(0/0,""))</f>
        <v/>
      </c>
      <c r="V26" s="47">
        <v>25.0</v>
      </c>
      <c r="W26" s="27"/>
      <c r="X26" s="40" t="b">
        <v>1</v>
      </c>
      <c r="Y26" s="52" t="b">
        <f t="shared" si="7"/>
        <v>0</v>
      </c>
      <c r="Z26" s="47"/>
      <c r="AA26" s="41" t="s">
        <v>64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>
      <c r="A27" s="9"/>
      <c r="B27" s="9"/>
      <c r="C27" s="26"/>
      <c r="D27" s="26" t="str">
        <f>IFERROR(__xludf.DUMMYFUNCTION("""COMPUTED_VALUE"""),"FLMP325595")</f>
        <v>FLMP325595</v>
      </c>
      <c r="E27" s="12">
        <f t="array" ref="E27">IFERROR(
  MATCH(D27, INDIRECT("'Referral Test Data CRLN'!D" &amp; E26 + 1 &amp; ":D"), 0) + E26, 
  MATCH(D27, 'Referral Test Data CRLN'!D27:D83, 0)
)</f>
        <v>78</v>
      </c>
      <c r="F27" s="12">
        <f>IF(ISBLANK(E28),COUNTA('Referral Test Data CRLN'!D$2:D83)-SUM(F$2:F26),E28-E27)</f>
        <v>1</v>
      </c>
      <c r="G27" s="12">
        <f>IFERROR(VLOOKUP(D27,'ALL Pos and Incl IMPORT'!Q$2:U83,5,FALSE),0)</f>
        <v>0</v>
      </c>
      <c r="H27" s="13"/>
      <c r="I27" s="20" t="s">
        <v>65</v>
      </c>
      <c r="J27" s="25" t="s">
        <v>29</v>
      </c>
      <c r="K27" s="42" t="str">
        <f>IFERROR(__xludf.DUMMYFUNCTION("VLOOKUP(I27,IMPORTRANGE('ALL Pos and Incl IMPORT'!$A$2,""ALL Tube Results!A2:F""),6,FALSE)"),"Negative")</f>
        <v>Negative</v>
      </c>
      <c r="L27" s="43">
        <f>IFERROR(__xludf.DUMMYFUNCTION("VLOOKUP(I27,IMPORTRANGE('ALL Pos and Incl IMPORT'!$A$2,""ALL Tube Results!A2:F""),3,FALSE)"),44690.0)</f>
        <v>44690</v>
      </c>
      <c r="M27" s="18">
        <f t="array" ref="M27">INDEX('Referral Test Data CRLN'!$C$1:$P83,$E27,3)</f>
        <v>44690</v>
      </c>
      <c r="N27" s="9" t="b">
        <f t="shared" si="4"/>
        <v>0</v>
      </c>
      <c r="O27" s="44" t="str">
        <f t="shared" si="8"/>
        <v>Negative</v>
      </c>
      <c r="P27" s="44" t="str">
        <f t="array" ref="P27">INDEX('Referral Test Data CRLN'!$C$1:$P83,$E27,7)</f>
        <v>PCR</v>
      </c>
      <c r="Q27" s="44" t="str">
        <f t="array" ref="Q27">INDEX('Referral Test Data CRLN'!$C$1:$P83,$E27,9)</f>
        <v>Negative</v>
      </c>
      <c r="R27" s="21" t="str">
        <f t="array" ref="R27">IF(OR($E27+1&lt;$E28, AND(ISBLANK($E28), ($E27-1)&lt;COUNT(#REF!))), INDEX('Referral Test Data CRLN'!$C$1:$P83,$E27+1,7), IFERROR(0/0,""))
</f>
        <v/>
      </c>
      <c r="S27" s="21" t="str">
        <f t="array" ref="S27">IF(OR($E27+1&lt;$E28, AND(ISBLANK($E28), ($E27-1)&lt;COUNT(#REF!))), INDEX('Referral Test Data CRLN'!$C$1:$P83,$E27+1,9),IFERROR(0/0,""))</f>
        <v/>
      </c>
      <c r="T27" s="21" t="str">
        <f t="array" ref="T27">IF(OR($E27+2&lt;$E28, AND(ISBLANK($E28), ($E27-1)&lt;COUNT(#REF!))), INDEX('Referral Test Data CRLN'!$C$1:$P83,$E27+2,7),IFERROR(0/0,""))</f>
        <v/>
      </c>
      <c r="U27" s="21" t="str">
        <f t="array" ref="U27">IF(OR($E27+2&lt;$E28, AND(ISBLANK($E28), ($E27-1)&lt;COUNT(#REF!))), INDEX('Referral Test Data CRLN'!$C$1:$P83,$E27+2,9),IFERROR(0/0,""))</f>
        <v/>
      </c>
      <c r="V27" s="48">
        <v>26.0</v>
      </c>
      <c r="W27" s="9"/>
      <c r="X27" s="45" t="b">
        <v>1</v>
      </c>
      <c r="Y27" s="54" t="b">
        <f t="shared" si="7"/>
        <v>0</v>
      </c>
      <c r="Z27" s="48"/>
    </row>
    <row r="28">
      <c r="A28" s="9"/>
      <c r="B28" s="9"/>
      <c r="C28" s="26"/>
      <c r="D28" s="26" t="str">
        <f>IFERROR(__xludf.DUMMYFUNCTION("""COMPUTED_VALUE"""),"FLMP779627")</f>
        <v>FLMP779627</v>
      </c>
      <c r="E28" s="12">
        <f t="array" ref="E28">IFERROR(
  MATCH(D28, INDIRECT("'Referral Test Data CRLN'!D" &amp; E27 + 1 &amp; ":D"), 0) + E27, 
  MATCH(D28, 'Referral Test Data CRLN'!D28:D83, 0)
)</f>
        <v>79</v>
      </c>
      <c r="F28" s="12">
        <f>IF(ISBLANK(E29),COUNTA('Referral Test Data CRLN'!D$2:D83)-SUM(F$2:F27),E29-E28)</f>
        <v>1</v>
      </c>
      <c r="G28" s="12">
        <f>IFERROR(VLOOKUP(D28,'ALL Pos and Incl IMPORT'!Q$2:U83,5,FALSE),0)</f>
        <v>0</v>
      </c>
      <c r="H28" s="13"/>
      <c r="I28" s="20" t="s">
        <v>66</v>
      </c>
      <c r="J28" s="25" t="s">
        <v>29</v>
      </c>
      <c r="K28" s="42" t="str">
        <f>IFERROR(__xludf.DUMMYFUNCTION("VLOOKUP(I28,IMPORTRANGE('ALL Pos and Incl IMPORT'!$A$2,""ALL Tube Results!A2:F""),6,FALSE)"),"Negative")</f>
        <v>Negative</v>
      </c>
      <c r="L28" s="43">
        <f>IFERROR(__xludf.DUMMYFUNCTION("VLOOKUP(I28,IMPORTRANGE('ALL Pos and Incl IMPORT'!$A$2,""ALL Tube Results!A2:F""),3,FALSE)"),44690.0)</f>
        <v>44690</v>
      </c>
      <c r="M28" s="18">
        <f t="array" ref="M28">INDEX('Referral Test Data CRLN'!$C$1:$P83,$E28,3)</f>
        <v>44690</v>
      </c>
      <c r="N28" s="9" t="b">
        <f t="shared" si="4"/>
        <v>0</v>
      </c>
      <c r="O28" s="44" t="str">
        <f t="shared" si="8"/>
        <v>Negative</v>
      </c>
      <c r="P28" s="44" t="str">
        <f t="array" ref="P28">INDEX('Referral Test Data CRLN'!$C$1:$P83,$E28,7)</f>
        <v>PCR</v>
      </c>
      <c r="Q28" s="44" t="str">
        <f t="array" ref="Q28">INDEX('Referral Test Data CRLN'!$C$1:$P83,$E28,9)</f>
        <v>Negative</v>
      </c>
      <c r="R28" s="21" t="str">
        <f t="array" ref="R28">IF(OR($E28+1&lt;$E29, AND(ISBLANK($E29), ($E28-1)&lt;COUNT(#REF!))), INDEX('Referral Test Data CRLN'!$C$1:$P83,$E28+1,7), IFERROR(0/0,""))
</f>
        <v/>
      </c>
      <c r="S28" s="21" t="str">
        <f t="array" ref="S28">IF(OR($E28+1&lt;$E29, AND(ISBLANK($E29), ($E28-1)&lt;COUNT(#REF!))), INDEX('Referral Test Data CRLN'!$C$1:$P83,$E28+1,9),IFERROR(0/0,""))</f>
        <v/>
      </c>
      <c r="T28" s="21" t="str">
        <f t="array" ref="T28">IF(OR($E28+2&lt;$E29, AND(ISBLANK($E29), ($E28-1)&lt;COUNT(#REF!))), INDEX('Referral Test Data CRLN'!$C$1:$P83,$E28+2,7),IFERROR(0/0,""))</f>
        <v/>
      </c>
      <c r="U28" s="21" t="str">
        <f t="array" ref="U28">IF(OR($E28+2&lt;$E29, AND(ISBLANK($E29), ($E28-1)&lt;COUNT(#REF!))), INDEX('Referral Test Data CRLN'!$C$1:$P83,$E28+2,9),IFERROR(0/0,""))</f>
        <v/>
      </c>
      <c r="V28" s="48">
        <v>27.0</v>
      </c>
      <c r="W28" s="9"/>
      <c r="X28" s="45" t="b">
        <v>1</v>
      </c>
      <c r="Y28" s="54" t="b">
        <f t="shared" si="7"/>
        <v>0</v>
      </c>
      <c r="Z28" s="48"/>
    </row>
    <row r="29">
      <c r="A29" s="9"/>
      <c r="B29" s="9"/>
      <c r="C29" s="26"/>
      <c r="D29" s="26" t="str">
        <f>IFERROR(__xludf.DUMMYFUNCTION("""COMPUTED_VALUE"""),"FLMP322473")</f>
        <v>FLMP322473</v>
      </c>
      <c r="E29" s="12">
        <f t="array" ref="E29">IFERROR(
  MATCH(D29, INDIRECT("'Referral Test Data CRLN'!D" &amp; E28 + 1 &amp; ":D"), 0) + E28, 
  MATCH(D29, 'Referral Test Data CRLN'!D29:D83, 0)
)</f>
        <v>80</v>
      </c>
      <c r="F29" s="12">
        <f>IF(ISBLANK(E30),COUNTA('Referral Test Data CRLN'!D$2:D83)-SUM(F$2:F28),E30-E29)</f>
        <v>1</v>
      </c>
      <c r="G29" s="12">
        <f>IFERROR(VLOOKUP(D29,'ALL Pos and Incl IMPORT'!Q$2:U83,5,FALSE),0)</f>
        <v>0</v>
      </c>
      <c r="H29" s="13"/>
      <c r="I29" s="20" t="s">
        <v>67</v>
      </c>
      <c r="J29" s="25" t="s">
        <v>29</v>
      </c>
      <c r="K29" s="42" t="str">
        <f>IFERROR(__xludf.DUMMYFUNCTION("VLOOKUP(I29,IMPORTRANGE('ALL Pos and Incl IMPORT'!$A$2,""ALL Tube Results!A2:F""),6,FALSE)"),"Negative")</f>
        <v>Negative</v>
      </c>
      <c r="L29" s="43">
        <f>IFERROR(__xludf.DUMMYFUNCTION("VLOOKUP(I29,IMPORTRANGE('ALL Pos and Incl IMPORT'!$A$2,""ALL Tube Results!A2:F""),3,FALSE)"),44690.0)</f>
        <v>44690</v>
      </c>
      <c r="M29" s="18">
        <f t="array" ref="M29">INDEX('Referral Test Data CRLN'!$C$1:$P83,$E29,3)</f>
        <v>44690</v>
      </c>
      <c r="N29" s="9" t="b">
        <f t="shared" si="4"/>
        <v>0</v>
      </c>
      <c r="O29" s="44" t="str">
        <f t="shared" si="8"/>
        <v>Negative</v>
      </c>
      <c r="P29" s="44" t="str">
        <f t="array" ref="P29">INDEX('Referral Test Data CRLN'!$C$1:$P83,$E29,7)</f>
        <v>PCR</v>
      </c>
      <c r="Q29" s="44" t="str">
        <f t="array" ref="Q29">INDEX('Referral Test Data CRLN'!$C$1:$P83,$E29,9)</f>
        <v>Negative</v>
      </c>
      <c r="R29" s="21" t="str">
        <f t="array" ref="R29">IF(OR($E29+1&lt;$E30, AND(ISBLANK($E30), ($E29-1)&lt;COUNT(#REF!))), INDEX('Referral Test Data CRLN'!$C$1:$P83,$E29+1,7), IFERROR(0/0,""))
</f>
        <v/>
      </c>
      <c r="S29" s="21" t="str">
        <f t="array" ref="S29">IF(OR($E29+1&lt;$E30, AND(ISBLANK($E30), ($E29-1)&lt;COUNT(#REF!))), INDEX('Referral Test Data CRLN'!$C$1:$P83,$E29+1,9),IFERROR(0/0,""))</f>
        <v/>
      </c>
      <c r="T29" s="21" t="str">
        <f t="array" ref="T29">IF(OR($E29+2&lt;$E30, AND(ISBLANK($E30), ($E29-1)&lt;COUNT(#REF!))), INDEX('Referral Test Data CRLN'!$C$1:$P83,$E29+2,7),IFERROR(0/0,""))</f>
        <v/>
      </c>
      <c r="U29" s="21" t="str">
        <f t="array" ref="U29">IF(OR($E29+2&lt;$E30, AND(ISBLANK($E30), ($E29-1)&lt;COUNT(#REF!))), INDEX('Referral Test Data CRLN'!$C$1:$P83,$E29+2,9),IFERROR(0/0,""))</f>
        <v/>
      </c>
      <c r="V29" s="48">
        <v>28.0</v>
      </c>
      <c r="W29" s="9"/>
      <c r="X29" s="45" t="b">
        <v>1</v>
      </c>
      <c r="Y29" s="54" t="b">
        <f t="shared" si="7"/>
        <v>0</v>
      </c>
      <c r="Z29" s="48"/>
    </row>
    <row r="30">
      <c r="A30" s="27"/>
      <c r="B30" s="27"/>
      <c r="C30" s="28"/>
      <c r="D30" s="28" t="str">
        <f>IFERROR(__xludf.DUMMYFUNCTION("""COMPUTED_VALUE"""),"FLMP987142")</f>
        <v>FLMP987142</v>
      </c>
      <c r="E30" s="29">
        <f t="array" ref="E30">IFERROR(
  MATCH(D30, INDIRECT("'Referral Test Data CRLN'!D" &amp; E29 + 1 &amp; ":D"), 0) + E29, 
  MATCH(D30, 'Referral Test Data CRLN'!D30:D83, 0)
)</f>
        <v>81</v>
      </c>
      <c r="F30" s="29">
        <f>IF(ISBLANK(E31),COUNTA('Referral Test Data CRLN'!D$2:D83)-SUM(F$2:F29),E31-E30)</f>
        <v>4</v>
      </c>
      <c r="G30" s="29">
        <f>IFERROR(VLOOKUP(D30,'ALL Pos and Incl IMPORT'!Q$2:U83,5,FALSE),0)</f>
        <v>2</v>
      </c>
      <c r="H30" s="30"/>
      <c r="I30" s="31" t="str">
        <f t="array" ref="I30">INDEX('Referral Test Data CRLN'!$C$1:$Q83,$E30,15)</f>
        <v>FLB6807</v>
      </c>
      <c r="J30" s="32" t="str">
        <f>VLOOKUP(I30,'Pos and Incl IMPORT'!B$2:U$83,20,FALSE)</f>
        <v>INDIV</v>
      </c>
      <c r="K30" s="33" t="str">
        <f>IFERROR(__xludf.DUMMYFUNCTION("VLOOKUP(I30,IMPORTRANGE('ALL Pos and Incl IMPORT'!$A$2,""ALL Tube Results!A2:F""),6,FALSE)"),"Positive")</f>
        <v>Positive</v>
      </c>
      <c r="L30" s="34">
        <f>IFERROR(__xludf.DUMMYFUNCTION("VLOOKUP(I30,IMPORTRANGE('ALL Pos and Incl IMPORT'!$A$2,""ALL Tube Results!A2:F""),3,FALSE)"),44700.0)</f>
        <v>44700</v>
      </c>
      <c r="M30" s="35">
        <f t="array" ref="M30">INDEX('Referral Test Data CRLN'!$C$1:$P83,$E30,3)</f>
        <v>44697</v>
      </c>
      <c r="N30" s="59" t="b">
        <v>1</v>
      </c>
      <c r="O30" s="36" t="str">
        <f>U30</f>
        <v>Positive</v>
      </c>
      <c r="P30" s="60" t="str">
        <f t="array" ref="P30">INDEX('Referral Test Data CRLN'!$C$1:$P83,$E30,7)</f>
        <v>Antigen</v>
      </c>
      <c r="Q30" s="60" t="str">
        <f t="array" ref="Q30">INDEX('Referral Test Data CRLN'!$C$1:$P83,$E30,9)</f>
        <v>Negative</v>
      </c>
      <c r="R30" s="60" t="str">
        <f t="array" ref="R30">IF(OR($E30+1&lt;$E31, AND(ISBLANK($E31), ($E30-1)&lt;COUNT(#REF!))), INDEX('Referral Test Data CRLN'!$C$1:$P83,$E30+1,7), IFERROR(0/0,""))
</f>
        <v>Antigen</v>
      </c>
      <c r="S30" s="60" t="str">
        <f t="array" ref="S30">IF(OR($E30+1&lt;$E31, AND(ISBLANK($E31), ($E30-1)&lt;COUNT(#REF!))), INDEX('Referral Test Data CRLN'!$C$1:$P83,$E30+1,9),IFERROR(0/0,""))</f>
        <v>Negative</v>
      </c>
      <c r="T30" s="61" t="s">
        <v>46</v>
      </c>
      <c r="U30" s="61" t="s">
        <v>37</v>
      </c>
      <c r="V30" s="47">
        <v>29.0</v>
      </c>
      <c r="W30" s="27"/>
      <c r="X30" s="40" t="b">
        <v>1</v>
      </c>
      <c r="Y30" s="52" t="b">
        <f t="shared" si="7"/>
        <v>1</v>
      </c>
      <c r="Z30" s="50" t="s">
        <v>43</v>
      </c>
      <c r="AA30" s="41" t="s">
        <v>68</v>
      </c>
      <c r="AB30" s="31"/>
      <c r="AC30" s="31"/>
      <c r="AD30" s="31"/>
      <c r="AE30" s="31"/>
      <c r="AF30" s="31"/>
      <c r="AG30" s="31"/>
      <c r="AH30" s="31"/>
      <c r="AI30" s="31"/>
      <c r="AJ30" s="31"/>
      <c r="AK30" s="31"/>
    </row>
    <row r="31">
      <c r="A31" s="9"/>
      <c r="B31" s="9"/>
      <c r="C31" s="26"/>
      <c r="D31" s="26" t="str">
        <f>IFERROR(__xludf.DUMMYFUNCTION("""COMPUTED_VALUE"""),"FLMP942437")</f>
        <v>FLMP942437</v>
      </c>
      <c r="E31" s="12">
        <f t="array" ref="E31">IFERROR(
  MATCH(D31, INDIRECT("'Referral Test Data CRLN'!D" &amp; E30 + 1 &amp; ":D"), 0) + E30, 
  MATCH(D31, 'Referral Test Data CRLN'!D31:D83, 0)
)</f>
        <v>85</v>
      </c>
      <c r="F31" s="12">
        <f>IF(ISBLANK(E32),COUNTA('Referral Test Data CRLN'!D$2:D83)-SUM(F$2:F30),E32-E31)</f>
        <v>1</v>
      </c>
      <c r="G31" s="12">
        <f>IFERROR(VLOOKUP(D31,'ALL Pos and Incl IMPORT'!Q$2:U83,5,FALSE),0)</f>
        <v>0</v>
      </c>
      <c r="H31" s="13"/>
      <c r="I31" s="20" t="s">
        <v>69</v>
      </c>
      <c r="J31" s="14"/>
      <c r="K31" s="62"/>
      <c r="L31" s="63"/>
      <c r="M31" s="18">
        <f t="array" ref="M31">INDEX('Referral Test Data CRLN'!$C$1:$P83,$E31,3)</f>
        <v>44697</v>
      </c>
      <c r="N31" s="9" t="b">
        <f t="shared" ref="N31:N32" si="9">IF(AND(EXACT(P31,"Antigen"),EXACT(Q31,"Negative"),OR(EXACT(S31,"Positive"),EXACT(U31,"Positive"))),TRUE,FALSE)</f>
        <v>0</v>
      </c>
      <c r="O31" s="46" t="str">
        <f t="shared" ref="O31:O32" si="10">Q31</f>
        <v>Positive</v>
      </c>
      <c r="P31" s="46" t="str">
        <f t="array" ref="P31">INDEX('Referral Test Data CRLN'!$C$1:$P83,$E31,7)</f>
        <v>Antigen</v>
      </c>
      <c r="Q31" s="46" t="str">
        <f t="array" ref="Q31">INDEX('Referral Test Data CRLN'!$C$1:$P83,$E31,9)</f>
        <v>Positive</v>
      </c>
      <c r="R31" s="21" t="str">
        <f t="array" ref="R31">IF(OR($E31+1&lt;$E32, AND(ISBLANK($E32), ($E31-1)&lt;COUNT(#REF!))), INDEX('Referral Test Data CRLN'!$C$1:$P83,$E31+1,7), IFERROR(0/0,""))
</f>
        <v/>
      </c>
      <c r="S31" s="21" t="str">
        <f t="array" ref="S31">IF(OR($E31+1&lt;$E32, AND(ISBLANK($E32), ($E31-1)&lt;COUNT(#REF!))), INDEX('Referral Test Data CRLN'!$C$1:$P83,$E31+1,9),IFERROR(0/0,""))</f>
        <v/>
      </c>
      <c r="T31" s="21" t="str">
        <f t="array" ref="T31">IF(OR($E31+2&lt;$E32, AND(ISBLANK($E32), ($E31-1)&lt;COUNT(#REF!))), INDEX('Referral Test Data CRLN'!$C$1:$P83,$E31+2,7),IFERROR(0/0,""))</f>
        <v/>
      </c>
      <c r="U31" s="21" t="str">
        <f t="array" ref="U31">IF(OR($E31+2&lt;$E32, AND(ISBLANK($E32), ($E31-1)&lt;COUNT(#REF!))), INDEX('Referral Test Data CRLN'!$C$1:$P83,$E31+2,9),IFERROR(0/0,""))</f>
        <v/>
      </c>
      <c r="V31" s="48">
        <v>30.0</v>
      </c>
      <c r="W31" s="9"/>
      <c r="X31" s="45" t="b">
        <v>1</v>
      </c>
      <c r="Y31" s="54" t="b">
        <f t="shared" si="7"/>
        <v>0</v>
      </c>
      <c r="Z31" s="48"/>
    </row>
    <row r="32">
      <c r="A32" s="9"/>
      <c r="B32" s="9"/>
      <c r="C32" s="26"/>
      <c r="D32" s="26" t="str">
        <f>IFERROR(__xludf.DUMMYFUNCTION("""COMPUTED_VALUE"""),"FLMP290315")</f>
        <v>FLMP290315</v>
      </c>
      <c r="E32" s="12">
        <f t="array" ref="E32">IFERROR(
  MATCH(D32, INDIRECT("'Referral Test Data CRLN'!D" &amp; E31 + 1 &amp; ":D"), 0) + E31, 
  MATCH(D32, 'Referral Test Data CRLN'!D32:D83, 0)
)</f>
        <v>86</v>
      </c>
      <c r="F32" s="12">
        <f>IF(ISBLANK(E33),COUNTA('Referral Test Data CRLN'!D$2:D83)-SUM(F$2:F31),E33-E32)</f>
        <v>1</v>
      </c>
      <c r="G32" s="12">
        <f>IFERROR(VLOOKUP(D32,'ALL Pos and Incl IMPORT'!Q$2:U83,5,FALSE),0)</f>
        <v>0</v>
      </c>
      <c r="H32" s="13"/>
      <c r="I32" s="20" t="s">
        <v>69</v>
      </c>
      <c r="J32" s="14"/>
      <c r="K32" s="62"/>
      <c r="L32" s="63"/>
      <c r="M32" s="18">
        <f t="array" ref="M32">INDEX('Referral Test Data CRLN'!$C$1:$P83,$E32,3)</f>
        <v>44697</v>
      </c>
      <c r="N32" s="9" t="b">
        <f t="shared" si="9"/>
        <v>0</v>
      </c>
      <c r="O32" s="44" t="str">
        <f t="shared" si="10"/>
        <v>Negative</v>
      </c>
      <c r="P32" s="44" t="str">
        <f t="array" ref="P32">INDEX('Referral Test Data CRLN'!$C$1:$P83,$E32,7)</f>
        <v>Antigen</v>
      </c>
      <c r="Q32" s="44" t="str">
        <f t="array" ref="Q32">INDEX('Referral Test Data CRLN'!$C$1:$P83,$E32,9)</f>
        <v>Negative</v>
      </c>
      <c r="R32" s="21" t="str">
        <f t="array" ref="R32">IF(OR($E32+1&lt;$E33, AND(ISBLANK($E33), ($E32-1)&lt;COUNT(#REF!))), INDEX('Referral Test Data CRLN'!$C$1:$P83,$E32+1,7), IFERROR(0/0,""))
</f>
        <v/>
      </c>
      <c r="S32" s="21" t="str">
        <f t="array" ref="S32">IF(OR($E32+1&lt;$E33, AND(ISBLANK($E33), ($E32-1)&lt;COUNT(#REF!))), INDEX('Referral Test Data CRLN'!$C$1:$P83,$E32+1,9),IFERROR(0/0,""))</f>
        <v/>
      </c>
      <c r="T32" s="21" t="str">
        <f t="array" ref="T32">IF(OR($E32+2&lt;$E33, AND(ISBLANK($E33), ($E32-1)&lt;COUNT(#REF!))), INDEX('Referral Test Data CRLN'!$C$1:$P83,$E32+2,7),IFERROR(0/0,""))</f>
        <v/>
      </c>
      <c r="U32" s="21" t="str">
        <f t="array" ref="U32">IF(OR($E32+2&lt;$E33, AND(ISBLANK($E33), ($E32-1)&lt;COUNT(#REF!))), INDEX('Referral Test Data CRLN'!$C$1:$P83,$E32+2,9),IFERROR(0/0,""))</f>
        <v/>
      </c>
      <c r="V32" s="48">
        <v>31.0</v>
      </c>
      <c r="W32" s="9"/>
      <c r="X32" s="45" t="b">
        <v>1</v>
      </c>
      <c r="Y32" s="54" t="b">
        <f t="shared" si="7"/>
        <v>0</v>
      </c>
      <c r="Z32" s="48"/>
    </row>
    <row r="33">
      <c r="D33" s="21"/>
      <c r="E33" s="48"/>
      <c r="F33" s="48"/>
      <c r="G33" s="48"/>
      <c r="H33" s="48"/>
      <c r="I33" s="62"/>
      <c r="J33" s="62"/>
      <c r="K33" s="62"/>
      <c r="L33" s="63"/>
    </row>
    <row r="34">
      <c r="E34" s="48"/>
      <c r="F34" s="48"/>
      <c r="G34" s="48"/>
      <c r="H34" s="48"/>
      <c r="I34" s="62"/>
      <c r="J34" s="62"/>
      <c r="K34" s="62"/>
      <c r="L34" s="63"/>
    </row>
    <row r="35">
      <c r="E35" s="48"/>
      <c r="F35" s="48"/>
      <c r="G35" s="48"/>
      <c r="H35" s="48"/>
      <c r="I35" s="62"/>
      <c r="J35" s="62"/>
      <c r="K35" s="62"/>
      <c r="L35" s="63"/>
    </row>
    <row r="36">
      <c r="E36" s="48"/>
      <c r="F36" s="48"/>
      <c r="G36" s="48"/>
      <c r="H36" s="48"/>
      <c r="I36" s="62"/>
      <c r="J36" s="62"/>
      <c r="K36" s="62"/>
      <c r="L36" s="63"/>
      <c r="Y36" s="8" t="s">
        <v>70</v>
      </c>
      <c r="Z36" s="8" t="s">
        <v>71</v>
      </c>
      <c r="AA36" s="14"/>
    </row>
    <row r="37">
      <c r="G37" s="48"/>
      <c r="H37" s="48"/>
      <c r="I37" s="62"/>
      <c r="J37" s="62"/>
      <c r="K37" s="62"/>
      <c r="L37" s="63"/>
      <c r="Y37" s="14"/>
      <c r="Z37" s="64">
        <v>8.0</v>
      </c>
      <c r="AA37" s="14" t="s">
        <v>72</v>
      </c>
    </row>
    <row r="38">
      <c r="X38" s="65"/>
      <c r="Y38" s="64" t="s">
        <v>73</v>
      </c>
      <c r="Z38" s="66">
        <v>4.0</v>
      </c>
      <c r="AA38" s="14" t="s">
        <v>74</v>
      </c>
    </row>
    <row r="39">
      <c r="H39" s="14" t="s">
        <v>75</v>
      </c>
      <c r="X39" s="65"/>
      <c r="Y39" s="64" t="s">
        <v>76</v>
      </c>
      <c r="Z39" s="66">
        <v>4.0</v>
      </c>
      <c r="AA39" s="14" t="s">
        <v>77</v>
      </c>
    </row>
    <row r="40">
      <c r="H40" s="14" t="s">
        <v>78</v>
      </c>
      <c r="X40" s="65"/>
      <c r="Y40" s="65"/>
      <c r="Z40" s="66">
        <v>0.0</v>
      </c>
      <c r="AA40" s="14" t="s">
        <v>79</v>
      </c>
    </row>
    <row r="41">
      <c r="H41" s="14" t="s">
        <v>80</v>
      </c>
    </row>
    <row r="42">
      <c r="H42" s="48"/>
    </row>
    <row r="51">
      <c r="C51" s="67" t="s">
        <v>81</v>
      </c>
      <c r="D51" s="67"/>
      <c r="K51" s="21" t="str">
        <f>IF(G2=1, IFERROR(VLOOKUP(C2, #REF!, 6, FALSE), IFERROR(VLOOKUP(C2, #REF!, 5, FALSE), IFERROR(VLOOKUP(C2, #REF!, 4, FALSE), IFERROR(VLOOKUP(C2, #REF!, 3, FALSE), "error - 1 but not found")))),"LOOKUP")</f>
        <v>error - 1 but not found</v>
      </c>
    </row>
  </sheetData>
  <conditionalFormatting sqref="G1:G83">
    <cfRule type="cellIs" dxfId="0" priority="1" operator="greaterThanOrEqual">
      <formula>2</formula>
    </cfRule>
  </conditionalFormatting>
  <conditionalFormatting sqref="G1:G83">
    <cfRule type="cellIs" dxfId="1" priority="2" operator="equal">
      <formula>0</formula>
    </cfRule>
  </conditionalFormatting>
  <conditionalFormatting sqref="N2:N83">
    <cfRule type="cellIs" dxfId="2" priority="3" operator="equal">
      <formula>"TRUE"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8.75"/>
    <col customWidth="1" min="5" max="5" width="15.88"/>
    <col customWidth="1" min="15" max="15" width="30.0"/>
  </cols>
  <sheetData>
    <row r="1">
      <c r="A1" s="6" t="s">
        <v>0</v>
      </c>
      <c r="B1" s="6" t="s">
        <v>1</v>
      </c>
      <c r="C1" s="6" t="s">
        <v>1</v>
      </c>
      <c r="D1" s="68" t="s">
        <v>3</v>
      </c>
      <c r="E1" s="6" t="s">
        <v>82</v>
      </c>
      <c r="F1" s="6" t="s">
        <v>83</v>
      </c>
      <c r="G1" s="6" t="s">
        <v>84</v>
      </c>
      <c r="H1" s="6" t="s">
        <v>85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  <c r="N1" s="69" t="s">
        <v>91</v>
      </c>
      <c r="O1" s="8" t="s">
        <v>92</v>
      </c>
      <c r="P1" s="6" t="s">
        <v>93</v>
      </c>
      <c r="Q1" s="70" t="s">
        <v>94</v>
      </c>
    </row>
    <row r="2">
      <c r="C2" s="71"/>
      <c r="D2" s="72" t="s">
        <v>95</v>
      </c>
      <c r="E2" s="73">
        <v>44924.0</v>
      </c>
      <c r="F2" s="74"/>
      <c r="G2" s="73">
        <v>44924.0</v>
      </c>
      <c r="H2" s="20"/>
      <c r="I2" s="20" t="s">
        <v>45</v>
      </c>
      <c r="J2" s="20"/>
      <c r="K2" s="20" t="s">
        <v>37</v>
      </c>
      <c r="L2" s="20"/>
      <c r="M2" s="20"/>
      <c r="N2" s="48"/>
      <c r="O2" s="75"/>
      <c r="Q2" s="21" t="s">
        <v>24</v>
      </c>
    </row>
    <row r="3">
      <c r="C3" s="71"/>
      <c r="D3" s="76" t="s">
        <v>96</v>
      </c>
      <c r="E3" s="73">
        <v>44925.0</v>
      </c>
      <c r="F3" s="74"/>
      <c r="G3" s="73">
        <v>44925.0</v>
      </c>
      <c r="H3" s="20"/>
      <c r="I3" s="20" t="s">
        <v>45</v>
      </c>
      <c r="J3" s="20"/>
      <c r="K3" s="20" t="s">
        <v>37</v>
      </c>
      <c r="L3" s="20"/>
      <c r="M3" s="20"/>
      <c r="N3" s="48"/>
      <c r="O3" s="77" t="s">
        <v>97</v>
      </c>
      <c r="P3" s="20" t="s">
        <v>98</v>
      </c>
      <c r="Q3" s="78" t="s">
        <v>28</v>
      </c>
    </row>
    <row r="4">
      <c r="C4" s="71"/>
      <c r="D4" s="76" t="s">
        <v>99</v>
      </c>
      <c r="E4" s="73">
        <v>44925.0</v>
      </c>
      <c r="F4" s="74"/>
      <c r="G4" s="73">
        <v>44925.0</v>
      </c>
      <c r="H4" s="20"/>
      <c r="I4" s="20" t="s">
        <v>45</v>
      </c>
      <c r="J4" s="20"/>
      <c r="K4" s="20" t="s">
        <v>37</v>
      </c>
      <c r="L4" s="20"/>
      <c r="M4" s="20"/>
      <c r="N4" s="48"/>
      <c r="O4" s="77" t="s">
        <v>97</v>
      </c>
      <c r="Q4" s="21" t="s">
        <v>32</v>
      </c>
    </row>
    <row r="5">
      <c r="C5" s="71"/>
      <c r="D5" s="76" t="s">
        <v>100</v>
      </c>
      <c r="E5" s="73">
        <v>44562.0</v>
      </c>
      <c r="F5" s="74"/>
      <c r="G5" s="73">
        <v>44562.0</v>
      </c>
      <c r="H5" s="20"/>
      <c r="I5" s="20" t="s">
        <v>45</v>
      </c>
      <c r="J5" s="20"/>
      <c r="K5" s="20" t="s">
        <v>37</v>
      </c>
      <c r="L5" s="20"/>
      <c r="M5" s="20"/>
      <c r="N5" s="48"/>
      <c r="O5" s="75"/>
      <c r="Q5" s="21" t="s">
        <v>34</v>
      </c>
    </row>
    <row r="6">
      <c r="A6" s="41"/>
      <c r="B6" s="41"/>
      <c r="C6" s="79"/>
      <c r="D6" s="80" t="s">
        <v>101</v>
      </c>
      <c r="E6" s="81">
        <v>44564.0</v>
      </c>
      <c r="F6" s="82"/>
      <c r="G6" s="81">
        <v>44564.0</v>
      </c>
      <c r="H6" s="41"/>
      <c r="I6" s="41" t="s">
        <v>45</v>
      </c>
      <c r="J6" s="41"/>
      <c r="K6" s="41" t="s">
        <v>37</v>
      </c>
      <c r="L6" s="41"/>
      <c r="M6" s="41"/>
      <c r="N6" s="47"/>
      <c r="O6" s="83" t="s">
        <v>102</v>
      </c>
      <c r="P6" s="31"/>
      <c r="Q6" s="31" t="s">
        <v>36</v>
      </c>
    </row>
    <row r="7">
      <c r="C7" s="71"/>
      <c r="D7" s="76" t="s">
        <v>101</v>
      </c>
      <c r="E7" s="73">
        <v>44567.0</v>
      </c>
      <c r="F7" s="74"/>
      <c r="G7" s="73">
        <v>44567.0</v>
      </c>
      <c r="H7" s="20"/>
      <c r="I7" s="20" t="s">
        <v>46</v>
      </c>
      <c r="J7" s="20"/>
      <c r="K7" s="20" t="s">
        <v>37</v>
      </c>
      <c r="L7" s="20"/>
      <c r="M7" s="20"/>
      <c r="N7" s="48"/>
      <c r="O7" s="75"/>
      <c r="Q7" s="21" t="s">
        <v>36</v>
      </c>
    </row>
    <row r="8">
      <c r="C8" s="71"/>
      <c r="D8" s="76" t="s">
        <v>103</v>
      </c>
      <c r="E8" s="73">
        <v>44564.0</v>
      </c>
      <c r="F8" s="74"/>
      <c r="G8" s="73">
        <v>44564.0</v>
      </c>
      <c r="H8" s="20"/>
      <c r="I8" s="20" t="s">
        <v>45</v>
      </c>
      <c r="J8" s="20"/>
      <c r="K8" s="20" t="s">
        <v>104</v>
      </c>
      <c r="L8" s="20"/>
      <c r="M8" s="20"/>
      <c r="N8" s="48"/>
      <c r="O8" s="77" t="s">
        <v>102</v>
      </c>
      <c r="Q8" s="21" t="s">
        <v>36</v>
      </c>
    </row>
    <row r="9">
      <c r="C9" s="71"/>
      <c r="D9" s="76" t="s">
        <v>103</v>
      </c>
      <c r="E9" s="73">
        <v>44567.0</v>
      </c>
      <c r="F9" s="74"/>
      <c r="G9" s="73">
        <v>44567.0</v>
      </c>
      <c r="H9" s="20"/>
      <c r="I9" s="20" t="s">
        <v>46</v>
      </c>
      <c r="J9" s="20"/>
      <c r="K9" s="20" t="s">
        <v>104</v>
      </c>
      <c r="L9" s="20"/>
      <c r="M9" s="20"/>
      <c r="N9" s="48"/>
      <c r="O9" s="75"/>
      <c r="Q9" s="21" t="s">
        <v>36</v>
      </c>
    </row>
    <row r="10">
      <c r="C10" s="71"/>
      <c r="D10" s="76" t="s">
        <v>105</v>
      </c>
      <c r="E10" s="73">
        <v>44564.0</v>
      </c>
      <c r="F10" s="74"/>
      <c r="G10" s="73">
        <v>44564.0</v>
      </c>
      <c r="H10" s="20"/>
      <c r="I10" s="20" t="s">
        <v>45</v>
      </c>
      <c r="J10" s="20"/>
      <c r="K10" s="20" t="s">
        <v>37</v>
      </c>
      <c r="L10" s="20"/>
      <c r="M10" s="20"/>
      <c r="N10" s="48"/>
      <c r="O10" s="77" t="s">
        <v>102</v>
      </c>
      <c r="Q10" s="21" t="s">
        <v>36</v>
      </c>
    </row>
    <row r="11">
      <c r="C11" s="71"/>
      <c r="D11" s="76" t="s">
        <v>105</v>
      </c>
      <c r="E11" s="73">
        <v>44567.0</v>
      </c>
      <c r="F11" s="74"/>
      <c r="G11" s="73">
        <v>44567.0</v>
      </c>
      <c r="H11" s="20"/>
      <c r="I11" s="20" t="s">
        <v>46</v>
      </c>
      <c r="J11" s="20"/>
      <c r="K11" s="20" t="s">
        <v>37</v>
      </c>
      <c r="L11" s="20"/>
      <c r="M11" s="20"/>
      <c r="N11" s="48"/>
      <c r="O11" s="75"/>
      <c r="Q11" s="21" t="s">
        <v>36</v>
      </c>
    </row>
    <row r="12">
      <c r="A12" s="41"/>
      <c r="B12" s="41"/>
      <c r="C12" s="79"/>
      <c r="D12" s="80" t="s">
        <v>106</v>
      </c>
      <c r="E12" s="81">
        <v>44565.0</v>
      </c>
      <c r="F12" s="82"/>
      <c r="G12" s="81">
        <v>44565.0</v>
      </c>
      <c r="H12" s="41"/>
      <c r="I12" s="41" t="s">
        <v>45</v>
      </c>
      <c r="J12" s="41"/>
      <c r="K12" s="41" t="s">
        <v>37</v>
      </c>
      <c r="L12" s="41"/>
      <c r="M12" s="41" t="b">
        <v>1</v>
      </c>
      <c r="N12" s="47"/>
      <c r="O12" s="84"/>
      <c r="P12" s="31"/>
      <c r="Q12" s="31" t="s">
        <v>107</v>
      </c>
    </row>
    <row r="13">
      <c r="C13" s="71"/>
      <c r="D13" s="76" t="s">
        <v>106</v>
      </c>
      <c r="E13" s="73">
        <v>44568.0</v>
      </c>
      <c r="F13" s="74"/>
      <c r="G13" s="73">
        <v>44569.0</v>
      </c>
      <c r="H13" s="20"/>
      <c r="I13" s="20" t="s">
        <v>46</v>
      </c>
      <c r="J13" s="20"/>
      <c r="K13" s="20" t="s">
        <v>37</v>
      </c>
      <c r="L13" s="20"/>
      <c r="M13" s="20" t="b">
        <v>0</v>
      </c>
      <c r="N13" s="48"/>
      <c r="O13" s="75"/>
      <c r="Q13" s="21" t="s">
        <v>107</v>
      </c>
    </row>
    <row r="14">
      <c r="C14" s="71"/>
      <c r="D14" s="76" t="s">
        <v>106</v>
      </c>
      <c r="E14" s="73">
        <v>44575.0</v>
      </c>
      <c r="F14" s="74"/>
      <c r="G14" s="73">
        <v>44575.0</v>
      </c>
      <c r="H14" s="20"/>
      <c r="I14" s="20" t="s">
        <v>45</v>
      </c>
      <c r="J14" s="20"/>
      <c r="K14" s="20" t="s">
        <v>104</v>
      </c>
      <c r="L14" s="20"/>
      <c r="M14" s="20" t="b">
        <v>0</v>
      </c>
      <c r="N14" s="48"/>
      <c r="O14" s="75"/>
      <c r="Q14" s="21" t="s">
        <v>107</v>
      </c>
    </row>
    <row r="15">
      <c r="C15" s="71"/>
      <c r="D15" s="76" t="s">
        <v>108</v>
      </c>
      <c r="E15" s="73">
        <v>44565.0</v>
      </c>
      <c r="F15" s="74"/>
      <c r="G15" s="73">
        <v>44565.0</v>
      </c>
      <c r="H15" s="20"/>
      <c r="I15" s="20" t="s">
        <v>45</v>
      </c>
      <c r="J15" s="20"/>
      <c r="K15" s="20" t="s">
        <v>37</v>
      </c>
      <c r="L15" s="20"/>
      <c r="M15" s="20" t="b">
        <v>1</v>
      </c>
      <c r="N15" s="48"/>
      <c r="O15" s="75"/>
      <c r="Q15" s="21" t="s">
        <v>107</v>
      </c>
    </row>
    <row r="16">
      <c r="C16" s="71"/>
      <c r="D16" s="76" t="s">
        <v>108</v>
      </c>
      <c r="E16" s="73">
        <v>44567.0</v>
      </c>
      <c r="F16" s="74"/>
      <c r="G16" s="73">
        <v>44568.0</v>
      </c>
      <c r="H16" s="20"/>
      <c r="I16" s="20" t="s">
        <v>46</v>
      </c>
      <c r="J16" s="20"/>
      <c r="K16" s="20" t="s">
        <v>37</v>
      </c>
      <c r="L16" s="20"/>
      <c r="M16" s="20" t="b">
        <v>0</v>
      </c>
      <c r="N16" s="48"/>
      <c r="O16" s="75"/>
      <c r="Q16" s="21" t="s">
        <v>107</v>
      </c>
    </row>
    <row r="17">
      <c r="C17" s="71"/>
      <c r="D17" s="76" t="s">
        <v>108</v>
      </c>
      <c r="E17" s="73">
        <v>44574.0</v>
      </c>
      <c r="F17" s="74"/>
      <c r="G17" s="73">
        <v>44574.0</v>
      </c>
      <c r="H17" s="20"/>
      <c r="I17" s="20" t="s">
        <v>45</v>
      </c>
      <c r="J17" s="20"/>
      <c r="K17" s="20" t="s">
        <v>104</v>
      </c>
      <c r="L17" s="20"/>
      <c r="M17" s="20" t="b">
        <v>0</v>
      </c>
      <c r="N17" s="48"/>
      <c r="O17" s="75"/>
      <c r="Q17" s="21" t="s">
        <v>107</v>
      </c>
    </row>
    <row r="18">
      <c r="C18" s="71"/>
      <c r="D18" s="76" t="s">
        <v>108</v>
      </c>
      <c r="E18" s="73">
        <v>44575.0</v>
      </c>
      <c r="F18" s="74"/>
      <c r="G18" s="73">
        <v>44575.0</v>
      </c>
      <c r="H18" s="20"/>
      <c r="I18" s="20" t="s">
        <v>45</v>
      </c>
      <c r="J18" s="20"/>
      <c r="K18" s="20" t="s">
        <v>104</v>
      </c>
      <c r="L18" s="20"/>
      <c r="M18" s="20" t="b">
        <v>0</v>
      </c>
      <c r="N18" s="48"/>
      <c r="O18" s="75"/>
      <c r="Q18" s="21" t="s">
        <v>107</v>
      </c>
    </row>
    <row r="19">
      <c r="A19" s="85"/>
      <c r="B19" s="85"/>
      <c r="C19" s="86"/>
      <c r="D19" s="76" t="s">
        <v>109</v>
      </c>
      <c r="E19" s="87">
        <v>44563.0</v>
      </c>
      <c r="F19" s="88"/>
      <c r="G19" s="87">
        <v>44563.0</v>
      </c>
      <c r="H19" s="85"/>
      <c r="I19" s="85" t="s">
        <v>45</v>
      </c>
      <c r="J19" s="85" t="s">
        <v>110</v>
      </c>
      <c r="K19" s="85" t="s">
        <v>104</v>
      </c>
      <c r="L19" s="20"/>
      <c r="M19" s="20"/>
      <c r="N19" s="48"/>
      <c r="O19" s="75"/>
      <c r="Q19" s="21" t="s">
        <v>107</v>
      </c>
    </row>
    <row r="20">
      <c r="A20" s="85"/>
      <c r="B20" s="85"/>
      <c r="C20" s="86"/>
      <c r="D20" s="76" t="s">
        <v>109</v>
      </c>
      <c r="E20" s="87">
        <v>44564.0</v>
      </c>
      <c r="F20" s="88"/>
      <c r="G20" s="87">
        <v>44565.0</v>
      </c>
      <c r="H20" s="85"/>
      <c r="I20" s="85" t="s">
        <v>46</v>
      </c>
      <c r="J20" s="85"/>
      <c r="K20" s="85" t="s">
        <v>37</v>
      </c>
      <c r="L20" s="20"/>
      <c r="M20" s="20" t="b">
        <v>1</v>
      </c>
      <c r="N20" s="48"/>
      <c r="O20" s="75"/>
      <c r="Q20" s="21" t="s">
        <v>107</v>
      </c>
    </row>
    <row r="21">
      <c r="C21" s="71"/>
      <c r="D21" s="76" t="s">
        <v>109</v>
      </c>
      <c r="E21" s="73">
        <v>44575.0</v>
      </c>
      <c r="F21" s="74"/>
      <c r="G21" s="73">
        <v>44575.0</v>
      </c>
      <c r="H21" s="20"/>
      <c r="I21" s="20" t="s">
        <v>45</v>
      </c>
      <c r="J21" s="20"/>
      <c r="K21" s="20" t="s">
        <v>104</v>
      </c>
      <c r="L21" s="20"/>
      <c r="M21" s="20" t="b">
        <v>1</v>
      </c>
      <c r="N21" s="48"/>
      <c r="O21" s="75"/>
      <c r="Q21" s="21" t="s">
        <v>107</v>
      </c>
    </row>
    <row r="22">
      <c r="C22" s="71"/>
      <c r="D22" s="76" t="s">
        <v>111</v>
      </c>
      <c r="E22" s="73">
        <v>44563.0</v>
      </c>
      <c r="F22" s="74"/>
      <c r="G22" s="73">
        <v>44563.0</v>
      </c>
      <c r="H22" s="20"/>
      <c r="I22" s="20" t="s">
        <v>45</v>
      </c>
      <c r="J22" s="20" t="s">
        <v>110</v>
      </c>
      <c r="K22" s="20" t="s">
        <v>104</v>
      </c>
      <c r="L22" s="20"/>
      <c r="M22" s="20"/>
      <c r="N22" s="48"/>
      <c r="O22" s="75"/>
      <c r="Q22" s="21" t="s">
        <v>107</v>
      </c>
    </row>
    <row r="23">
      <c r="C23" s="71"/>
      <c r="D23" s="76" t="s">
        <v>111</v>
      </c>
      <c r="E23" s="73">
        <v>44565.0</v>
      </c>
      <c r="F23" s="74"/>
      <c r="G23" s="73">
        <v>44568.0</v>
      </c>
      <c r="H23" s="20"/>
      <c r="I23" s="20" t="s">
        <v>46</v>
      </c>
      <c r="J23" s="20"/>
      <c r="K23" s="20" t="s">
        <v>37</v>
      </c>
      <c r="L23" s="20"/>
      <c r="M23" s="20"/>
      <c r="N23" s="48"/>
      <c r="O23" s="75"/>
      <c r="Q23" s="21" t="s">
        <v>107</v>
      </c>
    </row>
    <row r="24">
      <c r="C24" s="71"/>
      <c r="D24" s="76" t="s">
        <v>111</v>
      </c>
      <c r="E24" s="73">
        <v>44575.0</v>
      </c>
      <c r="F24" s="74"/>
      <c r="G24" s="73">
        <v>44575.0</v>
      </c>
      <c r="H24" s="20"/>
      <c r="I24" s="20" t="s">
        <v>45</v>
      </c>
      <c r="J24" s="20"/>
      <c r="K24" s="20" t="s">
        <v>104</v>
      </c>
      <c r="L24" s="20"/>
      <c r="M24" s="20"/>
      <c r="N24" s="48"/>
      <c r="O24" s="75"/>
      <c r="Q24" s="21" t="s">
        <v>107</v>
      </c>
    </row>
    <row r="25">
      <c r="A25" s="41"/>
      <c r="B25" s="41"/>
      <c r="C25" s="79"/>
      <c r="D25" s="80" t="s">
        <v>112</v>
      </c>
      <c r="E25" s="81">
        <v>44566.0</v>
      </c>
      <c r="F25" s="82"/>
      <c r="G25" s="81">
        <v>44566.0</v>
      </c>
      <c r="H25" s="41"/>
      <c r="I25" s="41" t="s">
        <v>45</v>
      </c>
      <c r="J25" s="41" t="s">
        <v>110</v>
      </c>
      <c r="K25" s="41" t="s">
        <v>104</v>
      </c>
      <c r="L25" s="41"/>
      <c r="M25" s="41" t="b">
        <v>0</v>
      </c>
      <c r="N25" s="47"/>
      <c r="O25" s="84"/>
      <c r="P25" s="31"/>
      <c r="Q25" s="31" t="s">
        <v>113</v>
      </c>
    </row>
    <row r="26">
      <c r="C26" s="71"/>
      <c r="D26" s="76" t="s">
        <v>112</v>
      </c>
      <c r="E26" s="73">
        <v>44568.0</v>
      </c>
      <c r="F26" s="74"/>
      <c r="G26" s="73">
        <v>44568.0</v>
      </c>
      <c r="H26" s="20"/>
      <c r="I26" s="20" t="s">
        <v>45</v>
      </c>
      <c r="J26" s="20"/>
      <c r="K26" s="20" t="s">
        <v>104</v>
      </c>
      <c r="L26" s="20"/>
      <c r="M26" s="20" t="b">
        <v>0</v>
      </c>
      <c r="N26" s="48"/>
      <c r="O26" s="75"/>
      <c r="Q26" s="21" t="s">
        <v>113</v>
      </c>
    </row>
    <row r="27">
      <c r="A27" s="85"/>
      <c r="B27" s="85"/>
      <c r="C27" s="86"/>
      <c r="D27" s="76" t="s">
        <v>112</v>
      </c>
      <c r="E27" s="87">
        <v>44570.0</v>
      </c>
      <c r="F27" s="88"/>
      <c r="G27" s="87">
        <v>44570.0</v>
      </c>
      <c r="H27" s="85"/>
      <c r="I27" s="85" t="s">
        <v>45</v>
      </c>
      <c r="J27" s="85"/>
      <c r="K27" s="85" t="s">
        <v>37</v>
      </c>
      <c r="L27" s="20"/>
      <c r="M27" s="20" t="b">
        <v>1</v>
      </c>
      <c r="N27" s="48"/>
      <c r="O27" s="75"/>
      <c r="Q27" s="21" t="s">
        <v>113</v>
      </c>
    </row>
    <row r="28">
      <c r="C28" s="71"/>
      <c r="D28" s="76" t="s">
        <v>112</v>
      </c>
      <c r="E28" s="73">
        <v>44571.0</v>
      </c>
      <c r="F28" s="74"/>
      <c r="G28" s="73">
        <v>44577.0</v>
      </c>
      <c r="H28" s="20"/>
      <c r="I28" s="20" t="s">
        <v>46</v>
      </c>
      <c r="J28" s="20"/>
      <c r="K28" s="20" t="s">
        <v>37</v>
      </c>
      <c r="L28" s="20"/>
      <c r="M28" s="20"/>
      <c r="N28" s="48"/>
      <c r="O28" s="75"/>
      <c r="Q28" s="21" t="s">
        <v>113</v>
      </c>
    </row>
    <row r="29">
      <c r="C29" s="71"/>
      <c r="D29" s="76" t="s">
        <v>112</v>
      </c>
      <c r="E29" s="73">
        <v>44575.0</v>
      </c>
      <c r="F29" s="74"/>
      <c r="G29" s="73">
        <v>44575.0</v>
      </c>
      <c r="H29" s="20"/>
      <c r="I29" s="20" t="s">
        <v>45</v>
      </c>
      <c r="J29" s="20"/>
      <c r="K29" s="20" t="s">
        <v>37</v>
      </c>
      <c r="L29" s="20"/>
      <c r="M29" s="20" t="b">
        <v>1</v>
      </c>
      <c r="N29" s="48"/>
      <c r="O29" s="75"/>
      <c r="Q29" s="21" t="s">
        <v>113</v>
      </c>
    </row>
    <row r="30">
      <c r="C30" s="71"/>
      <c r="D30" s="76" t="s">
        <v>112</v>
      </c>
      <c r="E30" s="73">
        <v>44576.0</v>
      </c>
      <c r="F30" s="74"/>
      <c r="G30" s="73">
        <v>44576.0</v>
      </c>
      <c r="H30" s="20"/>
      <c r="I30" s="20" t="s">
        <v>45</v>
      </c>
      <c r="J30" s="20"/>
      <c r="K30" s="20" t="s">
        <v>37</v>
      </c>
      <c r="L30" s="20"/>
      <c r="M30" s="20" t="b">
        <v>1</v>
      </c>
      <c r="N30" s="48"/>
      <c r="O30" s="75"/>
      <c r="Q30" s="21" t="s">
        <v>113</v>
      </c>
    </row>
    <row r="31">
      <c r="C31" s="71"/>
      <c r="D31" s="76" t="s">
        <v>114</v>
      </c>
      <c r="E31" s="73">
        <v>44579.0</v>
      </c>
      <c r="F31" s="74"/>
      <c r="G31" s="73">
        <v>44579.0</v>
      </c>
      <c r="H31" s="20"/>
      <c r="I31" s="20" t="s">
        <v>45</v>
      </c>
      <c r="J31" s="20"/>
      <c r="K31" s="20" t="s">
        <v>37</v>
      </c>
      <c r="L31" s="20"/>
      <c r="M31" s="20"/>
      <c r="N31" s="48"/>
      <c r="O31" s="75"/>
      <c r="Q31" s="21" t="s">
        <v>115</v>
      </c>
    </row>
    <row r="32">
      <c r="C32" s="71"/>
      <c r="D32" s="76" t="s">
        <v>116</v>
      </c>
      <c r="E32" s="73">
        <v>44566.0</v>
      </c>
      <c r="F32" s="74"/>
      <c r="G32" s="73">
        <v>44566.0</v>
      </c>
      <c r="H32" s="20"/>
      <c r="I32" s="20" t="s">
        <v>45</v>
      </c>
      <c r="J32" s="20" t="s">
        <v>110</v>
      </c>
      <c r="K32" s="20" t="s">
        <v>104</v>
      </c>
      <c r="L32" s="20"/>
      <c r="M32" s="20" t="b">
        <v>0</v>
      </c>
      <c r="N32" s="48"/>
      <c r="O32" s="75"/>
      <c r="Q32" s="21" t="s">
        <v>117</v>
      </c>
    </row>
    <row r="33">
      <c r="A33" s="85"/>
      <c r="B33" s="85"/>
      <c r="C33" s="86"/>
      <c r="D33" s="76" t="s">
        <v>116</v>
      </c>
      <c r="E33" s="87">
        <v>44568.0</v>
      </c>
      <c r="F33" s="88"/>
      <c r="G33" s="87">
        <v>44568.0</v>
      </c>
      <c r="H33" s="85"/>
      <c r="I33" s="85" t="s">
        <v>45</v>
      </c>
      <c r="J33" s="85"/>
      <c r="K33" s="85" t="s">
        <v>37</v>
      </c>
      <c r="L33" s="20"/>
      <c r="M33" s="20" t="b">
        <v>1</v>
      </c>
      <c r="N33" s="48"/>
      <c r="O33" s="75"/>
      <c r="Q33" s="21" t="s">
        <v>117</v>
      </c>
    </row>
    <row r="34">
      <c r="C34" s="71"/>
      <c r="D34" s="76" t="s">
        <v>116</v>
      </c>
      <c r="E34" s="73">
        <v>44571.0</v>
      </c>
      <c r="F34" s="74"/>
      <c r="G34" s="73">
        <v>44579.0</v>
      </c>
      <c r="H34" s="20"/>
      <c r="I34" s="20" t="s">
        <v>46</v>
      </c>
      <c r="J34" s="20"/>
      <c r="K34" s="20" t="s">
        <v>37</v>
      </c>
      <c r="L34" s="20"/>
      <c r="M34" s="20"/>
      <c r="N34" s="48"/>
      <c r="O34" s="75"/>
      <c r="Q34" s="21" t="s">
        <v>117</v>
      </c>
    </row>
    <row r="35">
      <c r="C35" s="71"/>
      <c r="D35" s="76" t="s">
        <v>116</v>
      </c>
      <c r="E35" s="73">
        <v>44575.0</v>
      </c>
      <c r="F35" s="74"/>
      <c r="G35" s="73">
        <v>44575.0</v>
      </c>
      <c r="H35" s="20"/>
      <c r="I35" s="20" t="s">
        <v>45</v>
      </c>
      <c r="J35" s="20"/>
      <c r="K35" s="20" t="s">
        <v>104</v>
      </c>
      <c r="L35" s="20"/>
      <c r="M35" s="20" t="b">
        <v>1</v>
      </c>
      <c r="N35" s="48"/>
      <c r="O35" s="75"/>
      <c r="Q35" s="21" t="s">
        <v>117</v>
      </c>
    </row>
    <row r="36">
      <c r="A36" s="41"/>
      <c r="B36" s="41"/>
      <c r="C36" s="79"/>
      <c r="D36" s="80" t="s">
        <v>118</v>
      </c>
      <c r="E36" s="81">
        <v>44573.0</v>
      </c>
      <c r="F36" s="82"/>
      <c r="G36" s="81">
        <v>44574.0</v>
      </c>
      <c r="H36" s="41"/>
      <c r="I36" s="41" t="s">
        <v>46</v>
      </c>
      <c r="J36" s="41"/>
      <c r="K36" s="41" t="s">
        <v>104</v>
      </c>
      <c r="L36" s="41"/>
      <c r="M36" s="41"/>
      <c r="N36" s="47"/>
      <c r="O36" s="84"/>
      <c r="P36" s="31"/>
      <c r="Q36" s="31" t="s">
        <v>119</v>
      </c>
    </row>
    <row r="37">
      <c r="C37" s="71"/>
      <c r="D37" s="76" t="s">
        <v>120</v>
      </c>
      <c r="E37" s="73">
        <v>44565.0</v>
      </c>
      <c r="F37" s="74"/>
      <c r="G37" s="73">
        <v>44565.0</v>
      </c>
      <c r="H37" s="20"/>
      <c r="I37" s="20" t="s">
        <v>45</v>
      </c>
      <c r="J37" s="20" t="s">
        <v>121</v>
      </c>
      <c r="K37" s="20" t="s">
        <v>104</v>
      </c>
      <c r="L37" s="20"/>
      <c r="M37" s="20"/>
      <c r="N37" s="48"/>
      <c r="O37" s="75"/>
      <c r="Q37" s="21" t="s">
        <v>119</v>
      </c>
    </row>
    <row r="38">
      <c r="C38" s="71"/>
      <c r="D38" s="76" t="s">
        <v>120</v>
      </c>
      <c r="E38" s="73">
        <v>44572.0</v>
      </c>
      <c r="F38" s="74"/>
      <c r="G38" s="73">
        <v>44577.0</v>
      </c>
      <c r="H38" s="20"/>
      <c r="I38" s="20" t="s">
        <v>46</v>
      </c>
      <c r="J38" s="20"/>
      <c r="K38" s="20" t="s">
        <v>37</v>
      </c>
      <c r="L38" s="20"/>
      <c r="M38" s="20"/>
      <c r="N38" s="48"/>
      <c r="O38" s="75"/>
      <c r="Q38" s="21" t="s">
        <v>119</v>
      </c>
    </row>
    <row r="39">
      <c r="C39" s="71"/>
      <c r="D39" s="76" t="s">
        <v>120</v>
      </c>
      <c r="E39" s="73">
        <v>44576.0</v>
      </c>
      <c r="F39" s="74"/>
      <c r="G39" s="73">
        <v>44576.0</v>
      </c>
      <c r="H39" s="20"/>
      <c r="I39" s="20" t="s">
        <v>45</v>
      </c>
      <c r="J39" s="20"/>
      <c r="K39" s="20" t="s">
        <v>104</v>
      </c>
      <c r="L39" s="20"/>
      <c r="M39" s="20"/>
      <c r="N39" s="48"/>
      <c r="O39" s="75"/>
      <c r="Q39" s="21" t="s">
        <v>119</v>
      </c>
    </row>
    <row r="40">
      <c r="C40" s="71"/>
      <c r="D40" s="76" t="s">
        <v>120</v>
      </c>
      <c r="E40" s="73">
        <v>44600.0</v>
      </c>
      <c r="F40" s="74"/>
      <c r="G40" s="73">
        <v>44600.0</v>
      </c>
      <c r="H40" s="20"/>
      <c r="I40" s="20" t="s">
        <v>45</v>
      </c>
      <c r="J40" s="20"/>
      <c r="K40" s="20" t="s">
        <v>104</v>
      </c>
      <c r="L40" s="20"/>
      <c r="M40" s="20"/>
      <c r="N40" s="48"/>
      <c r="O40" s="75"/>
      <c r="Q40" s="21" t="s">
        <v>119</v>
      </c>
    </row>
    <row r="41">
      <c r="C41" s="71"/>
      <c r="D41" s="76" t="s">
        <v>122</v>
      </c>
      <c r="E41" s="73">
        <v>44573.0</v>
      </c>
      <c r="F41" s="74"/>
      <c r="G41" s="73">
        <v>44574.0</v>
      </c>
      <c r="H41" s="20"/>
      <c r="I41" s="20" t="s">
        <v>46</v>
      </c>
      <c r="J41" s="20"/>
      <c r="K41" s="20" t="s">
        <v>104</v>
      </c>
      <c r="L41" s="20"/>
      <c r="M41" s="20"/>
      <c r="N41" s="48"/>
      <c r="O41" s="75"/>
      <c r="Q41" s="21" t="s">
        <v>119</v>
      </c>
    </row>
    <row r="42">
      <c r="A42" s="41"/>
      <c r="B42" s="41"/>
      <c r="C42" s="89"/>
      <c r="D42" s="80" t="s">
        <v>123</v>
      </c>
      <c r="E42" s="81">
        <v>44683.0</v>
      </c>
      <c r="F42" s="82"/>
      <c r="G42" s="81">
        <v>44687.0</v>
      </c>
      <c r="H42" s="41"/>
      <c r="I42" s="41" t="s">
        <v>46</v>
      </c>
      <c r="J42" s="41"/>
      <c r="K42" s="90" t="s">
        <v>104</v>
      </c>
      <c r="L42" s="41"/>
      <c r="M42" s="41"/>
      <c r="N42" s="47"/>
      <c r="O42" s="84"/>
      <c r="P42" s="31"/>
      <c r="Q42" s="31" t="s">
        <v>124</v>
      </c>
    </row>
    <row r="43">
      <c r="C43" s="91"/>
      <c r="D43" s="76" t="s">
        <v>123</v>
      </c>
      <c r="E43" s="73">
        <v>44685.0</v>
      </c>
      <c r="F43" s="74"/>
      <c r="G43" s="73">
        <v>44685.0</v>
      </c>
      <c r="H43" s="20"/>
      <c r="I43" s="20" t="s">
        <v>45</v>
      </c>
      <c r="J43" s="20"/>
      <c r="K43" s="92" t="s">
        <v>104</v>
      </c>
      <c r="L43" s="20"/>
      <c r="M43" s="20"/>
      <c r="N43" s="48"/>
      <c r="O43" s="75"/>
      <c r="Q43" s="21" t="s">
        <v>124</v>
      </c>
    </row>
    <row r="44">
      <c r="C44" s="91"/>
      <c r="D44" s="76" t="s">
        <v>123</v>
      </c>
      <c r="E44" s="73">
        <v>44687.0</v>
      </c>
      <c r="F44" s="93"/>
      <c r="G44" s="73">
        <v>44687.0</v>
      </c>
      <c r="I44" s="20" t="s">
        <v>45</v>
      </c>
      <c r="K44" s="92" t="s">
        <v>104</v>
      </c>
      <c r="M44" s="48"/>
      <c r="N44" s="48"/>
      <c r="O44" s="75"/>
      <c r="Q44" s="21" t="s">
        <v>124</v>
      </c>
    </row>
    <row r="45">
      <c r="C45" s="91"/>
      <c r="D45" s="76" t="s">
        <v>123</v>
      </c>
      <c r="E45" s="73">
        <v>44688.0</v>
      </c>
      <c r="F45" s="74"/>
      <c r="G45" s="73">
        <v>44688.0</v>
      </c>
      <c r="H45" s="20"/>
      <c r="I45" s="20" t="s">
        <v>45</v>
      </c>
      <c r="K45" s="92" t="s">
        <v>104</v>
      </c>
      <c r="M45" s="48"/>
      <c r="N45" s="48"/>
      <c r="O45" s="75"/>
      <c r="Q45" s="21" t="s">
        <v>124</v>
      </c>
    </row>
    <row r="46">
      <c r="C46" s="91"/>
      <c r="D46" s="76" t="s">
        <v>123</v>
      </c>
      <c r="E46" s="73">
        <v>44688.0</v>
      </c>
      <c r="F46" s="74"/>
      <c r="G46" s="73">
        <v>44689.0</v>
      </c>
      <c r="H46" s="20"/>
      <c r="I46" s="20" t="s">
        <v>46</v>
      </c>
      <c r="K46" s="92" t="s">
        <v>104</v>
      </c>
      <c r="M46" s="48"/>
      <c r="N46" s="48"/>
      <c r="O46" s="75"/>
      <c r="Q46" s="21" t="s">
        <v>124</v>
      </c>
    </row>
    <row r="47">
      <c r="C47" s="91"/>
      <c r="D47" s="76" t="s">
        <v>123</v>
      </c>
      <c r="E47" s="73">
        <v>44689.0</v>
      </c>
      <c r="F47" s="74"/>
      <c r="G47" s="73">
        <v>44689.0</v>
      </c>
      <c r="H47" s="20"/>
      <c r="I47" s="20" t="s">
        <v>45</v>
      </c>
      <c r="K47" s="92" t="s">
        <v>104</v>
      </c>
      <c r="M47" s="48"/>
      <c r="N47" s="48"/>
      <c r="O47" s="75"/>
      <c r="Q47" s="21" t="s">
        <v>124</v>
      </c>
    </row>
    <row r="48">
      <c r="C48" s="94"/>
      <c r="D48" s="95" t="s">
        <v>123</v>
      </c>
      <c r="E48" s="96">
        <v>44690.0</v>
      </c>
      <c r="F48" s="97"/>
      <c r="G48" s="96">
        <v>44690.0</v>
      </c>
      <c r="H48" s="98"/>
      <c r="I48" s="98" t="s">
        <v>45</v>
      </c>
      <c r="J48" s="99"/>
      <c r="K48" s="100" t="s">
        <v>104</v>
      </c>
      <c r="M48" s="48"/>
      <c r="N48" s="48"/>
      <c r="O48" s="75"/>
      <c r="Q48" s="21" t="s">
        <v>124</v>
      </c>
    </row>
    <row r="49">
      <c r="C49" s="101"/>
      <c r="D49" s="80" t="s">
        <v>125</v>
      </c>
      <c r="E49" s="102">
        <v>44683.0</v>
      </c>
      <c r="F49" s="103"/>
      <c r="G49" s="102">
        <v>44683.0</v>
      </c>
      <c r="H49" s="104"/>
      <c r="I49" s="104" t="s">
        <v>45</v>
      </c>
      <c r="J49" s="60"/>
      <c r="K49" s="105" t="s">
        <v>104</v>
      </c>
      <c r="L49" s="20"/>
      <c r="M49" s="20"/>
      <c r="N49" s="48"/>
      <c r="O49" s="75"/>
      <c r="Q49" s="21" t="s">
        <v>124</v>
      </c>
    </row>
    <row r="50">
      <c r="C50" s="106"/>
      <c r="D50" s="76" t="s">
        <v>125</v>
      </c>
      <c r="E50" s="87">
        <v>44683.0</v>
      </c>
      <c r="F50" s="88"/>
      <c r="G50" s="87">
        <v>44683.0</v>
      </c>
      <c r="H50" s="85"/>
      <c r="I50" s="85" t="s">
        <v>46</v>
      </c>
      <c r="J50" s="85"/>
      <c r="K50" s="107" t="s">
        <v>37</v>
      </c>
      <c r="L50" s="20"/>
      <c r="M50" s="20"/>
      <c r="N50" s="48"/>
      <c r="O50" s="75"/>
      <c r="Q50" s="21" t="s">
        <v>124</v>
      </c>
    </row>
    <row r="51">
      <c r="C51" s="91"/>
      <c r="D51" s="76" t="s">
        <v>125</v>
      </c>
      <c r="E51" s="73">
        <v>44685.0</v>
      </c>
      <c r="F51" s="74"/>
      <c r="G51" s="73">
        <v>44685.0</v>
      </c>
      <c r="H51" s="20"/>
      <c r="I51" s="20" t="s">
        <v>45</v>
      </c>
      <c r="J51" s="20"/>
      <c r="K51" s="92" t="s">
        <v>37</v>
      </c>
      <c r="L51" s="20"/>
      <c r="M51" s="20"/>
      <c r="N51" s="48"/>
      <c r="O51" s="75"/>
      <c r="Q51" s="21" t="s">
        <v>124</v>
      </c>
    </row>
    <row r="52">
      <c r="C52" s="91"/>
      <c r="D52" s="76" t="s">
        <v>125</v>
      </c>
      <c r="E52" s="73">
        <v>44686.0</v>
      </c>
      <c r="F52" s="74"/>
      <c r="G52" s="73">
        <v>44686.0</v>
      </c>
      <c r="H52" s="20"/>
      <c r="I52" s="20" t="s">
        <v>45</v>
      </c>
      <c r="J52" s="20"/>
      <c r="K52" s="92" t="s">
        <v>37</v>
      </c>
      <c r="L52" s="20"/>
      <c r="M52" s="20"/>
      <c r="N52" s="48"/>
      <c r="O52" s="75"/>
      <c r="Q52" s="21" t="s">
        <v>124</v>
      </c>
    </row>
    <row r="53">
      <c r="C53" s="91"/>
      <c r="D53" s="76" t="s">
        <v>125</v>
      </c>
      <c r="E53" s="73">
        <v>44687.0</v>
      </c>
      <c r="F53" s="74"/>
      <c r="G53" s="73">
        <v>44687.0</v>
      </c>
      <c r="H53" s="20"/>
      <c r="I53" s="20" t="s">
        <v>45</v>
      </c>
      <c r="K53" s="92" t="s">
        <v>126</v>
      </c>
      <c r="M53" s="48"/>
      <c r="N53" s="48"/>
      <c r="O53" s="75"/>
      <c r="Q53" s="21" t="s">
        <v>124</v>
      </c>
    </row>
    <row r="54">
      <c r="C54" s="91"/>
      <c r="D54" s="76" t="s">
        <v>125</v>
      </c>
      <c r="E54" s="73">
        <v>44688.0</v>
      </c>
      <c r="F54" s="74"/>
      <c r="G54" s="73">
        <v>44688.0</v>
      </c>
      <c r="H54" s="20"/>
      <c r="I54" s="20" t="s">
        <v>45</v>
      </c>
      <c r="K54" s="92" t="s">
        <v>126</v>
      </c>
      <c r="M54" s="48"/>
      <c r="N54" s="48"/>
      <c r="O54" s="75"/>
      <c r="Q54" s="21" t="s">
        <v>124</v>
      </c>
    </row>
    <row r="55">
      <c r="C55" s="91"/>
      <c r="D55" s="76" t="s">
        <v>125</v>
      </c>
      <c r="E55" s="73">
        <v>44689.0</v>
      </c>
      <c r="F55" s="74"/>
      <c r="G55" s="73">
        <v>44689.0</v>
      </c>
      <c r="H55" s="20"/>
      <c r="I55" s="20" t="s">
        <v>45</v>
      </c>
      <c r="K55" s="92" t="s">
        <v>126</v>
      </c>
      <c r="M55" s="48"/>
      <c r="N55" s="48"/>
      <c r="O55" s="75"/>
      <c r="Q55" s="21" t="s">
        <v>124</v>
      </c>
    </row>
    <row r="56">
      <c r="C56" s="94"/>
      <c r="D56" s="95" t="s">
        <v>125</v>
      </c>
      <c r="E56" s="96">
        <v>44690.0</v>
      </c>
      <c r="F56" s="97"/>
      <c r="G56" s="96">
        <v>44690.0</v>
      </c>
      <c r="H56" s="98"/>
      <c r="I56" s="98" t="s">
        <v>45</v>
      </c>
      <c r="J56" s="99"/>
      <c r="K56" s="100" t="s">
        <v>126</v>
      </c>
      <c r="M56" s="48"/>
      <c r="N56" s="48"/>
      <c r="O56" s="75"/>
      <c r="Q56" s="21" t="s">
        <v>124</v>
      </c>
    </row>
    <row r="57">
      <c r="C57" s="89"/>
      <c r="D57" s="80" t="s">
        <v>127</v>
      </c>
      <c r="E57" s="81">
        <v>44683.0</v>
      </c>
      <c r="F57" s="82"/>
      <c r="G57" s="81">
        <v>44687.0</v>
      </c>
      <c r="H57" s="41"/>
      <c r="I57" s="41" t="s">
        <v>46</v>
      </c>
      <c r="J57" s="41"/>
      <c r="K57" s="90" t="s">
        <v>104</v>
      </c>
      <c r="L57" s="20"/>
      <c r="M57" s="20"/>
      <c r="N57" s="48"/>
      <c r="O57" s="75"/>
      <c r="Q57" s="21" t="s">
        <v>124</v>
      </c>
    </row>
    <row r="58">
      <c r="C58" s="91"/>
      <c r="D58" s="76" t="s">
        <v>127</v>
      </c>
      <c r="E58" s="73">
        <v>44685.0</v>
      </c>
      <c r="F58" s="74"/>
      <c r="G58" s="73">
        <v>44685.0</v>
      </c>
      <c r="H58" s="20"/>
      <c r="I58" s="20" t="s">
        <v>45</v>
      </c>
      <c r="J58" s="20"/>
      <c r="K58" s="92" t="s">
        <v>104</v>
      </c>
      <c r="L58" s="20"/>
      <c r="M58" s="20"/>
      <c r="N58" s="48"/>
      <c r="O58" s="75"/>
      <c r="Q58" s="21" t="s">
        <v>124</v>
      </c>
    </row>
    <row r="59">
      <c r="C59" s="91"/>
      <c r="D59" s="76" t="s">
        <v>127</v>
      </c>
      <c r="E59" s="73">
        <v>44687.0</v>
      </c>
      <c r="F59" s="74"/>
      <c r="G59" s="73">
        <v>44687.0</v>
      </c>
      <c r="H59" s="20"/>
      <c r="I59" s="20" t="s">
        <v>45</v>
      </c>
      <c r="K59" s="92" t="s">
        <v>104</v>
      </c>
      <c r="M59" s="48"/>
      <c r="N59" s="48"/>
      <c r="O59" s="75"/>
      <c r="Q59" s="21" t="s">
        <v>124</v>
      </c>
    </row>
    <row r="60">
      <c r="C60" s="91"/>
      <c r="D60" s="76" t="s">
        <v>127</v>
      </c>
      <c r="E60" s="73">
        <v>44688.0</v>
      </c>
      <c r="F60" s="74"/>
      <c r="G60" s="73">
        <v>44688.0</v>
      </c>
      <c r="H60" s="20"/>
      <c r="I60" s="20" t="s">
        <v>45</v>
      </c>
      <c r="K60" s="92" t="s">
        <v>104</v>
      </c>
      <c r="M60" s="48"/>
      <c r="N60" s="48"/>
      <c r="O60" s="75"/>
      <c r="Q60" s="21" t="s">
        <v>124</v>
      </c>
    </row>
    <row r="61">
      <c r="C61" s="91"/>
      <c r="D61" s="76" t="s">
        <v>127</v>
      </c>
      <c r="E61" s="73">
        <v>44688.0</v>
      </c>
      <c r="F61" s="74"/>
      <c r="G61" s="73">
        <v>44689.0</v>
      </c>
      <c r="H61" s="20"/>
      <c r="I61" s="20" t="s">
        <v>46</v>
      </c>
      <c r="K61" s="92" t="s">
        <v>104</v>
      </c>
      <c r="M61" s="48"/>
      <c r="N61" s="48"/>
      <c r="O61" s="75"/>
      <c r="Q61" s="21" t="s">
        <v>124</v>
      </c>
    </row>
    <row r="62">
      <c r="C62" s="91"/>
      <c r="D62" s="76" t="s">
        <v>127</v>
      </c>
      <c r="E62" s="73">
        <v>44689.0</v>
      </c>
      <c r="F62" s="74"/>
      <c r="G62" s="73">
        <v>44689.0</v>
      </c>
      <c r="H62" s="20"/>
      <c r="I62" s="20" t="s">
        <v>45</v>
      </c>
      <c r="K62" s="92" t="s">
        <v>104</v>
      </c>
      <c r="M62" s="48"/>
      <c r="N62" s="48"/>
      <c r="O62" s="75"/>
      <c r="Q62" s="21" t="s">
        <v>124</v>
      </c>
    </row>
    <row r="63">
      <c r="C63" s="94"/>
      <c r="D63" s="95" t="s">
        <v>127</v>
      </c>
      <c r="E63" s="96">
        <v>44690.0</v>
      </c>
      <c r="F63" s="97"/>
      <c r="G63" s="96">
        <v>44690.0</v>
      </c>
      <c r="H63" s="98"/>
      <c r="I63" s="98" t="s">
        <v>45</v>
      </c>
      <c r="J63" s="99"/>
      <c r="K63" s="100" t="s">
        <v>104</v>
      </c>
      <c r="M63" s="48"/>
      <c r="N63" s="48"/>
      <c r="O63" s="75"/>
      <c r="Q63" s="21" t="s">
        <v>124</v>
      </c>
    </row>
    <row r="64">
      <c r="C64" s="89"/>
      <c r="D64" s="80" t="s">
        <v>128</v>
      </c>
      <c r="E64" s="81">
        <v>44683.0</v>
      </c>
      <c r="F64" s="82"/>
      <c r="G64" s="81">
        <v>44687.0</v>
      </c>
      <c r="H64" s="41"/>
      <c r="I64" s="41" t="s">
        <v>46</v>
      </c>
      <c r="J64" s="41"/>
      <c r="K64" s="90" t="s">
        <v>104</v>
      </c>
      <c r="L64" s="20"/>
      <c r="M64" s="20"/>
      <c r="N64" s="48"/>
      <c r="O64" s="75"/>
      <c r="Q64" s="21" t="s">
        <v>124</v>
      </c>
    </row>
    <row r="65">
      <c r="C65" s="91"/>
      <c r="D65" s="76" t="s">
        <v>128</v>
      </c>
      <c r="E65" s="73">
        <v>44685.0</v>
      </c>
      <c r="F65" s="74"/>
      <c r="G65" s="73">
        <v>44685.0</v>
      </c>
      <c r="H65" s="20"/>
      <c r="I65" s="20" t="s">
        <v>45</v>
      </c>
      <c r="J65" s="20"/>
      <c r="K65" s="92" t="s">
        <v>104</v>
      </c>
      <c r="L65" s="20"/>
      <c r="M65" s="20"/>
      <c r="N65" s="48"/>
      <c r="O65" s="75"/>
      <c r="Q65" s="21" t="s">
        <v>124</v>
      </c>
    </row>
    <row r="66">
      <c r="C66" s="91"/>
      <c r="D66" s="76" t="s">
        <v>128</v>
      </c>
      <c r="E66" s="73">
        <v>44687.0</v>
      </c>
      <c r="F66" s="74"/>
      <c r="G66" s="73">
        <v>44687.0</v>
      </c>
      <c r="H66" s="20"/>
      <c r="I66" s="20" t="s">
        <v>45</v>
      </c>
      <c r="K66" s="92" t="s">
        <v>104</v>
      </c>
      <c r="M66" s="48"/>
      <c r="N66" s="48"/>
      <c r="O66" s="75"/>
      <c r="Q66" s="21" t="s">
        <v>124</v>
      </c>
    </row>
    <row r="67">
      <c r="C67" s="91"/>
      <c r="D67" s="76" t="s">
        <v>128</v>
      </c>
      <c r="E67" s="73">
        <v>44688.0</v>
      </c>
      <c r="F67" s="74"/>
      <c r="G67" s="73">
        <v>44688.0</v>
      </c>
      <c r="H67" s="20"/>
      <c r="I67" s="20" t="s">
        <v>45</v>
      </c>
      <c r="K67" s="92" t="s">
        <v>104</v>
      </c>
      <c r="M67" s="48"/>
      <c r="N67" s="48"/>
      <c r="O67" s="75"/>
      <c r="Q67" s="21" t="s">
        <v>124</v>
      </c>
    </row>
    <row r="68">
      <c r="C68" s="91"/>
      <c r="D68" s="76" t="s">
        <v>128</v>
      </c>
      <c r="E68" s="73">
        <v>44688.0</v>
      </c>
      <c r="F68" s="74"/>
      <c r="G68" s="73">
        <v>44689.0</v>
      </c>
      <c r="H68" s="20"/>
      <c r="I68" s="20" t="s">
        <v>46</v>
      </c>
      <c r="K68" s="92" t="s">
        <v>104</v>
      </c>
      <c r="M68" s="48"/>
      <c r="N68" s="48"/>
      <c r="O68" s="75"/>
      <c r="Q68" s="21" t="s">
        <v>124</v>
      </c>
    </row>
    <row r="69">
      <c r="C69" s="91"/>
      <c r="D69" s="76" t="s">
        <v>128</v>
      </c>
      <c r="E69" s="73">
        <v>44689.0</v>
      </c>
      <c r="F69" s="74"/>
      <c r="G69" s="73">
        <v>44689.0</v>
      </c>
      <c r="H69" s="20"/>
      <c r="I69" s="20" t="s">
        <v>45</v>
      </c>
      <c r="K69" s="92" t="s">
        <v>104</v>
      </c>
      <c r="M69" s="48"/>
      <c r="N69" s="48"/>
      <c r="O69" s="75"/>
      <c r="Q69" s="21" t="s">
        <v>124</v>
      </c>
    </row>
    <row r="70">
      <c r="C70" s="94"/>
      <c r="D70" s="95" t="s">
        <v>128</v>
      </c>
      <c r="E70" s="96">
        <v>44690.0</v>
      </c>
      <c r="F70" s="97"/>
      <c r="G70" s="96">
        <v>44690.0</v>
      </c>
      <c r="H70" s="98"/>
      <c r="I70" s="98" t="s">
        <v>45</v>
      </c>
      <c r="J70" s="99"/>
      <c r="K70" s="100" t="s">
        <v>104</v>
      </c>
      <c r="M70" s="48"/>
      <c r="N70" s="48"/>
      <c r="O70" s="75"/>
      <c r="Q70" s="21" t="s">
        <v>124</v>
      </c>
    </row>
    <row r="71">
      <c r="A71" s="41"/>
      <c r="B71" s="41"/>
      <c r="C71" s="79"/>
      <c r="D71" s="80" t="s">
        <v>129</v>
      </c>
      <c r="E71" s="81">
        <v>44690.0</v>
      </c>
      <c r="F71" s="82"/>
      <c r="G71" s="81">
        <v>44690.0</v>
      </c>
      <c r="H71" s="41"/>
      <c r="I71" s="41" t="s">
        <v>45</v>
      </c>
      <c r="J71" s="31"/>
      <c r="K71" s="41" t="s">
        <v>37</v>
      </c>
      <c r="L71" s="31"/>
      <c r="M71" s="47"/>
      <c r="N71" s="47"/>
      <c r="O71" s="84"/>
      <c r="P71" s="31"/>
      <c r="Q71" s="31" t="s">
        <v>57</v>
      </c>
    </row>
    <row r="72">
      <c r="C72" s="71"/>
      <c r="D72" s="76" t="s">
        <v>129</v>
      </c>
      <c r="E72" s="73">
        <v>44690.0</v>
      </c>
      <c r="F72" s="74"/>
      <c r="G72" s="73">
        <v>44691.0</v>
      </c>
      <c r="H72" s="20"/>
      <c r="I72" s="20" t="s">
        <v>46</v>
      </c>
      <c r="K72" s="20" t="s">
        <v>37</v>
      </c>
      <c r="M72" s="48"/>
      <c r="N72" s="48"/>
      <c r="O72" s="75"/>
      <c r="Q72" s="21" t="s">
        <v>57</v>
      </c>
    </row>
    <row r="73">
      <c r="C73" s="71"/>
      <c r="D73" s="76" t="s">
        <v>130</v>
      </c>
      <c r="E73" s="73">
        <v>44690.0</v>
      </c>
      <c r="F73" s="74"/>
      <c r="G73" s="73">
        <v>44690.0</v>
      </c>
      <c r="H73" s="20"/>
      <c r="I73" s="20" t="s">
        <v>45</v>
      </c>
      <c r="K73" s="20" t="s">
        <v>104</v>
      </c>
      <c r="M73" s="48"/>
      <c r="N73" s="48"/>
      <c r="O73" s="75"/>
      <c r="P73" s="108"/>
      <c r="Q73" s="21" t="s">
        <v>57</v>
      </c>
    </row>
    <row r="74">
      <c r="C74" s="71"/>
      <c r="D74" s="76" t="s">
        <v>130</v>
      </c>
      <c r="E74" s="73">
        <v>44690.0</v>
      </c>
      <c r="F74" s="74"/>
      <c r="G74" s="73">
        <v>44691.0</v>
      </c>
      <c r="H74" s="20"/>
      <c r="I74" s="20" t="s">
        <v>46</v>
      </c>
      <c r="K74" s="20" t="s">
        <v>104</v>
      </c>
      <c r="M74" s="48"/>
      <c r="N74" s="48"/>
      <c r="O74" s="75"/>
      <c r="Q74" s="21" t="s">
        <v>57</v>
      </c>
    </row>
    <row r="75">
      <c r="C75" s="71"/>
      <c r="D75" s="76" t="s">
        <v>131</v>
      </c>
      <c r="E75" s="73">
        <v>44690.0</v>
      </c>
      <c r="F75" s="74"/>
      <c r="G75" s="73">
        <v>44690.0</v>
      </c>
      <c r="H75" s="20"/>
      <c r="I75" s="20" t="s">
        <v>45</v>
      </c>
      <c r="K75" s="20" t="s">
        <v>104</v>
      </c>
      <c r="M75" s="48"/>
      <c r="N75" s="48"/>
      <c r="O75" s="75"/>
      <c r="P75" s="108"/>
      <c r="Q75" s="21" t="s">
        <v>57</v>
      </c>
    </row>
    <row r="76">
      <c r="C76" s="71"/>
      <c r="D76" s="76" t="s">
        <v>131</v>
      </c>
      <c r="E76" s="73">
        <v>44690.0</v>
      </c>
      <c r="F76" s="74"/>
      <c r="G76" s="73">
        <v>44691.0</v>
      </c>
      <c r="H76" s="20"/>
      <c r="I76" s="20" t="s">
        <v>46</v>
      </c>
      <c r="K76" s="20" t="s">
        <v>37</v>
      </c>
      <c r="M76" s="48"/>
      <c r="N76" s="48"/>
      <c r="O76" s="75"/>
      <c r="Q76" s="21" t="s">
        <v>57</v>
      </c>
    </row>
    <row r="77">
      <c r="A77" s="41"/>
      <c r="B77" s="41"/>
      <c r="C77" s="79"/>
      <c r="D77" s="80" t="s">
        <v>132</v>
      </c>
      <c r="E77" s="81">
        <v>44690.0</v>
      </c>
      <c r="F77" s="82"/>
      <c r="G77" s="81">
        <v>44691.0</v>
      </c>
      <c r="H77" s="41"/>
      <c r="I77" s="41" t="s">
        <v>46</v>
      </c>
      <c r="J77" s="31"/>
      <c r="K77" s="41" t="s">
        <v>37</v>
      </c>
      <c r="L77" s="31"/>
      <c r="M77" s="39" t="b">
        <v>0</v>
      </c>
      <c r="N77" s="47"/>
      <c r="O77" s="84"/>
      <c r="P77" s="109"/>
      <c r="Q77" s="31" t="s">
        <v>133</v>
      </c>
    </row>
    <row r="78">
      <c r="C78" s="71"/>
      <c r="D78" s="76" t="s">
        <v>134</v>
      </c>
      <c r="E78" s="73">
        <v>44690.0</v>
      </c>
      <c r="F78" s="74"/>
      <c r="G78" s="73">
        <v>44691.0</v>
      </c>
      <c r="H78" s="20"/>
      <c r="I78" s="20" t="s">
        <v>46</v>
      </c>
      <c r="K78" s="20" t="s">
        <v>104</v>
      </c>
      <c r="M78" s="48"/>
      <c r="N78" s="48"/>
      <c r="O78" s="75"/>
      <c r="P78" s="108"/>
      <c r="Q78" s="21" t="s">
        <v>133</v>
      </c>
    </row>
    <row r="79">
      <c r="C79" s="71"/>
      <c r="D79" s="76" t="s">
        <v>135</v>
      </c>
      <c r="E79" s="73">
        <v>44690.0</v>
      </c>
      <c r="F79" s="74"/>
      <c r="G79" s="73">
        <v>44691.0</v>
      </c>
      <c r="H79" s="20"/>
      <c r="I79" s="20" t="s">
        <v>46</v>
      </c>
      <c r="K79" s="20" t="s">
        <v>104</v>
      </c>
      <c r="M79" s="48"/>
      <c r="N79" s="48"/>
      <c r="O79" s="75"/>
      <c r="P79" s="108"/>
      <c r="Q79" s="21" t="s">
        <v>133</v>
      </c>
    </row>
    <row r="80">
      <c r="C80" s="71"/>
      <c r="D80" s="76" t="s">
        <v>136</v>
      </c>
      <c r="E80" s="73">
        <v>44690.0</v>
      </c>
      <c r="F80" s="74"/>
      <c r="G80" s="73">
        <v>44691.0</v>
      </c>
      <c r="H80" s="20"/>
      <c r="I80" s="20" t="s">
        <v>46</v>
      </c>
      <c r="K80" s="20" t="s">
        <v>104</v>
      </c>
      <c r="M80" s="48"/>
      <c r="N80" s="48"/>
      <c r="O80" s="110"/>
      <c r="P80" s="108"/>
      <c r="Q80" s="21" t="s">
        <v>133</v>
      </c>
    </row>
    <row r="81">
      <c r="A81" s="41"/>
      <c r="B81" s="41"/>
      <c r="C81" s="79"/>
      <c r="D81" s="80" t="s">
        <v>137</v>
      </c>
      <c r="E81" s="81">
        <v>44697.0</v>
      </c>
      <c r="F81" s="82"/>
      <c r="G81" s="81">
        <v>44697.0</v>
      </c>
      <c r="H81" s="41"/>
      <c r="I81" s="41" t="s">
        <v>45</v>
      </c>
      <c r="J81" s="31"/>
      <c r="K81" s="41" t="s">
        <v>104</v>
      </c>
      <c r="L81" s="31"/>
      <c r="M81" s="47"/>
      <c r="N81" s="47"/>
      <c r="O81" s="84"/>
      <c r="P81" s="31"/>
      <c r="Q81" s="31" t="s">
        <v>138</v>
      </c>
    </row>
    <row r="82">
      <c r="C82" s="71"/>
      <c r="D82" s="76" t="s">
        <v>137</v>
      </c>
      <c r="E82" s="73">
        <v>44698.0</v>
      </c>
      <c r="F82" s="93"/>
      <c r="G82" s="73">
        <v>44698.0</v>
      </c>
      <c r="I82" s="20" t="s">
        <v>45</v>
      </c>
      <c r="K82" s="20" t="s">
        <v>104</v>
      </c>
      <c r="M82" s="48"/>
      <c r="N82" s="48"/>
      <c r="O82" s="75"/>
      <c r="Q82" s="21" t="s">
        <v>138</v>
      </c>
    </row>
    <row r="83">
      <c r="C83" s="71"/>
      <c r="D83" s="76" t="s">
        <v>137</v>
      </c>
      <c r="E83" s="73">
        <v>44699.0</v>
      </c>
      <c r="F83" s="93"/>
      <c r="G83" s="73">
        <v>44699.0</v>
      </c>
      <c r="I83" s="20" t="s">
        <v>45</v>
      </c>
      <c r="K83" s="20" t="s">
        <v>104</v>
      </c>
      <c r="M83" s="48"/>
      <c r="N83" s="48"/>
      <c r="O83" s="75"/>
      <c r="Q83" s="21" t="s">
        <v>138</v>
      </c>
    </row>
    <row r="84">
      <c r="C84" s="71"/>
      <c r="D84" s="76" t="s">
        <v>137</v>
      </c>
      <c r="E84" s="73">
        <v>44700.0</v>
      </c>
      <c r="F84" s="93"/>
      <c r="G84" s="73">
        <v>44702.0</v>
      </c>
      <c r="I84" s="20" t="s">
        <v>46</v>
      </c>
      <c r="K84" s="20" t="s">
        <v>37</v>
      </c>
      <c r="M84" s="48"/>
      <c r="N84" s="48"/>
      <c r="O84" s="75"/>
      <c r="Q84" s="21" t="s">
        <v>138</v>
      </c>
    </row>
    <row r="85">
      <c r="C85" s="71"/>
      <c r="D85" s="76" t="s">
        <v>139</v>
      </c>
      <c r="E85" s="73">
        <v>44697.0</v>
      </c>
      <c r="F85" s="93"/>
      <c r="G85" s="73">
        <v>44697.0</v>
      </c>
      <c r="I85" s="20" t="s">
        <v>45</v>
      </c>
      <c r="K85" s="20" t="s">
        <v>37</v>
      </c>
      <c r="M85" s="48"/>
      <c r="N85" s="48"/>
      <c r="O85" s="75"/>
      <c r="Q85" s="21" t="s">
        <v>138</v>
      </c>
    </row>
    <row r="86">
      <c r="C86" s="71"/>
      <c r="D86" s="76" t="s">
        <v>140</v>
      </c>
      <c r="E86" s="73">
        <v>44697.0</v>
      </c>
      <c r="F86" s="93"/>
      <c r="G86" s="73">
        <v>44697.0</v>
      </c>
      <c r="I86" s="20" t="s">
        <v>45</v>
      </c>
      <c r="K86" s="20" t="s">
        <v>104</v>
      </c>
      <c r="M86" s="48"/>
      <c r="N86" s="48"/>
      <c r="O86" s="75"/>
      <c r="Q86" s="21" t="s">
        <v>138</v>
      </c>
    </row>
    <row r="87">
      <c r="C87" s="111"/>
      <c r="D87" s="112"/>
      <c r="E87" s="73"/>
      <c r="F87" s="93"/>
      <c r="G87" s="73"/>
      <c r="I87" s="20"/>
      <c r="K87" s="20"/>
      <c r="M87" s="48"/>
      <c r="N87" s="48"/>
      <c r="O87" s="75"/>
    </row>
    <row r="88">
      <c r="C88" s="111"/>
      <c r="D88" s="112"/>
      <c r="E88" s="73"/>
      <c r="F88" s="93"/>
      <c r="G88" s="73"/>
      <c r="I88" s="20"/>
      <c r="K88" s="20"/>
      <c r="M88" s="48"/>
      <c r="N88" s="48"/>
      <c r="O88" s="75"/>
    </row>
    <row r="89">
      <c r="C89" s="111"/>
      <c r="D89" s="112"/>
      <c r="E89" s="73"/>
      <c r="F89" s="93"/>
      <c r="G89" s="73"/>
      <c r="I89" s="20"/>
      <c r="K89" s="20"/>
      <c r="M89" s="48"/>
      <c r="N89" s="48"/>
      <c r="O89" s="75"/>
    </row>
    <row r="90">
      <c r="A90" s="20"/>
      <c r="B90" s="20"/>
      <c r="C90" s="111"/>
      <c r="D90" s="112"/>
      <c r="E90" s="73"/>
      <c r="F90" s="93"/>
      <c r="G90" s="73"/>
      <c r="I90" s="20"/>
      <c r="K90" s="20"/>
      <c r="M90" s="48"/>
      <c r="N90" s="48"/>
      <c r="O90" s="75"/>
    </row>
    <row r="91">
      <c r="A91" s="20"/>
      <c r="B91" s="20"/>
      <c r="C91" s="111"/>
      <c r="D91" s="112"/>
      <c r="E91" s="73"/>
      <c r="F91" s="93"/>
      <c r="G91" s="73"/>
      <c r="I91" s="20"/>
      <c r="K91" s="20"/>
      <c r="M91" s="48"/>
      <c r="N91" s="48"/>
      <c r="O91" s="75"/>
    </row>
    <row r="92">
      <c r="A92" s="20"/>
      <c r="B92" s="20"/>
      <c r="C92" s="111"/>
      <c r="D92" s="112"/>
      <c r="E92" s="73"/>
      <c r="F92" s="93"/>
      <c r="G92" s="73"/>
      <c r="I92" s="20"/>
      <c r="K92" s="20"/>
      <c r="M92" s="48"/>
      <c r="N92" s="48"/>
      <c r="O92" s="75"/>
    </row>
    <row r="93">
      <c r="A93" s="20"/>
      <c r="B93" s="20"/>
      <c r="C93" s="111"/>
      <c r="D93" s="112"/>
      <c r="E93" s="73"/>
      <c r="F93" s="93"/>
      <c r="G93" s="73"/>
      <c r="I93" s="20"/>
      <c r="K93" s="20"/>
      <c r="M93" s="48"/>
      <c r="N93" s="48"/>
      <c r="O93" s="75"/>
    </row>
    <row r="94">
      <c r="A94" s="20"/>
      <c r="B94" s="20"/>
      <c r="C94" s="111"/>
      <c r="D94" s="112"/>
      <c r="E94" s="73"/>
      <c r="F94" s="93"/>
      <c r="G94" s="73"/>
      <c r="I94" s="20"/>
      <c r="K94" s="20"/>
      <c r="M94" s="48"/>
      <c r="N94" s="48"/>
      <c r="O94" s="75"/>
    </row>
    <row r="95">
      <c r="A95" s="20"/>
      <c r="B95" s="20"/>
      <c r="C95" s="111"/>
      <c r="D95" s="112"/>
      <c r="E95" s="73"/>
      <c r="F95" s="93"/>
      <c r="G95" s="73"/>
      <c r="I95" s="20"/>
      <c r="K95" s="20"/>
      <c r="M95" s="48"/>
      <c r="N95" s="48"/>
      <c r="O95" s="75"/>
    </row>
    <row r="96">
      <c r="A96" s="20"/>
      <c r="B96" s="20"/>
      <c r="C96" s="111"/>
      <c r="D96" s="112"/>
      <c r="E96" s="73"/>
      <c r="F96" s="93"/>
      <c r="G96" s="73"/>
      <c r="I96" s="20"/>
      <c r="K96" s="20"/>
      <c r="M96" s="48"/>
      <c r="N96" s="48"/>
      <c r="O96" s="75"/>
    </row>
    <row r="97">
      <c r="A97" s="20"/>
      <c r="B97" s="20"/>
      <c r="C97" s="111"/>
      <c r="D97" s="112"/>
      <c r="E97" s="73"/>
      <c r="F97" s="93"/>
      <c r="G97" s="73"/>
      <c r="I97" s="20"/>
      <c r="K97" s="20"/>
      <c r="M97" s="48"/>
      <c r="N97" s="48"/>
      <c r="O97" s="75"/>
    </row>
    <row r="98">
      <c r="A98" s="20"/>
      <c r="B98" s="20"/>
      <c r="C98" s="111"/>
      <c r="D98" s="112"/>
      <c r="E98" s="73"/>
      <c r="F98" s="93"/>
      <c r="G98" s="73"/>
      <c r="I98" s="20"/>
      <c r="K98" s="20"/>
      <c r="M98" s="48"/>
      <c r="N98" s="48"/>
      <c r="O98" s="75"/>
    </row>
    <row r="99">
      <c r="A99" s="20"/>
      <c r="B99" s="20"/>
      <c r="C99" s="111"/>
      <c r="D99" s="112"/>
      <c r="E99" s="73"/>
      <c r="F99" s="93"/>
      <c r="G99" s="73"/>
      <c r="I99" s="20"/>
      <c r="K99" s="20"/>
      <c r="M99" s="48"/>
      <c r="N99" s="48"/>
      <c r="O99" s="75"/>
    </row>
    <row r="100">
      <c r="A100" s="20"/>
      <c r="B100" s="20"/>
      <c r="C100" s="111"/>
      <c r="D100" s="112"/>
      <c r="E100" s="73"/>
      <c r="F100" s="93"/>
      <c r="G100" s="73"/>
      <c r="I100" s="20"/>
      <c r="K100" s="20"/>
      <c r="M100" s="48"/>
      <c r="N100" s="48"/>
      <c r="O100" s="75"/>
    </row>
    <row r="101">
      <c r="A101" s="20"/>
      <c r="B101" s="20"/>
      <c r="C101" s="111"/>
      <c r="D101" s="112"/>
      <c r="E101" s="73"/>
      <c r="F101" s="93"/>
      <c r="G101" s="73"/>
      <c r="I101" s="20"/>
      <c r="K101" s="20"/>
      <c r="M101" s="48"/>
      <c r="N101" s="48"/>
      <c r="O101" s="75"/>
    </row>
    <row r="102">
      <c r="A102" s="20"/>
      <c r="B102" s="20"/>
      <c r="C102" s="111"/>
      <c r="D102" s="112"/>
      <c r="E102" s="73"/>
      <c r="F102" s="93"/>
      <c r="G102" s="73"/>
      <c r="I102" s="20"/>
      <c r="K102" s="20"/>
      <c r="M102" s="48"/>
      <c r="N102" s="48"/>
      <c r="O102" s="75"/>
    </row>
    <row r="103">
      <c r="A103" s="20"/>
      <c r="B103" s="20"/>
      <c r="C103" s="111"/>
      <c r="D103" s="112"/>
      <c r="E103" s="73"/>
      <c r="F103" s="93"/>
      <c r="G103" s="73"/>
      <c r="I103" s="20"/>
      <c r="K103" s="20"/>
      <c r="M103" s="48"/>
      <c r="N103" s="48"/>
      <c r="O103" s="75"/>
    </row>
    <row r="104">
      <c r="A104" s="20"/>
      <c r="B104" s="20"/>
      <c r="C104" s="111"/>
      <c r="D104" s="112"/>
      <c r="E104" s="73"/>
      <c r="F104" s="93"/>
      <c r="G104" s="73"/>
      <c r="I104" s="20"/>
      <c r="K104" s="20"/>
      <c r="M104" s="48"/>
      <c r="N104" s="48"/>
      <c r="O104" s="75"/>
    </row>
    <row r="105">
      <c r="A105" s="20"/>
      <c r="B105" s="20"/>
      <c r="C105" s="111"/>
      <c r="D105" s="112"/>
      <c r="E105" s="73"/>
      <c r="F105" s="93"/>
      <c r="G105" s="73"/>
      <c r="I105" s="20"/>
      <c r="K105" s="20"/>
      <c r="M105" s="48"/>
      <c r="N105" s="48"/>
      <c r="O105" s="75"/>
    </row>
    <row r="106">
      <c r="A106" s="20"/>
      <c r="B106" s="20"/>
      <c r="C106" s="111"/>
      <c r="D106" s="112"/>
      <c r="E106" s="73"/>
      <c r="F106" s="93"/>
      <c r="G106" s="73"/>
      <c r="I106" s="20"/>
      <c r="K106" s="20"/>
      <c r="M106" s="48"/>
      <c r="N106" s="48"/>
      <c r="O106" s="7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88"/>
    <col customWidth="1" min="3" max="4" width="20.5"/>
    <col customWidth="1" min="5" max="5" width="9.38"/>
    <col customWidth="1" min="6" max="6" width="15.25"/>
    <col customWidth="1" min="7" max="7" width="16.88"/>
    <col customWidth="1" min="8" max="8" width="10.5"/>
    <col customWidth="1" min="9" max="9" width="13.88"/>
    <col customWidth="1" min="10" max="10" width="11.0"/>
    <col customWidth="1" min="11" max="11" width="13.88"/>
    <col customWidth="1" min="22" max="22" width="5.0"/>
    <col customWidth="1" min="23" max="23" width="4.25"/>
    <col customWidth="1" min="25" max="25" width="10.75"/>
    <col customWidth="1" min="26" max="26" width="61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tr">
        <f>CONCATENATE(SUM(F2:F982), " Num Sequential Referral Tests")</f>
        <v>25 Num Sequential Referral Tests</v>
      </c>
      <c r="G1" s="3" t="s">
        <v>5</v>
      </c>
      <c r="H1" s="3" t="s">
        <v>6</v>
      </c>
      <c r="I1" s="3" t="s">
        <v>141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5"/>
      <c r="X1" s="6" t="str">
        <f>CONCATENATE(COUNTIF(X2:X982,TRUE), " Included in APS Pos and Incl?")</f>
        <v>8 Included in APS Pos and Incl?</v>
      </c>
      <c r="Y1" s="113" t="s">
        <v>21</v>
      </c>
      <c r="Z1" s="114" t="s">
        <v>23</v>
      </c>
    </row>
    <row r="2">
      <c r="A2" s="9" t="str">
        <f t="array" ref="A2">INDEX('Referral Test Data FLSP'!$A$1:$B982,$E2,1)</f>
        <v/>
      </c>
      <c r="B2" s="9" t="str">
        <f t="array" ref="B2">INDEX('Referral Test Data FLSP'!$A$1:$B982,$E2,2)</f>
        <v/>
      </c>
      <c r="C2" s="10" t="str">
        <f>IFERROR(__xludf.DUMMYFUNCTION("FILTER('Referral Test Data FLSP'!C2:C39, ('Referral Test Data FLSP'!C2:C39 &lt;&gt; 'Referral Test Data FLSP'!C1:C38))
"),"")</f>
        <v/>
      </c>
      <c r="D2" s="10" t="str">
        <f>IFERROR(__xludf.DUMMYFUNCTION("FILTER('Referral Test Data FLSP'!D2:D39, ('Referral Test Data FLSP'!D2:D39 &lt;&gt; 'Referral Test Data FLSP'!D1:D38))
"),"FLMP268140")</f>
        <v>FLMP268140</v>
      </c>
      <c r="E2" s="11">
        <f>MATCH(D2,'Referral Test Data FLSP'!D$1:D982,0)</f>
        <v>2</v>
      </c>
      <c r="F2" s="11">
        <f>IF(ISBLANK(E3),COUNTA('Referral Test Data FLSP'!D$2:D982)-SUM(F1:F$2),E3-E2)</f>
        <v>1</v>
      </c>
      <c r="G2" s="48">
        <f>IFERROR(VLOOKUP(D2,'ALL Pos and Incl IMPORT'!Q$2:U982,5,FALSE),0)</f>
        <v>0</v>
      </c>
      <c r="H2" s="13"/>
      <c r="I2" s="115">
        <v>351430.0</v>
      </c>
      <c r="J2" s="24" t="s">
        <v>142</v>
      </c>
      <c r="K2" s="65" t="s">
        <v>37</v>
      </c>
      <c r="L2" s="116">
        <v>44211.0</v>
      </c>
      <c r="M2" s="18">
        <f t="array" ref="M2">INDEX('Referral Test Data FLSP'!$C$1:$P982,$E2,3)</f>
        <v>44211</v>
      </c>
      <c r="N2" s="9" t="b">
        <f t="shared" ref="N2:N5" si="1">IF(AND(EXACT(P2,"Antigen"),EXACT(Q2,"Negative"),OR(EXACT(S2,"Positive"),EXACT(U2,"Positive"))),TRUE,FALSE)</f>
        <v>0</v>
      </c>
      <c r="O2" s="46" t="str">
        <f>Q2</f>
        <v>Positive</v>
      </c>
      <c r="P2" s="46" t="str">
        <f t="array" ref="P2">INDEX('Referral Test Data FLSP'!$C$1:$P982,$E2,7)</f>
        <v>Direct PCR</v>
      </c>
      <c r="Q2" s="46" t="str">
        <f t="array" ref="Q2">INDEX('Referral Test Data FLSP'!$C$1:$P982,$E2,9)</f>
        <v>Positive</v>
      </c>
      <c r="R2" s="21" t="str">
        <f t="array" ref="R2">IF(OR($E2+1&lt;$E3, AND(ISBLANK($E3), ($E2-1)&lt;COUNT(#REF!))), INDEX('Referral Test Data FLSP'!$C$1:$P982,$E2+1,7), IFERROR(0/0,""))
</f>
        <v/>
      </c>
      <c r="S2" s="21" t="str">
        <f t="array" ref="S2">IF(OR($E2+1&lt;$E3, AND(ISBLANK($E3), ($E2-1)&lt;COUNT(#REF!))), INDEX('Referral Test Data FLSP'!$C$1:$P982,$E2+1,9),IFERROR(0/0,""))</f>
        <v/>
      </c>
      <c r="T2" s="21" t="str">
        <f t="array" ref="T2">IF(OR($E2+2&lt;$E3, AND(ISBLANK($E3), ($E2-1)&lt;COUNT(#REF!))), INDEX('Referral Test Data FLSP'!$C$1:$P982,$E2+2,7),IFERROR(0/0,""))</f>
        <v/>
      </c>
      <c r="U2" s="21" t="str">
        <f t="array" ref="U2">IF(OR($E2+2&lt;$E3, AND(ISBLANK($E3), ($E2-1)&lt;COUNT(#REF!))), INDEX('Referral Test Data FLSP'!$C$1:$P982,$E2+2,9),IFERROR(0/0,""))</f>
        <v/>
      </c>
      <c r="V2" s="22">
        <v>1.0</v>
      </c>
      <c r="X2" s="23" t="b">
        <v>1</v>
      </c>
      <c r="Y2" s="15" t="b">
        <f t="shared" ref="Y2:Y8" si="2">AND(OR(EXACT("Antigen",P2),EXACT("Antigen",R2),EXACT("Antigen",T2)),EXACT(J2,"INDIV"))</f>
        <v>0</v>
      </c>
      <c r="Z2" s="66" t="s">
        <v>143</v>
      </c>
    </row>
    <row r="3">
      <c r="A3" s="9" t="str">
        <f t="array" ref="A3">INDEX('Referral Test Data FLSP'!$A$1:$B982,$E3,1)</f>
        <v/>
      </c>
      <c r="B3" s="9" t="str">
        <f t="array" ref="B3">INDEX('Referral Test Data FLSP'!$A$1:$B982,$E3,2)</f>
        <v/>
      </c>
      <c r="C3" s="26"/>
      <c r="D3" s="26" t="str">
        <f>IFERROR(__xludf.DUMMYFUNCTION("""COMPUTED_VALUE"""),"FLMP466389")</f>
        <v>FLMP466389</v>
      </c>
      <c r="E3" s="12">
        <f t="array" ref="E3">IFERROR(
  MATCH(D3, INDIRECT("'Referral Test Data FLSP'!D" &amp; E2 + 1 &amp; ":D"), 0) + E2, 
  MATCH(D3, 'Referral Test Data FLSP'!D3:D982, 0)
)</f>
        <v>3</v>
      </c>
      <c r="F3" s="12">
        <f>IF(ISBLANK(E4),COUNTA('Referral Test Data FLSP'!D$2:D982)-SUM(F2:F$2),E4-E3)</f>
        <v>3</v>
      </c>
      <c r="G3" s="48">
        <f>IFERROR(VLOOKUP(D3,'ALL Pos and Incl IMPORT'!Q$2:U982,5,FALSE),0)</f>
        <v>3</v>
      </c>
      <c r="H3" s="13"/>
      <c r="I3" s="117" t="s">
        <v>144</v>
      </c>
      <c r="J3" s="118" t="str">
        <f>VLOOKUP(I3,'Pos and Incl IMPORT'!B$2:U$83,20,FALSE)</f>
        <v>INDIV</v>
      </c>
      <c r="K3" s="42" t="str">
        <f>IFERROR(__xludf.DUMMYFUNCTION("VLOOKUP(I3,IMPORTRANGE('ALL Pos and Incl IMPORT'!$A$2,""ALL Tube Results!A2:F""),6,FALSE)"),"Positive")</f>
        <v>Positive</v>
      </c>
      <c r="L3" s="119">
        <f>IFERROR(__xludf.DUMMYFUNCTION("VLOOKUP(I3,IMPORTRANGE('ALL Pos and Incl IMPORT'!$A$2,""ALL Tube Results!A2:F""),3,FALSE)"),44211.0)</f>
        <v>44211</v>
      </c>
      <c r="M3" s="18">
        <f t="array" ref="M3">INDEX('Referral Test Data FLSP'!$C$1:$P982,$E3,3)</f>
        <v>44212</v>
      </c>
      <c r="N3" s="9" t="b">
        <f t="shared" si="1"/>
        <v>0</v>
      </c>
      <c r="O3" s="46" t="str">
        <f>S3</f>
        <v>Positive</v>
      </c>
      <c r="P3" s="46" t="str">
        <f t="array" ref="P3">INDEX('Referral Test Data FLSP'!$C$1:$P982,$E3,7)</f>
        <v>Direct PCR</v>
      </c>
      <c r="Q3" s="46" t="str">
        <f t="array" ref="Q3">INDEX('Referral Test Data FLSP'!$C$1:$P982,$E3,9)</f>
        <v>Positive</v>
      </c>
      <c r="R3" s="46" t="str">
        <f t="array" ref="R3">IF(OR($E3+1&lt;$E4, AND(ISBLANK($E4), ($E3-1)&lt;COUNT(#REF!))), INDEX('Referral Test Data FLSP'!$C$1:$P982,$E3+1,7), IFERROR(0/0,""))
</f>
        <v>Lab Purif PCR</v>
      </c>
      <c r="S3" s="46" t="str">
        <f t="array" ref="S3">IF(OR($E3+1&lt;$E4, AND(ISBLANK($E4), ($E3-1)&lt;COUNT(#REF!))), INDEX('Referral Test Data FLSP'!$C$1:$P982,$E3+1,9),IFERROR(0/0,""))</f>
        <v>Positive</v>
      </c>
      <c r="T3" s="46" t="str">
        <f t="array" ref="T3">IF(OR($E3+2&lt;$E4, AND(ISBLANK($E4), ($E3-1)&lt;COUNT(#REF!))), INDEX('Referral Test Data FLSP'!$C$1:$P982,$E3+2,7),IFERROR(0/0,""))</f>
        <v>Direct PCR</v>
      </c>
      <c r="U3" s="46" t="str">
        <f t="array" ref="U3">IF(OR($E3+2&lt;$E4, AND(ISBLANK($E4), ($E3-1)&lt;COUNT(#REF!))), INDEX('Referral Test Data FLSP'!$C$1:$P982,$E3+2,9),IFERROR(0/0,""))</f>
        <v>Positive</v>
      </c>
      <c r="V3" s="22">
        <v>2.0</v>
      </c>
      <c r="X3" s="23" t="b">
        <v>1</v>
      </c>
      <c r="Y3" s="54" t="b">
        <f t="shared" si="2"/>
        <v>0</v>
      </c>
      <c r="Z3" s="20" t="s">
        <v>145</v>
      </c>
    </row>
    <row r="4">
      <c r="A4" s="9" t="str">
        <f t="array" ref="A4">INDEX('Referral Test Data FLSP'!$A$1:$B982,$E4,1)</f>
        <v/>
      </c>
      <c r="B4" s="9" t="str">
        <f t="array" ref="B4">INDEX('Referral Test Data FLSP'!$A$1:$B982,$E4,2)</f>
        <v/>
      </c>
      <c r="C4" s="26"/>
      <c r="D4" s="26" t="str">
        <f>IFERROR(__xludf.DUMMYFUNCTION("""COMPUTED_VALUE"""),"FLMP197976")</f>
        <v>FLMP197976</v>
      </c>
      <c r="E4" s="12">
        <f t="array" ref="E4">IFERROR(
  MATCH(D4, INDIRECT("'Referral Test Data FLSP'!D" &amp; E3 + 1 &amp; ":D"), 0) + E3, 
  MATCH(D4, 'Referral Test Data FLSP'!D4:D982, 0)
)</f>
        <v>6</v>
      </c>
      <c r="F4" s="12">
        <f>IF(ISBLANK(E5),COUNTA('Referral Test Data FLSP'!D$2:D982)-SUM(F$2:F3),E5-E4)</f>
        <v>3</v>
      </c>
      <c r="G4" s="48">
        <f>IFERROR(VLOOKUP(D4,'ALL Pos and Incl IMPORT'!Q$2:U982,5,FALSE),0)</f>
        <v>0</v>
      </c>
      <c r="H4" s="13"/>
      <c r="I4" s="20" t="s">
        <v>146</v>
      </c>
      <c r="J4" s="22" t="s">
        <v>29</v>
      </c>
      <c r="K4" s="42" t="str">
        <f>IFERROR(__xludf.DUMMYFUNCTION("VLOOKUP(I4,IMPORTRANGE('ALL Pos and Incl IMPORT'!$A$2,""ALL Tube Results!A2:F""),6,FALSE)"),"Negative")</f>
        <v>Negative</v>
      </c>
      <c r="L4" s="43">
        <f>IFERROR(__xludf.DUMMYFUNCTION("VLOOKUP(I4,IMPORTRANGE('ALL Pos and Incl IMPORT'!$A$2,""ALL Tube Results!A2:F""),3,FALSE)"),44211.0)</f>
        <v>44211</v>
      </c>
      <c r="M4" s="18">
        <f t="array" ref="M4">INDEX('Referral Test Data FLSP'!$C$1:$P982,$E4,3)</f>
        <v>44211</v>
      </c>
      <c r="N4" s="9" t="b">
        <f t="shared" si="1"/>
        <v>0</v>
      </c>
      <c r="O4" s="46" t="str">
        <f>U4</f>
        <v>Positive</v>
      </c>
      <c r="P4" s="21" t="str">
        <f t="array" ref="P4">INDEX('Referral Test Data FLSP'!$C$1:$P982,$E4,7)</f>
        <v>Direct PCR</v>
      </c>
      <c r="Q4" s="21" t="str">
        <f t="array" ref="Q4">INDEX('Referral Test Data FLSP'!$C$1:$P982,$E4,9)</f>
        <v>Negative</v>
      </c>
      <c r="R4" s="21" t="str">
        <f t="array" ref="R4">IF(OR($E4+1&lt;$E5, AND(ISBLANK($E5), ($E4-1)&lt;COUNT(#REF!))), INDEX('Referral Test Data FLSP'!$C$1:$P982,$E4+1,7), IFERROR(0/0,""))
</f>
        <v>Direct PCR</v>
      </c>
      <c r="S4" s="21" t="str">
        <f t="array" ref="S4">IF(OR($E4+1&lt;$E5, AND(ISBLANK($E5), ($E4-1)&lt;COUNT(#REF!))), INDEX('Referral Test Data FLSP'!$C$1:$P982,$E4+1,9),IFERROR(0/0,""))</f>
        <v>Negative</v>
      </c>
      <c r="T4" s="46" t="str">
        <f t="array" ref="T4">IF(OR($E4+2&lt;$E5, AND(ISBLANK($E5), ($E4-1)&lt;COUNT(#REF!))), INDEX('Referral Test Data FLSP'!$C$1:$P982,$E4+2,7),IFERROR(0/0,""))</f>
        <v>Lab Purif PCR</v>
      </c>
      <c r="U4" s="46" t="str">
        <f t="array" ref="U4">IF(OR($E4+2&lt;$E5, AND(ISBLANK($E5), ($E4-1)&lt;COUNT(#REF!))), INDEX('Referral Test Data FLSP'!$C$1:$P982,$E4+2,9),IFERROR(0/0,""))</f>
        <v>Positive</v>
      </c>
      <c r="V4" s="22">
        <v>3.0</v>
      </c>
      <c r="X4" s="23" t="b">
        <v>1</v>
      </c>
      <c r="Y4" s="54" t="b">
        <f t="shared" si="2"/>
        <v>0</v>
      </c>
      <c r="Z4" s="20" t="s">
        <v>147</v>
      </c>
    </row>
    <row r="5">
      <c r="A5" s="27" t="str">
        <f t="array" ref="A5">INDEX('Referral Test Data FLSP'!$A$1:$B982,$E5,1)</f>
        <v/>
      </c>
      <c r="B5" s="120" t="str">
        <f t="array" ref="B5">INDEX('Referral Test Data FLSP'!$A$1:$B982,$E5,2)</f>
        <v/>
      </c>
      <c r="C5" s="28"/>
      <c r="D5" s="28" t="str">
        <f>IFERROR(__xludf.DUMMYFUNCTION("""COMPUTED_VALUE"""),"FLMP619442")</f>
        <v>FLMP619442</v>
      </c>
      <c r="E5" s="29">
        <f t="array" ref="E5">IFERROR(
  MATCH(D5, INDIRECT("'Referral Test Data FLSP'!D" &amp; E4 + 1 &amp; ":D"), 0) + E4, 
  MATCH(D5, 'Referral Test Data FLSP'!D5:D982, 0)
)</f>
        <v>9</v>
      </c>
      <c r="F5" s="29">
        <f>IF(ISBLANK(E6),COUNTA('Referral Test Data FLSP'!D$2:D982)-SUM(F$2:F4),E6-E5)</f>
        <v>1</v>
      </c>
      <c r="G5" s="47">
        <f>IFERROR(VLOOKUP(D5,'ALL Pos and Incl IMPORT'!Q$2:U982,5,FALSE),0)</f>
        <v>8</v>
      </c>
      <c r="H5" s="30"/>
      <c r="I5" s="121" t="s">
        <v>148</v>
      </c>
      <c r="J5" s="32" t="str">
        <f>VLOOKUP(I5,'Pos and Incl IMPORT'!B$2:U$83,20,FALSE)</f>
        <v>INDIV</v>
      </c>
      <c r="K5" s="122" t="str">
        <f>IFERROR(__xludf.DUMMYFUNCTION("VLOOKUP(I5,IMPORTRANGE('ALL Pos and Incl IMPORT'!$A$2,""ALL Tube Results!A2:F""),6,FALSE)"),"Positive")</f>
        <v>Positive</v>
      </c>
      <c r="L5" s="123">
        <f>IFERROR(__xludf.DUMMYFUNCTION("VLOOKUP(I5,IMPORTRANGE('ALL Pos and Incl IMPORT'!$A$2,""ALL Tube Results!A2:F""),3,FALSE)"),44548.0)</f>
        <v>44548</v>
      </c>
      <c r="M5" s="35">
        <f t="array" ref="M5">INDEX('Referral Test Data FLSP'!$C$1:$P982,$E5,3)</f>
        <v>44548</v>
      </c>
      <c r="N5" s="27" t="b">
        <f t="shared" si="1"/>
        <v>0</v>
      </c>
      <c r="O5" s="36" t="str">
        <f t="array" ref="O5">INDEX('Referral Test Data FLSP'!$C$1:$P982,$E5,9)</f>
        <v>Positive</v>
      </c>
      <c r="P5" s="36" t="str">
        <f t="array" ref="P5">INDEX('Referral Test Data FLSP'!$C$1:$P982,$E5,7)</f>
        <v>Antigen</v>
      </c>
      <c r="Q5" s="36" t="str">
        <f t="array" ref="Q5">INDEX('Referral Test Data FLSP'!$C$1:$P982,$E5,9)</f>
        <v>Positive</v>
      </c>
      <c r="R5" s="31" t="str">
        <f t="array" ref="R5">IF(OR($E5+1&lt;$E6, AND(ISBLANK($E6), ($E5-1)&lt;COUNT(#REF!))), INDEX('Referral Test Data FLSP'!$C$1:$P982,$E5+1,7), IFERROR(0/0,""))
</f>
        <v/>
      </c>
      <c r="S5" s="31" t="str">
        <f t="array" ref="S5">IF(OR($E5+1&lt;$E6, AND(ISBLANK($E6), ($E5-1)&lt;COUNT(#REF!))), INDEX('Referral Test Data FLSP'!$C$1:$P982,$E5+1,9),IFERROR(0/0,""))</f>
        <v/>
      </c>
      <c r="T5" s="31" t="str">
        <f t="array" ref="T5">IF(OR($E5+2&lt;$E6, AND(ISBLANK($E6), ($E5-1)&lt;COUNT(#REF!))), INDEX('Referral Test Data FLSP'!$C$1:$P982,$E5+2,7),IFERROR(0/0,""))</f>
        <v/>
      </c>
      <c r="U5" s="31" t="str">
        <f t="array" ref="U5">IF(OR($E5+2&lt;$E6, AND(ISBLANK($E6), ($E5-1)&lt;COUNT(#REF!))), INDEX('Referral Test Data FLSP'!$C$1:$P982,$E5+2,9),IFERROR(0/0,""))</f>
        <v/>
      </c>
      <c r="V5" s="39">
        <v>4.0</v>
      </c>
      <c r="W5" s="31"/>
      <c r="X5" s="124" t="b">
        <v>1</v>
      </c>
      <c r="Y5" s="52" t="b">
        <f t="shared" si="2"/>
        <v>1</v>
      </c>
      <c r="Z5" s="41" t="s">
        <v>149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</row>
    <row r="6">
      <c r="A6" s="27" t="str">
        <f t="array" ref="A6">INDEX('Referral Test Data FLSP'!$A$1:$B982,$E6,1)</f>
        <v/>
      </c>
      <c r="B6" s="27" t="str">
        <f t="array" ref="B6">INDEX('Referral Test Data FLSP'!$A$1:$B982,$E6,2)</f>
        <v/>
      </c>
      <c r="C6" s="28"/>
      <c r="D6" s="28" t="str">
        <f>IFERROR(__xludf.DUMMYFUNCTION("""COMPUTED_VALUE"""),"FLMP964950")</f>
        <v>FLMP964950</v>
      </c>
      <c r="E6" s="29">
        <f t="array" ref="E6">IFERROR(
  MATCH(D6, INDIRECT("'Referral Test Data FLSP'!D" &amp; E5 + 1 &amp; ":D"), 0) + E5, 
  MATCH(D6, 'Referral Test Data FLSP'!D6:D982, 0)
)</f>
        <v>10</v>
      </c>
      <c r="F6" s="29">
        <f>IF(ISBLANK(E7),COUNTA('Referral Test Data FLSP'!D$2:D982)-SUM(F$2:F5),E7-E6)</f>
        <v>11</v>
      </c>
      <c r="G6" s="47">
        <f>IFERROR(VLOOKUP(D6,'ALL Pos and Incl IMPORT'!Q$2:U982,5,FALSE),0)</f>
        <v>4</v>
      </c>
      <c r="H6" s="30"/>
      <c r="I6" s="121" t="s">
        <v>150</v>
      </c>
      <c r="J6" s="125" t="str">
        <f>VLOOKUP(I6,'Pos and Incl IMPORT'!B$2:U$83,20,FALSE)</f>
        <v>INDIV</v>
      </c>
      <c r="K6" s="33" t="str">
        <f>IFERROR(__xludf.DUMMYFUNCTION("VLOOKUP(I6,IMPORTRANGE('ALL Pos and Incl IMPORT'!$A$2,""ALL Tube Results!A2:F""),6,FALSE)"),"Positive")</f>
        <v>Positive</v>
      </c>
      <c r="L6" s="34">
        <f>IFERROR(__xludf.DUMMYFUNCTION("VLOOKUP(I6,IMPORTRANGE('ALL Pos and Incl IMPORT'!$A$2,""ALL Tube Results!A2:F""),3,FALSE)"),44561.0)</f>
        <v>44561</v>
      </c>
      <c r="M6" s="35">
        <f t="array" ref="M6">INDEX('Referral Test Data FLSP'!$C$1:$P982,$E6,3)</f>
        <v>44561</v>
      </c>
      <c r="N6" s="59" t="b">
        <v>1</v>
      </c>
      <c r="O6" s="126" t="s">
        <v>37</v>
      </c>
      <c r="P6" s="60" t="str">
        <f t="array" ref="P6">INDEX('Referral Test Data FLSP'!$C$1:$P982,$E6,7)</f>
        <v>Antigen</v>
      </c>
      <c r="Q6" s="60" t="str">
        <f t="array" ref="Q6">INDEX('Referral Test Data FLSP'!$C$1:$P982,$E6,9)</f>
        <v>Negative</v>
      </c>
      <c r="R6" s="60" t="str">
        <f t="array" ref="R6">IF(OR($E6+1&lt;$E7, AND(ISBLANK($E7), ($E6-1)&lt;COUNT(#REF!))), INDEX('Referral Test Data FLSP'!$C$1:$P982,$E6+1,7), IFERROR(0/0,""))
</f>
        <v>LAMP Device</v>
      </c>
      <c r="S6" s="60" t="str">
        <f t="array" ref="S6">IF(OR($E6+1&lt;$E7, AND(ISBLANK($E7), ($E6-1)&lt;COUNT(#REF!))), INDEX('Referral Test Data FLSP'!$C$1:$P982,$E6+1,9),IFERROR(0/0,""))</f>
        <v>Negative</v>
      </c>
      <c r="T6" s="126" t="s">
        <v>151</v>
      </c>
      <c r="U6" s="126" t="s">
        <v>37</v>
      </c>
      <c r="V6" s="39">
        <v>5.0</v>
      </c>
      <c r="W6" s="31"/>
      <c r="X6" s="124" t="b">
        <v>1</v>
      </c>
      <c r="Y6" s="52" t="b">
        <f t="shared" si="2"/>
        <v>1</v>
      </c>
      <c r="Z6" s="127" t="s">
        <v>152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</row>
    <row r="7">
      <c r="A7" s="27" t="str">
        <f t="array" ref="A7">INDEX('Referral Test Data FLSP'!$A$1:$B982,$E7,1)</f>
        <v/>
      </c>
      <c r="B7" s="27" t="str">
        <f t="array" ref="B7">INDEX('Referral Test Data FLSP'!$A$1:$B982,$E7,2)</f>
        <v/>
      </c>
      <c r="C7" s="28"/>
      <c r="D7" s="28" t="str">
        <f>IFERROR(__xludf.DUMMYFUNCTION("""COMPUTED_VALUE"""),"FLMP233123")</f>
        <v>FLMP233123</v>
      </c>
      <c r="E7" s="29">
        <f t="array" ref="E7">IFERROR(
  MATCH(D7, INDIRECT("'Referral Test Data FLSP'!D" &amp; E6 + 1 &amp; ":D"), 0) + E6, 
  MATCH(D7, 'Referral Test Data FLSP'!D7:D982, 0)
)</f>
        <v>21</v>
      </c>
      <c r="F7" s="29">
        <f>IF(ISBLANK(E8),COUNTA('Referral Test Data FLSP'!D$2:D982)-SUM(F$2:F6),E8-E7)</f>
        <v>2</v>
      </c>
      <c r="G7" s="47">
        <f>IFERROR(VLOOKUP(D7,'ALL Pos and Incl IMPORT'!Q$2:U982,5,FALSE),0)</f>
        <v>1</v>
      </c>
      <c r="H7" s="30"/>
      <c r="I7" s="121" t="s">
        <v>153</v>
      </c>
      <c r="J7" s="125" t="str">
        <f>VLOOKUP(I7,'Pos and Incl IMPORT'!B$2:U$83,20,FALSE)</f>
        <v>INDIV</v>
      </c>
      <c r="K7" s="33" t="str">
        <f>IFERROR(__xludf.DUMMYFUNCTION("VLOOKUP(I7,IMPORTRANGE('ALL Pos and Incl IMPORT'!$A$2,""ALL Tube Results!A2:F""),6,FALSE)"),"Positive")</f>
        <v>Positive</v>
      </c>
      <c r="L7" s="34">
        <f>IFERROR(__xludf.DUMMYFUNCTION("VLOOKUP(I7,IMPORTRANGE('ALL Pos and Incl IMPORT'!$A$2,""ALL Tube Results!A2:F""),3,FALSE)"),44572.0)</f>
        <v>44572</v>
      </c>
      <c r="M7" s="35">
        <f t="array" ref="M7">INDEX('Referral Test Data FLSP'!$C$1:$P982,$E7,3)</f>
        <v>44573</v>
      </c>
      <c r="N7" s="27" t="b">
        <f t="shared" ref="N7:N8" si="3">IF(AND(EXACT(P7,"Antigen"),EXACT(Q7,"Negative"),OR(EXACT(S7,"Positive"),EXACT(U7,"Positive"))),TRUE,FALSE)</f>
        <v>0</v>
      </c>
      <c r="O7" s="36" t="str">
        <f t="shared" ref="O7:O9" si="4">Q7</f>
        <v>Positive</v>
      </c>
      <c r="P7" s="36" t="str">
        <f t="array" ref="P7">INDEX('Referral Test Data FLSP'!$C$1:$P982,$E7,7)</f>
        <v>Lab PCR</v>
      </c>
      <c r="Q7" s="36" t="str">
        <f t="array" ref="Q7">INDEX('Referral Test Data FLSP'!$C$1:$P982,$E7,9)</f>
        <v>Positive</v>
      </c>
      <c r="R7" s="60" t="str">
        <f t="array" ref="R7">IF(OR($E7+1&lt;$E8, AND(ISBLANK($E8), ($E7-1)&lt;COUNT(#REF!))), INDEX('Referral Test Data FLSP'!$C$1:$P982,$E7+1,7), IFERROR(0/0,""))
</f>
        <v>Lab PCR</v>
      </c>
      <c r="S7" s="60" t="str">
        <f t="array" ref="S7">IF(OR($E7+1&lt;$E8, AND(ISBLANK($E8), ($E7-1)&lt;COUNT(#REF!))), INDEX('Referral Test Data FLSP'!$C$1:$P982,$E7+1,9),IFERROR(0/0,""))</f>
        <v>Negative</v>
      </c>
      <c r="T7" s="31" t="str">
        <f t="array" ref="T7">IF(OR($E7+2&lt;$E8, AND(ISBLANK($E8), ($E7-1)&lt;COUNT(#REF!))), INDEX('Referral Test Data FLSP'!$C$1:$P982,$E7+2,7),IFERROR(0/0,""))</f>
        <v/>
      </c>
      <c r="U7" s="31" t="str">
        <f t="array" ref="U7">IF(OR($E7+2&lt;$E8, AND(ISBLANK($E8), ($E7-1)&lt;COUNT(#REF!))), INDEX('Referral Test Data FLSP'!$C$1:$P982,$E7+2,9),IFERROR(0/0,""))</f>
        <v/>
      </c>
      <c r="V7" s="39">
        <v>6.0</v>
      </c>
      <c r="W7" s="31"/>
      <c r="X7" s="124" t="b">
        <v>1</v>
      </c>
      <c r="Y7" s="52" t="b">
        <f t="shared" si="2"/>
        <v>0</v>
      </c>
      <c r="Z7" s="41" t="s">
        <v>154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</row>
    <row r="8">
      <c r="A8" s="9" t="str">
        <f t="array" ref="A8">INDEX('Referral Test Data FLSP'!$A$1:$B982,$E8,1)</f>
        <v/>
      </c>
      <c r="B8" s="9" t="str">
        <f t="array" ref="B8">INDEX('Referral Test Data FLSP'!$A$1:$B982,$E8,2)</f>
        <v/>
      </c>
      <c r="C8" s="26"/>
      <c r="D8" s="26" t="str">
        <f>IFERROR(__xludf.DUMMYFUNCTION("""COMPUTED_VALUE"""),"FLMP618864")</f>
        <v>FLMP618864</v>
      </c>
      <c r="E8" s="12">
        <f t="array" ref="E8">IFERROR(
  MATCH(D8, INDIRECT("'Referral Test Data FLSP'!D" &amp; E7 + 1 &amp; ":D"), 0) + E7, 
  MATCH(D8, 'Referral Test Data FLSP'!D8:D982, 0)
)</f>
        <v>23</v>
      </c>
      <c r="F8" s="12">
        <f>IF(ISBLANK(E9),COUNTA('Referral Test Data FLSP'!D$2:D982)-SUM(F$2:F7),E9-E8)</f>
        <v>2</v>
      </c>
      <c r="G8" s="48">
        <f>IFERROR(VLOOKUP(D8,'ALL Pos and Incl IMPORT'!Q$2:U982,5,FALSE),0)</f>
        <v>0</v>
      </c>
      <c r="H8" s="13"/>
      <c r="I8" s="115" t="s">
        <v>155</v>
      </c>
      <c r="J8" s="118" t="str">
        <f>VLOOKUP(I8,'Pos and Incl IMPORT'!B$2:U$83,20,FALSE)</f>
        <v>POOL</v>
      </c>
      <c r="K8" s="42" t="str">
        <f>IFERROR(__xludf.DUMMYFUNCTION("VLOOKUP(I8,IMPORTRANGE('ALL Pos and Incl IMPORT'!$A$2,""ALL Tube Results!A2:F""),6,FALSE)"),"Positive")</f>
        <v>Positive</v>
      </c>
      <c r="L8" s="43">
        <f>IFERROR(__xludf.DUMMYFUNCTION("VLOOKUP(I8,IMPORTRANGE('ALL Pos and Incl IMPORT'!$A$2,""ALL Tube Results!A2:F""),3,FALSE)"),44910.0)</f>
        <v>44910</v>
      </c>
      <c r="M8" s="18">
        <f t="array" ref="M8">INDEX('Referral Test Data FLSP'!$C$1:$P982,$E8,3)</f>
        <v>44910</v>
      </c>
      <c r="N8" s="9" t="b">
        <f t="shared" si="3"/>
        <v>0</v>
      </c>
      <c r="O8" s="44" t="str">
        <f t="shared" si="4"/>
        <v>Negative</v>
      </c>
      <c r="P8" s="44" t="str">
        <f t="array" ref="P8">INDEX('Referral Test Data FLSP'!$C$1:$P982,$E8,7)</f>
        <v>LAMP Device</v>
      </c>
      <c r="Q8" s="44" t="str">
        <f t="array" ref="Q8">INDEX('Referral Test Data FLSP'!$C$1:$P982,$E8,9)</f>
        <v>Negative</v>
      </c>
      <c r="R8" s="44" t="str">
        <f t="array" ref="R8">IF(OR($E8+1&lt;$E9, AND(ISBLANK($E9), ($E8-1)&lt;COUNT(#REF!))), INDEX('Referral Test Data FLSP'!$C$1:$P982,$E8+1,7), IFERROR(0/0,""))
</f>
        <v>Antigen</v>
      </c>
      <c r="S8" s="44" t="str">
        <f t="array" ref="S8">IF(OR($E8+1&lt;$E9, AND(ISBLANK($E9), ($E8-1)&lt;COUNT(#REF!))), INDEX('Referral Test Data FLSP'!$C$1:$P982,$E8+1,9),IFERROR(0/0,""))</f>
        <v>Negative</v>
      </c>
      <c r="T8" s="21" t="str">
        <f t="array" ref="T8">IF(OR($E8+2&lt;$E9, AND(ISBLANK($E9), ($E8-1)&lt;COUNT(#REF!))), INDEX('Referral Test Data FLSP'!$C$1:$P982,$E8+2,7),IFERROR(0/0,""))</f>
        <v/>
      </c>
      <c r="U8" s="21" t="str">
        <f t="array" ref="U8">IF(OR($E8+2&lt;$E9, AND(ISBLANK($E9), ($E8-1)&lt;COUNT(#REF!))), INDEX('Referral Test Data FLSP'!$C$1:$P982,$E8+2,9),IFERROR(0/0,""))</f>
        <v/>
      </c>
      <c r="V8" s="22">
        <v>7.0</v>
      </c>
      <c r="X8" s="23" t="b">
        <v>1</v>
      </c>
      <c r="Y8" s="54" t="b">
        <f t="shared" si="2"/>
        <v>0</v>
      </c>
      <c r="Z8" s="20" t="s">
        <v>156</v>
      </c>
    </row>
    <row r="9">
      <c r="A9" s="9" t="str">
        <f t="array" ref="A9">INDEX('Referral Test Data FLSP'!$A$1:$B982,$E9,1)</f>
        <v/>
      </c>
      <c r="B9" s="9" t="str">
        <f t="array" ref="B9">INDEX('Referral Test Data FLSP'!$A$1:$B982,$E9,2)</f>
        <v/>
      </c>
      <c r="C9" s="26"/>
      <c r="D9" s="26" t="str">
        <f>IFERROR(__xludf.DUMMYFUNCTION("""COMPUTED_VALUE"""),"FLMP183184")</f>
        <v>FLMP183184</v>
      </c>
      <c r="E9" s="12">
        <f t="array" ref="E9">IFERROR(
  MATCH(D9, INDIRECT("'Referral Test Data FLSP'!D" &amp; E8 + 1 &amp; ":D"), 0) + E8, 
  MATCH(D9, 'Referral Test Data FLSP'!D9:D982, 0)
)</f>
        <v>25</v>
      </c>
      <c r="F9" s="12">
        <f>IF(ISBLANK(E10),COUNTA('Referral Test Data FLSP'!D$2:D982)-SUM(F$2:F8),E10-E9)</f>
        <v>2</v>
      </c>
      <c r="G9" s="48">
        <f>IFERROR(VLOOKUP(D9,'ALL Pos and Incl IMPORT'!Q$2:U982,5,FALSE),0)</f>
        <v>1</v>
      </c>
      <c r="H9" s="13"/>
      <c r="I9" s="115" t="s">
        <v>155</v>
      </c>
      <c r="J9" s="118" t="str">
        <f>VLOOKUP(I9,'Pos and Incl IMPORT'!B$2:U$83,20,FALSE)</f>
        <v>POOL</v>
      </c>
      <c r="K9" s="42" t="str">
        <f>IFERROR(__xludf.DUMMYFUNCTION("VLOOKUP(I9,IMPORTRANGE('ALL Pos and Incl IMPORT'!$A$2,""ALL Tube Results!A2:F""),6,FALSE)"),"Positive")</f>
        <v>Positive</v>
      </c>
      <c r="L9" s="43">
        <f>IFERROR(__xludf.DUMMYFUNCTION("VLOOKUP(I9,IMPORTRANGE('ALL Pos and Incl IMPORT'!$A$2,""ALL Tube Results!A2:F""),3,FALSE)"),44910.0)</f>
        <v>44910</v>
      </c>
      <c r="M9" s="18">
        <f t="array" ref="M9">INDEX('Referral Test Data FLSP'!$C$1:$P982,$E9,3)</f>
        <v>44910</v>
      </c>
      <c r="N9" s="19" t="b">
        <v>1</v>
      </c>
      <c r="O9" s="46" t="str">
        <f t="shared" si="4"/>
        <v>Positive</v>
      </c>
      <c r="P9" s="46" t="str">
        <f t="array" ref="P9">INDEX('Referral Test Data FLSP'!$C$1:$P982,$E9,7)</f>
        <v>LAMP Device</v>
      </c>
      <c r="Q9" s="46" t="str">
        <f t="array" ref="Q9">INDEX('Referral Test Data FLSP'!$C$1:$P982,$E9,9)</f>
        <v>Positive</v>
      </c>
      <c r="R9" s="128" t="s">
        <v>151</v>
      </c>
      <c r="S9" s="128" t="s">
        <v>104</v>
      </c>
      <c r="V9" s="22">
        <v>8.0</v>
      </c>
      <c r="X9" s="23" t="b">
        <v>1</v>
      </c>
      <c r="Y9" s="20" t="b">
        <v>1</v>
      </c>
      <c r="Z9" s="129" t="s">
        <v>157</v>
      </c>
    </row>
    <row r="10">
      <c r="D10" s="21"/>
      <c r="E10" s="48"/>
      <c r="F10" s="48"/>
      <c r="G10" s="48"/>
      <c r="I10" s="62"/>
      <c r="V10" s="48"/>
    </row>
    <row r="11">
      <c r="E11" s="48"/>
      <c r="F11" s="48"/>
      <c r="G11" s="48"/>
      <c r="I11" s="62"/>
      <c r="V11" s="48"/>
    </row>
    <row r="12">
      <c r="E12" s="48"/>
      <c r="F12" s="48"/>
      <c r="G12" s="48"/>
      <c r="I12" s="62"/>
      <c r="V12" s="48"/>
    </row>
    <row r="13">
      <c r="E13" s="48"/>
      <c r="F13" s="48"/>
      <c r="G13" s="48"/>
      <c r="I13" s="62"/>
      <c r="V13" s="48"/>
    </row>
    <row r="14">
      <c r="G14" s="48"/>
      <c r="H14" s="14" t="s">
        <v>75</v>
      </c>
      <c r="J14" s="62"/>
      <c r="K14" s="62"/>
      <c r="L14" s="63"/>
      <c r="V14" s="48"/>
    </row>
    <row r="15">
      <c r="H15" s="14" t="s">
        <v>78</v>
      </c>
      <c r="J15" s="62"/>
      <c r="K15" s="62"/>
      <c r="L15" s="63"/>
      <c r="V15" s="48"/>
      <c r="X15" s="5" t="s">
        <v>70</v>
      </c>
      <c r="Y15" s="5" t="s">
        <v>71</v>
      </c>
    </row>
    <row r="16">
      <c r="H16" s="14" t="s">
        <v>80</v>
      </c>
      <c r="J16" s="62"/>
      <c r="K16" s="62"/>
      <c r="L16" s="63"/>
      <c r="V16" s="48"/>
      <c r="Y16" s="130">
        <f>COUNTIF(Y2:Y9,TRUE)</f>
        <v>3</v>
      </c>
      <c r="Z16" s="14" t="s">
        <v>72</v>
      </c>
    </row>
    <row r="17">
      <c r="H17" s="48"/>
      <c r="J17" s="62"/>
      <c r="K17" s="62"/>
      <c r="L17" s="63"/>
      <c r="V17" s="48"/>
      <c r="X17" s="20">
        <v>8.0</v>
      </c>
      <c r="Y17" s="64">
        <v>1.0</v>
      </c>
      <c r="Z17" s="14" t="s">
        <v>74</v>
      </c>
    </row>
    <row r="18">
      <c r="C18" s="67" t="s">
        <v>81</v>
      </c>
      <c r="D18" s="67"/>
      <c r="K18" s="21" t="str">
        <f>IF(G2=1, IFERROR(VLOOKUP(C2, #REF!, 6, FALSE), IFERROR(VLOOKUP(C2, #REF!, 5, FALSE), IFERROR(VLOOKUP(C2, #REF!, 4, FALSE), IFERROR(VLOOKUP(C2, #REF!, 3, FALSE), "error - 1 but not found")))),"LOOKUP")</f>
        <v>LOOKUP</v>
      </c>
      <c r="V18" s="48"/>
      <c r="X18" s="20">
        <v>4.0</v>
      </c>
      <c r="Y18" s="66">
        <v>1.0</v>
      </c>
      <c r="Z18" s="66" t="s">
        <v>77</v>
      </c>
    </row>
    <row r="19">
      <c r="V19" s="48"/>
      <c r="X19" s="20">
        <v>5.0</v>
      </c>
      <c r="Y19" s="64">
        <v>1.0</v>
      </c>
      <c r="Z19" s="14" t="s">
        <v>79</v>
      </c>
    </row>
    <row r="20">
      <c r="V20" s="48"/>
    </row>
    <row r="21">
      <c r="V21" s="48"/>
    </row>
    <row r="22">
      <c r="V22" s="48"/>
    </row>
    <row r="23">
      <c r="V23" s="48"/>
    </row>
    <row r="24">
      <c r="V24" s="48"/>
    </row>
    <row r="25">
      <c r="V25" s="48"/>
    </row>
    <row r="26">
      <c r="V26" s="48"/>
    </row>
    <row r="27">
      <c r="V27" s="48"/>
    </row>
    <row r="28">
      <c r="V28" s="48"/>
    </row>
    <row r="29">
      <c r="V29" s="48"/>
    </row>
    <row r="30">
      <c r="V30" s="48"/>
    </row>
    <row r="31">
      <c r="V31" s="48"/>
    </row>
    <row r="32">
      <c r="V32" s="48"/>
    </row>
    <row r="33">
      <c r="V33" s="48"/>
    </row>
    <row r="34">
      <c r="V34" s="48"/>
    </row>
    <row r="35">
      <c r="V35" s="48"/>
    </row>
    <row r="36">
      <c r="V36" s="48"/>
    </row>
    <row r="37">
      <c r="V37" s="48"/>
    </row>
    <row r="38">
      <c r="V38" s="48"/>
    </row>
    <row r="39">
      <c r="V39" s="48"/>
    </row>
    <row r="40">
      <c r="V40" s="48"/>
    </row>
    <row r="41">
      <c r="V41" s="48"/>
    </row>
    <row r="42">
      <c r="V42" s="48"/>
    </row>
    <row r="43">
      <c r="V43" s="48"/>
    </row>
    <row r="44">
      <c r="V44" s="48"/>
    </row>
    <row r="45">
      <c r="V45" s="48"/>
    </row>
    <row r="46">
      <c r="V46" s="48"/>
    </row>
    <row r="47">
      <c r="V47" s="48"/>
    </row>
    <row r="48">
      <c r="V48" s="48"/>
    </row>
    <row r="49">
      <c r="V49" s="48"/>
    </row>
    <row r="50">
      <c r="V50" s="48"/>
    </row>
    <row r="51">
      <c r="V51" s="48"/>
    </row>
    <row r="52">
      <c r="V52" s="48"/>
    </row>
    <row r="53">
      <c r="V53" s="48"/>
    </row>
    <row r="54">
      <c r="V54" s="48"/>
    </row>
    <row r="55">
      <c r="V55" s="48"/>
    </row>
    <row r="56">
      <c r="V56" s="48"/>
    </row>
    <row r="57">
      <c r="V57" s="48"/>
    </row>
    <row r="58">
      <c r="V58" s="48"/>
    </row>
    <row r="59">
      <c r="V59" s="48"/>
    </row>
    <row r="60">
      <c r="V60" s="48"/>
    </row>
    <row r="61">
      <c r="V61" s="48"/>
    </row>
    <row r="62">
      <c r="V62" s="48"/>
    </row>
    <row r="63">
      <c r="V63" s="48"/>
    </row>
    <row r="64">
      <c r="V64" s="48"/>
    </row>
    <row r="65">
      <c r="V65" s="48"/>
    </row>
    <row r="66">
      <c r="V66" s="48"/>
    </row>
    <row r="67">
      <c r="V67" s="48"/>
    </row>
    <row r="68">
      <c r="V68" s="48"/>
    </row>
    <row r="69">
      <c r="V69" s="48"/>
    </row>
    <row r="70">
      <c r="V70" s="48"/>
    </row>
    <row r="71">
      <c r="V71" s="48"/>
    </row>
    <row r="72">
      <c r="V72" s="48"/>
    </row>
    <row r="73">
      <c r="V73" s="48"/>
    </row>
    <row r="74">
      <c r="V74" s="48"/>
    </row>
    <row r="75">
      <c r="V75" s="48"/>
    </row>
    <row r="76">
      <c r="V76" s="48"/>
    </row>
    <row r="77">
      <c r="V77" s="48"/>
    </row>
    <row r="78">
      <c r="V78" s="48"/>
    </row>
    <row r="79">
      <c r="V79" s="48"/>
    </row>
    <row r="80">
      <c r="V80" s="48"/>
    </row>
    <row r="81">
      <c r="V81" s="48"/>
    </row>
    <row r="82">
      <c r="V82" s="48"/>
    </row>
    <row r="83">
      <c r="V83" s="48"/>
    </row>
    <row r="84">
      <c r="V84" s="48"/>
    </row>
    <row r="85">
      <c r="V85" s="48"/>
    </row>
    <row r="86">
      <c r="V86" s="48"/>
    </row>
    <row r="87">
      <c r="V87" s="48"/>
    </row>
    <row r="88">
      <c r="V88" s="48"/>
    </row>
    <row r="89">
      <c r="V89" s="48"/>
    </row>
    <row r="90">
      <c r="V90" s="48"/>
    </row>
    <row r="91">
      <c r="V91" s="48"/>
    </row>
    <row r="92">
      <c r="V92" s="48"/>
    </row>
    <row r="93">
      <c r="V93" s="48"/>
    </row>
    <row r="94">
      <c r="V94" s="48"/>
    </row>
    <row r="95">
      <c r="V95" s="48"/>
    </row>
    <row r="96">
      <c r="V96" s="48"/>
    </row>
    <row r="97">
      <c r="V97" s="48"/>
    </row>
    <row r="98">
      <c r="V98" s="48"/>
    </row>
    <row r="99">
      <c r="V99" s="48"/>
    </row>
    <row r="100">
      <c r="V100" s="48"/>
    </row>
    <row r="101">
      <c r="V101" s="48"/>
    </row>
    <row r="102">
      <c r="V102" s="48"/>
    </row>
    <row r="103">
      <c r="V103" s="48"/>
    </row>
    <row r="104">
      <c r="V104" s="48"/>
    </row>
    <row r="105">
      <c r="V105" s="48"/>
    </row>
    <row r="106">
      <c r="V106" s="48"/>
    </row>
    <row r="107">
      <c r="V107" s="48"/>
    </row>
    <row r="108">
      <c r="V108" s="48"/>
    </row>
    <row r="109">
      <c r="V109" s="48"/>
    </row>
    <row r="110">
      <c r="V110" s="48"/>
    </row>
    <row r="111">
      <c r="V111" s="48"/>
    </row>
    <row r="112">
      <c r="V112" s="48"/>
    </row>
    <row r="113">
      <c r="V113" s="48"/>
    </row>
    <row r="114">
      <c r="V114" s="48"/>
    </row>
    <row r="115">
      <c r="V115" s="48"/>
    </row>
    <row r="116">
      <c r="V116" s="48"/>
    </row>
    <row r="117">
      <c r="V117" s="48"/>
    </row>
    <row r="118">
      <c r="V118" s="48"/>
    </row>
    <row r="119">
      <c r="V119" s="48"/>
    </row>
    <row r="120">
      <c r="V120" s="48"/>
    </row>
    <row r="121">
      <c r="V121" s="48"/>
    </row>
    <row r="122">
      <c r="V122" s="48"/>
    </row>
    <row r="123">
      <c r="V123" s="48"/>
    </row>
    <row r="124">
      <c r="V124" s="48"/>
    </row>
    <row r="125">
      <c r="V125" s="48"/>
    </row>
    <row r="126">
      <c r="V126" s="48"/>
    </row>
    <row r="127">
      <c r="V127" s="48"/>
    </row>
    <row r="128">
      <c r="V128" s="48"/>
    </row>
    <row r="129">
      <c r="V129" s="48"/>
    </row>
    <row r="130">
      <c r="V130" s="48"/>
    </row>
    <row r="131">
      <c r="V131" s="48"/>
    </row>
    <row r="132">
      <c r="V132" s="48"/>
    </row>
    <row r="133">
      <c r="V133" s="48"/>
    </row>
    <row r="134">
      <c r="V134" s="48"/>
    </row>
    <row r="135">
      <c r="V135" s="48"/>
    </row>
    <row r="136">
      <c r="V136" s="48"/>
    </row>
    <row r="137">
      <c r="V137" s="48"/>
    </row>
    <row r="138">
      <c r="V138" s="48"/>
    </row>
    <row r="139">
      <c r="V139" s="48"/>
    </row>
    <row r="140">
      <c r="V140" s="48"/>
    </row>
    <row r="141">
      <c r="V141" s="48"/>
    </row>
    <row r="142">
      <c r="V142" s="48"/>
    </row>
    <row r="143">
      <c r="V143" s="48"/>
    </row>
    <row r="144">
      <c r="V144" s="48"/>
    </row>
    <row r="145">
      <c r="V145" s="48"/>
    </row>
    <row r="146">
      <c r="V146" s="48"/>
    </row>
    <row r="147">
      <c r="V147" s="48"/>
    </row>
    <row r="148">
      <c r="V148" s="48"/>
    </row>
    <row r="149">
      <c r="V149" s="48"/>
    </row>
    <row r="150">
      <c r="V150" s="48"/>
    </row>
    <row r="151">
      <c r="V151" s="48"/>
    </row>
    <row r="152">
      <c r="V152" s="48"/>
    </row>
    <row r="153">
      <c r="V153" s="48"/>
    </row>
    <row r="154">
      <c r="V154" s="48"/>
    </row>
    <row r="155">
      <c r="V155" s="48"/>
    </row>
    <row r="156">
      <c r="V156" s="48"/>
    </row>
    <row r="157">
      <c r="V157" s="48"/>
    </row>
    <row r="158">
      <c r="V158" s="48"/>
    </row>
    <row r="159">
      <c r="V159" s="48"/>
    </row>
    <row r="160">
      <c r="V160" s="48"/>
    </row>
    <row r="161">
      <c r="V161" s="48"/>
    </row>
    <row r="162">
      <c r="V162" s="48"/>
    </row>
    <row r="163">
      <c r="V163" s="48"/>
    </row>
    <row r="164">
      <c r="V164" s="48"/>
    </row>
    <row r="165">
      <c r="V165" s="48"/>
    </row>
    <row r="166">
      <c r="V166" s="48"/>
    </row>
    <row r="167">
      <c r="V167" s="48"/>
    </row>
    <row r="168">
      <c r="V168" s="48"/>
    </row>
    <row r="169">
      <c r="V169" s="48"/>
    </row>
    <row r="170">
      <c r="V170" s="48"/>
    </row>
    <row r="171">
      <c r="V171" s="48"/>
    </row>
    <row r="172">
      <c r="V172" s="48"/>
    </row>
    <row r="173">
      <c r="V173" s="48"/>
    </row>
    <row r="174">
      <c r="V174" s="48"/>
    </row>
    <row r="175">
      <c r="V175" s="48"/>
    </row>
    <row r="176">
      <c r="V176" s="48"/>
    </row>
    <row r="177">
      <c r="V177" s="48"/>
    </row>
    <row r="178">
      <c r="V178" s="48"/>
    </row>
    <row r="179">
      <c r="V179" s="48"/>
    </row>
    <row r="180">
      <c r="V180" s="48"/>
    </row>
    <row r="181">
      <c r="V181" s="48"/>
    </row>
    <row r="182">
      <c r="V182" s="48"/>
    </row>
    <row r="183">
      <c r="V183" s="48"/>
    </row>
    <row r="184">
      <c r="V184" s="48"/>
    </row>
    <row r="185">
      <c r="V185" s="48"/>
    </row>
    <row r="186">
      <c r="V186" s="48"/>
    </row>
    <row r="187">
      <c r="V187" s="48"/>
    </row>
    <row r="188">
      <c r="V188" s="48"/>
    </row>
    <row r="189">
      <c r="V189" s="48"/>
    </row>
    <row r="190">
      <c r="V190" s="48"/>
    </row>
    <row r="191">
      <c r="V191" s="48"/>
    </row>
    <row r="192">
      <c r="V192" s="48"/>
    </row>
    <row r="193">
      <c r="V193" s="48"/>
    </row>
    <row r="194">
      <c r="V194" s="48"/>
    </row>
    <row r="195">
      <c r="V195" s="48"/>
    </row>
    <row r="196">
      <c r="V196" s="48"/>
    </row>
    <row r="197">
      <c r="V197" s="48"/>
    </row>
    <row r="198">
      <c r="V198" s="48"/>
    </row>
    <row r="199">
      <c r="V199" s="48"/>
    </row>
    <row r="200">
      <c r="V200" s="48"/>
    </row>
    <row r="201">
      <c r="V201" s="48"/>
    </row>
    <row r="202">
      <c r="V202" s="48"/>
    </row>
    <row r="203">
      <c r="V203" s="48"/>
    </row>
    <row r="204">
      <c r="V204" s="48"/>
    </row>
    <row r="205">
      <c r="V205" s="48"/>
    </row>
    <row r="206">
      <c r="V206" s="48"/>
    </row>
    <row r="207">
      <c r="V207" s="48"/>
    </row>
    <row r="208">
      <c r="V208" s="48"/>
    </row>
    <row r="209">
      <c r="V209" s="48"/>
    </row>
    <row r="210">
      <c r="V210" s="48"/>
    </row>
    <row r="211">
      <c r="V211" s="48"/>
    </row>
    <row r="212">
      <c r="V212" s="48"/>
    </row>
    <row r="213">
      <c r="V213" s="48"/>
    </row>
    <row r="214">
      <c r="V214" s="48"/>
    </row>
    <row r="215">
      <c r="V215" s="48"/>
    </row>
    <row r="216">
      <c r="V216" s="48"/>
    </row>
    <row r="217">
      <c r="V217" s="48"/>
    </row>
    <row r="218">
      <c r="V218" s="48"/>
    </row>
    <row r="219">
      <c r="V219" s="48"/>
    </row>
    <row r="220">
      <c r="V220" s="48"/>
    </row>
    <row r="221">
      <c r="V221" s="48"/>
    </row>
    <row r="222">
      <c r="V222" s="48"/>
    </row>
    <row r="223">
      <c r="V223" s="48"/>
    </row>
    <row r="224">
      <c r="V224" s="48"/>
    </row>
    <row r="225">
      <c r="V225" s="48"/>
    </row>
    <row r="226">
      <c r="V226" s="48"/>
    </row>
    <row r="227">
      <c r="V227" s="48"/>
    </row>
    <row r="228">
      <c r="V228" s="48"/>
    </row>
    <row r="229">
      <c r="V229" s="48"/>
    </row>
    <row r="230">
      <c r="V230" s="48"/>
    </row>
    <row r="231">
      <c r="V231" s="48"/>
    </row>
    <row r="232">
      <c r="V232" s="48"/>
    </row>
    <row r="233">
      <c r="V233" s="48"/>
    </row>
    <row r="234">
      <c r="V234" s="48"/>
    </row>
    <row r="235">
      <c r="V235" s="48"/>
    </row>
    <row r="236">
      <c r="V236" s="48"/>
    </row>
    <row r="237">
      <c r="V237" s="48"/>
    </row>
    <row r="238">
      <c r="V238" s="48"/>
    </row>
    <row r="239">
      <c r="V239" s="48"/>
    </row>
    <row r="240">
      <c r="V240" s="48"/>
    </row>
    <row r="241">
      <c r="V241" s="48"/>
    </row>
    <row r="242">
      <c r="V242" s="48"/>
    </row>
    <row r="243">
      <c r="V243" s="48"/>
    </row>
    <row r="244">
      <c r="V244" s="48"/>
    </row>
    <row r="245">
      <c r="V245" s="48"/>
    </row>
    <row r="246">
      <c r="V246" s="48"/>
    </row>
    <row r="247">
      <c r="V247" s="48"/>
    </row>
    <row r="248">
      <c r="V248" s="48"/>
    </row>
    <row r="249">
      <c r="V249" s="48"/>
    </row>
    <row r="250">
      <c r="V250" s="48"/>
    </row>
    <row r="251">
      <c r="V251" s="48"/>
    </row>
    <row r="252">
      <c r="V252" s="48"/>
    </row>
    <row r="253">
      <c r="V253" s="48"/>
    </row>
    <row r="254">
      <c r="V254" s="48"/>
    </row>
    <row r="255">
      <c r="V255" s="48"/>
    </row>
    <row r="256">
      <c r="V256" s="48"/>
    </row>
    <row r="257">
      <c r="V257" s="48"/>
    </row>
    <row r="258">
      <c r="V258" s="48"/>
    </row>
    <row r="259">
      <c r="V259" s="48"/>
    </row>
    <row r="260">
      <c r="V260" s="48"/>
    </row>
    <row r="261">
      <c r="V261" s="48"/>
    </row>
    <row r="262">
      <c r="V262" s="48"/>
    </row>
    <row r="263">
      <c r="V263" s="48"/>
    </row>
    <row r="264">
      <c r="V264" s="48"/>
    </row>
    <row r="265">
      <c r="V265" s="48"/>
    </row>
    <row r="266">
      <c r="V266" s="48"/>
    </row>
    <row r="267">
      <c r="V267" s="48"/>
    </row>
    <row r="268">
      <c r="V268" s="48"/>
    </row>
    <row r="269">
      <c r="V269" s="48"/>
    </row>
    <row r="270">
      <c r="V270" s="48"/>
    </row>
    <row r="271">
      <c r="V271" s="48"/>
    </row>
    <row r="272">
      <c r="V272" s="48"/>
    </row>
    <row r="273">
      <c r="V273" s="48"/>
    </row>
    <row r="274">
      <c r="V274" s="48"/>
    </row>
    <row r="275">
      <c r="V275" s="48"/>
    </row>
    <row r="276">
      <c r="V276" s="48"/>
    </row>
    <row r="277">
      <c r="V277" s="48"/>
    </row>
    <row r="278">
      <c r="V278" s="48"/>
    </row>
    <row r="279">
      <c r="V279" s="48"/>
    </row>
    <row r="280">
      <c r="V280" s="48"/>
    </row>
    <row r="281">
      <c r="V281" s="48"/>
    </row>
    <row r="282">
      <c r="V282" s="48"/>
    </row>
    <row r="283">
      <c r="V283" s="48"/>
    </row>
    <row r="284">
      <c r="V284" s="48"/>
    </row>
    <row r="285">
      <c r="V285" s="48"/>
    </row>
    <row r="286">
      <c r="V286" s="48"/>
    </row>
    <row r="287">
      <c r="V287" s="48"/>
    </row>
    <row r="288">
      <c r="V288" s="48"/>
    </row>
    <row r="289">
      <c r="V289" s="48"/>
    </row>
    <row r="290">
      <c r="V290" s="48"/>
    </row>
    <row r="291">
      <c r="V291" s="48"/>
    </row>
    <row r="292">
      <c r="V292" s="48"/>
    </row>
    <row r="293">
      <c r="V293" s="48"/>
    </row>
    <row r="294">
      <c r="V294" s="48"/>
    </row>
    <row r="295">
      <c r="V295" s="48"/>
    </row>
    <row r="296">
      <c r="V296" s="48"/>
    </row>
    <row r="297">
      <c r="V297" s="48"/>
    </row>
    <row r="298">
      <c r="V298" s="48"/>
    </row>
    <row r="299">
      <c r="V299" s="48"/>
    </row>
    <row r="300">
      <c r="V300" s="48"/>
    </row>
    <row r="301">
      <c r="V301" s="48"/>
    </row>
    <row r="302">
      <c r="V302" s="48"/>
    </row>
    <row r="303">
      <c r="V303" s="48"/>
    </row>
    <row r="304">
      <c r="V304" s="48"/>
    </row>
    <row r="305">
      <c r="V305" s="48"/>
    </row>
    <row r="306">
      <c r="V306" s="48"/>
    </row>
    <row r="307">
      <c r="V307" s="48"/>
    </row>
    <row r="308">
      <c r="V308" s="48"/>
    </row>
    <row r="309">
      <c r="V309" s="48"/>
    </row>
    <row r="310">
      <c r="V310" s="48"/>
    </row>
    <row r="311">
      <c r="V311" s="48"/>
    </row>
    <row r="312">
      <c r="V312" s="48"/>
    </row>
    <row r="313">
      <c r="V313" s="48"/>
    </row>
    <row r="314">
      <c r="V314" s="48"/>
    </row>
    <row r="315">
      <c r="V315" s="48"/>
    </row>
    <row r="316">
      <c r="V316" s="48"/>
    </row>
    <row r="317">
      <c r="V317" s="48"/>
    </row>
    <row r="318">
      <c r="V318" s="48"/>
    </row>
    <row r="319">
      <c r="V319" s="48"/>
    </row>
    <row r="320">
      <c r="V320" s="48"/>
    </row>
    <row r="321">
      <c r="V321" s="48"/>
    </row>
    <row r="322">
      <c r="V322" s="48"/>
    </row>
    <row r="323">
      <c r="V323" s="48"/>
    </row>
    <row r="324">
      <c r="V324" s="48"/>
    </row>
    <row r="325">
      <c r="V325" s="48"/>
    </row>
    <row r="326">
      <c r="V326" s="48"/>
    </row>
    <row r="327">
      <c r="V327" s="48"/>
    </row>
    <row r="328">
      <c r="V328" s="48"/>
    </row>
    <row r="329">
      <c r="V329" s="48"/>
    </row>
    <row r="330">
      <c r="V330" s="48"/>
    </row>
    <row r="331">
      <c r="V331" s="48"/>
    </row>
    <row r="332">
      <c r="V332" s="48"/>
    </row>
    <row r="333">
      <c r="V333" s="48"/>
    </row>
    <row r="334">
      <c r="V334" s="48"/>
    </row>
    <row r="335">
      <c r="V335" s="48"/>
    </row>
    <row r="336">
      <c r="V336" s="48"/>
    </row>
    <row r="337">
      <c r="V337" s="48"/>
    </row>
    <row r="338">
      <c r="V338" s="48"/>
    </row>
    <row r="339">
      <c r="V339" s="48"/>
    </row>
    <row r="340">
      <c r="V340" s="48"/>
    </row>
    <row r="341">
      <c r="V341" s="48"/>
    </row>
    <row r="342">
      <c r="V342" s="48"/>
    </row>
    <row r="343">
      <c r="V343" s="48"/>
    </row>
    <row r="344">
      <c r="V344" s="48"/>
    </row>
    <row r="345">
      <c r="V345" s="48"/>
    </row>
    <row r="346">
      <c r="V346" s="48"/>
    </row>
    <row r="347">
      <c r="V347" s="48"/>
    </row>
    <row r="348">
      <c r="V348" s="48"/>
    </row>
    <row r="349">
      <c r="V349" s="48"/>
    </row>
    <row r="350">
      <c r="V350" s="48"/>
    </row>
    <row r="351">
      <c r="V351" s="48"/>
    </row>
    <row r="352">
      <c r="V352" s="48"/>
    </row>
    <row r="353">
      <c r="V353" s="48"/>
    </row>
    <row r="354">
      <c r="V354" s="48"/>
    </row>
    <row r="355">
      <c r="V355" s="48"/>
    </row>
    <row r="356">
      <c r="V356" s="48"/>
    </row>
    <row r="357">
      <c r="V357" s="48"/>
    </row>
    <row r="358">
      <c r="V358" s="48"/>
    </row>
    <row r="359">
      <c r="V359" s="48"/>
    </row>
    <row r="360">
      <c r="V360" s="48"/>
    </row>
    <row r="361">
      <c r="V361" s="48"/>
    </row>
    <row r="362">
      <c r="V362" s="48"/>
    </row>
    <row r="363">
      <c r="V363" s="48"/>
    </row>
    <row r="364">
      <c r="V364" s="48"/>
    </row>
    <row r="365">
      <c r="V365" s="48"/>
    </row>
    <row r="366">
      <c r="V366" s="48"/>
    </row>
    <row r="367">
      <c r="V367" s="48"/>
    </row>
    <row r="368">
      <c r="V368" s="48"/>
    </row>
    <row r="369">
      <c r="V369" s="48"/>
    </row>
    <row r="370">
      <c r="V370" s="48"/>
    </row>
    <row r="371">
      <c r="V371" s="48"/>
    </row>
    <row r="372">
      <c r="V372" s="48"/>
    </row>
    <row r="373">
      <c r="V373" s="48"/>
    </row>
    <row r="374">
      <c r="V374" s="48"/>
    </row>
    <row r="375">
      <c r="V375" s="48"/>
    </row>
    <row r="376">
      <c r="V376" s="48"/>
    </row>
    <row r="377">
      <c r="V377" s="48"/>
    </row>
    <row r="378">
      <c r="V378" s="48"/>
    </row>
    <row r="379">
      <c r="V379" s="48"/>
    </row>
    <row r="380">
      <c r="V380" s="48"/>
    </row>
    <row r="381">
      <c r="V381" s="48"/>
    </row>
    <row r="382">
      <c r="V382" s="48"/>
    </row>
    <row r="383">
      <c r="V383" s="48"/>
    </row>
    <row r="384">
      <c r="V384" s="48"/>
    </row>
    <row r="385">
      <c r="V385" s="48"/>
    </row>
    <row r="386">
      <c r="V386" s="48"/>
    </row>
    <row r="387">
      <c r="V387" s="48"/>
    </row>
    <row r="388">
      <c r="V388" s="48"/>
    </row>
    <row r="389">
      <c r="V389" s="48"/>
    </row>
    <row r="390">
      <c r="V390" s="48"/>
    </row>
    <row r="391">
      <c r="V391" s="48"/>
    </row>
    <row r="392">
      <c r="V392" s="48"/>
    </row>
    <row r="393">
      <c r="V393" s="48"/>
    </row>
    <row r="394">
      <c r="V394" s="48"/>
    </row>
    <row r="395">
      <c r="V395" s="48"/>
    </row>
    <row r="396">
      <c r="V396" s="48"/>
    </row>
    <row r="397">
      <c r="V397" s="48"/>
    </row>
    <row r="398">
      <c r="V398" s="48"/>
    </row>
    <row r="399">
      <c r="V399" s="48"/>
    </row>
    <row r="400">
      <c r="V400" s="48"/>
    </row>
    <row r="401">
      <c r="V401" s="48"/>
    </row>
    <row r="402">
      <c r="V402" s="48"/>
    </row>
    <row r="403">
      <c r="V403" s="48"/>
    </row>
    <row r="404">
      <c r="V404" s="48"/>
    </row>
    <row r="405">
      <c r="V405" s="48"/>
    </row>
    <row r="406">
      <c r="V406" s="48"/>
    </row>
    <row r="407">
      <c r="V407" s="48"/>
    </row>
    <row r="408">
      <c r="V408" s="48"/>
    </row>
    <row r="409">
      <c r="V409" s="48"/>
    </row>
    <row r="410">
      <c r="V410" s="48"/>
    </row>
    <row r="411">
      <c r="V411" s="48"/>
    </row>
    <row r="412">
      <c r="V412" s="48"/>
    </row>
    <row r="413">
      <c r="V413" s="48"/>
    </row>
    <row r="414">
      <c r="V414" s="48"/>
    </row>
    <row r="415">
      <c r="V415" s="48"/>
    </row>
    <row r="416">
      <c r="V416" s="48"/>
    </row>
    <row r="417">
      <c r="V417" s="48"/>
    </row>
    <row r="418">
      <c r="V418" s="48"/>
    </row>
    <row r="419">
      <c r="V419" s="48"/>
    </row>
    <row r="420">
      <c r="V420" s="48"/>
    </row>
    <row r="421">
      <c r="V421" s="48"/>
    </row>
    <row r="422">
      <c r="V422" s="48"/>
    </row>
    <row r="423">
      <c r="V423" s="48"/>
    </row>
    <row r="424">
      <c r="V424" s="48"/>
    </row>
    <row r="425">
      <c r="V425" s="48"/>
    </row>
    <row r="426">
      <c r="V426" s="48"/>
    </row>
    <row r="427">
      <c r="V427" s="48"/>
    </row>
    <row r="428">
      <c r="V428" s="48"/>
    </row>
    <row r="429">
      <c r="V429" s="48"/>
    </row>
    <row r="430">
      <c r="V430" s="48"/>
    </row>
    <row r="431">
      <c r="V431" s="48"/>
    </row>
    <row r="432">
      <c r="V432" s="48"/>
    </row>
    <row r="433">
      <c r="V433" s="48"/>
    </row>
    <row r="434">
      <c r="V434" s="48"/>
    </row>
    <row r="435">
      <c r="V435" s="48"/>
    </row>
    <row r="436">
      <c r="V436" s="48"/>
    </row>
    <row r="437">
      <c r="V437" s="48"/>
    </row>
    <row r="438">
      <c r="V438" s="48"/>
    </row>
    <row r="439">
      <c r="V439" s="48"/>
    </row>
    <row r="440">
      <c r="V440" s="48"/>
    </row>
    <row r="441">
      <c r="V441" s="48"/>
    </row>
    <row r="442">
      <c r="V442" s="48"/>
    </row>
    <row r="443">
      <c r="V443" s="48"/>
    </row>
    <row r="444">
      <c r="V444" s="48"/>
    </row>
    <row r="445">
      <c r="V445" s="48"/>
    </row>
    <row r="446">
      <c r="V446" s="48"/>
    </row>
    <row r="447">
      <c r="V447" s="48"/>
    </row>
    <row r="448">
      <c r="V448" s="48"/>
    </row>
    <row r="449">
      <c r="V449" s="48"/>
    </row>
    <row r="450">
      <c r="V450" s="48"/>
    </row>
    <row r="451">
      <c r="V451" s="48"/>
    </row>
    <row r="452">
      <c r="V452" s="48"/>
    </row>
    <row r="453">
      <c r="V453" s="48"/>
    </row>
    <row r="454">
      <c r="V454" s="48"/>
    </row>
    <row r="455">
      <c r="V455" s="48"/>
    </row>
    <row r="456">
      <c r="V456" s="48"/>
    </row>
    <row r="457">
      <c r="V457" s="48"/>
    </row>
    <row r="458">
      <c r="V458" s="48"/>
    </row>
    <row r="459">
      <c r="V459" s="48"/>
    </row>
    <row r="460">
      <c r="V460" s="48"/>
    </row>
    <row r="461">
      <c r="V461" s="48"/>
    </row>
    <row r="462">
      <c r="V462" s="48"/>
    </row>
    <row r="463">
      <c r="V463" s="48"/>
    </row>
    <row r="464">
      <c r="V464" s="48"/>
    </row>
    <row r="465">
      <c r="V465" s="48"/>
    </row>
    <row r="466">
      <c r="V466" s="48"/>
    </row>
    <row r="467">
      <c r="V467" s="48"/>
    </row>
    <row r="468">
      <c r="V468" s="48"/>
    </row>
    <row r="469">
      <c r="V469" s="48"/>
    </row>
    <row r="470">
      <c r="V470" s="48"/>
    </row>
    <row r="471">
      <c r="V471" s="48"/>
    </row>
    <row r="472">
      <c r="V472" s="48"/>
    </row>
    <row r="473">
      <c r="V473" s="48"/>
    </row>
    <row r="474">
      <c r="V474" s="48"/>
    </row>
    <row r="475">
      <c r="V475" s="48"/>
    </row>
    <row r="476">
      <c r="V476" s="48"/>
    </row>
    <row r="477">
      <c r="V477" s="48"/>
    </row>
    <row r="478">
      <c r="V478" s="48"/>
    </row>
    <row r="479">
      <c r="V479" s="48"/>
    </row>
    <row r="480">
      <c r="V480" s="48"/>
    </row>
    <row r="481">
      <c r="V481" s="48"/>
    </row>
    <row r="482">
      <c r="V482" s="48"/>
    </row>
    <row r="483">
      <c r="V483" s="48"/>
    </row>
    <row r="484">
      <c r="V484" s="48"/>
    </row>
    <row r="485">
      <c r="V485" s="48"/>
    </row>
    <row r="486">
      <c r="V486" s="48"/>
    </row>
    <row r="487">
      <c r="V487" s="48"/>
    </row>
    <row r="488">
      <c r="V488" s="48"/>
    </row>
    <row r="489">
      <c r="V489" s="48"/>
    </row>
    <row r="490">
      <c r="V490" s="48"/>
    </row>
    <row r="491">
      <c r="V491" s="48"/>
    </row>
    <row r="492">
      <c r="V492" s="48"/>
    </row>
    <row r="493">
      <c r="V493" s="48"/>
    </row>
    <row r="494">
      <c r="V494" s="48"/>
    </row>
    <row r="495">
      <c r="V495" s="48"/>
    </row>
    <row r="496">
      <c r="V496" s="48"/>
    </row>
    <row r="497">
      <c r="V497" s="48"/>
    </row>
    <row r="498">
      <c r="V498" s="48"/>
    </row>
    <row r="499">
      <c r="V499" s="48"/>
    </row>
    <row r="500">
      <c r="V500" s="48"/>
    </row>
    <row r="501">
      <c r="V501" s="48"/>
    </row>
    <row r="502">
      <c r="V502" s="48"/>
    </row>
    <row r="503">
      <c r="V503" s="48"/>
    </row>
    <row r="504">
      <c r="V504" s="48"/>
    </row>
    <row r="505">
      <c r="V505" s="48"/>
    </row>
    <row r="506">
      <c r="V506" s="48"/>
    </row>
    <row r="507">
      <c r="V507" s="48"/>
    </row>
    <row r="508">
      <c r="V508" s="48"/>
    </row>
    <row r="509">
      <c r="V509" s="48"/>
    </row>
    <row r="510">
      <c r="V510" s="48"/>
    </row>
    <row r="511">
      <c r="V511" s="48"/>
    </row>
    <row r="512">
      <c r="V512" s="48"/>
    </row>
    <row r="513">
      <c r="V513" s="48"/>
    </row>
    <row r="514">
      <c r="V514" s="48"/>
    </row>
    <row r="515">
      <c r="V515" s="48"/>
    </row>
    <row r="516">
      <c r="V516" s="48"/>
    </row>
    <row r="517">
      <c r="V517" s="48"/>
    </row>
    <row r="518">
      <c r="V518" s="48"/>
    </row>
    <row r="519">
      <c r="V519" s="48"/>
    </row>
    <row r="520">
      <c r="V520" s="48"/>
    </row>
    <row r="521">
      <c r="V521" s="48"/>
    </row>
    <row r="522">
      <c r="V522" s="48"/>
    </row>
    <row r="523">
      <c r="V523" s="48"/>
    </row>
    <row r="524">
      <c r="V524" s="48"/>
    </row>
    <row r="525">
      <c r="V525" s="48"/>
    </row>
    <row r="526">
      <c r="V526" s="48"/>
    </row>
    <row r="527">
      <c r="V527" s="48"/>
    </row>
    <row r="528">
      <c r="V528" s="48"/>
    </row>
    <row r="529">
      <c r="V529" s="48"/>
    </row>
    <row r="530">
      <c r="V530" s="48"/>
    </row>
    <row r="531">
      <c r="V531" s="48"/>
    </row>
    <row r="532">
      <c r="V532" s="48"/>
    </row>
    <row r="533">
      <c r="V533" s="48"/>
    </row>
    <row r="534">
      <c r="V534" s="48"/>
    </row>
    <row r="535">
      <c r="V535" s="48"/>
    </row>
    <row r="536">
      <c r="V536" s="48"/>
    </row>
    <row r="537">
      <c r="V537" s="48"/>
    </row>
    <row r="538">
      <c r="V538" s="48"/>
    </row>
    <row r="539">
      <c r="V539" s="48"/>
    </row>
    <row r="540">
      <c r="V540" s="48"/>
    </row>
    <row r="541">
      <c r="V541" s="48"/>
    </row>
    <row r="542">
      <c r="V542" s="48"/>
    </row>
    <row r="543">
      <c r="V543" s="48"/>
    </row>
    <row r="544">
      <c r="V544" s="48"/>
    </row>
    <row r="545">
      <c r="V545" s="48"/>
    </row>
    <row r="546">
      <c r="V546" s="48"/>
    </row>
    <row r="547">
      <c r="V547" s="48"/>
    </row>
    <row r="548">
      <c r="V548" s="48"/>
    </row>
    <row r="549">
      <c r="V549" s="48"/>
    </row>
    <row r="550">
      <c r="V550" s="48"/>
    </row>
    <row r="551">
      <c r="V551" s="48"/>
    </row>
    <row r="552">
      <c r="V552" s="48"/>
    </row>
    <row r="553">
      <c r="V553" s="48"/>
    </row>
    <row r="554">
      <c r="V554" s="48"/>
    </row>
    <row r="555">
      <c r="V555" s="48"/>
    </row>
    <row r="556">
      <c r="V556" s="48"/>
    </row>
    <row r="557">
      <c r="V557" s="48"/>
    </row>
    <row r="558">
      <c r="V558" s="48"/>
    </row>
    <row r="559">
      <c r="V559" s="48"/>
    </row>
    <row r="560">
      <c r="V560" s="48"/>
    </row>
    <row r="561">
      <c r="V561" s="48"/>
    </row>
    <row r="562">
      <c r="V562" s="48"/>
    </row>
    <row r="563">
      <c r="V563" s="48"/>
    </row>
    <row r="564">
      <c r="V564" s="48"/>
    </row>
    <row r="565">
      <c r="V565" s="48"/>
    </row>
    <row r="566">
      <c r="V566" s="48"/>
    </row>
    <row r="567">
      <c r="V567" s="48"/>
    </row>
    <row r="568">
      <c r="V568" s="48"/>
    </row>
    <row r="569">
      <c r="V569" s="48"/>
    </row>
    <row r="570">
      <c r="V570" s="48"/>
    </row>
    <row r="571">
      <c r="V571" s="48"/>
    </row>
    <row r="572">
      <c r="V572" s="48"/>
    </row>
    <row r="573">
      <c r="V573" s="48"/>
    </row>
    <row r="574">
      <c r="V574" s="48"/>
    </row>
    <row r="575">
      <c r="V575" s="48"/>
    </row>
    <row r="576">
      <c r="V576" s="48"/>
    </row>
    <row r="577">
      <c r="V577" s="48"/>
    </row>
    <row r="578">
      <c r="V578" s="48"/>
    </row>
    <row r="579">
      <c r="V579" s="48"/>
    </row>
    <row r="580">
      <c r="V580" s="48"/>
    </row>
    <row r="581">
      <c r="V581" s="48"/>
    </row>
    <row r="582">
      <c r="V582" s="48"/>
    </row>
    <row r="583">
      <c r="V583" s="48"/>
    </row>
    <row r="584">
      <c r="V584" s="48"/>
    </row>
    <row r="585">
      <c r="V585" s="48"/>
    </row>
    <row r="586">
      <c r="V586" s="48"/>
    </row>
    <row r="587">
      <c r="V587" s="48"/>
    </row>
    <row r="588">
      <c r="V588" s="48"/>
    </row>
    <row r="589">
      <c r="V589" s="48"/>
    </row>
    <row r="590">
      <c r="V590" s="48"/>
    </row>
    <row r="591">
      <c r="V591" s="48"/>
    </row>
    <row r="592">
      <c r="V592" s="48"/>
    </row>
    <row r="593">
      <c r="V593" s="48"/>
    </row>
    <row r="594">
      <c r="V594" s="48"/>
    </row>
    <row r="595">
      <c r="V595" s="48"/>
    </row>
    <row r="596">
      <c r="V596" s="48"/>
    </row>
    <row r="597">
      <c r="V597" s="48"/>
    </row>
    <row r="598">
      <c r="V598" s="48"/>
    </row>
    <row r="599">
      <c r="V599" s="48"/>
    </row>
    <row r="600">
      <c r="V600" s="48"/>
    </row>
    <row r="601">
      <c r="V601" s="48"/>
    </row>
    <row r="602">
      <c r="V602" s="48"/>
    </row>
    <row r="603">
      <c r="V603" s="48"/>
    </row>
    <row r="604">
      <c r="V604" s="48"/>
    </row>
    <row r="605">
      <c r="V605" s="48"/>
    </row>
    <row r="606">
      <c r="V606" s="48"/>
    </row>
    <row r="607">
      <c r="V607" s="48"/>
    </row>
    <row r="608">
      <c r="V608" s="48"/>
    </row>
    <row r="609">
      <c r="V609" s="48"/>
    </row>
    <row r="610">
      <c r="V610" s="48"/>
    </row>
    <row r="611">
      <c r="V611" s="48"/>
    </row>
    <row r="612">
      <c r="V612" s="48"/>
    </row>
    <row r="613">
      <c r="V613" s="48"/>
    </row>
    <row r="614">
      <c r="V614" s="48"/>
    </row>
    <row r="615">
      <c r="V615" s="48"/>
    </row>
    <row r="616">
      <c r="V616" s="48"/>
    </row>
    <row r="617">
      <c r="V617" s="48"/>
    </row>
    <row r="618">
      <c r="V618" s="48"/>
    </row>
    <row r="619">
      <c r="V619" s="48"/>
    </row>
    <row r="620">
      <c r="V620" s="48"/>
    </row>
    <row r="621">
      <c r="V621" s="48"/>
    </row>
    <row r="622">
      <c r="V622" s="48"/>
    </row>
    <row r="623">
      <c r="V623" s="48"/>
    </row>
    <row r="624">
      <c r="V624" s="48"/>
    </row>
    <row r="625">
      <c r="V625" s="48"/>
    </row>
    <row r="626">
      <c r="V626" s="48"/>
    </row>
    <row r="627">
      <c r="V627" s="48"/>
    </row>
    <row r="628">
      <c r="V628" s="48"/>
    </row>
    <row r="629">
      <c r="V629" s="48"/>
    </row>
    <row r="630">
      <c r="V630" s="48"/>
    </row>
    <row r="631">
      <c r="V631" s="48"/>
    </row>
    <row r="632">
      <c r="V632" s="48"/>
    </row>
    <row r="633">
      <c r="V633" s="48"/>
    </row>
    <row r="634">
      <c r="V634" s="48"/>
    </row>
    <row r="635">
      <c r="V635" s="48"/>
    </row>
    <row r="636">
      <c r="V636" s="48"/>
    </row>
    <row r="637">
      <c r="V637" s="48"/>
    </row>
    <row r="638">
      <c r="V638" s="48"/>
    </row>
    <row r="639">
      <c r="V639" s="48"/>
    </row>
    <row r="640">
      <c r="V640" s="48"/>
    </row>
    <row r="641">
      <c r="V641" s="48"/>
    </row>
    <row r="642">
      <c r="V642" s="48"/>
    </row>
    <row r="643">
      <c r="V643" s="48"/>
    </row>
    <row r="644">
      <c r="V644" s="48"/>
    </row>
    <row r="645">
      <c r="V645" s="48"/>
    </row>
    <row r="646">
      <c r="V646" s="48"/>
    </row>
    <row r="647">
      <c r="V647" s="48"/>
    </row>
    <row r="648">
      <c r="V648" s="48"/>
    </row>
    <row r="649">
      <c r="V649" s="48"/>
    </row>
    <row r="650">
      <c r="V650" s="48"/>
    </row>
    <row r="651">
      <c r="V651" s="48"/>
    </row>
    <row r="652">
      <c r="V652" s="48"/>
    </row>
    <row r="653">
      <c r="V653" s="48"/>
    </row>
    <row r="654">
      <c r="V654" s="48"/>
    </row>
    <row r="655">
      <c r="V655" s="48"/>
    </row>
    <row r="656">
      <c r="V656" s="48"/>
    </row>
    <row r="657">
      <c r="V657" s="48"/>
    </row>
    <row r="658">
      <c r="V658" s="48"/>
    </row>
    <row r="659">
      <c r="V659" s="48"/>
    </row>
    <row r="660">
      <c r="V660" s="48"/>
    </row>
    <row r="661">
      <c r="V661" s="48"/>
    </row>
    <row r="662">
      <c r="V662" s="48"/>
    </row>
    <row r="663">
      <c r="V663" s="48"/>
    </row>
    <row r="664">
      <c r="V664" s="48"/>
    </row>
    <row r="665">
      <c r="V665" s="48"/>
    </row>
    <row r="666">
      <c r="V666" s="48"/>
    </row>
    <row r="667">
      <c r="V667" s="48"/>
    </row>
    <row r="668">
      <c r="V668" s="48"/>
    </row>
    <row r="669">
      <c r="V669" s="48"/>
    </row>
    <row r="670">
      <c r="V670" s="48"/>
    </row>
    <row r="671">
      <c r="V671" s="48"/>
    </row>
    <row r="672">
      <c r="V672" s="48"/>
    </row>
    <row r="673">
      <c r="V673" s="48"/>
    </row>
    <row r="674">
      <c r="V674" s="48"/>
    </row>
    <row r="675">
      <c r="V675" s="48"/>
    </row>
    <row r="676">
      <c r="V676" s="48"/>
    </row>
    <row r="677">
      <c r="V677" s="48"/>
    </row>
    <row r="678">
      <c r="V678" s="48"/>
    </row>
    <row r="679">
      <c r="V679" s="48"/>
    </row>
    <row r="680">
      <c r="V680" s="48"/>
    </row>
    <row r="681">
      <c r="V681" s="48"/>
    </row>
    <row r="682">
      <c r="V682" s="48"/>
    </row>
    <row r="683">
      <c r="V683" s="48"/>
    </row>
    <row r="684">
      <c r="V684" s="48"/>
    </row>
    <row r="685">
      <c r="V685" s="48"/>
    </row>
    <row r="686">
      <c r="V686" s="48"/>
    </row>
    <row r="687">
      <c r="V687" s="48"/>
    </row>
    <row r="688">
      <c r="V688" s="48"/>
    </row>
    <row r="689">
      <c r="V689" s="48"/>
    </row>
    <row r="690">
      <c r="V690" s="48"/>
    </row>
    <row r="691">
      <c r="V691" s="48"/>
    </row>
    <row r="692">
      <c r="V692" s="48"/>
    </row>
    <row r="693">
      <c r="V693" s="48"/>
    </row>
    <row r="694">
      <c r="V694" s="48"/>
    </row>
    <row r="695">
      <c r="V695" s="48"/>
    </row>
    <row r="696">
      <c r="V696" s="48"/>
    </row>
    <row r="697">
      <c r="V697" s="48"/>
    </row>
    <row r="698">
      <c r="V698" s="48"/>
    </row>
    <row r="699">
      <c r="V699" s="48"/>
    </row>
    <row r="700">
      <c r="V700" s="48"/>
    </row>
    <row r="701">
      <c r="V701" s="48"/>
    </row>
    <row r="702">
      <c r="V702" s="48"/>
    </row>
    <row r="703">
      <c r="V703" s="48"/>
    </row>
    <row r="704">
      <c r="V704" s="48"/>
    </row>
    <row r="705">
      <c r="V705" s="48"/>
    </row>
    <row r="706">
      <c r="V706" s="48"/>
    </row>
    <row r="707">
      <c r="V707" s="48"/>
    </row>
    <row r="708">
      <c r="V708" s="48"/>
    </row>
    <row r="709">
      <c r="V709" s="48"/>
    </row>
    <row r="710">
      <c r="V710" s="48"/>
    </row>
    <row r="711">
      <c r="V711" s="48"/>
    </row>
    <row r="712">
      <c r="V712" s="48"/>
    </row>
    <row r="713">
      <c r="V713" s="48"/>
    </row>
    <row r="714">
      <c r="V714" s="48"/>
    </row>
    <row r="715">
      <c r="V715" s="48"/>
    </row>
    <row r="716">
      <c r="V716" s="48"/>
    </row>
    <row r="717">
      <c r="V717" s="48"/>
    </row>
    <row r="718">
      <c r="V718" s="48"/>
    </row>
    <row r="719">
      <c r="V719" s="48"/>
    </row>
    <row r="720">
      <c r="V720" s="48"/>
    </row>
    <row r="721">
      <c r="V721" s="48"/>
    </row>
    <row r="722">
      <c r="V722" s="48"/>
    </row>
    <row r="723">
      <c r="V723" s="48"/>
    </row>
    <row r="724">
      <c r="V724" s="48"/>
    </row>
    <row r="725">
      <c r="V725" s="48"/>
    </row>
    <row r="726">
      <c r="V726" s="48"/>
    </row>
    <row r="727">
      <c r="V727" s="48"/>
    </row>
    <row r="728">
      <c r="V728" s="48"/>
    </row>
    <row r="729">
      <c r="V729" s="48"/>
    </row>
    <row r="730">
      <c r="V730" s="48"/>
    </row>
    <row r="731">
      <c r="V731" s="48"/>
    </row>
    <row r="732">
      <c r="V732" s="48"/>
    </row>
    <row r="733">
      <c r="V733" s="48"/>
    </row>
    <row r="734">
      <c r="V734" s="48"/>
    </row>
    <row r="735">
      <c r="V735" s="48"/>
    </row>
    <row r="736">
      <c r="V736" s="48"/>
    </row>
    <row r="737">
      <c r="V737" s="48"/>
    </row>
    <row r="738">
      <c r="V738" s="48"/>
    </row>
    <row r="739">
      <c r="V739" s="48"/>
    </row>
    <row r="740">
      <c r="V740" s="48"/>
    </row>
    <row r="741">
      <c r="V741" s="48"/>
    </row>
    <row r="742">
      <c r="V742" s="48"/>
    </row>
    <row r="743">
      <c r="V743" s="48"/>
    </row>
    <row r="744">
      <c r="V744" s="48"/>
    </row>
    <row r="745">
      <c r="V745" s="48"/>
    </row>
    <row r="746">
      <c r="V746" s="48"/>
    </row>
    <row r="747">
      <c r="V747" s="48"/>
    </row>
    <row r="748">
      <c r="V748" s="48"/>
    </row>
    <row r="749">
      <c r="V749" s="48"/>
    </row>
    <row r="750">
      <c r="V750" s="48"/>
    </row>
    <row r="751">
      <c r="V751" s="48"/>
    </row>
    <row r="752">
      <c r="V752" s="48"/>
    </row>
    <row r="753">
      <c r="V753" s="48"/>
    </row>
    <row r="754">
      <c r="V754" s="48"/>
    </row>
    <row r="755">
      <c r="V755" s="48"/>
    </row>
    <row r="756">
      <c r="V756" s="48"/>
    </row>
    <row r="757">
      <c r="V757" s="48"/>
    </row>
    <row r="758">
      <c r="V758" s="48"/>
    </row>
    <row r="759">
      <c r="V759" s="48"/>
    </row>
    <row r="760">
      <c r="V760" s="48"/>
    </row>
    <row r="761">
      <c r="V761" s="48"/>
    </row>
    <row r="762">
      <c r="V762" s="48"/>
    </row>
    <row r="763">
      <c r="V763" s="48"/>
    </row>
    <row r="764">
      <c r="V764" s="48"/>
    </row>
    <row r="765">
      <c r="V765" s="48"/>
    </row>
    <row r="766">
      <c r="V766" s="48"/>
    </row>
    <row r="767">
      <c r="V767" s="48"/>
    </row>
    <row r="768">
      <c r="V768" s="48"/>
    </row>
    <row r="769">
      <c r="V769" s="48"/>
    </row>
    <row r="770">
      <c r="V770" s="48"/>
    </row>
    <row r="771">
      <c r="V771" s="48"/>
    </row>
    <row r="772">
      <c r="V772" s="48"/>
    </row>
    <row r="773">
      <c r="V773" s="48"/>
    </row>
    <row r="774">
      <c r="V774" s="48"/>
    </row>
    <row r="775">
      <c r="V775" s="48"/>
    </row>
    <row r="776">
      <c r="V776" s="48"/>
    </row>
    <row r="777">
      <c r="V777" s="48"/>
    </row>
    <row r="778">
      <c r="V778" s="48"/>
    </row>
    <row r="779">
      <c r="V779" s="48"/>
    </row>
    <row r="780">
      <c r="V780" s="48"/>
    </row>
    <row r="781">
      <c r="V781" s="48"/>
    </row>
    <row r="782">
      <c r="V782" s="48"/>
    </row>
    <row r="783">
      <c r="V783" s="48"/>
    </row>
    <row r="784">
      <c r="V784" s="48"/>
    </row>
    <row r="785">
      <c r="V785" s="48"/>
    </row>
    <row r="786">
      <c r="V786" s="48"/>
    </row>
    <row r="787">
      <c r="V787" s="48"/>
    </row>
    <row r="788">
      <c r="V788" s="48"/>
    </row>
    <row r="789">
      <c r="V789" s="48"/>
    </row>
    <row r="790">
      <c r="V790" s="48"/>
    </row>
    <row r="791">
      <c r="V791" s="48"/>
    </row>
    <row r="792">
      <c r="V792" s="48"/>
    </row>
    <row r="793">
      <c r="V793" s="48"/>
    </row>
    <row r="794">
      <c r="V794" s="48"/>
    </row>
    <row r="795">
      <c r="V795" s="48"/>
    </row>
    <row r="796">
      <c r="V796" s="48"/>
    </row>
    <row r="797">
      <c r="V797" s="48"/>
    </row>
    <row r="798">
      <c r="V798" s="48"/>
    </row>
    <row r="799">
      <c r="V799" s="48"/>
    </row>
    <row r="800">
      <c r="V800" s="48"/>
    </row>
    <row r="801">
      <c r="V801" s="48"/>
    </row>
    <row r="802">
      <c r="V802" s="48"/>
    </row>
    <row r="803">
      <c r="V803" s="48"/>
    </row>
    <row r="804">
      <c r="V804" s="48"/>
    </row>
    <row r="805">
      <c r="V805" s="48"/>
    </row>
    <row r="806">
      <c r="V806" s="48"/>
    </row>
    <row r="807">
      <c r="V807" s="48"/>
    </row>
    <row r="808">
      <c r="V808" s="48"/>
    </row>
    <row r="809">
      <c r="V809" s="48"/>
    </row>
    <row r="810">
      <c r="V810" s="48"/>
    </row>
    <row r="811">
      <c r="V811" s="48"/>
    </row>
    <row r="812">
      <c r="V812" s="48"/>
    </row>
    <row r="813">
      <c r="V813" s="48"/>
    </row>
    <row r="814">
      <c r="V814" s="48"/>
    </row>
    <row r="815">
      <c r="V815" s="48"/>
    </row>
    <row r="816">
      <c r="V816" s="48"/>
    </row>
    <row r="817">
      <c r="V817" s="48"/>
    </row>
    <row r="818">
      <c r="V818" s="48"/>
    </row>
    <row r="819">
      <c r="V819" s="48"/>
    </row>
    <row r="820">
      <c r="V820" s="48"/>
    </row>
    <row r="821">
      <c r="V821" s="48"/>
    </row>
    <row r="822">
      <c r="V822" s="48"/>
    </row>
    <row r="823">
      <c r="V823" s="48"/>
    </row>
    <row r="824">
      <c r="V824" s="48"/>
    </row>
    <row r="825">
      <c r="V825" s="48"/>
    </row>
    <row r="826">
      <c r="V826" s="48"/>
    </row>
    <row r="827">
      <c r="V827" s="48"/>
    </row>
    <row r="828">
      <c r="V828" s="48"/>
    </row>
    <row r="829">
      <c r="V829" s="48"/>
    </row>
    <row r="830">
      <c r="V830" s="48"/>
    </row>
    <row r="831">
      <c r="V831" s="48"/>
    </row>
    <row r="832">
      <c r="V832" s="48"/>
    </row>
    <row r="833">
      <c r="V833" s="48"/>
    </row>
    <row r="834">
      <c r="V834" s="48"/>
    </row>
    <row r="835">
      <c r="V835" s="48"/>
    </row>
    <row r="836">
      <c r="V836" s="48"/>
    </row>
    <row r="837">
      <c r="V837" s="48"/>
    </row>
    <row r="838">
      <c r="V838" s="48"/>
    </row>
    <row r="839">
      <c r="V839" s="48"/>
    </row>
    <row r="840">
      <c r="V840" s="48"/>
    </row>
    <row r="841">
      <c r="V841" s="48"/>
    </row>
    <row r="842">
      <c r="V842" s="48"/>
    </row>
    <row r="843">
      <c r="V843" s="48"/>
    </row>
    <row r="844">
      <c r="V844" s="48"/>
    </row>
    <row r="845">
      <c r="V845" s="48"/>
    </row>
    <row r="846">
      <c r="V846" s="48"/>
    </row>
    <row r="847">
      <c r="V847" s="48"/>
    </row>
    <row r="848">
      <c r="V848" s="48"/>
    </row>
    <row r="849">
      <c r="V849" s="48"/>
    </row>
    <row r="850">
      <c r="V850" s="48"/>
    </row>
    <row r="851">
      <c r="V851" s="48"/>
    </row>
    <row r="852">
      <c r="V852" s="48"/>
    </row>
    <row r="853">
      <c r="V853" s="48"/>
    </row>
    <row r="854">
      <c r="V854" s="48"/>
    </row>
    <row r="855">
      <c r="V855" s="48"/>
    </row>
    <row r="856">
      <c r="V856" s="48"/>
    </row>
    <row r="857">
      <c r="V857" s="48"/>
    </row>
    <row r="858">
      <c r="V858" s="48"/>
    </row>
    <row r="859">
      <c r="V859" s="48"/>
    </row>
    <row r="860">
      <c r="V860" s="48"/>
    </row>
    <row r="861">
      <c r="V861" s="48"/>
    </row>
    <row r="862">
      <c r="V862" s="48"/>
    </row>
    <row r="863">
      <c r="V863" s="48"/>
    </row>
    <row r="864">
      <c r="V864" s="48"/>
    </row>
    <row r="865">
      <c r="V865" s="48"/>
    </row>
    <row r="866">
      <c r="V866" s="48"/>
    </row>
    <row r="867">
      <c r="V867" s="48"/>
    </row>
    <row r="868">
      <c r="V868" s="48"/>
    </row>
    <row r="869">
      <c r="V869" s="48"/>
    </row>
    <row r="870">
      <c r="V870" s="48"/>
    </row>
    <row r="871">
      <c r="V871" s="48"/>
    </row>
    <row r="872">
      <c r="V872" s="48"/>
    </row>
    <row r="873">
      <c r="V873" s="48"/>
    </row>
    <row r="874">
      <c r="V874" s="48"/>
    </row>
    <row r="875">
      <c r="V875" s="48"/>
    </row>
    <row r="876">
      <c r="V876" s="48"/>
    </row>
    <row r="877">
      <c r="V877" s="48"/>
    </row>
    <row r="878">
      <c r="V878" s="48"/>
    </row>
    <row r="879">
      <c r="V879" s="48"/>
    </row>
    <row r="880">
      <c r="V880" s="48"/>
    </row>
    <row r="881">
      <c r="V881" s="48"/>
    </row>
    <row r="882">
      <c r="V882" s="48"/>
    </row>
    <row r="883">
      <c r="V883" s="48"/>
    </row>
    <row r="884">
      <c r="V884" s="48"/>
    </row>
    <row r="885">
      <c r="V885" s="48"/>
    </row>
    <row r="886">
      <c r="V886" s="48"/>
    </row>
    <row r="887">
      <c r="V887" s="48"/>
    </row>
    <row r="888">
      <c r="V888" s="48"/>
    </row>
    <row r="889">
      <c r="V889" s="48"/>
    </row>
    <row r="890">
      <c r="V890" s="48"/>
    </row>
    <row r="891">
      <c r="V891" s="48"/>
    </row>
    <row r="892">
      <c r="V892" s="48"/>
    </row>
    <row r="893">
      <c r="V893" s="48"/>
    </row>
    <row r="894">
      <c r="V894" s="48"/>
    </row>
    <row r="895">
      <c r="V895" s="48"/>
    </row>
    <row r="896">
      <c r="V896" s="48"/>
    </row>
    <row r="897">
      <c r="V897" s="48"/>
    </row>
    <row r="898">
      <c r="V898" s="48"/>
    </row>
    <row r="899">
      <c r="V899" s="48"/>
    </row>
    <row r="900">
      <c r="V900" s="48"/>
    </row>
    <row r="901">
      <c r="V901" s="48"/>
    </row>
    <row r="902">
      <c r="V902" s="48"/>
    </row>
    <row r="903">
      <c r="V903" s="48"/>
    </row>
    <row r="904">
      <c r="V904" s="48"/>
    </row>
    <row r="905">
      <c r="V905" s="48"/>
    </row>
    <row r="906">
      <c r="V906" s="48"/>
    </row>
    <row r="907">
      <c r="V907" s="48"/>
    </row>
    <row r="908">
      <c r="V908" s="48"/>
    </row>
    <row r="909">
      <c r="V909" s="48"/>
    </row>
    <row r="910">
      <c r="V910" s="48"/>
    </row>
    <row r="911">
      <c r="V911" s="48"/>
    </row>
    <row r="912">
      <c r="V912" s="48"/>
    </row>
    <row r="913">
      <c r="V913" s="48"/>
    </row>
    <row r="914">
      <c r="V914" s="48"/>
    </row>
    <row r="915">
      <c r="V915" s="48"/>
    </row>
    <row r="916">
      <c r="V916" s="48"/>
    </row>
    <row r="917">
      <c r="V917" s="48"/>
    </row>
    <row r="918">
      <c r="V918" s="48"/>
    </row>
    <row r="919">
      <c r="V919" s="48"/>
    </row>
    <row r="920">
      <c r="V920" s="48"/>
    </row>
    <row r="921">
      <c r="V921" s="48"/>
    </row>
    <row r="922">
      <c r="V922" s="48"/>
    </row>
    <row r="923">
      <c r="V923" s="48"/>
    </row>
    <row r="924">
      <c r="V924" s="48"/>
    </row>
    <row r="925">
      <c r="V925" s="48"/>
    </row>
    <row r="926">
      <c r="V926" s="48"/>
    </row>
    <row r="927">
      <c r="V927" s="48"/>
    </row>
    <row r="928">
      <c r="V928" s="48"/>
    </row>
    <row r="929">
      <c r="V929" s="48"/>
    </row>
    <row r="930">
      <c r="V930" s="48"/>
    </row>
    <row r="931">
      <c r="V931" s="48"/>
    </row>
    <row r="932">
      <c r="V932" s="48"/>
    </row>
    <row r="933">
      <c r="V933" s="48"/>
    </row>
    <row r="934">
      <c r="V934" s="48"/>
    </row>
    <row r="935">
      <c r="V935" s="48"/>
    </row>
    <row r="936">
      <c r="V936" s="48"/>
    </row>
    <row r="937">
      <c r="V937" s="48"/>
    </row>
    <row r="938">
      <c r="V938" s="48"/>
    </row>
    <row r="939">
      <c r="V939" s="48"/>
    </row>
    <row r="940">
      <c r="V940" s="48"/>
    </row>
    <row r="941">
      <c r="V941" s="48"/>
    </row>
    <row r="942">
      <c r="V942" s="48"/>
    </row>
    <row r="943">
      <c r="V943" s="48"/>
    </row>
    <row r="944">
      <c r="V944" s="48"/>
    </row>
    <row r="945">
      <c r="V945" s="48"/>
    </row>
    <row r="946">
      <c r="V946" s="48"/>
    </row>
    <row r="947">
      <c r="V947" s="48"/>
    </row>
    <row r="948">
      <c r="V948" s="48"/>
    </row>
    <row r="949">
      <c r="V949" s="48"/>
    </row>
    <row r="950">
      <c r="V950" s="48"/>
    </row>
    <row r="951">
      <c r="V951" s="48"/>
    </row>
    <row r="952">
      <c r="V952" s="48"/>
    </row>
    <row r="953">
      <c r="V953" s="48"/>
    </row>
    <row r="954">
      <c r="V954" s="48"/>
    </row>
    <row r="955">
      <c r="V955" s="48"/>
    </row>
    <row r="956">
      <c r="V956" s="48"/>
    </row>
    <row r="957">
      <c r="V957" s="48"/>
    </row>
    <row r="958">
      <c r="V958" s="48"/>
    </row>
    <row r="959">
      <c r="V959" s="48"/>
    </row>
    <row r="960">
      <c r="V960" s="48"/>
    </row>
    <row r="961">
      <c r="V961" s="48"/>
    </row>
    <row r="962">
      <c r="V962" s="48"/>
    </row>
    <row r="963">
      <c r="V963" s="48"/>
    </row>
    <row r="964">
      <c r="V964" s="48"/>
    </row>
    <row r="965">
      <c r="V965" s="48"/>
    </row>
    <row r="966">
      <c r="V966" s="48"/>
    </row>
    <row r="967">
      <c r="V967" s="48"/>
    </row>
    <row r="968">
      <c r="V968" s="48"/>
    </row>
    <row r="969">
      <c r="V969" s="48"/>
    </row>
    <row r="970">
      <c r="V970" s="48"/>
    </row>
    <row r="971">
      <c r="V971" s="48"/>
    </row>
    <row r="972">
      <c r="V972" s="48"/>
    </row>
    <row r="973">
      <c r="V973" s="48"/>
    </row>
    <row r="974">
      <c r="V974" s="48"/>
    </row>
    <row r="975">
      <c r="V975" s="48"/>
    </row>
    <row r="976">
      <c r="V976" s="48"/>
    </row>
    <row r="977">
      <c r="V977" s="48"/>
    </row>
    <row r="978">
      <c r="V978" s="48"/>
    </row>
    <row r="979">
      <c r="V979" s="48"/>
    </row>
    <row r="980">
      <c r="V980" s="48"/>
    </row>
    <row r="981">
      <c r="V981" s="48"/>
    </row>
    <row r="982">
      <c r="V982" s="48"/>
    </row>
  </sheetData>
  <conditionalFormatting sqref="G1:G982">
    <cfRule type="cellIs" dxfId="0" priority="1" operator="greaterThanOrEqual">
      <formula>2</formula>
    </cfRule>
  </conditionalFormatting>
  <conditionalFormatting sqref="G1:G982">
    <cfRule type="cellIs" dxfId="1" priority="2" operator="equal">
      <formula>0</formula>
    </cfRule>
  </conditionalFormatting>
  <conditionalFormatting sqref="N2:N982">
    <cfRule type="cellIs" dxfId="2" priority="3" operator="equal">
      <formula>"TRUE"</formula>
    </cfRule>
  </conditionalFormatting>
  <hyperlinks>
    <hyperlink r:id="rId2" ref="Z6"/>
    <hyperlink r:id="rId3" ref="Z9"/>
  </hyperlink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18.13"/>
    <col customWidth="1" min="5" max="5" width="16.75"/>
    <col customWidth="1" min="6" max="6" width="16.63"/>
    <col customWidth="1" min="7" max="7" width="16.0"/>
    <col customWidth="1" min="8" max="8" width="16.75"/>
    <col customWidth="1" min="9" max="9" width="16.0"/>
    <col customWidth="1" min="10" max="10" width="20.25"/>
    <col customWidth="1" min="12" max="12" width="15.38"/>
    <col customWidth="1" min="15" max="15" width="23.38"/>
    <col customWidth="1" min="16" max="16" width="16.63"/>
    <col customWidth="1" min="17" max="17" width="14.25"/>
  </cols>
  <sheetData>
    <row r="1">
      <c r="A1" s="131" t="s">
        <v>0</v>
      </c>
      <c r="B1" s="131" t="s">
        <v>1</v>
      </c>
      <c r="C1" s="6" t="s">
        <v>2</v>
      </c>
      <c r="D1" s="68" t="s">
        <v>3</v>
      </c>
      <c r="E1" s="131" t="s">
        <v>82</v>
      </c>
      <c r="F1" s="131" t="s">
        <v>83</v>
      </c>
      <c r="G1" s="131" t="s">
        <v>84</v>
      </c>
      <c r="H1" s="131" t="s">
        <v>85</v>
      </c>
      <c r="I1" s="131" t="s">
        <v>86</v>
      </c>
      <c r="J1" s="131" t="s">
        <v>87</v>
      </c>
      <c r="K1" s="131" t="s">
        <v>88</v>
      </c>
      <c r="L1" s="131" t="s">
        <v>89</v>
      </c>
      <c r="M1" s="131" t="s">
        <v>90</v>
      </c>
      <c r="N1" s="132" t="s">
        <v>91</v>
      </c>
      <c r="O1" s="133" t="s">
        <v>92</v>
      </c>
      <c r="P1" s="131" t="s">
        <v>93</v>
      </c>
      <c r="Q1" s="134" t="s">
        <v>94</v>
      </c>
    </row>
    <row r="2">
      <c r="A2" s="135"/>
      <c r="B2" s="135"/>
      <c r="C2" s="136"/>
      <c r="D2" s="137" t="s">
        <v>158</v>
      </c>
      <c r="E2" s="138">
        <v>44211.0</v>
      </c>
      <c r="F2" s="139">
        <v>0.3252777777777778</v>
      </c>
      <c r="G2" s="138">
        <v>44211.0</v>
      </c>
      <c r="H2" s="140">
        <v>0.5833333333333334</v>
      </c>
      <c r="I2" s="135" t="s">
        <v>159</v>
      </c>
      <c r="J2" s="135" t="s">
        <v>160</v>
      </c>
      <c r="K2" s="135" t="s">
        <v>37</v>
      </c>
      <c r="L2" s="141">
        <v>31.6</v>
      </c>
      <c r="M2" s="135" t="b">
        <v>0</v>
      </c>
      <c r="N2" s="135" t="b">
        <v>0</v>
      </c>
      <c r="O2" s="135" t="s">
        <v>161</v>
      </c>
      <c r="P2" s="135" t="s">
        <v>162</v>
      </c>
      <c r="Q2" s="142">
        <v>351430.0</v>
      </c>
    </row>
    <row r="3">
      <c r="A3" s="135"/>
      <c r="B3" s="135"/>
      <c r="C3" s="136"/>
      <c r="D3" s="137" t="s">
        <v>163</v>
      </c>
      <c r="E3" s="138">
        <v>44212.0</v>
      </c>
      <c r="F3" s="140">
        <v>0.6666666666666666</v>
      </c>
      <c r="G3" s="138">
        <v>44212.0</v>
      </c>
      <c r="H3" s="140">
        <v>0.7916666666666666</v>
      </c>
      <c r="I3" s="135" t="s">
        <v>159</v>
      </c>
      <c r="J3" s="135" t="s">
        <v>160</v>
      </c>
      <c r="K3" s="135" t="s">
        <v>37</v>
      </c>
      <c r="L3" s="141">
        <v>35.3</v>
      </c>
      <c r="M3" s="135" t="b">
        <v>0</v>
      </c>
      <c r="N3" s="135" t="b">
        <v>0</v>
      </c>
      <c r="O3" s="142" t="s">
        <v>164</v>
      </c>
      <c r="P3" s="135" t="s">
        <v>165</v>
      </c>
      <c r="Q3" s="142">
        <v>351430.0</v>
      </c>
    </row>
    <row r="4">
      <c r="A4" s="135"/>
      <c r="B4" s="135"/>
      <c r="C4" s="136"/>
      <c r="D4" s="137" t="s">
        <v>163</v>
      </c>
      <c r="E4" s="138">
        <v>44213.0</v>
      </c>
      <c r="F4" s="140">
        <v>0.6666666666666666</v>
      </c>
      <c r="G4" s="138">
        <v>44213.0</v>
      </c>
      <c r="H4" s="143"/>
      <c r="I4" s="135" t="s">
        <v>166</v>
      </c>
      <c r="J4" s="143"/>
      <c r="K4" s="135" t="s">
        <v>37</v>
      </c>
      <c r="L4" s="144"/>
      <c r="M4" s="135" t="b">
        <v>0</v>
      </c>
      <c r="N4" s="135" t="b">
        <v>0</v>
      </c>
      <c r="O4" s="135" t="s">
        <v>167</v>
      </c>
      <c r="P4" s="143"/>
      <c r="Q4" s="142">
        <v>351430.0</v>
      </c>
    </row>
    <row r="5">
      <c r="A5" s="135"/>
      <c r="B5" s="135"/>
      <c r="C5" s="136"/>
      <c r="D5" s="137" t="s">
        <v>163</v>
      </c>
      <c r="E5" s="138">
        <v>44214.0</v>
      </c>
      <c r="F5" s="140">
        <v>0.6666666666666666</v>
      </c>
      <c r="G5" s="138">
        <v>44214.0</v>
      </c>
      <c r="H5" s="140">
        <v>0.875</v>
      </c>
      <c r="I5" s="135" t="s">
        <v>159</v>
      </c>
      <c r="J5" s="20" t="s">
        <v>168</v>
      </c>
      <c r="K5" s="135" t="s">
        <v>37</v>
      </c>
      <c r="L5" s="141">
        <v>37.1</v>
      </c>
      <c r="M5" s="135" t="b">
        <v>0</v>
      </c>
      <c r="N5" s="135" t="b">
        <v>0</v>
      </c>
      <c r="O5" s="142" t="s">
        <v>169</v>
      </c>
      <c r="P5" s="135" t="s">
        <v>165</v>
      </c>
      <c r="Q5" s="142">
        <v>351430.0</v>
      </c>
    </row>
    <row r="6">
      <c r="A6" s="145"/>
      <c r="B6" s="146"/>
      <c r="C6" s="136"/>
      <c r="D6" s="137" t="s">
        <v>170</v>
      </c>
      <c r="E6" s="138">
        <v>44211.0</v>
      </c>
      <c r="F6" s="140">
        <v>0.6666666666666666</v>
      </c>
      <c r="G6" s="138">
        <v>44211.0</v>
      </c>
      <c r="H6" s="140">
        <v>0.7916666666666666</v>
      </c>
      <c r="I6" s="135" t="s">
        <v>159</v>
      </c>
      <c r="J6" s="135" t="s">
        <v>160</v>
      </c>
      <c r="K6" s="135" t="s">
        <v>104</v>
      </c>
      <c r="L6" s="144"/>
      <c r="M6" s="135" t="b">
        <v>0</v>
      </c>
      <c r="N6" s="135" t="b">
        <v>0</v>
      </c>
      <c r="O6" s="142" t="s">
        <v>171</v>
      </c>
      <c r="P6" s="135" t="s">
        <v>165</v>
      </c>
      <c r="Q6" s="142">
        <v>351430.0</v>
      </c>
    </row>
    <row r="7">
      <c r="A7" s="145"/>
      <c r="B7" s="146"/>
      <c r="C7" s="136"/>
      <c r="D7" s="137" t="s">
        <v>170</v>
      </c>
      <c r="E7" s="138">
        <v>44213.0</v>
      </c>
      <c r="F7" s="140">
        <v>0.6666666666666666</v>
      </c>
      <c r="G7" s="138">
        <v>44213.0</v>
      </c>
      <c r="H7" s="140">
        <v>0.875</v>
      </c>
      <c r="I7" s="135" t="s">
        <v>159</v>
      </c>
      <c r="J7" s="20" t="s">
        <v>168</v>
      </c>
      <c r="K7" s="135" t="s">
        <v>104</v>
      </c>
      <c r="L7" s="144"/>
      <c r="M7" s="135" t="b">
        <v>0</v>
      </c>
      <c r="N7" s="135" t="b">
        <v>0</v>
      </c>
      <c r="O7" s="142" t="s">
        <v>172</v>
      </c>
      <c r="P7" s="135" t="s">
        <v>165</v>
      </c>
      <c r="Q7" s="142">
        <v>351430.0</v>
      </c>
    </row>
    <row r="8">
      <c r="A8" s="145"/>
      <c r="B8" s="146"/>
      <c r="C8" s="136"/>
      <c r="D8" s="137" t="s">
        <v>170</v>
      </c>
      <c r="E8" s="138">
        <v>44213.0</v>
      </c>
      <c r="F8" s="140">
        <v>0.6666666666666666</v>
      </c>
      <c r="G8" s="138">
        <v>44213.0</v>
      </c>
      <c r="H8" s="143"/>
      <c r="I8" s="135" t="s">
        <v>166</v>
      </c>
      <c r="J8" s="143"/>
      <c r="K8" s="135" t="s">
        <v>37</v>
      </c>
      <c r="L8" s="144"/>
      <c r="M8" s="135" t="b">
        <v>0</v>
      </c>
      <c r="N8" s="135" t="b">
        <v>0</v>
      </c>
      <c r="O8" s="135" t="s">
        <v>167</v>
      </c>
      <c r="P8" s="143"/>
      <c r="Q8" s="142">
        <v>351430.0</v>
      </c>
    </row>
    <row r="9">
      <c r="A9" s="147"/>
      <c r="B9" s="148"/>
      <c r="C9" s="149"/>
      <c r="D9" s="150" t="s">
        <v>173</v>
      </c>
      <c r="E9" s="151">
        <v>44548.0</v>
      </c>
      <c r="F9" s="152">
        <v>0.2916666666666667</v>
      </c>
      <c r="G9" s="151">
        <v>44548.0</v>
      </c>
      <c r="H9" s="153"/>
      <c r="I9" s="147" t="s">
        <v>45</v>
      </c>
      <c r="J9" s="147" t="s">
        <v>174</v>
      </c>
      <c r="K9" s="147" t="s">
        <v>37</v>
      </c>
      <c r="L9" s="154"/>
      <c r="M9" s="155" t="b">
        <v>1</v>
      </c>
      <c r="N9" s="156" t="b">
        <v>1</v>
      </c>
      <c r="O9" s="147" t="s">
        <v>175</v>
      </c>
      <c r="P9" s="153"/>
      <c r="Q9" s="153" t="s">
        <v>176</v>
      </c>
    </row>
    <row r="10">
      <c r="A10" s="157"/>
      <c r="B10" s="157"/>
      <c r="C10" s="149"/>
      <c r="D10" s="158" t="s">
        <v>177</v>
      </c>
      <c r="E10" s="159">
        <v>44561.0</v>
      </c>
      <c r="F10" s="152">
        <v>0.5902777777777778</v>
      </c>
      <c r="G10" s="159">
        <v>44561.0</v>
      </c>
      <c r="H10" s="160">
        <v>0.6041666666666666</v>
      </c>
      <c r="I10" s="147" t="s">
        <v>45</v>
      </c>
      <c r="J10" s="41" t="s">
        <v>178</v>
      </c>
      <c r="K10" s="147" t="s">
        <v>104</v>
      </c>
      <c r="L10" s="41"/>
      <c r="M10" s="147" t="b">
        <v>0</v>
      </c>
      <c r="N10" s="156" t="b">
        <v>1</v>
      </c>
      <c r="O10" s="84"/>
      <c r="P10" s="41" t="s">
        <v>179</v>
      </c>
      <c r="Q10" s="31"/>
    </row>
    <row r="11">
      <c r="A11" s="161"/>
      <c r="B11" s="161"/>
      <c r="C11" s="136"/>
      <c r="D11" s="162" t="s">
        <v>177</v>
      </c>
      <c r="E11" s="116">
        <v>44561.0</v>
      </c>
      <c r="F11" s="140">
        <v>0.5902777777777778</v>
      </c>
      <c r="G11" s="116">
        <v>44561.0</v>
      </c>
      <c r="H11" s="163">
        <v>0.6041666666666666</v>
      </c>
      <c r="I11" s="20" t="s">
        <v>180</v>
      </c>
      <c r="J11" s="20" t="s">
        <v>181</v>
      </c>
      <c r="K11" s="135" t="s">
        <v>104</v>
      </c>
      <c r="L11" s="20"/>
      <c r="M11" s="135" t="b">
        <v>0</v>
      </c>
      <c r="N11" s="141" t="b">
        <v>1</v>
      </c>
      <c r="O11" s="75"/>
      <c r="P11" s="20" t="s">
        <v>179</v>
      </c>
    </row>
    <row r="12">
      <c r="A12" s="161"/>
      <c r="B12" s="161"/>
      <c r="C12" s="136"/>
      <c r="D12" s="162" t="s">
        <v>177</v>
      </c>
      <c r="E12" s="116">
        <v>44561.0</v>
      </c>
      <c r="F12" s="140">
        <v>0.7027777777777777</v>
      </c>
      <c r="G12" s="116">
        <v>44561.0</v>
      </c>
      <c r="H12" s="163">
        <v>0.7291666666666666</v>
      </c>
      <c r="I12" s="20" t="s">
        <v>180</v>
      </c>
      <c r="J12" s="20" t="s">
        <v>182</v>
      </c>
      <c r="K12" s="135" t="s">
        <v>104</v>
      </c>
      <c r="L12" s="20"/>
      <c r="M12" s="135" t="b">
        <v>0</v>
      </c>
      <c r="N12" s="141" t="b">
        <v>1</v>
      </c>
      <c r="O12" s="75"/>
      <c r="P12" s="20" t="s">
        <v>179</v>
      </c>
    </row>
    <row r="13">
      <c r="A13" s="161"/>
      <c r="B13" s="161"/>
      <c r="C13" s="136"/>
      <c r="D13" s="162" t="s">
        <v>177</v>
      </c>
      <c r="E13" s="116">
        <v>44561.0</v>
      </c>
      <c r="F13" s="140">
        <v>0.7083333333333334</v>
      </c>
      <c r="G13" s="116">
        <v>44561.0</v>
      </c>
      <c r="H13" s="163">
        <v>0.71875</v>
      </c>
      <c r="I13" s="135" t="s">
        <v>45</v>
      </c>
      <c r="J13" s="135" t="s">
        <v>174</v>
      </c>
      <c r="K13" s="135" t="s">
        <v>104</v>
      </c>
      <c r="L13" s="20"/>
      <c r="M13" s="135" t="b">
        <v>0</v>
      </c>
      <c r="N13" s="141" t="b">
        <v>1</v>
      </c>
      <c r="O13" s="75"/>
      <c r="P13" s="20" t="s">
        <v>179</v>
      </c>
    </row>
    <row r="14">
      <c r="A14" s="161"/>
      <c r="B14" s="161"/>
      <c r="C14" s="136"/>
      <c r="D14" s="162" t="s">
        <v>177</v>
      </c>
      <c r="E14" s="116">
        <v>44561.0</v>
      </c>
      <c r="F14" s="140">
        <v>0.8333333333333334</v>
      </c>
      <c r="G14" s="116">
        <v>44562.0</v>
      </c>
      <c r="H14" s="163">
        <v>0.5</v>
      </c>
      <c r="I14" s="20" t="s">
        <v>159</v>
      </c>
      <c r="J14" s="20" t="s">
        <v>168</v>
      </c>
      <c r="K14" s="135" t="s">
        <v>37</v>
      </c>
      <c r="L14" s="22">
        <v>27.7</v>
      </c>
      <c r="M14" s="135" t="b">
        <v>0</v>
      </c>
      <c r="N14" s="141" t="b">
        <v>1</v>
      </c>
      <c r="O14" s="75"/>
      <c r="P14" s="20" t="s">
        <v>179</v>
      </c>
    </row>
    <row r="15">
      <c r="A15" s="161"/>
      <c r="B15" s="161"/>
      <c r="C15" s="136"/>
      <c r="D15" s="162" t="s">
        <v>177</v>
      </c>
      <c r="E15" s="116">
        <v>44562.0</v>
      </c>
      <c r="F15" s="140">
        <v>0.4166666666666667</v>
      </c>
      <c r="G15" s="116">
        <v>44562.0</v>
      </c>
      <c r="H15" s="163">
        <v>0.4270833333333333</v>
      </c>
      <c r="I15" s="135" t="s">
        <v>45</v>
      </c>
      <c r="J15" s="135" t="s">
        <v>174</v>
      </c>
      <c r="K15" s="135" t="s">
        <v>104</v>
      </c>
      <c r="L15" s="20"/>
      <c r="M15" s="135" t="b">
        <v>0</v>
      </c>
      <c r="N15" s="141" t="b">
        <v>1</v>
      </c>
      <c r="O15" s="77" t="s">
        <v>183</v>
      </c>
      <c r="P15" s="20" t="s">
        <v>179</v>
      </c>
    </row>
    <row r="16">
      <c r="A16" s="161"/>
      <c r="B16" s="161"/>
      <c r="C16" s="136"/>
      <c r="D16" s="162" t="s">
        <v>177</v>
      </c>
      <c r="E16" s="116">
        <v>44562.0</v>
      </c>
      <c r="F16" s="140">
        <v>0.4166666666666667</v>
      </c>
      <c r="G16" s="116">
        <v>44562.0</v>
      </c>
      <c r="H16" s="163">
        <v>0.4270833333333333</v>
      </c>
      <c r="I16" s="135" t="s">
        <v>45</v>
      </c>
      <c r="J16" s="135" t="s">
        <v>174</v>
      </c>
      <c r="K16" s="135" t="s">
        <v>104</v>
      </c>
      <c r="L16" s="22"/>
      <c r="M16" s="135" t="b">
        <v>0</v>
      </c>
      <c r="N16" s="141" t="b">
        <v>1</v>
      </c>
      <c r="O16" s="77" t="s">
        <v>184</v>
      </c>
      <c r="P16" s="20" t="s">
        <v>179</v>
      </c>
    </row>
    <row r="17">
      <c r="A17" s="161"/>
      <c r="B17" s="161"/>
      <c r="C17" s="136"/>
      <c r="D17" s="162" t="s">
        <v>177</v>
      </c>
      <c r="E17" s="116">
        <v>44562.0</v>
      </c>
      <c r="F17" s="140">
        <v>0.4583333333333333</v>
      </c>
      <c r="G17" s="116">
        <v>44562.0</v>
      </c>
      <c r="H17" s="163">
        <v>0.5</v>
      </c>
      <c r="I17" s="20" t="s">
        <v>159</v>
      </c>
      <c r="J17" s="20" t="s">
        <v>168</v>
      </c>
      <c r="K17" s="135" t="s">
        <v>37</v>
      </c>
      <c r="L17" s="22">
        <v>29.0</v>
      </c>
      <c r="M17" s="135" t="b">
        <v>0</v>
      </c>
      <c r="N17" s="141" t="b">
        <v>1</v>
      </c>
      <c r="O17" s="75"/>
      <c r="P17" s="20" t="s">
        <v>179</v>
      </c>
    </row>
    <row r="18">
      <c r="A18" s="161"/>
      <c r="B18" s="161"/>
      <c r="C18" s="136"/>
      <c r="D18" s="162" t="s">
        <v>177</v>
      </c>
      <c r="E18" s="116">
        <v>44562.0</v>
      </c>
      <c r="F18" s="140">
        <v>0.6666666666666666</v>
      </c>
      <c r="G18" s="116">
        <v>44562.0</v>
      </c>
      <c r="H18" s="163">
        <v>0.75</v>
      </c>
      <c r="I18" s="20" t="s">
        <v>185</v>
      </c>
      <c r="J18" s="20" t="s">
        <v>186</v>
      </c>
      <c r="K18" s="135" t="s">
        <v>104</v>
      </c>
      <c r="L18" s="20"/>
      <c r="M18" s="135" t="b">
        <v>0</v>
      </c>
      <c r="N18" s="141" t="b">
        <v>1</v>
      </c>
      <c r="O18" s="75"/>
      <c r="P18" s="20" t="s">
        <v>179</v>
      </c>
    </row>
    <row r="19">
      <c r="A19" s="161"/>
      <c r="B19" s="161"/>
      <c r="C19" s="136"/>
      <c r="D19" s="162" t="s">
        <v>177</v>
      </c>
      <c r="E19" s="116">
        <v>44563.0</v>
      </c>
      <c r="F19" s="140">
        <v>0.4166666666666667</v>
      </c>
      <c r="G19" s="116">
        <v>44563.0</v>
      </c>
      <c r="H19" s="163">
        <v>0.4270833333333333</v>
      </c>
      <c r="I19" s="135" t="s">
        <v>45</v>
      </c>
      <c r="J19" s="135" t="s">
        <v>174</v>
      </c>
      <c r="K19" s="135" t="s">
        <v>37</v>
      </c>
      <c r="L19" s="20"/>
      <c r="M19" s="135"/>
      <c r="N19" s="141" t="b">
        <v>1</v>
      </c>
      <c r="O19" s="75"/>
      <c r="P19" s="20" t="s">
        <v>179</v>
      </c>
    </row>
    <row r="20">
      <c r="A20" s="161"/>
      <c r="B20" s="161"/>
      <c r="C20" s="136"/>
      <c r="D20" s="162" t="s">
        <v>177</v>
      </c>
      <c r="E20" s="116">
        <v>44563.0</v>
      </c>
      <c r="F20" s="140">
        <v>0.4166666666666667</v>
      </c>
      <c r="G20" s="116">
        <v>44563.0</v>
      </c>
      <c r="H20" s="163">
        <v>0.4270833333333333</v>
      </c>
      <c r="I20" s="20" t="s">
        <v>45</v>
      </c>
      <c r="J20" s="20" t="s">
        <v>178</v>
      </c>
      <c r="K20" s="135" t="s">
        <v>37</v>
      </c>
      <c r="L20" s="20"/>
      <c r="M20" s="20"/>
      <c r="N20" s="141" t="b">
        <v>1</v>
      </c>
      <c r="O20" s="75"/>
      <c r="P20" s="20" t="s">
        <v>179</v>
      </c>
    </row>
    <row r="21">
      <c r="A21" s="147"/>
      <c r="B21" s="147"/>
      <c r="C21" s="149"/>
      <c r="D21" s="150" t="s">
        <v>187</v>
      </c>
      <c r="E21" s="151">
        <v>44573.0</v>
      </c>
      <c r="F21" s="152">
        <v>0.4895833333333333</v>
      </c>
      <c r="G21" s="151">
        <v>44574.0</v>
      </c>
      <c r="H21" s="152">
        <v>0.5506944444444445</v>
      </c>
      <c r="I21" s="147" t="s">
        <v>188</v>
      </c>
      <c r="J21" s="153"/>
      <c r="K21" s="147" t="s">
        <v>37</v>
      </c>
      <c r="L21" s="154"/>
      <c r="M21" s="155" t="b">
        <v>1</v>
      </c>
      <c r="N21" s="156" t="b">
        <v>1</v>
      </c>
      <c r="O21" s="147" t="s">
        <v>189</v>
      </c>
      <c r="P21" s="147" t="s">
        <v>190</v>
      </c>
      <c r="Q21" s="153" t="s">
        <v>153</v>
      </c>
    </row>
    <row r="22">
      <c r="A22" s="135"/>
      <c r="B22" s="135"/>
      <c r="C22" s="136"/>
      <c r="D22" s="164" t="s">
        <v>187</v>
      </c>
      <c r="E22" s="138">
        <v>44573.0</v>
      </c>
      <c r="F22" s="140">
        <v>0.4166666666666667</v>
      </c>
      <c r="G22" s="138">
        <v>44575.0</v>
      </c>
      <c r="H22" s="143"/>
      <c r="I22" s="135" t="s">
        <v>188</v>
      </c>
      <c r="J22" s="143"/>
      <c r="K22" s="135" t="s">
        <v>104</v>
      </c>
      <c r="L22" s="144"/>
      <c r="M22" s="135" t="b">
        <v>0</v>
      </c>
      <c r="N22" s="141" t="b">
        <v>1</v>
      </c>
      <c r="O22" s="135" t="s">
        <v>191</v>
      </c>
      <c r="P22" s="135" t="s">
        <v>192</v>
      </c>
      <c r="Q22" s="143" t="s">
        <v>153</v>
      </c>
    </row>
    <row r="23">
      <c r="A23" s="147"/>
      <c r="B23" s="147"/>
      <c r="C23" s="149"/>
      <c r="D23" s="165" t="s">
        <v>193</v>
      </c>
      <c r="E23" s="151">
        <v>44910.0</v>
      </c>
      <c r="F23" s="152">
        <v>0.45416666666666666</v>
      </c>
      <c r="G23" s="151">
        <v>44910.0</v>
      </c>
      <c r="H23" s="152">
        <v>0.475</v>
      </c>
      <c r="I23" s="147" t="s">
        <v>180</v>
      </c>
      <c r="J23" s="166" t="s">
        <v>182</v>
      </c>
      <c r="K23" s="147" t="s">
        <v>104</v>
      </c>
      <c r="L23" s="154"/>
      <c r="M23" s="147" t="b">
        <v>0</v>
      </c>
      <c r="N23" s="156" t="b">
        <v>1</v>
      </c>
      <c r="O23" s="153"/>
      <c r="P23" s="147" t="s">
        <v>194</v>
      </c>
      <c r="Q23" s="167"/>
    </row>
    <row r="24">
      <c r="A24" s="135"/>
      <c r="B24" s="135"/>
      <c r="C24" s="136"/>
      <c r="D24" s="164" t="s">
        <v>193</v>
      </c>
      <c r="E24" s="138">
        <v>44910.0</v>
      </c>
      <c r="F24" s="140">
        <v>0.4673611111111111</v>
      </c>
      <c r="G24" s="138">
        <v>44910.0</v>
      </c>
      <c r="H24" s="140">
        <v>0.4777777777777778</v>
      </c>
      <c r="I24" s="20" t="s">
        <v>45</v>
      </c>
      <c r="J24" s="168" t="s">
        <v>195</v>
      </c>
      <c r="K24" s="135" t="s">
        <v>104</v>
      </c>
      <c r="L24" s="144"/>
      <c r="M24" s="135" t="b">
        <v>0</v>
      </c>
      <c r="N24" s="141" t="b">
        <v>1</v>
      </c>
      <c r="O24" s="143"/>
      <c r="P24" s="135" t="s">
        <v>194</v>
      </c>
      <c r="Q24" s="142"/>
    </row>
    <row r="25">
      <c r="A25" s="135"/>
      <c r="B25" s="135"/>
      <c r="C25" s="136"/>
      <c r="D25" s="164" t="s">
        <v>196</v>
      </c>
      <c r="E25" s="138">
        <v>44910.0</v>
      </c>
      <c r="F25" s="140">
        <v>0.48541666666666666</v>
      </c>
      <c r="G25" s="169">
        <v>44910.0</v>
      </c>
      <c r="H25" s="140">
        <v>0.5</v>
      </c>
      <c r="I25" s="135" t="s">
        <v>180</v>
      </c>
      <c r="J25" s="168" t="s">
        <v>182</v>
      </c>
      <c r="K25" s="135" t="s">
        <v>37</v>
      </c>
      <c r="L25" s="144"/>
      <c r="M25" s="135" t="b">
        <v>0</v>
      </c>
      <c r="N25" s="141" t="b">
        <v>1</v>
      </c>
      <c r="O25" s="143"/>
      <c r="P25" s="135" t="s">
        <v>194</v>
      </c>
      <c r="Q25" s="142"/>
    </row>
    <row r="26">
      <c r="A26" s="135"/>
      <c r="B26" s="135"/>
      <c r="C26" s="136"/>
      <c r="D26" s="164" t="s">
        <v>196</v>
      </c>
      <c r="E26" s="138">
        <v>44910.0</v>
      </c>
      <c r="F26" s="140">
        <v>0.5173611111111112</v>
      </c>
      <c r="G26" s="169">
        <v>44910.0</v>
      </c>
      <c r="H26" s="140">
        <v>0.5263888888888889</v>
      </c>
      <c r="I26" s="135" t="s">
        <v>45</v>
      </c>
      <c r="J26" s="168" t="s">
        <v>195</v>
      </c>
      <c r="K26" s="135" t="s">
        <v>104</v>
      </c>
      <c r="L26" s="144"/>
      <c r="M26" s="135" t="b">
        <v>0</v>
      </c>
      <c r="N26" s="141" t="b">
        <v>1</v>
      </c>
      <c r="O26" s="143"/>
      <c r="P26" s="135" t="s">
        <v>194</v>
      </c>
      <c r="Q26" s="170"/>
    </row>
    <row r="27">
      <c r="A27" s="135"/>
      <c r="B27" s="171"/>
      <c r="C27" s="144"/>
      <c r="D27" s="144"/>
      <c r="E27" s="138"/>
      <c r="F27" s="172"/>
      <c r="G27" s="138"/>
      <c r="H27" s="140"/>
      <c r="I27" s="135"/>
      <c r="J27" s="135"/>
      <c r="K27" s="135"/>
      <c r="L27" s="144"/>
      <c r="M27" s="173"/>
      <c r="N27" s="141"/>
      <c r="O27" s="143"/>
      <c r="P27" s="143"/>
      <c r="Q27" s="170"/>
    </row>
    <row r="28">
      <c r="A28" s="135"/>
      <c r="B28" s="171"/>
      <c r="C28" s="144"/>
      <c r="D28" s="144"/>
      <c r="E28" s="138"/>
      <c r="F28" s="172"/>
      <c r="G28" s="138"/>
      <c r="H28" s="143"/>
      <c r="I28" s="135"/>
      <c r="J28" s="135"/>
      <c r="K28" s="135"/>
      <c r="L28" s="144"/>
      <c r="M28" s="173"/>
      <c r="N28" s="141"/>
      <c r="O28" s="143"/>
      <c r="P28" s="143"/>
      <c r="Q28" s="170"/>
    </row>
    <row r="29">
      <c r="A29" s="143"/>
      <c r="B29" s="171"/>
      <c r="C29" s="144"/>
      <c r="D29" s="144"/>
      <c r="E29" s="138"/>
      <c r="F29" s="140"/>
      <c r="G29" s="138"/>
      <c r="H29" s="143"/>
      <c r="I29" s="143"/>
      <c r="J29" s="143"/>
      <c r="K29" s="143"/>
      <c r="L29" s="144"/>
      <c r="M29" s="173"/>
      <c r="N29" s="141"/>
      <c r="O29" s="143"/>
      <c r="P29" s="143"/>
      <c r="Q29" s="170"/>
    </row>
    <row r="30">
      <c r="A30" s="135"/>
      <c r="B30" s="135"/>
      <c r="C30" s="144"/>
      <c r="D30" s="144"/>
      <c r="E30" s="138"/>
      <c r="F30" s="140"/>
      <c r="G30" s="138"/>
      <c r="H30" s="135"/>
      <c r="I30" s="135"/>
      <c r="J30" s="135"/>
      <c r="K30" s="135"/>
      <c r="L30" s="141"/>
      <c r="M30" s="135"/>
      <c r="N30" s="141"/>
      <c r="O30" s="143"/>
      <c r="P30" s="143"/>
      <c r="Q30" s="170"/>
    </row>
    <row r="31">
      <c r="A31" s="135"/>
      <c r="C31" s="144"/>
      <c r="D31" s="144"/>
      <c r="E31" s="138"/>
      <c r="F31" s="140"/>
      <c r="G31" s="138"/>
      <c r="H31" s="135"/>
      <c r="I31" s="135"/>
      <c r="J31" s="135"/>
      <c r="K31" s="135"/>
      <c r="L31" s="141"/>
      <c r="M31" s="135"/>
      <c r="N31" s="141"/>
      <c r="O31" s="143"/>
      <c r="P31" s="143"/>
      <c r="Q31" s="170"/>
    </row>
    <row r="32">
      <c r="A32" s="143"/>
      <c r="B32" s="143"/>
      <c r="C32" s="141"/>
      <c r="D32" s="141"/>
      <c r="E32" s="138"/>
      <c r="F32" s="140"/>
      <c r="G32" s="138"/>
      <c r="H32" s="143"/>
      <c r="I32" s="143"/>
      <c r="J32" s="143"/>
      <c r="K32" s="143"/>
      <c r="L32" s="144"/>
      <c r="M32" s="143"/>
      <c r="N32" s="144"/>
      <c r="O32" s="143"/>
      <c r="P32" s="143"/>
      <c r="Q32" s="170"/>
    </row>
    <row r="33">
      <c r="A33" s="143"/>
      <c r="B33" s="20"/>
      <c r="C33" s="174"/>
      <c r="D33" s="174"/>
      <c r="E33" s="169"/>
      <c r="F33" s="140"/>
      <c r="G33" s="169"/>
      <c r="H33" s="143"/>
      <c r="I33" s="143"/>
      <c r="J33" s="143"/>
      <c r="K33" s="143"/>
      <c r="L33" s="144"/>
      <c r="M33" s="143"/>
      <c r="N33" s="141"/>
      <c r="O33" s="143"/>
      <c r="P33" s="143"/>
      <c r="Q33" s="170"/>
    </row>
    <row r="34">
      <c r="A34" s="143"/>
      <c r="B34" s="143"/>
      <c r="C34" s="174"/>
      <c r="D34" s="174"/>
      <c r="E34" s="169"/>
      <c r="F34" s="140"/>
      <c r="G34" s="169"/>
      <c r="H34" s="175"/>
      <c r="I34" s="143"/>
      <c r="J34" s="168"/>
      <c r="K34" s="143"/>
      <c r="L34" s="144"/>
      <c r="M34" s="143"/>
      <c r="N34" s="141"/>
      <c r="O34" s="143"/>
      <c r="P34" s="143"/>
      <c r="Q34" s="170"/>
    </row>
    <row r="35">
      <c r="A35" s="143"/>
      <c r="B35" s="135"/>
      <c r="C35" s="174"/>
      <c r="D35" s="174"/>
      <c r="E35" s="169"/>
      <c r="F35" s="140"/>
      <c r="G35" s="169"/>
      <c r="H35" s="175"/>
      <c r="I35" s="143"/>
      <c r="J35" s="168"/>
      <c r="K35" s="143"/>
      <c r="L35" s="144"/>
      <c r="M35" s="143"/>
      <c r="N35" s="141"/>
      <c r="O35" s="143"/>
      <c r="P35" s="143"/>
      <c r="Q35" s="170"/>
    </row>
    <row r="36">
      <c r="A36" s="143"/>
      <c r="B36" s="143"/>
      <c r="C36" s="174"/>
      <c r="D36" s="174"/>
      <c r="E36" s="138"/>
      <c r="F36" s="176"/>
      <c r="G36" s="138"/>
      <c r="H36" s="143"/>
      <c r="I36" s="143"/>
      <c r="J36" s="143"/>
      <c r="K36" s="143"/>
      <c r="L36" s="144"/>
      <c r="M36" s="143"/>
      <c r="N36" s="144"/>
      <c r="O36" s="143"/>
      <c r="P36" s="143"/>
      <c r="Q36" s="170"/>
    </row>
    <row r="37">
      <c r="A37" s="143"/>
      <c r="B37" s="143"/>
      <c r="C37" s="174"/>
      <c r="D37" s="174"/>
      <c r="E37" s="138"/>
      <c r="F37" s="176"/>
      <c r="G37" s="138"/>
      <c r="H37" s="143"/>
      <c r="I37" s="143"/>
      <c r="J37" s="143"/>
      <c r="K37" s="143"/>
      <c r="L37" s="144"/>
      <c r="M37" s="143"/>
      <c r="N37" s="144"/>
      <c r="O37" s="143"/>
      <c r="P37" s="143"/>
      <c r="Q37" s="170"/>
    </row>
    <row r="38">
      <c r="A38" s="143"/>
      <c r="B38" s="143"/>
      <c r="C38" s="174"/>
      <c r="D38" s="174"/>
      <c r="E38" s="138"/>
      <c r="F38" s="176"/>
      <c r="G38" s="138"/>
      <c r="H38" s="143"/>
      <c r="I38" s="143"/>
      <c r="J38" s="143"/>
      <c r="K38" s="143"/>
      <c r="L38" s="144"/>
      <c r="M38" s="143"/>
      <c r="N38" s="144"/>
      <c r="O38" s="143"/>
      <c r="P38" s="143"/>
      <c r="Q38" s="170"/>
    </row>
    <row r="39">
      <c r="A39" s="143"/>
      <c r="B39" s="143"/>
      <c r="C39" s="174"/>
      <c r="D39" s="174"/>
      <c r="E39" s="138"/>
      <c r="F39" s="176"/>
      <c r="G39" s="138"/>
      <c r="H39" s="143"/>
      <c r="I39" s="143"/>
      <c r="J39" s="143"/>
      <c r="K39" s="143"/>
      <c r="L39" s="144"/>
      <c r="M39" s="143"/>
      <c r="N39" s="144"/>
      <c r="O39" s="143"/>
      <c r="P39" s="143"/>
      <c r="Q39" s="170"/>
    </row>
    <row r="40">
      <c r="A40" s="143"/>
      <c r="B40" s="143"/>
      <c r="C40" s="174"/>
      <c r="D40" s="174"/>
      <c r="E40" s="138"/>
      <c r="F40" s="176"/>
      <c r="G40" s="138"/>
      <c r="H40" s="143"/>
      <c r="I40" s="143"/>
      <c r="J40" s="143"/>
      <c r="K40" s="143"/>
      <c r="L40" s="144"/>
      <c r="M40" s="143"/>
      <c r="N40" s="144"/>
      <c r="O40" s="143"/>
      <c r="P40" s="143"/>
      <c r="Q40" s="170"/>
    </row>
    <row r="41">
      <c r="A41" s="143"/>
      <c r="B41" s="143"/>
      <c r="C41" s="174"/>
      <c r="D41" s="174"/>
      <c r="E41" s="138"/>
      <c r="F41" s="176"/>
      <c r="G41" s="138"/>
      <c r="H41" s="143"/>
      <c r="I41" s="143"/>
      <c r="J41" s="143"/>
      <c r="K41" s="143"/>
      <c r="L41" s="144"/>
      <c r="M41" s="143"/>
      <c r="N41" s="144"/>
      <c r="O41" s="143"/>
      <c r="P41" s="143"/>
      <c r="Q41" s="170"/>
    </row>
    <row r="42">
      <c r="A42" s="143"/>
      <c r="B42" s="143"/>
      <c r="C42" s="174"/>
      <c r="D42" s="174"/>
      <c r="E42" s="138"/>
      <c r="F42" s="176"/>
      <c r="G42" s="138"/>
      <c r="H42" s="143"/>
      <c r="I42" s="143"/>
      <c r="J42" s="143"/>
      <c r="K42" s="143"/>
      <c r="L42" s="144"/>
      <c r="M42" s="143"/>
      <c r="N42" s="144"/>
      <c r="O42" s="143"/>
      <c r="P42" s="143"/>
      <c r="Q42" s="170"/>
    </row>
    <row r="43">
      <c r="A43" s="143"/>
      <c r="B43" s="143"/>
      <c r="C43" s="174"/>
      <c r="D43" s="174"/>
      <c r="E43" s="138"/>
      <c r="F43" s="176"/>
      <c r="G43" s="138"/>
      <c r="H43" s="143"/>
      <c r="I43" s="143"/>
      <c r="J43" s="143"/>
      <c r="K43" s="143"/>
      <c r="L43" s="144"/>
      <c r="M43" s="143"/>
      <c r="N43" s="144"/>
      <c r="O43" s="143"/>
      <c r="P43" s="143"/>
      <c r="Q43" s="170"/>
    </row>
    <row r="44">
      <c r="A44" s="143"/>
      <c r="B44" s="143"/>
      <c r="C44" s="174"/>
      <c r="D44" s="174"/>
      <c r="E44" s="138"/>
      <c r="F44" s="176"/>
      <c r="G44" s="138"/>
      <c r="H44" s="143"/>
      <c r="I44" s="143"/>
      <c r="J44" s="143"/>
      <c r="K44" s="143"/>
      <c r="L44" s="144"/>
      <c r="M44" s="143"/>
      <c r="N44" s="144"/>
      <c r="O44" s="143"/>
      <c r="P44" s="143"/>
      <c r="Q44" s="170"/>
    </row>
    <row r="45">
      <c r="A45" s="143"/>
      <c r="B45" s="143"/>
      <c r="C45" s="174"/>
      <c r="D45" s="174"/>
      <c r="E45" s="138"/>
      <c r="F45" s="176"/>
      <c r="G45" s="138"/>
      <c r="H45" s="143"/>
      <c r="I45" s="143"/>
      <c r="J45" s="143"/>
      <c r="K45" s="143"/>
      <c r="L45" s="144"/>
      <c r="M45" s="143"/>
      <c r="N45" s="144"/>
      <c r="O45" s="143"/>
      <c r="P45" s="143"/>
      <c r="Q45" s="170"/>
    </row>
    <row r="46">
      <c r="A46" s="143"/>
      <c r="B46" s="143"/>
      <c r="C46" s="174"/>
      <c r="D46" s="174"/>
      <c r="E46" s="138"/>
      <c r="F46" s="176"/>
      <c r="G46" s="138"/>
      <c r="H46" s="143"/>
      <c r="I46" s="143"/>
      <c r="J46" s="143"/>
      <c r="K46" s="143"/>
      <c r="L46" s="144"/>
      <c r="M46" s="143"/>
      <c r="N46" s="144"/>
      <c r="O46" s="143"/>
      <c r="P46" s="143"/>
      <c r="Q46" s="170"/>
    </row>
    <row r="47">
      <c r="A47" s="143"/>
      <c r="B47" s="143"/>
      <c r="C47" s="174"/>
      <c r="D47" s="174"/>
      <c r="E47" s="138"/>
      <c r="F47" s="176"/>
      <c r="G47" s="138"/>
      <c r="H47" s="143"/>
      <c r="I47" s="143"/>
      <c r="J47" s="143"/>
      <c r="K47" s="143"/>
      <c r="L47" s="144"/>
      <c r="M47" s="143"/>
      <c r="N47" s="144"/>
      <c r="O47" s="143"/>
      <c r="P47" s="143"/>
      <c r="Q47" s="170"/>
    </row>
    <row r="48">
      <c r="A48" s="143"/>
      <c r="B48" s="143"/>
      <c r="C48" s="174"/>
      <c r="D48" s="174"/>
      <c r="E48" s="138"/>
      <c r="F48" s="176"/>
      <c r="G48" s="138"/>
      <c r="H48" s="143"/>
      <c r="I48" s="143"/>
      <c r="J48" s="143"/>
      <c r="K48" s="143"/>
      <c r="L48" s="144"/>
      <c r="M48" s="143"/>
      <c r="N48" s="144"/>
      <c r="O48" s="143"/>
      <c r="P48" s="143"/>
      <c r="Q48" s="170"/>
    </row>
    <row r="49">
      <c r="A49" s="143"/>
      <c r="B49" s="143"/>
      <c r="C49" s="174"/>
      <c r="D49" s="174"/>
      <c r="E49" s="138"/>
      <c r="F49" s="176"/>
      <c r="G49" s="138"/>
      <c r="H49" s="143"/>
      <c r="I49" s="143"/>
      <c r="J49" s="143"/>
      <c r="K49" s="143"/>
      <c r="L49" s="144"/>
      <c r="M49" s="143"/>
      <c r="N49" s="144"/>
      <c r="O49" s="143"/>
      <c r="P49" s="143"/>
      <c r="Q49" s="170"/>
    </row>
    <row r="50">
      <c r="A50" s="143"/>
      <c r="B50" s="143"/>
      <c r="C50" s="174"/>
      <c r="D50" s="174"/>
      <c r="E50" s="138"/>
      <c r="F50" s="176"/>
      <c r="G50" s="138"/>
      <c r="H50" s="143"/>
      <c r="I50" s="143"/>
      <c r="J50" s="143"/>
      <c r="K50" s="143"/>
      <c r="L50" s="144"/>
      <c r="M50" s="143"/>
      <c r="N50" s="144"/>
      <c r="O50" s="143"/>
      <c r="P50" s="143"/>
      <c r="Q50" s="170"/>
    </row>
    <row r="51">
      <c r="A51" s="143"/>
      <c r="B51" s="143"/>
      <c r="C51" s="174"/>
      <c r="D51" s="174"/>
      <c r="E51" s="138"/>
      <c r="F51" s="176"/>
      <c r="G51" s="138"/>
      <c r="H51" s="143"/>
      <c r="I51" s="143"/>
      <c r="J51" s="143"/>
      <c r="K51" s="143"/>
      <c r="L51" s="144"/>
      <c r="M51" s="143"/>
      <c r="N51" s="144"/>
      <c r="O51" s="143"/>
      <c r="P51" s="143"/>
      <c r="Q51" s="170"/>
    </row>
    <row r="52">
      <c r="A52" s="143"/>
      <c r="B52" s="143"/>
      <c r="C52" s="174"/>
      <c r="D52" s="174"/>
      <c r="E52" s="138"/>
      <c r="F52" s="176"/>
      <c r="G52" s="138"/>
      <c r="H52" s="143"/>
      <c r="I52" s="143"/>
      <c r="J52" s="143"/>
      <c r="K52" s="143"/>
      <c r="L52" s="144"/>
      <c r="M52" s="143"/>
      <c r="N52" s="144"/>
      <c r="O52" s="143"/>
      <c r="P52" s="143"/>
      <c r="Q52" s="170"/>
    </row>
    <row r="53">
      <c r="A53" s="143"/>
      <c r="B53" s="143"/>
      <c r="C53" s="174"/>
      <c r="D53" s="174"/>
      <c r="E53" s="138"/>
      <c r="F53" s="176"/>
      <c r="G53" s="138"/>
      <c r="H53" s="143"/>
      <c r="I53" s="143"/>
      <c r="J53" s="143"/>
      <c r="K53" s="143"/>
      <c r="L53" s="144"/>
      <c r="M53" s="143"/>
      <c r="N53" s="144"/>
      <c r="O53" s="143"/>
      <c r="P53" s="143"/>
      <c r="Q53" s="170"/>
    </row>
    <row r="54">
      <c r="A54" s="143"/>
      <c r="B54" s="143"/>
      <c r="C54" s="174"/>
      <c r="D54" s="174"/>
      <c r="E54" s="138"/>
      <c r="F54" s="176"/>
      <c r="G54" s="138"/>
      <c r="H54" s="143"/>
      <c r="I54" s="143"/>
      <c r="J54" s="143"/>
      <c r="K54" s="143"/>
      <c r="L54" s="144"/>
      <c r="M54" s="143"/>
      <c r="N54" s="144"/>
      <c r="O54" s="143"/>
      <c r="P54" s="143"/>
      <c r="Q54" s="170"/>
    </row>
    <row r="55">
      <c r="A55" s="143"/>
      <c r="B55" s="143"/>
      <c r="C55" s="174"/>
      <c r="D55" s="174"/>
      <c r="E55" s="138"/>
      <c r="F55" s="176"/>
      <c r="G55" s="138"/>
      <c r="H55" s="143"/>
      <c r="I55" s="143"/>
      <c r="J55" s="143"/>
      <c r="K55" s="143"/>
      <c r="L55" s="144"/>
      <c r="M55" s="143"/>
      <c r="N55" s="144"/>
      <c r="O55" s="143"/>
      <c r="P55" s="143"/>
      <c r="Q55" s="170"/>
    </row>
    <row r="56">
      <c r="A56" s="143"/>
      <c r="B56" s="143"/>
      <c r="C56" s="174"/>
      <c r="D56" s="174"/>
      <c r="E56" s="138"/>
      <c r="F56" s="176"/>
      <c r="G56" s="138"/>
      <c r="H56" s="143"/>
      <c r="I56" s="143"/>
      <c r="J56" s="143"/>
      <c r="K56" s="143"/>
      <c r="L56" s="144"/>
      <c r="M56" s="143"/>
      <c r="N56" s="144"/>
      <c r="O56" s="143"/>
      <c r="P56" s="143"/>
      <c r="Q56" s="170"/>
    </row>
    <row r="57">
      <c r="A57" s="143"/>
      <c r="B57" s="143"/>
      <c r="C57" s="174"/>
      <c r="D57" s="174"/>
      <c r="E57" s="138"/>
      <c r="F57" s="176"/>
      <c r="G57" s="138"/>
      <c r="H57" s="143"/>
      <c r="I57" s="143"/>
      <c r="J57" s="143"/>
      <c r="K57" s="143"/>
      <c r="L57" s="144"/>
      <c r="M57" s="143"/>
      <c r="N57" s="144"/>
      <c r="O57" s="143"/>
      <c r="P57" s="143"/>
      <c r="Q57" s="170"/>
    </row>
    <row r="58">
      <c r="A58" s="143"/>
      <c r="B58" s="143"/>
      <c r="C58" s="174"/>
      <c r="D58" s="174"/>
      <c r="E58" s="138"/>
      <c r="F58" s="176"/>
      <c r="G58" s="138"/>
      <c r="H58" s="143"/>
      <c r="I58" s="143"/>
      <c r="J58" s="143"/>
      <c r="K58" s="143"/>
      <c r="L58" s="144"/>
      <c r="M58" s="143"/>
      <c r="N58" s="144"/>
      <c r="O58" s="143"/>
      <c r="P58" s="143"/>
      <c r="Q58" s="170"/>
    </row>
    <row r="59">
      <c r="A59" s="143"/>
      <c r="B59" s="143"/>
      <c r="C59" s="174"/>
      <c r="D59" s="174"/>
      <c r="E59" s="138"/>
      <c r="F59" s="176"/>
      <c r="G59" s="138"/>
      <c r="H59" s="143"/>
      <c r="I59" s="143"/>
      <c r="J59" s="143"/>
      <c r="K59" s="143"/>
      <c r="L59" s="144"/>
      <c r="M59" s="143"/>
      <c r="N59" s="144"/>
      <c r="O59" s="143"/>
      <c r="P59" s="143"/>
      <c r="Q59" s="170"/>
    </row>
    <row r="60">
      <c r="A60" s="143"/>
      <c r="B60" s="143"/>
      <c r="C60" s="174"/>
      <c r="D60" s="174"/>
      <c r="E60" s="138"/>
      <c r="F60" s="176"/>
      <c r="G60" s="138"/>
      <c r="H60" s="143"/>
      <c r="I60" s="143"/>
      <c r="J60" s="143"/>
      <c r="K60" s="143"/>
      <c r="L60" s="144"/>
      <c r="M60" s="143"/>
      <c r="N60" s="144"/>
      <c r="O60" s="143"/>
      <c r="P60" s="143"/>
      <c r="Q60" s="170"/>
    </row>
    <row r="61">
      <c r="A61" s="143"/>
      <c r="B61" s="143"/>
      <c r="C61" s="174"/>
      <c r="D61" s="174"/>
      <c r="E61" s="138"/>
      <c r="F61" s="176"/>
      <c r="G61" s="138"/>
      <c r="H61" s="143"/>
      <c r="I61" s="143"/>
      <c r="J61" s="143"/>
      <c r="K61" s="143"/>
      <c r="L61" s="144"/>
      <c r="M61" s="143"/>
      <c r="N61" s="144"/>
      <c r="O61" s="143"/>
      <c r="P61" s="143"/>
      <c r="Q61" s="170"/>
    </row>
    <row r="62">
      <c r="A62" s="143"/>
      <c r="B62" s="143"/>
      <c r="C62" s="174"/>
      <c r="D62" s="174"/>
      <c r="E62" s="138"/>
      <c r="F62" s="176"/>
      <c r="G62" s="138"/>
      <c r="H62" s="143"/>
      <c r="I62" s="143"/>
      <c r="J62" s="143"/>
      <c r="K62" s="143"/>
      <c r="L62" s="144"/>
      <c r="M62" s="143"/>
      <c r="N62" s="144"/>
      <c r="O62" s="143"/>
      <c r="P62" s="143"/>
      <c r="Q62" s="170"/>
    </row>
    <row r="63">
      <c r="A63" s="143"/>
      <c r="B63" s="143"/>
      <c r="C63" s="174"/>
      <c r="D63" s="174"/>
      <c r="E63" s="138"/>
      <c r="F63" s="176"/>
      <c r="G63" s="138"/>
      <c r="H63" s="143"/>
      <c r="I63" s="143"/>
      <c r="J63" s="143"/>
      <c r="K63" s="143"/>
      <c r="L63" s="144"/>
      <c r="M63" s="143"/>
      <c r="N63" s="144"/>
      <c r="O63" s="143"/>
      <c r="P63" s="143"/>
      <c r="Q63" s="170"/>
    </row>
    <row r="64">
      <c r="A64" s="143"/>
      <c r="B64" s="143"/>
      <c r="C64" s="174"/>
      <c r="D64" s="174"/>
      <c r="E64" s="138"/>
      <c r="F64" s="176"/>
      <c r="G64" s="138"/>
      <c r="H64" s="143"/>
      <c r="I64" s="143"/>
      <c r="J64" s="143"/>
      <c r="K64" s="143"/>
      <c r="L64" s="144"/>
      <c r="M64" s="143"/>
      <c r="N64" s="144"/>
      <c r="O64" s="143"/>
      <c r="P64" s="143"/>
      <c r="Q64" s="170"/>
    </row>
    <row r="65">
      <c r="A65" s="143"/>
      <c r="B65" s="143"/>
      <c r="C65" s="174"/>
      <c r="D65" s="174"/>
      <c r="E65" s="138"/>
      <c r="F65" s="176"/>
      <c r="G65" s="138"/>
      <c r="H65" s="143"/>
      <c r="I65" s="143"/>
      <c r="J65" s="143"/>
      <c r="K65" s="143"/>
      <c r="L65" s="144"/>
      <c r="M65" s="143"/>
      <c r="N65" s="144"/>
      <c r="O65" s="143"/>
      <c r="P65" s="143"/>
      <c r="Q65" s="170"/>
    </row>
    <row r="66">
      <c r="A66" s="143"/>
      <c r="B66" s="143"/>
      <c r="C66" s="141"/>
      <c r="D66" s="141"/>
      <c r="E66" s="138"/>
      <c r="F66" s="176"/>
      <c r="G66" s="138"/>
      <c r="H66" s="143"/>
      <c r="I66" s="143"/>
      <c r="J66" s="143"/>
      <c r="K66" s="143"/>
      <c r="L66" s="144"/>
      <c r="M66" s="143"/>
      <c r="N66" s="144"/>
      <c r="O66" s="143"/>
      <c r="P66" s="143"/>
      <c r="Q66" s="170"/>
    </row>
    <row r="67">
      <c r="A67" s="143"/>
      <c r="B67" s="143"/>
      <c r="C67" s="174"/>
      <c r="D67" s="174"/>
      <c r="E67" s="138"/>
      <c r="F67" s="176"/>
      <c r="G67" s="138"/>
      <c r="H67" s="143"/>
      <c r="I67" s="143"/>
      <c r="J67" s="143"/>
      <c r="K67" s="143"/>
      <c r="L67" s="144"/>
      <c r="M67" s="143"/>
      <c r="N67" s="144"/>
      <c r="O67" s="143"/>
      <c r="P67" s="143"/>
      <c r="Q67" s="170"/>
    </row>
    <row r="68">
      <c r="A68" s="143"/>
      <c r="B68" s="143"/>
      <c r="C68" s="174"/>
      <c r="D68" s="174"/>
      <c r="E68" s="138"/>
      <c r="F68" s="176"/>
      <c r="G68" s="138"/>
      <c r="H68" s="143"/>
      <c r="I68" s="143"/>
      <c r="J68" s="143"/>
      <c r="K68" s="143"/>
      <c r="L68" s="144"/>
      <c r="M68" s="143"/>
      <c r="N68" s="144"/>
      <c r="O68" s="143"/>
      <c r="P68" s="143"/>
      <c r="Q68" s="170"/>
    </row>
    <row r="69">
      <c r="A69" s="143"/>
      <c r="B69" s="143"/>
      <c r="C69" s="174"/>
      <c r="D69" s="174"/>
      <c r="E69" s="138"/>
      <c r="F69" s="176"/>
      <c r="G69" s="138"/>
      <c r="H69" s="143"/>
      <c r="I69" s="143"/>
      <c r="J69" s="143"/>
      <c r="K69" s="143"/>
      <c r="L69" s="144"/>
      <c r="M69" s="143"/>
      <c r="N69" s="144"/>
      <c r="O69" s="143"/>
      <c r="P69" s="143"/>
      <c r="Q69" s="170"/>
    </row>
    <row r="70">
      <c r="A70" s="143"/>
      <c r="B70" s="143"/>
      <c r="C70" s="174"/>
      <c r="D70" s="174"/>
      <c r="E70" s="138"/>
      <c r="F70" s="176"/>
      <c r="G70" s="138"/>
      <c r="H70" s="143"/>
      <c r="I70" s="143"/>
      <c r="J70" s="143"/>
      <c r="K70" s="143"/>
      <c r="L70" s="144"/>
      <c r="M70" s="143"/>
      <c r="N70" s="144"/>
      <c r="O70" s="143"/>
      <c r="P70" s="143"/>
      <c r="Q70" s="170"/>
    </row>
    <row r="71">
      <c r="A71" s="143"/>
      <c r="B71" s="143"/>
      <c r="C71" s="174"/>
      <c r="D71" s="174"/>
      <c r="E71" s="138"/>
      <c r="F71" s="176"/>
      <c r="G71" s="138"/>
      <c r="H71" s="143"/>
      <c r="I71" s="143"/>
      <c r="J71" s="143"/>
      <c r="K71" s="143"/>
      <c r="L71" s="144"/>
      <c r="M71" s="143"/>
      <c r="N71" s="144"/>
      <c r="O71" s="143"/>
      <c r="P71" s="143"/>
      <c r="Q71" s="170"/>
    </row>
    <row r="72">
      <c r="A72" s="143"/>
      <c r="B72" s="143"/>
      <c r="C72" s="174"/>
      <c r="D72" s="174"/>
      <c r="E72" s="138"/>
      <c r="F72" s="176"/>
      <c r="G72" s="138"/>
      <c r="H72" s="143"/>
      <c r="I72" s="143"/>
      <c r="J72" s="143"/>
      <c r="K72" s="143"/>
      <c r="L72" s="144"/>
      <c r="M72" s="143"/>
      <c r="N72" s="144"/>
      <c r="O72" s="143"/>
      <c r="P72" s="143"/>
      <c r="Q72" s="170"/>
    </row>
    <row r="73">
      <c r="A73" s="143"/>
      <c r="B73" s="143"/>
      <c r="C73" s="174"/>
      <c r="D73" s="174"/>
      <c r="E73" s="138"/>
      <c r="F73" s="176"/>
      <c r="G73" s="138"/>
      <c r="H73" s="143"/>
      <c r="I73" s="143"/>
      <c r="J73" s="143"/>
      <c r="K73" s="143"/>
      <c r="L73" s="144"/>
      <c r="M73" s="143"/>
      <c r="N73" s="144"/>
      <c r="O73" s="143"/>
      <c r="P73" s="143"/>
      <c r="Q73" s="170"/>
    </row>
    <row r="74">
      <c r="A74" s="143"/>
      <c r="B74" s="143"/>
      <c r="C74" s="174"/>
      <c r="D74" s="174"/>
      <c r="E74" s="138"/>
      <c r="F74" s="176"/>
      <c r="G74" s="138"/>
      <c r="H74" s="143"/>
      <c r="I74" s="143"/>
      <c r="J74" s="143"/>
      <c r="K74" s="143"/>
      <c r="L74" s="144"/>
      <c r="M74" s="143"/>
      <c r="N74" s="144"/>
      <c r="O74" s="143"/>
      <c r="P74" s="143"/>
      <c r="Q74" s="170"/>
    </row>
    <row r="75">
      <c r="A75" s="143"/>
      <c r="B75" s="143"/>
      <c r="C75" s="174"/>
      <c r="D75" s="174"/>
      <c r="E75" s="138"/>
      <c r="F75" s="176"/>
      <c r="G75" s="138"/>
      <c r="H75" s="143"/>
      <c r="I75" s="143"/>
      <c r="J75" s="143"/>
      <c r="K75" s="143"/>
      <c r="L75" s="144"/>
      <c r="M75" s="143"/>
      <c r="N75" s="144"/>
      <c r="O75" s="143"/>
      <c r="P75" s="143"/>
      <c r="Q75" s="170"/>
    </row>
    <row r="76">
      <c r="A76" s="143"/>
      <c r="B76" s="143"/>
      <c r="C76" s="174"/>
      <c r="D76" s="174"/>
      <c r="E76" s="138"/>
      <c r="F76" s="176"/>
      <c r="G76" s="138"/>
      <c r="H76" s="143"/>
      <c r="I76" s="143"/>
      <c r="J76" s="143"/>
      <c r="K76" s="143"/>
      <c r="L76" s="144"/>
      <c r="M76" s="143"/>
      <c r="N76" s="144"/>
      <c r="O76" s="143"/>
      <c r="P76" s="143"/>
      <c r="Q76" s="170"/>
    </row>
    <row r="77">
      <c r="A77" s="143"/>
      <c r="B77" s="143"/>
      <c r="C77" s="174"/>
      <c r="D77" s="174"/>
      <c r="E77" s="138"/>
      <c r="F77" s="176"/>
      <c r="G77" s="138"/>
      <c r="H77" s="143"/>
      <c r="I77" s="143"/>
      <c r="J77" s="143"/>
      <c r="K77" s="143"/>
      <c r="L77" s="144"/>
      <c r="M77" s="143"/>
      <c r="N77" s="144"/>
      <c r="O77" s="143"/>
      <c r="P77" s="143"/>
      <c r="Q77" s="170"/>
    </row>
    <row r="78">
      <c r="A78" s="143"/>
      <c r="B78" s="143"/>
      <c r="C78" s="174"/>
      <c r="D78" s="174"/>
      <c r="E78" s="138"/>
      <c r="F78" s="176"/>
      <c r="G78" s="138"/>
      <c r="H78" s="143"/>
      <c r="I78" s="143"/>
      <c r="J78" s="143"/>
      <c r="K78" s="143"/>
      <c r="L78" s="144"/>
      <c r="M78" s="143"/>
      <c r="N78" s="144"/>
      <c r="O78" s="143"/>
      <c r="P78" s="143"/>
      <c r="Q78" s="170"/>
    </row>
    <row r="79">
      <c r="A79" s="143"/>
      <c r="B79" s="143"/>
      <c r="C79" s="174"/>
      <c r="D79" s="174"/>
      <c r="E79" s="138"/>
      <c r="F79" s="176"/>
      <c r="G79" s="138"/>
      <c r="H79" s="143"/>
      <c r="I79" s="143"/>
      <c r="J79" s="143"/>
      <c r="K79" s="143"/>
      <c r="L79" s="144"/>
      <c r="M79" s="143"/>
      <c r="N79" s="144"/>
      <c r="O79" s="143"/>
      <c r="P79" s="143"/>
      <c r="Q79" s="170"/>
    </row>
    <row r="80">
      <c r="A80" s="143"/>
      <c r="B80" s="143"/>
      <c r="C80" s="174"/>
      <c r="D80" s="174"/>
      <c r="E80" s="138"/>
      <c r="F80" s="177"/>
      <c r="G80" s="138"/>
      <c r="H80" s="143"/>
      <c r="I80" s="143"/>
      <c r="J80" s="143"/>
      <c r="K80" s="143"/>
      <c r="L80" s="144"/>
      <c r="M80" s="144"/>
      <c r="N80" s="144"/>
      <c r="O80" s="143"/>
      <c r="P80" s="143"/>
      <c r="Q80" s="170"/>
    </row>
    <row r="81">
      <c r="A81" s="143"/>
      <c r="B81" s="143"/>
      <c r="C81" s="174"/>
      <c r="D81" s="174"/>
      <c r="E81" s="138"/>
      <c r="F81" s="176"/>
      <c r="G81" s="138"/>
      <c r="H81" s="143"/>
      <c r="I81" s="143"/>
      <c r="J81" s="143"/>
      <c r="K81" s="143"/>
      <c r="L81" s="144"/>
      <c r="M81" s="144"/>
      <c r="N81" s="144"/>
      <c r="O81" s="143"/>
      <c r="P81" s="143"/>
      <c r="Q81" s="170"/>
    </row>
    <row r="82">
      <c r="A82" s="143"/>
      <c r="B82" s="143"/>
      <c r="C82" s="174"/>
      <c r="D82" s="174"/>
      <c r="E82" s="138"/>
      <c r="F82" s="176"/>
      <c r="G82" s="138"/>
      <c r="H82" s="143"/>
      <c r="I82" s="143"/>
      <c r="J82" s="143"/>
      <c r="K82" s="143"/>
      <c r="L82" s="144"/>
      <c r="M82" s="144"/>
      <c r="N82" s="144"/>
      <c r="O82" s="143"/>
      <c r="P82" s="143"/>
      <c r="Q82" s="170"/>
    </row>
    <row r="83">
      <c r="A83" s="143"/>
      <c r="B83" s="143"/>
      <c r="C83" s="174"/>
      <c r="D83" s="174"/>
      <c r="E83" s="138"/>
      <c r="F83" s="176"/>
      <c r="G83" s="138"/>
      <c r="H83" s="143"/>
      <c r="I83" s="143"/>
      <c r="J83" s="143"/>
      <c r="K83" s="143"/>
      <c r="L83" s="144"/>
      <c r="M83" s="144"/>
      <c r="N83" s="144"/>
      <c r="O83" s="143"/>
      <c r="P83" s="143"/>
      <c r="Q83" s="170"/>
    </row>
    <row r="84">
      <c r="A84" s="143"/>
      <c r="B84" s="143"/>
      <c r="C84" s="174"/>
      <c r="D84" s="174"/>
      <c r="E84" s="138"/>
      <c r="F84" s="176"/>
      <c r="G84" s="138"/>
      <c r="H84" s="143"/>
      <c r="I84" s="143"/>
      <c r="J84" s="143"/>
      <c r="K84" s="143"/>
      <c r="L84" s="144"/>
      <c r="M84" s="144"/>
      <c r="N84" s="144"/>
      <c r="O84" s="143"/>
      <c r="P84" s="143"/>
      <c r="Q84" s="170"/>
    </row>
    <row r="85">
      <c r="A85" s="143"/>
      <c r="B85" s="143"/>
      <c r="C85" s="174"/>
      <c r="D85" s="174"/>
      <c r="E85" s="138"/>
      <c r="F85" s="176"/>
      <c r="G85" s="138"/>
      <c r="H85" s="143"/>
      <c r="I85" s="143"/>
      <c r="J85" s="143"/>
      <c r="K85" s="143"/>
      <c r="L85" s="144"/>
      <c r="M85" s="144"/>
      <c r="N85" s="144"/>
      <c r="O85" s="143"/>
      <c r="P85" s="143"/>
      <c r="Q85" s="170"/>
    </row>
    <row r="86">
      <c r="A86" s="143"/>
      <c r="B86" s="143"/>
      <c r="C86" s="174"/>
      <c r="D86" s="174"/>
      <c r="E86" s="138"/>
      <c r="F86" s="176"/>
      <c r="G86" s="138"/>
      <c r="H86" s="143"/>
      <c r="I86" s="143"/>
      <c r="J86" s="143"/>
      <c r="K86" s="143"/>
      <c r="L86" s="144"/>
      <c r="M86" s="144"/>
      <c r="N86" s="144"/>
      <c r="O86" s="143"/>
      <c r="P86" s="143"/>
      <c r="Q86" s="170"/>
    </row>
    <row r="87">
      <c r="A87" s="143"/>
      <c r="B87" s="143"/>
      <c r="C87" s="174"/>
      <c r="D87" s="174"/>
      <c r="E87" s="138"/>
      <c r="F87" s="176"/>
      <c r="G87" s="138"/>
      <c r="H87" s="143"/>
      <c r="I87" s="143"/>
      <c r="J87" s="143"/>
      <c r="K87" s="143"/>
      <c r="L87" s="144"/>
      <c r="M87" s="144"/>
      <c r="N87" s="144"/>
      <c r="O87" s="143"/>
      <c r="P87" s="143"/>
      <c r="Q87" s="170"/>
    </row>
    <row r="88">
      <c r="A88" s="143"/>
      <c r="B88" s="143"/>
      <c r="C88" s="174"/>
      <c r="D88" s="174"/>
      <c r="E88" s="138"/>
      <c r="F88" s="176"/>
      <c r="G88" s="138"/>
      <c r="H88" s="143"/>
      <c r="I88" s="143"/>
      <c r="J88" s="143"/>
      <c r="K88" s="143"/>
      <c r="L88" s="144"/>
      <c r="M88" s="144"/>
      <c r="N88" s="144"/>
      <c r="O88" s="143"/>
      <c r="P88" s="143"/>
      <c r="Q88" s="170"/>
    </row>
    <row r="89">
      <c r="A89" s="143"/>
      <c r="B89" s="143"/>
      <c r="C89" s="174"/>
      <c r="D89" s="174"/>
      <c r="E89" s="138"/>
      <c r="F89" s="176"/>
      <c r="G89" s="138"/>
      <c r="H89" s="143"/>
      <c r="I89" s="143"/>
      <c r="J89" s="143"/>
      <c r="K89" s="143"/>
      <c r="L89" s="144"/>
      <c r="M89" s="144"/>
      <c r="N89" s="144"/>
      <c r="O89" s="143"/>
      <c r="P89" s="143"/>
      <c r="Q89" s="170"/>
    </row>
    <row r="90">
      <c r="A90" s="143"/>
      <c r="B90" s="143"/>
      <c r="C90" s="174"/>
      <c r="D90" s="174"/>
      <c r="E90" s="138"/>
      <c r="F90" s="176"/>
      <c r="G90" s="138"/>
      <c r="H90" s="143"/>
      <c r="I90" s="143"/>
      <c r="J90" s="143"/>
      <c r="K90" s="143"/>
      <c r="L90" s="144"/>
      <c r="M90" s="144"/>
      <c r="N90" s="144"/>
      <c r="O90" s="143"/>
      <c r="P90" s="143"/>
      <c r="Q90" s="170"/>
    </row>
    <row r="91">
      <c r="A91" s="143"/>
      <c r="B91" s="143"/>
      <c r="C91" s="174"/>
      <c r="D91" s="174"/>
      <c r="E91" s="138"/>
      <c r="F91" s="176"/>
      <c r="G91" s="138"/>
      <c r="H91" s="143"/>
      <c r="I91" s="143"/>
      <c r="J91" s="143"/>
      <c r="K91" s="143"/>
      <c r="L91" s="144"/>
      <c r="M91" s="144"/>
      <c r="N91" s="144"/>
      <c r="O91" s="143"/>
      <c r="P91" s="143"/>
      <c r="Q91" s="170"/>
    </row>
    <row r="92">
      <c r="A92" s="143"/>
      <c r="B92" s="143"/>
      <c r="C92" s="174"/>
      <c r="D92" s="174"/>
      <c r="E92" s="138"/>
      <c r="F92" s="176"/>
      <c r="G92" s="138"/>
      <c r="H92" s="143"/>
      <c r="I92" s="143"/>
      <c r="J92" s="143"/>
      <c r="K92" s="143"/>
      <c r="L92" s="144"/>
      <c r="M92" s="144"/>
      <c r="N92" s="144"/>
      <c r="O92" s="143"/>
      <c r="P92" s="143"/>
      <c r="Q92" s="170"/>
    </row>
    <row r="93">
      <c r="A93" s="143"/>
      <c r="B93" s="143"/>
      <c r="C93" s="174"/>
      <c r="D93" s="174"/>
      <c r="E93" s="138"/>
      <c r="F93" s="176"/>
      <c r="G93" s="138"/>
      <c r="H93" s="143"/>
      <c r="I93" s="143"/>
      <c r="J93" s="143"/>
      <c r="K93" s="143"/>
      <c r="L93" s="144"/>
      <c r="M93" s="144"/>
      <c r="N93" s="144"/>
      <c r="O93" s="143"/>
      <c r="P93" s="143"/>
      <c r="Q93" s="170"/>
    </row>
    <row r="94">
      <c r="A94" s="143"/>
      <c r="B94" s="143"/>
      <c r="C94" s="174"/>
      <c r="D94" s="174"/>
      <c r="E94" s="138"/>
      <c r="F94" s="176"/>
      <c r="G94" s="138"/>
      <c r="H94" s="143"/>
      <c r="I94" s="143"/>
      <c r="J94" s="143"/>
      <c r="K94" s="143"/>
      <c r="L94" s="144"/>
      <c r="M94" s="144"/>
      <c r="N94" s="144"/>
      <c r="O94" s="143"/>
      <c r="P94" s="143"/>
      <c r="Q94" s="170"/>
    </row>
    <row r="95">
      <c r="A95" s="143"/>
      <c r="B95" s="143"/>
      <c r="C95" s="174"/>
      <c r="D95" s="174"/>
      <c r="E95" s="138"/>
      <c r="F95" s="176"/>
      <c r="G95" s="138"/>
      <c r="H95" s="143"/>
      <c r="I95" s="143"/>
      <c r="J95" s="143"/>
      <c r="K95" s="143"/>
      <c r="L95" s="144"/>
      <c r="M95" s="144"/>
      <c r="N95" s="144"/>
      <c r="O95" s="143"/>
      <c r="P95" s="143"/>
      <c r="Q95" s="170"/>
    </row>
    <row r="96">
      <c r="A96" s="143"/>
      <c r="B96" s="143"/>
      <c r="C96" s="174"/>
      <c r="D96" s="174"/>
      <c r="E96" s="138"/>
      <c r="F96" s="176"/>
      <c r="G96" s="138"/>
      <c r="H96" s="143"/>
      <c r="I96" s="143"/>
      <c r="J96" s="143"/>
      <c r="K96" s="143"/>
      <c r="L96" s="144"/>
      <c r="M96" s="144"/>
      <c r="N96" s="144"/>
      <c r="O96" s="143"/>
      <c r="P96" s="143"/>
      <c r="Q96" s="170"/>
    </row>
    <row r="97">
      <c r="A97" s="143"/>
      <c r="B97" s="143"/>
      <c r="C97" s="174"/>
      <c r="D97" s="174"/>
      <c r="E97" s="138"/>
      <c r="F97" s="176"/>
      <c r="G97" s="138"/>
      <c r="H97" s="143"/>
      <c r="I97" s="143"/>
      <c r="J97" s="143"/>
      <c r="K97" s="143"/>
      <c r="L97" s="144"/>
      <c r="M97" s="144"/>
      <c r="N97" s="144"/>
      <c r="O97" s="143"/>
      <c r="P97" s="143"/>
      <c r="Q97" s="170"/>
    </row>
    <row r="98">
      <c r="A98" s="143"/>
      <c r="B98" s="143"/>
      <c r="C98" s="174"/>
      <c r="D98" s="174"/>
      <c r="E98" s="138"/>
      <c r="F98" s="176"/>
      <c r="G98" s="138"/>
      <c r="H98" s="143"/>
      <c r="I98" s="143"/>
      <c r="J98" s="143"/>
      <c r="K98" s="143"/>
      <c r="L98" s="144"/>
      <c r="M98" s="144"/>
      <c r="N98" s="144"/>
      <c r="O98" s="143"/>
      <c r="P98" s="143"/>
      <c r="Q98" s="170"/>
    </row>
    <row r="99">
      <c r="A99" s="143"/>
      <c r="B99" s="143"/>
      <c r="C99" s="174"/>
      <c r="D99" s="174"/>
      <c r="E99" s="138"/>
      <c r="F99" s="176"/>
      <c r="G99" s="138"/>
      <c r="H99" s="143"/>
      <c r="I99" s="143"/>
      <c r="J99" s="143"/>
      <c r="K99" s="143"/>
      <c r="L99" s="144"/>
      <c r="M99" s="144"/>
      <c r="N99" s="144"/>
      <c r="O99" s="143"/>
      <c r="P99" s="143"/>
      <c r="Q99" s="170"/>
    </row>
    <row r="100">
      <c r="A100" s="143"/>
      <c r="B100" s="143"/>
      <c r="C100" s="174"/>
      <c r="D100" s="174"/>
      <c r="E100" s="138"/>
      <c r="F100" s="176"/>
      <c r="G100" s="138"/>
      <c r="H100" s="143"/>
      <c r="I100" s="143"/>
      <c r="J100" s="143"/>
      <c r="K100" s="143"/>
      <c r="L100" s="144"/>
      <c r="M100" s="144"/>
      <c r="N100" s="144"/>
      <c r="O100" s="143"/>
      <c r="P100" s="178"/>
      <c r="Q100" s="179"/>
    </row>
    <row r="101">
      <c r="A101" s="143"/>
      <c r="B101" s="143"/>
      <c r="C101" s="174"/>
      <c r="D101" s="174"/>
      <c r="E101" s="138"/>
      <c r="F101" s="176"/>
      <c r="G101" s="138"/>
      <c r="H101" s="143"/>
      <c r="I101" s="143"/>
      <c r="J101" s="143"/>
      <c r="K101" s="143"/>
      <c r="L101" s="144"/>
      <c r="M101" s="144"/>
      <c r="N101" s="144"/>
      <c r="O101" s="143"/>
      <c r="P101" s="178"/>
      <c r="Q101" s="179"/>
    </row>
    <row r="102">
      <c r="A102" s="143"/>
      <c r="B102" s="143"/>
      <c r="C102" s="174"/>
      <c r="D102" s="174"/>
      <c r="E102" s="138"/>
      <c r="F102" s="176"/>
      <c r="G102" s="138"/>
      <c r="H102" s="143"/>
      <c r="I102" s="143"/>
      <c r="J102" s="143"/>
      <c r="K102" s="143"/>
      <c r="L102" s="144"/>
      <c r="M102" s="144"/>
      <c r="N102" s="144"/>
      <c r="O102" s="143"/>
      <c r="P102" s="143"/>
      <c r="Q102" s="170"/>
    </row>
    <row r="103">
      <c r="A103" s="143"/>
      <c r="B103" s="143"/>
      <c r="C103" s="174"/>
      <c r="D103" s="174"/>
      <c r="E103" s="138"/>
      <c r="F103" s="176"/>
      <c r="G103" s="138"/>
      <c r="H103" s="143"/>
      <c r="I103" s="143"/>
      <c r="J103" s="143"/>
      <c r="K103" s="143"/>
      <c r="L103" s="144"/>
      <c r="M103" s="144"/>
      <c r="N103" s="144"/>
      <c r="O103" s="143"/>
      <c r="P103" s="143"/>
      <c r="Q103" s="170"/>
    </row>
    <row r="104">
      <c r="A104" s="143"/>
      <c r="B104" s="143"/>
      <c r="C104" s="174"/>
      <c r="D104" s="174"/>
      <c r="E104" s="138"/>
      <c r="F104" s="176"/>
      <c r="G104" s="138"/>
      <c r="H104" s="143"/>
      <c r="I104" s="143"/>
      <c r="J104" s="143"/>
      <c r="K104" s="143"/>
      <c r="L104" s="144"/>
      <c r="M104" s="144"/>
      <c r="N104" s="144"/>
      <c r="O104" s="143"/>
      <c r="P104" s="143"/>
      <c r="Q104" s="170"/>
    </row>
    <row r="105">
      <c r="A105" s="143"/>
      <c r="B105" s="143"/>
      <c r="C105" s="174"/>
      <c r="D105" s="174"/>
      <c r="E105" s="138"/>
      <c r="F105" s="176"/>
      <c r="G105" s="138"/>
      <c r="H105" s="143"/>
      <c r="I105" s="143"/>
      <c r="J105" s="143"/>
      <c r="K105" s="143"/>
      <c r="L105" s="144"/>
      <c r="M105" s="141"/>
      <c r="N105" s="144"/>
      <c r="O105" s="143"/>
      <c r="P105" s="178"/>
      <c r="Q105" s="179"/>
    </row>
    <row r="106">
      <c r="A106" s="143"/>
      <c r="B106" s="143"/>
      <c r="C106" s="174"/>
      <c r="D106" s="174"/>
      <c r="E106" s="138"/>
      <c r="F106" s="176"/>
      <c r="G106" s="138"/>
      <c r="H106" s="143"/>
      <c r="I106" s="143"/>
      <c r="J106" s="143"/>
      <c r="K106" s="143"/>
      <c r="L106" s="144"/>
      <c r="M106" s="144"/>
      <c r="N106" s="144"/>
      <c r="O106" s="143"/>
      <c r="P106" s="178"/>
      <c r="Q106" s="179"/>
    </row>
    <row r="107">
      <c r="A107" s="143"/>
      <c r="B107" s="143"/>
      <c r="C107" s="174"/>
      <c r="D107" s="174"/>
      <c r="E107" s="138"/>
      <c r="F107" s="176"/>
      <c r="G107" s="138"/>
      <c r="H107" s="143"/>
      <c r="I107" s="143"/>
      <c r="J107" s="143"/>
      <c r="K107" s="143"/>
      <c r="L107" s="144"/>
      <c r="M107" s="144"/>
      <c r="N107" s="144"/>
      <c r="O107" s="143"/>
      <c r="P107" s="178"/>
      <c r="Q107" s="179"/>
    </row>
    <row r="108">
      <c r="A108" s="143"/>
      <c r="B108" s="143"/>
      <c r="C108" s="174"/>
      <c r="D108" s="174"/>
      <c r="E108" s="138"/>
      <c r="F108" s="176"/>
      <c r="G108" s="138"/>
      <c r="H108" s="143"/>
      <c r="I108" s="143"/>
      <c r="J108" s="143"/>
      <c r="K108" s="143"/>
      <c r="L108" s="144"/>
      <c r="M108" s="144"/>
      <c r="N108" s="144"/>
      <c r="O108" s="178"/>
      <c r="P108" s="178"/>
      <c r="Q108" s="179"/>
    </row>
    <row r="109">
      <c r="A109" s="143"/>
      <c r="B109" s="143"/>
      <c r="C109" s="174"/>
      <c r="D109" s="174"/>
      <c r="E109" s="138"/>
      <c r="F109" s="176"/>
      <c r="G109" s="138"/>
      <c r="H109" s="143"/>
      <c r="I109" s="143"/>
      <c r="J109" s="143"/>
      <c r="K109" s="143"/>
      <c r="L109" s="144"/>
      <c r="M109" s="144"/>
      <c r="N109" s="144"/>
      <c r="O109" s="143"/>
      <c r="P109" s="143"/>
      <c r="Q109" s="170"/>
    </row>
    <row r="110">
      <c r="A110" s="143"/>
      <c r="B110" s="143"/>
      <c r="C110" s="141"/>
      <c r="D110" s="141"/>
      <c r="E110" s="138"/>
      <c r="F110" s="177"/>
      <c r="G110" s="138"/>
      <c r="H110" s="143"/>
      <c r="I110" s="143"/>
      <c r="J110" s="143"/>
      <c r="K110" s="143"/>
      <c r="L110" s="144"/>
      <c r="M110" s="144"/>
      <c r="N110" s="144"/>
      <c r="O110" s="143"/>
      <c r="P110" s="143"/>
      <c r="Q110" s="170"/>
    </row>
    <row r="111">
      <c r="A111" s="143"/>
      <c r="B111" s="143"/>
      <c r="C111" s="141"/>
      <c r="D111" s="141"/>
      <c r="E111" s="138"/>
      <c r="F111" s="177"/>
      <c r="G111" s="138"/>
      <c r="H111" s="143"/>
      <c r="I111" s="143"/>
      <c r="J111" s="143"/>
      <c r="K111" s="143"/>
      <c r="L111" s="144"/>
      <c r="M111" s="144"/>
      <c r="N111" s="144"/>
      <c r="O111" s="143"/>
      <c r="P111" s="143"/>
      <c r="Q111" s="170"/>
    </row>
    <row r="112">
      <c r="A112" s="143"/>
      <c r="B112" s="143"/>
      <c r="C112" s="174"/>
      <c r="D112" s="174"/>
      <c r="E112" s="138"/>
      <c r="F112" s="177"/>
      <c r="G112" s="138"/>
      <c r="H112" s="143"/>
      <c r="I112" s="143"/>
      <c r="J112" s="143"/>
      <c r="K112" s="143"/>
      <c r="L112" s="144"/>
      <c r="M112" s="144"/>
      <c r="N112" s="144"/>
      <c r="O112" s="143"/>
      <c r="P112" s="143"/>
      <c r="Q112" s="170"/>
    </row>
    <row r="113">
      <c r="A113" s="143"/>
      <c r="B113" s="143"/>
      <c r="C113" s="174"/>
      <c r="D113" s="174"/>
      <c r="E113" s="138"/>
      <c r="F113" s="177"/>
      <c r="G113" s="138"/>
      <c r="H113" s="143"/>
      <c r="I113" s="143"/>
      <c r="J113" s="143"/>
      <c r="K113" s="143"/>
      <c r="L113" s="144"/>
      <c r="M113" s="144"/>
      <c r="N113" s="144"/>
      <c r="O113" s="143"/>
      <c r="P113" s="143"/>
      <c r="Q113" s="170"/>
    </row>
    <row r="114">
      <c r="A114" s="143"/>
      <c r="B114" s="143"/>
      <c r="C114" s="174"/>
      <c r="D114" s="174"/>
      <c r="E114" s="138"/>
      <c r="F114" s="177"/>
      <c r="G114" s="138"/>
      <c r="H114" s="143"/>
      <c r="I114" s="143"/>
      <c r="J114" s="143"/>
      <c r="K114" s="143"/>
      <c r="L114" s="144"/>
      <c r="M114" s="144"/>
      <c r="N114" s="144"/>
      <c r="O114" s="143"/>
      <c r="P114" s="143"/>
      <c r="Q114" s="170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4"/>
      <c r="M115" s="144"/>
      <c r="N115" s="144"/>
      <c r="O115" s="143"/>
      <c r="P115" s="143"/>
      <c r="Q115" s="170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4"/>
      <c r="M116" s="144"/>
      <c r="N116" s="144"/>
      <c r="O116" s="143"/>
      <c r="P116" s="143"/>
      <c r="Q116" s="170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4"/>
      <c r="M117" s="144"/>
      <c r="N117" s="144"/>
      <c r="O117" s="143"/>
      <c r="P117" s="143"/>
      <c r="Q117" s="170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4"/>
      <c r="M118" s="144"/>
      <c r="N118" s="144"/>
      <c r="O118" s="143"/>
      <c r="P118" s="143"/>
      <c r="Q118" s="170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4"/>
      <c r="M119" s="144"/>
      <c r="N119" s="144"/>
      <c r="O119" s="143"/>
      <c r="P119" s="143"/>
      <c r="Q119" s="170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4"/>
      <c r="M120" s="144"/>
      <c r="N120" s="144"/>
      <c r="O120" s="143"/>
      <c r="P120" s="143"/>
      <c r="Q120" s="170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4"/>
      <c r="M121" s="144"/>
      <c r="N121" s="144"/>
      <c r="O121" s="143"/>
      <c r="P121" s="143"/>
      <c r="Q121" s="170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4"/>
      <c r="M122" s="144"/>
      <c r="N122" s="144"/>
      <c r="O122" s="143"/>
      <c r="P122" s="143"/>
      <c r="Q122" s="170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4"/>
      <c r="M123" s="144"/>
      <c r="N123" s="144"/>
      <c r="O123" s="143"/>
      <c r="P123" s="143"/>
      <c r="Q123" s="170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4"/>
      <c r="M124" s="144"/>
      <c r="N124" s="144"/>
      <c r="O124" s="143"/>
      <c r="P124" s="143"/>
      <c r="Q124" s="170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4"/>
      <c r="M125" s="144"/>
      <c r="N125" s="144"/>
      <c r="O125" s="143"/>
      <c r="P125" s="143"/>
      <c r="Q125" s="17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3.75"/>
    <col customWidth="1" min="3" max="3" width="29.38"/>
    <col customWidth="1" min="8" max="8" width="14.63"/>
    <col customWidth="1" min="11" max="11" width="11.0"/>
    <col customWidth="1" min="17" max="17" width="20.0"/>
    <col customWidth="1" min="18" max="18" width="20.13"/>
    <col customWidth="1" min="19" max="19" width="20.75"/>
    <col customWidth="1" min="20" max="20" width="19.63"/>
    <col customWidth="1" min="21" max="21" width="9.63"/>
    <col customWidth="1" min="26" max="28" width="9.75"/>
    <col customWidth="1" min="29" max="29" width="9.88"/>
  </cols>
  <sheetData>
    <row r="1">
      <c r="A1" s="180" t="s">
        <v>197</v>
      </c>
      <c r="B1" s="181" t="str">
        <f>IFERROR(__xludf.DUMMYFUNCTION("IMPORTRANGE(A2,""ALL Tube Results!A1:F1"")"),"TUBE ID")</f>
        <v>TUBE ID</v>
      </c>
      <c r="C1" s="182" t="str">
        <f>IFERROR(__xludf.DUMMYFUNCTION("""COMPUTED_VALUE"""),"FINAL
ASSIGNED RUN ID")</f>
        <v>FINAL
ASSIGNED RUN ID</v>
      </c>
      <c r="D1" s="182" t="str">
        <f>IFERROR(__xludf.DUMMYFUNCTION("""COMPUTED_VALUE"""),"RUN DATE")</f>
        <v>RUN DATE</v>
      </c>
      <c r="E1" s="182" t="str">
        <f>IFERROR(__xludf.DUMMYFUNCTION("""COMPUTED_VALUE"""),"COLLECTION DATE")</f>
        <v>COLLECTION DATE</v>
      </c>
      <c r="F1" s="182" t="str">
        <f>IFERROR(__xludf.DUMMYFUNCTION("""COMPUTED_VALUE"""),"COLLECTION TIME")</f>
        <v>COLLECTION TIME</v>
      </c>
      <c r="G1" s="182" t="str">
        <f>IFERROR(__xludf.DUMMYFUNCTION("""COMPUTED_VALUE"""),"FINAL RESULT")</f>
        <v>FINAL RESULT</v>
      </c>
      <c r="H1" s="183" t="str">
        <f>'Pos and Incl IMPORT'!E1</f>
        <v>SPONSOR PERSON ID</v>
      </c>
      <c r="I1" s="183" t="str">
        <f>'Pos and Incl IMPORT'!F1</f>
        <v>SPONSOR FIRSTNAME</v>
      </c>
      <c r="J1" s="183" t="str">
        <f>'Pos and Incl IMPORT'!G1</f>
        <v>SPONSOR LASTNAME</v>
      </c>
      <c r="K1" s="183" t="str">
        <f>'Pos and Incl IMPORT'!H1</f>
        <v>APP
RESULT</v>
      </c>
      <c r="L1" s="183" t="str">
        <f>'Pos and Incl IMPORT'!L1</f>
        <v>Result Correct Code</v>
      </c>
      <c r="M1" s="183" t="str">
        <f>'Pos and Incl IMPORT'!M1</f>
        <v>Correction Notes</v>
      </c>
      <c r="N1" s="183" t="str">
        <f>'Pos and Incl IMPORT'!N1</f>
        <v>NOTE</v>
      </c>
      <c r="O1" s="183" t="str">
        <f>'Pos and Incl IMPORT'!O1</f>
        <v>NUM SAMPLES (Pool Level)</v>
      </c>
      <c r="P1" s="183" t="str">
        <f>'Pos and Incl IMPORT'!P1</f>
        <v>Match Row in APS Data PHI - postDEL</v>
      </c>
      <c r="Q1" s="2" t="s">
        <v>198</v>
      </c>
      <c r="R1" s="2" t="s">
        <v>199</v>
      </c>
      <c r="S1" s="2" t="s">
        <v>200</v>
      </c>
      <c r="T1" s="2" t="s">
        <v>201</v>
      </c>
      <c r="U1" s="6" t="s">
        <v>202</v>
      </c>
      <c r="V1" s="6" t="s">
        <v>198</v>
      </c>
      <c r="W1" s="6" t="s">
        <v>199</v>
      </c>
      <c r="X1" s="6" t="s">
        <v>200</v>
      </c>
      <c r="Y1" s="6" t="s">
        <v>201</v>
      </c>
      <c r="Z1" s="6" t="s">
        <v>198</v>
      </c>
      <c r="AA1" s="6" t="s">
        <v>199</v>
      </c>
      <c r="AB1" s="6" t="s">
        <v>200</v>
      </c>
      <c r="AC1" s="6" t="s">
        <v>201</v>
      </c>
    </row>
    <row r="2">
      <c r="A2" s="129" t="s">
        <v>203</v>
      </c>
      <c r="B2" s="184" t="str">
        <f>IFERROR(__xludf.DUMMYFUNCTION("QUERY(IMPORTRANGE(A2,""ALL Tube Results!A2:F""), ""SELECT * WHERE Col6 = 'Positive' OR Col6 = 'Inconclusive'"", 0)
"),"351430")</f>
        <v>351430</v>
      </c>
      <c r="C2" s="26" t="str">
        <f>IFERROR(__xludf.DUMMYFUNCTION("""COMPUTED_VALUE"""),"RUN-FLMP_2021-01-15_APS-007")</f>
        <v>RUN-FLMP_2021-01-15_APS-007</v>
      </c>
      <c r="D2" s="185">
        <f>IFERROR(__xludf.DUMMYFUNCTION("""COMPUTED_VALUE"""),44211.0)</f>
        <v>44211</v>
      </c>
      <c r="E2" s="185">
        <f>IFERROR(__xludf.DUMMYFUNCTION("""COMPUTED_VALUE"""),44211.0)</f>
        <v>44211</v>
      </c>
      <c r="F2" s="186">
        <f>IFERROR(__xludf.DUMMYFUNCTION("""COMPUTED_VALUE"""),0.32527777777795563)</f>
        <v>0.3252777778</v>
      </c>
      <c r="G2" s="26" t="str">
        <f>IFERROR(__xludf.DUMMYFUNCTION("""COMPUTED_VALUE"""),"Positive")</f>
        <v>Positive</v>
      </c>
      <c r="H2" s="136" t="str">
        <f>IFERROR(VLOOKUP($B3,'Pos and Incl IMPORT'!$B$2:$X109,4,FALSE),IFERROR(0/0,""))</f>
        <v>SpFLMP659315</v>
      </c>
      <c r="I2" s="136"/>
      <c r="J2" s="136"/>
      <c r="K2" s="136" t="str">
        <f>IFERROR(VLOOKUP($B2,'Pos and Incl IMPORT'!$B$2:$P109,7,FALSE),IFERROR(0/0,""))</f>
        <v>Null</v>
      </c>
      <c r="L2" s="187">
        <f>IFERROR(VLOOKUP($B2,'Pos and Incl IMPORT'!$B$2:$P109,11,FALSE),IFERROR(0/0,""))</f>
        <v>3</v>
      </c>
      <c r="M2" s="136" t="str">
        <f>IFERROR(VLOOKUP($B2,'Pos and Incl IMPORT'!$B$2:$P109,12,FALSE),IFERROR(0/0,""))</f>
        <v>Null called Positive - Sponsor communicated identity of other person in pool on day of, see RTR</v>
      </c>
      <c r="N2" s="136" t="str">
        <f>IFERROR(VLOOKUP($B2,'Pos and Incl IMPORT'!$B$2:$P109,13,FALSE),IFERROR(0/0,""))</f>
        <v/>
      </c>
      <c r="O2" s="187">
        <f>IFERROR(VLOOKUP($B2,'Pos and Incl IMPORT'!$B$2:$P109,14,FALSE),IFERROR(0/0,""))</f>
        <v>2</v>
      </c>
      <c r="P2" s="187">
        <f>IFERROR(VLOOKUP($B2,'Pos and Incl IMPORT'!$B$2:$P109,15,FALSE),IFERROR(0/0,""))</f>
        <v>42</v>
      </c>
      <c r="Q2" s="136" t="str">
        <f>IFERROR(VLOOKUP($B2,'Pos and Incl IMPORT'!$B$2:$S109,16,FALSE),IFERROR(0/0,""))</f>
        <v>FLMP466389</v>
      </c>
      <c r="R2" s="136" t="str">
        <f>IFERROR(VLOOKUP($B2,'Pos and Incl IMPORT'!$B$2:$S109,17,FALSE),IFERROR(0/0,""))</f>
        <v>FLMP197976</v>
      </c>
      <c r="S2" s="136" t="str">
        <f>IFERROR(VLOOKUP($B2,'Pos and Incl IMPORT'!$B$2:$S109,18,FALSE),IFERROR(0/0,""))</f>
        <v/>
      </c>
      <c r="T2" s="136" t="str">
        <f>IFERROR(VLOOKUP($B2,'Pos and Incl IMPORT'!$B$2:$S109,19,FALSE),IFERROR(0/0,""))</f>
        <v/>
      </c>
      <c r="U2" s="187">
        <f t="shared" ref="U2:U62" si="1">IF(ISBLANK(Q2),IFERROR(0/0,""),COUNTIF(Q$2:T109,Q2))</f>
        <v>3</v>
      </c>
      <c r="V2" s="14"/>
      <c r="W2" s="14"/>
      <c r="X2" s="14"/>
      <c r="Y2" s="14"/>
    </row>
    <row r="3">
      <c r="B3" s="26" t="str">
        <f>IFERROR(__xludf.DUMMYFUNCTION("""COMPUTED_VALUE"""),"351430B")</f>
        <v>351430B</v>
      </c>
      <c r="C3" s="26" t="str">
        <f>IFERROR(__xludf.DUMMYFUNCTION("""COMPUTED_VALUE"""),"RUN-FLMP_2021-01-15_APS-007")</f>
        <v>RUN-FLMP_2021-01-15_APS-007</v>
      </c>
      <c r="D3" s="185">
        <f>IFERROR(__xludf.DUMMYFUNCTION("""COMPUTED_VALUE"""),44211.0)</f>
        <v>44211</v>
      </c>
      <c r="E3" s="185">
        <f>IFERROR(__xludf.DUMMYFUNCTION("""COMPUTED_VALUE"""),44211.0)</f>
        <v>44211</v>
      </c>
      <c r="F3" s="186">
        <f>IFERROR(__xludf.DUMMYFUNCTION("""COMPUTED_VALUE"""),0.6666666666678793)</f>
        <v>0.6666666667</v>
      </c>
      <c r="G3" s="26" t="str">
        <f>IFERROR(__xludf.DUMMYFUNCTION("""COMPUTED_VALUE"""),"Positive")</f>
        <v>Positive</v>
      </c>
      <c r="H3" s="136" t="str">
        <f>IFERROR(VLOOKUP($B4,'Pos and Incl IMPORT'!$B$2:$X109,4,FALSE),IFERROR(0/0,""))</f>
        <v>SpFLMP659315</v>
      </c>
      <c r="I3" s="136"/>
      <c r="J3" s="136"/>
      <c r="K3" s="136" t="str">
        <f>IFERROR(VLOOKUP($B3,'Pos and Incl IMPORT'!$B$2:$P109,7,FALSE),IFERROR(0/0,""))</f>
        <v/>
      </c>
      <c r="L3" s="187">
        <f>IFERROR(VLOOKUP($B3,'Pos and Incl IMPORT'!$B$2:$P109,11,FALSE),IFERROR(0/0,""))</f>
        <v>5</v>
      </c>
      <c r="M3" s="136" t="str">
        <f>IFERROR(VLOOKUP($B3,'Pos and Incl IMPORT'!$B$2:$P109,12,FALSE),IFERROR(0/0,""))</f>
        <v>Resample for deconv not collected in App, info on samples is in 1-15-22 Run File</v>
      </c>
      <c r="N3" s="136" t="str">
        <f>IFERROR(VLOOKUP($B3,'Pos and Incl IMPORT'!$B$2:$P109,13,FALSE),IFERROR(0/0,""))</f>
        <v/>
      </c>
      <c r="O3" s="187">
        <f>IFERROR(VLOOKUP($B3,'Pos and Incl IMPORT'!$B$2:$P109,14,FALSE),IFERROR(0/0,""))</f>
        <v>1</v>
      </c>
      <c r="P3" s="187">
        <f>IFERROR(VLOOKUP($B3,'Pos and Incl IMPORT'!$B$2:$P109,15,FALSE),IFERROR(0/0,""))</f>
        <v>51</v>
      </c>
      <c r="Q3" s="136" t="str">
        <f>IFERROR(VLOOKUP($B3,'Pos and Incl IMPORT'!$B$2:$S109,16,FALSE),IFERROR(0/0,""))</f>
        <v>FLMP466389</v>
      </c>
      <c r="R3" s="136" t="str">
        <f>IFERROR(VLOOKUP($B3,'Pos and Incl IMPORT'!$B$2:$S109,17,FALSE),IFERROR(0/0,""))</f>
        <v/>
      </c>
      <c r="S3" s="136" t="str">
        <f>IFERROR(VLOOKUP($B3,'Pos and Incl IMPORT'!$B$2:$S109,18,FALSE),IFERROR(0/0,""))</f>
        <v/>
      </c>
      <c r="T3" s="136" t="str">
        <f>IFERROR(VLOOKUP($B3,'Pos and Incl IMPORT'!$B$2:$S109,19,FALSE),IFERROR(0/0,""))</f>
        <v/>
      </c>
      <c r="U3" s="187">
        <f t="shared" si="1"/>
        <v>3</v>
      </c>
      <c r="V3" s="14"/>
      <c r="W3" s="14"/>
      <c r="X3" s="14"/>
      <c r="Y3" s="14"/>
    </row>
    <row r="4">
      <c r="B4" s="26" t="str">
        <f>IFERROR(__xludf.DUMMYFUNCTION("""COMPUTED_VALUE"""),"351430D")</f>
        <v>351430D</v>
      </c>
      <c r="C4" s="26" t="str">
        <f>IFERROR(__xludf.DUMMYFUNCTION("""COMPUTED_VALUE"""),"RUN-FLMP_2021-01-15_APS-007")</f>
        <v>RUN-FLMP_2021-01-15_APS-007</v>
      </c>
      <c r="D4" s="185">
        <f>IFERROR(__xludf.DUMMYFUNCTION("""COMPUTED_VALUE"""),44211.0)</f>
        <v>44211</v>
      </c>
      <c r="E4" s="185">
        <f>IFERROR(__xludf.DUMMYFUNCTION("""COMPUTED_VALUE"""),44211.0)</f>
        <v>44211</v>
      </c>
      <c r="F4" s="186">
        <f>IFERROR(__xludf.DUMMYFUNCTION("""COMPUTED_VALUE"""),0.6666666666678793)</f>
        <v>0.6666666667</v>
      </c>
      <c r="G4" s="26" t="str">
        <f>IFERROR(__xludf.DUMMYFUNCTION("""COMPUTED_VALUE"""),"Positive")</f>
        <v>Positive</v>
      </c>
      <c r="H4" s="136" t="str">
        <f>IFERROR(VLOOKUP($B5,'Pos and Incl IMPORT'!$B$2:$X109,4,FALSE),IFERROR(0/0,""))</f>
        <v>SpFLMP659315</v>
      </c>
      <c r="I4" s="136"/>
      <c r="J4" s="136"/>
      <c r="K4" s="136" t="str">
        <f>IFERROR(VLOOKUP($B4,'Pos and Incl IMPORT'!$B$2:$P109,7,FALSE),IFERROR(0/0,""))</f>
        <v/>
      </c>
      <c r="L4" s="187">
        <f>IFERROR(VLOOKUP($B4,'Pos and Incl IMPORT'!$B$2:$P109,11,FALSE),IFERROR(0/0,""))</f>
        <v>5</v>
      </c>
      <c r="M4" s="136" t="str">
        <f>IFERROR(VLOOKUP($B4,'Pos and Incl IMPORT'!$B$2:$P109,12,FALSE),IFERROR(0/0,""))</f>
        <v>Saliva only run on PCR, Resample for deconv not collected in App, info on samples is in 1-15-22 Run File</v>
      </c>
      <c r="N4" s="136" t="str">
        <f>IFERROR(VLOOKUP($B4,'Pos and Incl IMPORT'!$B$2:$P109,13,FALSE),IFERROR(0/0,""))</f>
        <v/>
      </c>
      <c r="O4" s="187">
        <f>IFERROR(VLOOKUP($B4,'Pos and Incl IMPORT'!$B$2:$P109,14,FALSE),IFERROR(0/0,""))</f>
        <v>1</v>
      </c>
      <c r="P4" s="187">
        <f>IFERROR(VLOOKUP($B4,'Pos and Incl IMPORT'!$B$2:$P109,15,FALSE),IFERROR(0/0,""))</f>
        <v>53</v>
      </c>
      <c r="Q4" s="136" t="str">
        <f>IFERROR(VLOOKUP($B4,'Pos and Incl IMPORT'!$B$2:$S109,16,FALSE),IFERROR(0/0,""))</f>
        <v>FLMP466389</v>
      </c>
      <c r="R4" s="136" t="str">
        <f>IFERROR(VLOOKUP($B4,'Pos and Incl IMPORT'!$B$2:$S109,17,FALSE),IFERROR(0/0,""))</f>
        <v/>
      </c>
      <c r="S4" s="136" t="str">
        <f>IFERROR(VLOOKUP($B4,'Pos and Incl IMPORT'!$B$2:$S109,18,FALSE),IFERROR(0/0,""))</f>
        <v/>
      </c>
      <c r="T4" s="136" t="str">
        <f>IFERROR(VLOOKUP($B4,'Pos and Incl IMPORT'!$B$2:$S109,19,FALSE),IFERROR(0/0,""))</f>
        <v/>
      </c>
      <c r="U4" s="187">
        <f t="shared" si="1"/>
        <v>3</v>
      </c>
      <c r="V4" s="14"/>
      <c r="W4" s="14"/>
      <c r="X4" s="14"/>
      <c r="Y4" s="14"/>
    </row>
    <row r="5">
      <c r="B5" s="26" t="str">
        <f>IFERROR(__xludf.DUMMYFUNCTION("""COMPUTED_VALUE"""),"MA1463")</f>
        <v>MA1463</v>
      </c>
      <c r="C5" s="26" t="str">
        <f>IFERROR(__xludf.DUMMYFUNCTION("""COMPUTED_VALUE"""),"RUN-FLMP_2021-12-18_RFR-019")</f>
        <v>RUN-FLMP_2021-12-18_RFR-019</v>
      </c>
      <c r="D5" s="185">
        <f>IFERROR(__xludf.DUMMYFUNCTION("""COMPUTED_VALUE"""),44548.0)</f>
        <v>44548</v>
      </c>
      <c r="E5" s="185">
        <f>IFERROR(__xludf.DUMMYFUNCTION("""COMPUTED_VALUE"""),44548.0)</f>
        <v>44548</v>
      </c>
      <c r="F5" s="186">
        <f>IFERROR(__xludf.DUMMYFUNCTION("""COMPUTED_VALUE"""),0.29943287037167465)</f>
        <v>0.2994328704</v>
      </c>
      <c r="G5" s="26" t="str">
        <f>IFERROR(__xludf.DUMMYFUNCTION("""COMPUTED_VALUE"""),"Positive")</f>
        <v>Positive</v>
      </c>
      <c r="H5" s="136" t="str">
        <f>IFERROR(VLOOKUP($B6,'Pos and Incl IMPORT'!$B$2:$X109,4,FALSE),IFERROR(0/0,""))</f>
        <v>SpFLMP659315</v>
      </c>
      <c r="I5" s="136"/>
      <c r="J5" s="136"/>
      <c r="K5" s="136" t="str">
        <f>IFERROR(VLOOKUP($B5,'Pos and Incl IMPORT'!$B$2:$P109,7,FALSE),IFERROR(0/0,""))</f>
        <v>Positive</v>
      </c>
      <c r="L5" s="187" t="str">
        <f>IFERROR(VLOOKUP($B5,'Pos and Incl IMPORT'!$B$2:$P109,11,FALSE),IFERROR(0/0,""))</f>
        <v/>
      </c>
      <c r="M5" s="136" t="str">
        <f>IFERROR(VLOOKUP($B5,'Pos and Incl IMPORT'!$B$2:$P109,12,FALSE),IFERROR(0/0,""))</f>
        <v/>
      </c>
      <c r="N5" s="136" t="str">
        <f>IFERROR(VLOOKUP($B5,'Pos and Incl IMPORT'!$B$2:$P109,13,FALSE),IFERROR(0/0,""))</f>
        <v/>
      </c>
      <c r="O5" s="187">
        <f>IFERROR(VLOOKUP($B5,'Pos and Incl IMPORT'!$B$2:$P109,14,FALSE),IFERROR(0/0,""))</f>
        <v>2</v>
      </c>
      <c r="P5" s="187">
        <f>IFERROR(VLOOKUP($B5,'Pos and Incl IMPORT'!$B$2:$P109,15,FALSE),IFERROR(0/0,""))</f>
        <v>614</v>
      </c>
      <c r="Q5" s="136" t="str">
        <f>IFERROR(VLOOKUP($B5,'Pos and Incl IMPORT'!$B$2:$S109,16,FALSE),IFERROR(0/0,""))</f>
        <v>FLMP634407</v>
      </c>
      <c r="R5" s="136" t="str">
        <f>IFERROR(VLOOKUP($B5,'Pos and Incl IMPORT'!$B$2:$S109,17,FALSE),IFERROR(0/0,""))</f>
        <v>FLMP619442</v>
      </c>
      <c r="S5" s="136" t="str">
        <f>IFERROR(VLOOKUP($B5,'Pos and Incl IMPORT'!$B$2:$S109,18,FALSE),IFERROR(0/0,""))</f>
        <v/>
      </c>
      <c r="T5" s="136" t="str">
        <f>IFERROR(VLOOKUP($B5,'Pos and Incl IMPORT'!$B$2:$S109,19,FALSE),IFERROR(0/0,""))</f>
        <v/>
      </c>
      <c r="U5" s="187">
        <f t="shared" si="1"/>
        <v>1</v>
      </c>
      <c r="V5" s="14"/>
      <c r="W5" s="14"/>
      <c r="X5" s="14"/>
      <c r="Y5" s="14"/>
    </row>
    <row r="6">
      <c r="B6" s="26" t="str">
        <f>IFERROR(__xludf.DUMMYFUNCTION("""COMPUTED_VALUE"""),"MA1215")</f>
        <v>MA1215</v>
      </c>
      <c r="C6" s="26" t="str">
        <f>IFERROR(__xludf.DUMMYFUNCTION("""COMPUTED_VALUE"""),"RUN-FLMP_2021-12-18_RFR-020")</f>
        <v>RUN-FLMP_2021-12-18_RFR-020</v>
      </c>
      <c r="D6" s="185">
        <f>IFERROR(__xludf.DUMMYFUNCTION("""COMPUTED_VALUE"""),44548.0)</f>
        <v>44548</v>
      </c>
      <c r="E6" s="185">
        <f>IFERROR(__xludf.DUMMYFUNCTION("""COMPUTED_VALUE"""),44548.0)</f>
        <v>44548</v>
      </c>
      <c r="F6" s="186">
        <f>IFERROR(__xludf.DUMMYFUNCTION("""COMPUTED_VALUE"""),0.3919097222205892)</f>
        <v>0.3919097222</v>
      </c>
      <c r="G6" s="26" t="str">
        <f>IFERROR(__xludf.DUMMYFUNCTION("""COMPUTED_VALUE"""),"Positive")</f>
        <v>Positive</v>
      </c>
      <c r="H6" s="136" t="str">
        <f>IFERROR(VLOOKUP($B7,'Pos and Incl IMPORT'!$B$2:$X109,4,FALSE),IFERROR(0/0,""))</f>
        <v>SpFLMP659315</v>
      </c>
      <c r="I6" s="136"/>
      <c r="J6" s="136"/>
      <c r="K6" s="136" t="str">
        <f>IFERROR(VLOOKUP($B6,'Pos and Incl IMPORT'!$B$2:$P109,7,FALSE),IFERROR(0/0,""))</f>
        <v>Positive</v>
      </c>
      <c r="L6" s="187" t="str">
        <f>IFERROR(VLOOKUP($B6,'Pos and Incl IMPORT'!$B$2:$P109,11,FALSE),IFERROR(0/0,""))</f>
        <v/>
      </c>
      <c r="M6" s="136" t="str">
        <f>IFERROR(VLOOKUP($B6,'Pos and Incl IMPORT'!$B$2:$P109,12,FALSE),IFERROR(0/0,""))</f>
        <v>name email fix</v>
      </c>
      <c r="N6" s="136" t="str">
        <f>IFERROR(VLOOKUP($B6,'Pos and Incl IMPORT'!$B$2:$P109,13,FALSE),IFERROR(0/0,""))</f>
        <v/>
      </c>
      <c r="O6" s="187">
        <f>IFERROR(VLOOKUP($B6,'Pos and Incl IMPORT'!$B$2:$P109,14,FALSE),IFERROR(0/0,""))</f>
        <v>1</v>
      </c>
      <c r="P6" s="187">
        <f>IFERROR(VLOOKUP($B6,'Pos and Incl IMPORT'!$B$2:$P109,15,FALSE),IFERROR(0/0,""))</f>
        <v>618</v>
      </c>
      <c r="Q6" s="136" t="str">
        <f>IFERROR(VLOOKUP($B6,'Pos and Incl IMPORT'!$B$2:$S109,16,FALSE),IFERROR(0/0,""))</f>
        <v>FLMP619442</v>
      </c>
      <c r="R6" s="136" t="str">
        <f>IFERROR(VLOOKUP($B6,'Pos and Incl IMPORT'!$B$2:$S109,17,FALSE),IFERROR(0/0,""))</f>
        <v/>
      </c>
      <c r="S6" s="136" t="str">
        <f>IFERROR(VLOOKUP($B6,'Pos and Incl IMPORT'!$B$2:$S109,18,FALSE),IFERROR(0/0,""))</f>
        <v/>
      </c>
      <c r="T6" s="136" t="str">
        <f>IFERROR(VLOOKUP($B6,'Pos and Incl IMPORT'!$B$2:$S109,19,FALSE),IFERROR(0/0,""))</f>
        <v/>
      </c>
      <c r="U6" s="187">
        <f t="shared" si="1"/>
        <v>8</v>
      </c>
      <c r="V6" s="14"/>
      <c r="W6" s="14"/>
      <c r="X6" s="14"/>
      <c r="Y6" s="14"/>
    </row>
    <row r="7">
      <c r="B7" s="26" t="str">
        <f>IFERROR(__xludf.DUMMYFUNCTION("""COMPUTED_VALUE"""),"FLM276")</f>
        <v>FLM276</v>
      </c>
      <c r="C7" s="26" t="str">
        <f>IFERROR(__xludf.DUMMYFUNCTION("""COMPUTED_VALUE"""),"RUN-FLMP_2021-12-22_RFR-031")</f>
        <v>RUN-FLMP_2021-12-22_RFR-031</v>
      </c>
      <c r="D7" s="185">
        <f>IFERROR(__xludf.DUMMYFUNCTION("""COMPUTED_VALUE"""),44552.0)</f>
        <v>44552</v>
      </c>
      <c r="E7" s="185">
        <f>IFERROR(__xludf.DUMMYFUNCTION("""COMPUTED_VALUE"""),44552.0)</f>
        <v>44552</v>
      </c>
      <c r="F7" s="186">
        <f>IFERROR(__xludf.DUMMYFUNCTION("""COMPUTED_VALUE"""),0.7594791666670062)</f>
        <v>0.7594791667</v>
      </c>
      <c r="G7" s="26" t="str">
        <f>IFERROR(__xludf.DUMMYFUNCTION("""COMPUTED_VALUE"""),"Positive")</f>
        <v>Positive</v>
      </c>
      <c r="H7" s="136" t="str">
        <f>IFERROR(VLOOKUP($B8,'Pos and Incl IMPORT'!$B$2:$X109,4,FALSE),IFERROR(0/0,""))</f>
        <v>SpFLMP659315</v>
      </c>
      <c r="I7" s="136"/>
      <c r="J7" s="136"/>
      <c r="K7" s="136" t="str">
        <f>IFERROR(VLOOKUP($B7,'Pos and Incl IMPORT'!$B$2:$P109,7,FALSE),IFERROR(0/0,""))</f>
        <v>Positive</v>
      </c>
      <c r="L7" s="187" t="str">
        <f>IFERROR(VLOOKUP($B7,'Pos and Incl IMPORT'!$B$2:$P109,11,FALSE),IFERROR(0/0,""))</f>
        <v/>
      </c>
      <c r="M7" s="136" t="str">
        <f>IFERROR(VLOOKUP($B7,'Pos and Incl IMPORT'!$B$2:$P109,12,FALSE),IFERROR(0/0,""))</f>
        <v>name email fix</v>
      </c>
      <c r="N7" s="136" t="str">
        <f>IFERROR(VLOOKUP($B7,'Pos and Incl IMPORT'!$B$2:$P109,13,FALSE),IFERROR(0/0,""))</f>
        <v/>
      </c>
      <c r="O7" s="187">
        <f>IFERROR(VLOOKUP($B7,'Pos and Incl IMPORT'!$B$2:$P109,14,FALSE),IFERROR(0/0,""))</f>
        <v>1</v>
      </c>
      <c r="P7" s="187">
        <f>IFERROR(VLOOKUP($B7,'Pos and Incl IMPORT'!$B$2:$P109,15,FALSE),IFERROR(0/0,""))</f>
        <v>646</v>
      </c>
      <c r="Q7" s="136" t="str">
        <f>IFERROR(VLOOKUP($B7,'Pos and Incl IMPORT'!$B$2:$S109,16,FALSE),IFERROR(0/0,""))</f>
        <v>FLMP619442</v>
      </c>
      <c r="R7" s="136" t="str">
        <f>IFERROR(VLOOKUP($B7,'Pos and Incl IMPORT'!$B$2:$S109,17,FALSE),IFERROR(0/0,""))</f>
        <v/>
      </c>
      <c r="S7" s="136" t="str">
        <f>IFERROR(VLOOKUP($B7,'Pos and Incl IMPORT'!$B$2:$S109,18,FALSE),IFERROR(0/0,""))</f>
        <v/>
      </c>
      <c r="T7" s="136" t="str">
        <f>IFERROR(VLOOKUP($B7,'Pos and Incl IMPORT'!$B$2:$S109,19,FALSE),IFERROR(0/0,""))</f>
        <v/>
      </c>
      <c r="U7" s="187">
        <f t="shared" si="1"/>
        <v>8</v>
      </c>
      <c r="V7" s="14"/>
      <c r="W7" s="14"/>
      <c r="X7" s="14"/>
      <c r="Y7" s="14"/>
    </row>
    <row r="8">
      <c r="B8" s="26" t="str">
        <f>IFERROR(__xludf.DUMMYFUNCTION("""COMPUTED_VALUE"""),"MA1362")</f>
        <v>MA1362</v>
      </c>
      <c r="C8" s="26" t="str">
        <f>IFERROR(__xludf.DUMMYFUNCTION("""COMPUTED_VALUE"""),"RUN-FLMP_2021-12-23_RFR-032")</f>
        <v>RUN-FLMP_2021-12-23_RFR-032</v>
      </c>
      <c r="D8" s="185">
        <f>IFERROR(__xludf.DUMMYFUNCTION("""COMPUTED_VALUE"""),44553.0)</f>
        <v>44553</v>
      </c>
      <c r="E8" s="185">
        <f>IFERROR(__xludf.DUMMYFUNCTION("""COMPUTED_VALUE"""),44553.0)</f>
        <v>44553</v>
      </c>
      <c r="F8" s="186">
        <f>IFERROR(__xludf.DUMMYFUNCTION("""COMPUTED_VALUE"""),0.37064814814948477)</f>
        <v>0.3706481481</v>
      </c>
      <c r="G8" s="26" t="str">
        <f>IFERROR(__xludf.DUMMYFUNCTION("""COMPUTED_VALUE"""),"Positive")</f>
        <v>Positive</v>
      </c>
      <c r="H8" s="136" t="str">
        <f>IFERROR(VLOOKUP($B9,'Pos and Incl IMPORT'!$B$2:$X109,4,FALSE),IFERROR(0/0,""))</f>
        <v>SpFLMP659315</v>
      </c>
      <c r="I8" s="136"/>
      <c r="J8" s="136"/>
      <c r="K8" s="136" t="str">
        <f>IFERROR(VLOOKUP($B8,'Pos and Incl IMPORT'!$B$2:$P109,7,FALSE),IFERROR(0/0,""))</f>
        <v>Positive</v>
      </c>
      <c r="L8" s="187" t="str">
        <f>IFERROR(VLOOKUP($B8,'Pos and Incl IMPORT'!$B$2:$P109,11,FALSE),IFERROR(0/0,""))</f>
        <v/>
      </c>
      <c r="M8" s="136" t="str">
        <f>IFERROR(VLOOKUP($B8,'Pos and Incl IMPORT'!$B$2:$P109,12,FALSE),IFERROR(0/0,""))</f>
        <v>name email fix</v>
      </c>
      <c r="N8" s="136" t="str">
        <f>IFERROR(VLOOKUP($B8,'Pos and Incl IMPORT'!$B$2:$P109,13,FALSE),IFERROR(0/0,""))</f>
        <v/>
      </c>
      <c r="O8" s="187">
        <f>IFERROR(VLOOKUP($B8,'Pos and Incl IMPORT'!$B$2:$P109,14,FALSE),IFERROR(0/0,""))</f>
        <v>1</v>
      </c>
      <c r="P8" s="187">
        <f>IFERROR(VLOOKUP($B8,'Pos and Incl IMPORT'!$B$2:$P109,15,FALSE),IFERROR(0/0,""))</f>
        <v>650</v>
      </c>
      <c r="Q8" s="136" t="str">
        <f>IFERROR(VLOOKUP($B8,'Pos and Incl IMPORT'!$B$2:$S109,16,FALSE),IFERROR(0/0,""))</f>
        <v>FLMP619442</v>
      </c>
      <c r="R8" s="136" t="str">
        <f>IFERROR(VLOOKUP($B8,'Pos and Incl IMPORT'!$B$2:$S109,17,FALSE),IFERROR(0/0,""))</f>
        <v/>
      </c>
      <c r="S8" s="136" t="str">
        <f>IFERROR(VLOOKUP($B8,'Pos and Incl IMPORT'!$B$2:$S109,18,FALSE),IFERROR(0/0,""))</f>
        <v/>
      </c>
      <c r="T8" s="136" t="str">
        <f>IFERROR(VLOOKUP($B8,'Pos and Incl IMPORT'!$B$2:$S109,19,FALSE),IFERROR(0/0,""))</f>
        <v/>
      </c>
      <c r="U8" s="187">
        <f t="shared" si="1"/>
        <v>8</v>
      </c>
      <c r="V8" s="14"/>
      <c r="W8" s="14"/>
      <c r="X8" s="14"/>
      <c r="Y8" s="14"/>
    </row>
    <row r="9">
      <c r="B9" s="26" t="str">
        <f>IFERROR(__xludf.DUMMYFUNCTION("""COMPUTED_VALUE"""),"MA1325")</f>
        <v>MA1325</v>
      </c>
      <c r="C9" s="26" t="str">
        <f>IFERROR(__xludf.DUMMYFUNCTION("""COMPUTED_VALUE"""),"RUN-FLMP_2021-12-24_RFR-033")</f>
        <v>RUN-FLMP_2021-12-24_RFR-033</v>
      </c>
      <c r="D9" s="185">
        <f>IFERROR(__xludf.DUMMYFUNCTION("""COMPUTED_VALUE"""),44554.0)</f>
        <v>44554</v>
      </c>
      <c r="E9" s="185">
        <f>IFERROR(__xludf.DUMMYFUNCTION("""COMPUTED_VALUE"""),44554.0)</f>
        <v>44554</v>
      </c>
      <c r="F9" s="186">
        <f>IFERROR(__xludf.DUMMYFUNCTION("""COMPUTED_VALUE"""),0.30942129629693227)</f>
        <v>0.3094212963</v>
      </c>
      <c r="G9" s="26" t="str">
        <f>IFERROR(__xludf.DUMMYFUNCTION("""COMPUTED_VALUE"""),"Positive")</f>
        <v>Positive</v>
      </c>
      <c r="H9" s="136" t="str">
        <f>IFERROR(VLOOKUP($B10,'Pos and Incl IMPORT'!$B$2:$X109,4,FALSE),IFERROR(0/0,""))</f>
        <v>SpFLMP659315</v>
      </c>
      <c r="I9" s="136"/>
      <c r="J9" s="136"/>
      <c r="K9" s="136" t="str">
        <f>IFERROR(VLOOKUP($B9,'Pos and Incl IMPORT'!$B$2:$P109,7,FALSE),IFERROR(0/0,""))</f>
        <v>Positive</v>
      </c>
      <c r="L9" s="187" t="str">
        <f>IFERROR(VLOOKUP($B9,'Pos and Incl IMPORT'!$B$2:$P109,11,FALSE),IFERROR(0/0,""))</f>
        <v/>
      </c>
      <c r="M9" s="136" t="str">
        <f>IFERROR(VLOOKUP($B9,'Pos and Incl IMPORT'!$B$2:$P109,12,FALSE),IFERROR(0/0,""))</f>
        <v>name email fix</v>
      </c>
      <c r="N9" s="136" t="str">
        <f>IFERROR(VLOOKUP($B9,'Pos and Incl IMPORT'!$B$2:$P109,13,FALSE),IFERROR(0/0,""))</f>
        <v/>
      </c>
      <c r="O9" s="187">
        <f>IFERROR(VLOOKUP($B9,'Pos and Incl IMPORT'!$B$2:$P109,14,FALSE),IFERROR(0/0,""))</f>
        <v>1</v>
      </c>
      <c r="P9" s="187">
        <f>IFERROR(VLOOKUP($B9,'Pos and Incl IMPORT'!$B$2:$P109,15,FALSE),IFERROR(0/0,""))</f>
        <v>652</v>
      </c>
      <c r="Q9" s="136" t="str">
        <f>IFERROR(VLOOKUP($B9,'Pos and Incl IMPORT'!$B$2:$S109,16,FALSE),IFERROR(0/0,""))</f>
        <v>FLMP619442</v>
      </c>
      <c r="R9" s="136" t="str">
        <f>IFERROR(VLOOKUP($B9,'Pos and Incl IMPORT'!$B$2:$S109,17,FALSE),IFERROR(0/0,""))</f>
        <v/>
      </c>
      <c r="S9" s="136" t="str">
        <f>IFERROR(VLOOKUP($B9,'Pos and Incl IMPORT'!$B$2:$S109,18,FALSE),IFERROR(0/0,""))</f>
        <v/>
      </c>
      <c r="T9" s="136" t="str">
        <f>IFERROR(VLOOKUP($B9,'Pos and Incl IMPORT'!$B$2:$S109,19,FALSE),IFERROR(0/0,""))</f>
        <v/>
      </c>
      <c r="U9" s="187">
        <f t="shared" si="1"/>
        <v>8</v>
      </c>
      <c r="V9" s="14"/>
      <c r="W9" s="14"/>
      <c r="X9" s="14"/>
      <c r="Y9" s="14"/>
    </row>
    <row r="10">
      <c r="B10" s="26" t="str">
        <f>IFERROR(__xludf.DUMMYFUNCTION("""COMPUTED_VALUE"""),"MAX311")</f>
        <v>MAX311</v>
      </c>
      <c r="C10" s="26" t="str">
        <f>IFERROR(__xludf.DUMMYFUNCTION("""COMPUTED_VALUE"""),"RUN-FLMP_2021-12-25_RFR-034")</f>
        <v>RUN-FLMP_2021-12-25_RFR-034</v>
      </c>
      <c r="D10" s="185">
        <f>IFERROR(__xludf.DUMMYFUNCTION("""COMPUTED_VALUE"""),44555.0)</f>
        <v>44555</v>
      </c>
      <c r="E10" s="185">
        <f>IFERROR(__xludf.DUMMYFUNCTION("""COMPUTED_VALUE"""),44555.0)</f>
        <v>44555</v>
      </c>
      <c r="F10" s="186">
        <f>IFERROR(__xludf.DUMMYFUNCTION("""COMPUTED_VALUE"""),0.3553009259267128)</f>
        <v>0.3553009259</v>
      </c>
      <c r="G10" s="26" t="str">
        <f>IFERROR(__xludf.DUMMYFUNCTION("""COMPUTED_VALUE"""),"Positive")</f>
        <v>Positive</v>
      </c>
      <c r="H10" s="136" t="str">
        <f>IFERROR(VLOOKUP($B11,'Pos and Incl IMPORT'!$B$2:$X109,4,FALSE),IFERROR(0/0,""))</f>
        <v>SpFLMP659315</v>
      </c>
      <c r="I10" s="136"/>
      <c r="J10" s="136"/>
      <c r="K10" s="136" t="str">
        <f>IFERROR(VLOOKUP($B10,'Pos and Incl IMPORT'!$B$2:$P109,7,FALSE),IFERROR(0/0,""))</f>
        <v>Positive</v>
      </c>
      <c r="L10" s="187" t="str">
        <f>IFERROR(VLOOKUP($B10,'Pos and Incl IMPORT'!$B$2:$P109,11,FALSE),IFERROR(0/0,""))</f>
        <v/>
      </c>
      <c r="M10" s="136" t="str">
        <f>IFERROR(VLOOKUP($B10,'Pos and Incl IMPORT'!$B$2:$P109,12,FALSE),IFERROR(0/0,""))</f>
        <v>name email fix</v>
      </c>
      <c r="N10" s="136" t="str">
        <f>IFERROR(VLOOKUP($B10,'Pos and Incl IMPORT'!$B$2:$P109,13,FALSE),IFERROR(0/0,""))</f>
        <v/>
      </c>
      <c r="O10" s="187">
        <f>IFERROR(VLOOKUP($B10,'Pos and Incl IMPORT'!$B$2:$P109,14,FALSE),IFERROR(0/0,""))</f>
        <v>1</v>
      </c>
      <c r="P10" s="187">
        <f>IFERROR(VLOOKUP($B10,'Pos and Incl IMPORT'!$B$2:$P109,15,FALSE),IFERROR(0/0,""))</f>
        <v>661</v>
      </c>
      <c r="Q10" s="136" t="str">
        <f>IFERROR(VLOOKUP($B10,'Pos and Incl IMPORT'!$B$2:$S109,16,FALSE),IFERROR(0/0,""))</f>
        <v>FLMP619442</v>
      </c>
      <c r="R10" s="136" t="str">
        <f>IFERROR(VLOOKUP($B10,'Pos and Incl IMPORT'!$B$2:$S109,17,FALSE),IFERROR(0/0,""))</f>
        <v/>
      </c>
      <c r="S10" s="136" t="str">
        <f>IFERROR(VLOOKUP($B10,'Pos and Incl IMPORT'!$B$2:$S109,18,FALSE),IFERROR(0/0,""))</f>
        <v/>
      </c>
      <c r="T10" s="136" t="str">
        <f>IFERROR(VLOOKUP($B10,'Pos and Incl IMPORT'!$B$2:$S109,19,FALSE),IFERROR(0/0,""))</f>
        <v/>
      </c>
      <c r="U10" s="187">
        <f t="shared" si="1"/>
        <v>8</v>
      </c>
      <c r="V10" s="14"/>
      <c r="W10" s="14"/>
      <c r="X10" s="14"/>
      <c r="Y10" s="14"/>
    </row>
    <row r="11">
      <c r="B11" s="26" t="str">
        <f>IFERROR(__xludf.DUMMYFUNCTION("""COMPUTED_VALUE"""),"MAX430")</f>
        <v>MAX430</v>
      </c>
      <c r="C11" s="26" t="str">
        <f>IFERROR(__xludf.DUMMYFUNCTION("""COMPUTED_VALUE"""),"RUN-FLMP_2021-12-25_RFR-034")</f>
        <v>RUN-FLMP_2021-12-25_RFR-034</v>
      </c>
      <c r="D11" s="185">
        <f>IFERROR(__xludf.DUMMYFUNCTION("""COMPUTED_VALUE"""),44555.0)</f>
        <v>44555</v>
      </c>
      <c r="E11" s="185">
        <f>IFERROR(__xludf.DUMMYFUNCTION("""COMPUTED_VALUE"""),44555.0)</f>
        <v>44555</v>
      </c>
      <c r="F11" s="186">
        <f>IFERROR(__xludf.DUMMYFUNCTION("""COMPUTED_VALUE"""),0.35569444444263354)</f>
        <v>0.3556944444</v>
      </c>
      <c r="G11" s="26" t="str">
        <f>IFERROR(__xludf.DUMMYFUNCTION("""COMPUTED_VALUE"""),"Positive")</f>
        <v>Positive</v>
      </c>
      <c r="H11" s="136" t="str">
        <f>IFERROR(VLOOKUP($B12,'Pos and Incl IMPORT'!$B$2:$X109,4,FALSE),IFERROR(0/0,""))</f>
        <v>SpFLMP659315</v>
      </c>
      <c r="I11" s="136"/>
      <c r="J11" s="136"/>
      <c r="K11" s="136" t="str">
        <f>IFERROR(VLOOKUP($B11,'Pos and Incl IMPORT'!$B$2:$P109,7,FALSE),IFERROR(0/0,""))</f>
        <v>Positive</v>
      </c>
      <c r="L11" s="187" t="str">
        <f>IFERROR(VLOOKUP($B11,'Pos and Incl IMPORT'!$B$2:$P109,11,FALSE),IFERROR(0/0,""))</f>
        <v/>
      </c>
      <c r="M11" s="136" t="str">
        <f>IFERROR(VLOOKUP($B11,'Pos and Incl IMPORT'!$B$2:$P109,12,FALSE),IFERROR(0/0,""))</f>
        <v>name email fix</v>
      </c>
      <c r="N11" s="136" t="str">
        <f>IFERROR(VLOOKUP($B11,'Pos and Incl IMPORT'!$B$2:$P109,13,FALSE),IFERROR(0/0,""))</f>
        <v/>
      </c>
      <c r="O11" s="187">
        <f>IFERROR(VLOOKUP($B11,'Pos and Incl IMPORT'!$B$2:$P109,14,FALSE),IFERROR(0/0,""))</f>
        <v>1</v>
      </c>
      <c r="P11" s="187">
        <f>IFERROR(VLOOKUP($B11,'Pos and Incl IMPORT'!$B$2:$P109,15,FALSE),IFERROR(0/0,""))</f>
        <v>662</v>
      </c>
      <c r="Q11" s="136" t="str">
        <f>IFERROR(VLOOKUP($B11,'Pos and Incl IMPORT'!$B$2:$S109,16,FALSE),IFERROR(0/0,""))</f>
        <v>FLMP619442</v>
      </c>
      <c r="R11" s="136" t="str">
        <f>IFERROR(VLOOKUP($B11,'Pos and Incl IMPORT'!$B$2:$S109,17,FALSE),IFERROR(0/0,""))</f>
        <v/>
      </c>
      <c r="S11" s="136" t="str">
        <f>IFERROR(VLOOKUP($B11,'Pos and Incl IMPORT'!$B$2:$S109,18,FALSE),IFERROR(0/0,""))</f>
        <v/>
      </c>
      <c r="T11" s="136" t="str">
        <f>IFERROR(VLOOKUP($B11,'Pos and Incl IMPORT'!$B$2:$S109,19,FALSE),IFERROR(0/0,""))</f>
        <v/>
      </c>
      <c r="U11" s="187">
        <f t="shared" si="1"/>
        <v>8</v>
      </c>
      <c r="V11" s="14"/>
      <c r="W11" s="14"/>
      <c r="X11" s="14"/>
      <c r="Y11" s="14"/>
    </row>
    <row r="12">
      <c r="B12" s="26" t="str">
        <f>IFERROR(__xludf.DUMMYFUNCTION("""COMPUTED_VALUE"""),"MAX371")</f>
        <v>MAX371</v>
      </c>
      <c r="C12" s="26" t="str">
        <f>IFERROR(__xludf.DUMMYFUNCTION("""COMPUTED_VALUE"""),"RUN-FLMP_2021-12-26_RFR-035")</f>
        <v>RUN-FLMP_2021-12-26_RFR-035</v>
      </c>
      <c r="D12" s="185">
        <f>IFERROR(__xludf.DUMMYFUNCTION("""COMPUTED_VALUE"""),44556.0)</f>
        <v>44556</v>
      </c>
      <c r="E12" s="185">
        <f>IFERROR(__xludf.DUMMYFUNCTION("""COMPUTED_VALUE"""),44556.0)</f>
        <v>44556</v>
      </c>
      <c r="F12" s="186">
        <f>IFERROR(__xludf.DUMMYFUNCTION("""COMPUTED_VALUE"""),0.20648148148029577)</f>
        <v>0.2064814815</v>
      </c>
      <c r="G12" s="26" t="str">
        <f>IFERROR(__xludf.DUMMYFUNCTION("""COMPUTED_VALUE"""),"Positive")</f>
        <v>Positive</v>
      </c>
      <c r="H12" s="136" t="str">
        <f>IFERROR(VLOOKUP($B13,'Pos and Incl IMPORT'!$B$2:$X109,4,FALSE),IFERROR(0/0,""))</f>
        <v>SpFLMP659315</v>
      </c>
      <c r="I12" s="136"/>
      <c r="J12" s="136"/>
      <c r="K12" s="136" t="str">
        <f>IFERROR(VLOOKUP($B12,'Pos and Incl IMPORT'!$B$2:$P109,7,FALSE),IFERROR(0/0,""))</f>
        <v>Positive</v>
      </c>
      <c r="L12" s="187" t="str">
        <f>IFERROR(VLOOKUP($B12,'Pos and Incl IMPORT'!$B$2:$P109,11,FALSE),IFERROR(0/0,""))</f>
        <v/>
      </c>
      <c r="M12" s="136" t="str">
        <f>IFERROR(VLOOKUP($B12,'Pos and Incl IMPORT'!$B$2:$P109,12,FALSE),IFERROR(0/0,""))</f>
        <v>name email fix</v>
      </c>
      <c r="N12" s="136" t="str">
        <f>IFERROR(VLOOKUP($B12,'Pos and Incl IMPORT'!$B$2:$P109,13,FALSE),IFERROR(0/0,""))</f>
        <v/>
      </c>
      <c r="O12" s="187">
        <f>IFERROR(VLOOKUP($B12,'Pos and Incl IMPORT'!$B$2:$P109,14,FALSE),IFERROR(0/0,""))</f>
        <v>1</v>
      </c>
      <c r="P12" s="187">
        <f>IFERROR(VLOOKUP($B12,'Pos and Incl IMPORT'!$B$2:$P109,15,FALSE),IFERROR(0/0,""))</f>
        <v>666</v>
      </c>
      <c r="Q12" s="136" t="str">
        <f>IFERROR(VLOOKUP($B12,'Pos and Incl IMPORT'!$B$2:$S109,16,FALSE),IFERROR(0/0,""))</f>
        <v>FLMP619442</v>
      </c>
      <c r="R12" s="136" t="str">
        <f>IFERROR(VLOOKUP($B12,'Pos and Incl IMPORT'!$B$2:$S109,17,FALSE),IFERROR(0/0,""))</f>
        <v/>
      </c>
      <c r="S12" s="136" t="str">
        <f>IFERROR(VLOOKUP($B12,'Pos and Incl IMPORT'!$B$2:$S109,18,FALSE),IFERROR(0/0,""))</f>
        <v/>
      </c>
      <c r="T12" s="136" t="str">
        <f>IFERROR(VLOOKUP($B12,'Pos and Incl IMPORT'!$B$2:$S109,19,FALSE),IFERROR(0/0,""))</f>
        <v/>
      </c>
      <c r="U12" s="187">
        <f t="shared" si="1"/>
        <v>8</v>
      </c>
      <c r="V12" s="14"/>
      <c r="W12" s="14"/>
      <c r="X12" s="14"/>
      <c r="Y12" s="14"/>
    </row>
    <row r="13">
      <c r="B13" s="26" t="str">
        <f>IFERROR(__xludf.DUMMYFUNCTION("""COMPUTED_VALUE"""),"MAX288FIX")</f>
        <v>MAX288FIX</v>
      </c>
      <c r="C13" s="26" t="str">
        <f>IFERROR(__xludf.DUMMYFUNCTION("""COMPUTED_VALUE"""),"RUN-FLMP_2021-12-31_RFR-042")</f>
        <v>RUN-FLMP_2021-12-31_RFR-042</v>
      </c>
      <c r="D13" s="185">
        <f>IFERROR(__xludf.DUMMYFUNCTION("""COMPUTED_VALUE"""),44561.0)</f>
        <v>44561</v>
      </c>
      <c r="E13" s="185">
        <f>IFERROR(__xludf.DUMMYFUNCTION("""COMPUTED_VALUE"""),44561.0)</f>
        <v>44561</v>
      </c>
      <c r="F13" s="186">
        <f>IFERROR(__xludf.DUMMYFUNCTION("""COMPUTED_VALUE"""),0.7209259259252576)</f>
        <v>0.7209259259</v>
      </c>
      <c r="G13" s="26" t="str">
        <f>IFERROR(__xludf.DUMMYFUNCTION("""COMPUTED_VALUE"""),"Positive")</f>
        <v>Positive</v>
      </c>
      <c r="H13" s="136" t="str">
        <f>IFERROR(VLOOKUP($B14,'Pos and Incl IMPORT'!$B$2:$X109,4,FALSE),IFERROR(0/0,""))</f>
        <v>SpFLMP659315</v>
      </c>
      <c r="I13" s="136"/>
      <c r="J13" s="136"/>
      <c r="K13" s="136" t="str">
        <f>IFERROR(VLOOKUP($B13,'Pos and Incl IMPORT'!$B$2:$P109,7,FALSE),IFERROR(0/0,""))</f>
        <v>Positive</v>
      </c>
      <c r="L13" s="187" t="str">
        <f>IFERROR(VLOOKUP($B13,'Pos and Incl IMPORT'!$B$2:$P109,11,FALSE),IFERROR(0/0,""))</f>
        <v/>
      </c>
      <c r="M13" s="136" t="str">
        <f>IFERROR(VLOOKUP($B13,'Pos and Incl IMPORT'!$B$2:$P109,12,FALSE),IFERROR(0/0,""))</f>
        <v/>
      </c>
      <c r="N13" s="136" t="str">
        <f>IFERROR(VLOOKUP($B13,'Pos and Incl IMPORT'!$B$2:$P109,13,FALSE),IFERROR(0/0,""))</f>
        <v/>
      </c>
      <c r="O13" s="187">
        <f>IFERROR(VLOOKUP($B13,'Pos and Incl IMPORT'!$B$2:$P109,14,FALSE),IFERROR(0/0,""))</f>
        <v>1</v>
      </c>
      <c r="P13" s="187">
        <f>IFERROR(VLOOKUP($B13,'Pos and Incl IMPORT'!$B$2:$P109,15,FALSE),IFERROR(0/0,""))</f>
        <v>706</v>
      </c>
      <c r="Q13" s="136" t="str">
        <f>IFERROR(VLOOKUP($B13,'Pos and Incl IMPORT'!$B$2:$S109,16,FALSE),IFERROR(0/0,""))</f>
        <v>FLMP964950</v>
      </c>
      <c r="R13" s="136" t="str">
        <f>IFERROR(VLOOKUP($B13,'Pos and Incl IMPORT'!$B$2:$S109,17,FALSE),IFERROR(0/0,""))</f>
        <v/>
      </c>
      <c r="S13" s="136" t="str">
        <f>IFERROR(VLOOKUP($B13,'Pos and Incl IMPORT'!$B$2:$S109,18,FALSE),IFERROR(0/0,""))</f>
        <v/>
      </c>
      <c r="T13" s="136" t="str">
        <f>IFERROR(VLOOKUP($B13,'Pos and Incl IMPORT'!$B$2:$S109,19,FALSE),IFERROR(0/0,""))</f>
        <v/>
      </c>
      <c r="U13" s="187">
        <f t="shared" si="1"/>
        <v>4</v>
      </c>
      <c r="V13" s="14"/>
      <c r="W13" s="14"/>
      <c r="X13" s="14"/>
      <c r="Y13" s="14"/>
    </row>
    <row r="14">
      <c r="B14" s="26" t="str">
        <f>IFERROR(__xludf.DUMMYFUNCTION("""COMPUTED_VALUE"""),"MAX347")</f>
        <v>MAX347</v>
      </c>
      <c r="C14" s="26" t="str">
        <f>IFERROR(__xludf.DUMMYFUNCTION("""COMPUTED_VALUE"""),"RUN-FLMP_2021-12-31_RFR-043")</f>
        <v>RUN-FLMP_2021-12-31_RFR-043</v>
      </c>
      <c r="D14" s="185">
        <f>IFERROR(__xludf.DUMMYFUNCTION("""COMPUTED_VALUE"""),44561.0)</f>
        <v>44561</v>
      </c>
      <c r="E14" s="185">
        <f>IFERROR(__xludf.DUMMYFUNCTION("""COMPUTED_VALUE"""),44561.0)</f>
        <v>44561</v>
      </c>
      <c r="F14" s="186">
        <f>IFERROR(__xludf.DUMMYFUNCTION("""COMPUTED_VALUE"""),0.7309143518505152)</f>
        <v>0.7309143519</v>
      </c>
      <c r="G14" s="26" t="str">
        <f>IFERROR(__xludf.DUMMYFUNCTION("""COMPUTED_VALUE"""),"Positive")</f>
        <v>Positive</v>
      </c>
      <c r="H14" s="136" t="str">
        <f>IFERROR(VLOOKUP($B15,'Pos and Incl IMPORT'!$B$2:$X109,4,FALSE),IFERROR(0/0,""))</f>
        <v>SpFLMP659315</v>
      </c>
      <c r="I14" s="136"/>
      <c r="J14" s="136"/>
      <c r="K14" s="136" t="str">
        <f>IFERROR(VLOOKUP($B14,'Pos and Incl IMPORT'!$B$2:$P109,7,FALSE),IFERROR(0/0,""))</f>
        <v>Positive</v>
      </c>
      <c r="L14" s="187" t="str">
        <f>IFERROR(VLOOKUP($B14,'Pos and Incl IMPORT'!$B$2:$P109,11,FALSE),IFERROR(0/0,""))</f>
        <v/>
      </c>
      <c r="M14" s="136" t="str">
        <f>IFERROR(VLOOKUP($B14,'Pos and Incl IMPORT'!$B$2:$P109,12,FALSE),IFERROR(0/0,""))</f>
        <v/>
      </c>
      <c r="N14" s="136" t="str">
        <f>IFERROR(VLOOKUP($B14,'Pos and Incl IMPORT'!$B$2:$P109,13,FALSE),IFERROR(0/0,""))</f>
        <v/>
      </c>
      <c r="O14" s="187">
        <f>IFERROR(VLOOKUP($B14,'Pos and Incl IMPORT'!$B$2:$P109,14,FALSE),IFERROR(0/0,""))</f>
        <v>1</v>
      </c>
      <c r="P14" s="187">
        <f>IFERROR(VLOOKUP($B14,'Pos and Incl IMPORT'!$B$2:$P109,15,FALSE),IFERROR(0/0,""))</f>
        <v>708</v>
      </c>
      <c r="Q14" s="136" t="str">
        <f>IFERROR(VLOOKUP($B14,'Pos and Incl IMPORT'!$B$2:$S109,16,FALSE),IFERROR(0/0,""))</f>
        <v>FLMP964950</v>
      </c>
      <c r="R14" s="136" t="str">
        <f>IFERROR(VLOOKUP($B14,'Pos and Incl IMPORT'!$B$2:$S109,17,FALSE),IFERROR(0/0,""))</f>
        <v/>
      </c>
      <c r="S14" s="136" t="str">
        <f>IFERROR(VLOOKUP($B14,'Pos and Incl IMPORT'!$B$2:$S109,18,FALSE),IFERROR(0/0,""))</f>
        <v/>
      </c>
      <c r="T14" s="136" t="str">
        <f>IFERROR(VLOOKUP($B14,'Pos and Incl IMPORT'!$B$2:$S109,19,FALSE),IFERROR(0/0,""))</f>
        <v/>
      </c>
      <c r="U14" s="187">
        <f t="shared" si="1"/>
        <v>4</v>
      </c>
      <c r="V14" s="14"/>
      <c r="W14" s="14"/>
      <c r="X14" s="14"/>
      <c r="Y14" s="14"/>
    </row>
    <row r="15">
      <c r="B15" s="26" t="str">
        <f>IFERROR(__xludf.DUMMYFUNCTION("""COMPUTED_VALUE"""),"MA63")</f>
        <v>MA63</v>
      </c>
      <c r="C15" s="26" t="str">
        <f>IFERROR(__xludf.DUMMYFUNCTION("""COMPUTED_VALUE"""),"RUN-FLMP_2022-01-01_RFR-044")</f>
        <v>RUN-FLMP_2022-01-01_RFR-044</v>
      </c>
      <c r="D15" s="185">
        <f>IFERROR(__xludf.DUMMYFUNCTION("""COMPUTED_VALUE"""),44562.0)</f>
        <v>44562</v>
      </c>
      <c r="E15" s="185">
        <f>IFERROR(__xludf.DUMMYFUNCTION("""COMPUTED_VALUE"""),44562.0)</f>
        <v>44562</v>
      </c>
      <c r="F15" s="186">
        <f>IFERROR(__xludf.DUMMYFUNCTION("""COMPUTED_VALUE"""),0.523576388888614)</f>
        <v>0.5235763889</v>
      </c>
      <c r="G15" s="26" t="str">
        <f>IFERROR(__xludf.DUMMYFUNCTION("""COMPUTED_VALUE"""),"Positive")</f>
        <v>Positive</v>
      </c>
      <c r="H15" s="136" t="str">
        <f>IFERROR(VLOOKUP($B16,'Pos and Incl IMPORT'!$B$2:$X109,4,FALSE),IFERROR(0/0,""))</f>
        <v>SpFLMP659315</v>
      </c>
      <c r="I15" s="136"/>
      <c r="J15" s="136"/>
      <c r="K15" s="136" t="str">
        <f>IFERROR(VLOOKUP($B15,'Pos and Incl IMPORT'!$B$2:$P109,7,FALSE),IFERROR(0/0,""))</f>
        <v>Null</v>
      </c>
      <c r="L15" s="187">
        <f>IFERROR(VLOOKUP($B15,'Pos and Incl IMPORT'!$B$2:$P109,11,FALSE),IFERROR(0/0,""))</f>
        <v>3</v>
      </c>
      <c r="M15" s="136" t="str">
        <f>IFERROR(VLOOKUP($B15,'Pos and Incl IMPORT'!$B$2:$P109,12,FALSE),IFERROR(0/0,""))</f>
        <v>from RFR audit</v>
      </c>
      <c r="N15" s="136" t="str">
        <f>IFERROR(VLOOKUP($B15,'Pos and Incl IMPORT'!$B$2:$P109,13,FALSE),IFERROR(0/0,""))</f>
        <v/>
      </c>
      <c r="O15" s="187">
        <f>IFERROR(VLOOKUP($B15,'Pos and Incl IMPORT'!$B$2:$P109,14,FALSE),IFERROR(0/0,""))</f>
        <v>1</v>
      </c>
      <c r="P15" s="187">
        <f>IFERROR(VLOOKUP($B15,'Pos and Incl IMPORT'!$B$2:$P109,15,FALSE),IFERROR(0/0,""))</f>
        <v>709</v>
      </c>
      <c r="Q15" s="136" t="str">
        <f>IFERROR(VLOOKUP($B15,'Pos and Incl IMPORT'!$B$2:$S109,16,FALSE),IFERROR(0/0,""))</f>
        <v>FLMP964950</v>
      </c>
      <c r="R15" s="136" t="str">
        <f>IFERROR(VLOOKUP($B15,'Pos and Incl IMPORT'!$B$2:$S109,17,FALSE),IFERROR(0/0,""))</f>
        <v/>
      </c>
      <c r="S15" s="136" t="str">
        <f>IFERROR(VLOOKUP($B15,'Pos and Incl IMPORT'!$B$2:$S109,18,FALSE),IFERROR(0/0,""))</f>
        <v/>
      </c>
      <c r="T15" s="136" t="str">
        <f>IFERROR(VLOOKUP($B15,'Pos and Incl IMPORT'!$B$2:$S109,19,FALSE),IFERROR(0/0,""))</f>
        <v/>
      </c>
      <c r="U15" s="187">
        <f t="shared" si="1"/>
        <v>4</v>
      </c>
      <c r="V15" s="14"/>
      <c r="W15" s="14"/>
      <c r="X15" s="14"/>
      <c r="Y15" s="14"/>
    </row>
    <row r="16">
      <c r="B16" s="26" t="str">
        <f>IFERROR(__xludf.DUMMYFUNCTION("""COMPUTED_VALUE"""),"MA92")</f>
        <v>MA92</v>
      </c>
      <c r="C16" s="26" t="str">
        <f>IFERROR(__xludf.DUMMYFUNCTION("""COMPUTED_VALUE"""),"RUN-FLMP_2022-01-01_RFR-044")</f>
        <v>RUN-FLMP_2022-01-01_RFR-044</v>
      </c>
      <c r="D16" s="185">
        <f>IFERROR(__xludf.DUMMYFUNCTION("""COMPUTED_VALUE"""),44562.0)</f>
        <v>44562</v>
      </c>
      <c r="E16" s="185">
        <f>IFERROR(__xludf.DUMMYFUNCTION("""COMPUTED_VALUE"""),44562.0)</f>
        <v>44562</v>
      </c>
      <c r="F16" s="186">
        <f>IFERROR(__xludf.DUMMYFUNCTION("""COMPUTED_VALUE"""),0.5242824074084638)</f>
        <v>0.5242824074</v>
      </c>
      <c r="G16" s="26" t="str">
        <f>IFERROR(__xludf.DUMMYFUNCTION("""COMPUTED_VALUE"""),"Positive")</f>
        <v>Positive</v>
      </c>
      <c r="H16" s="136" t="str">
        <f>IFERROR(VLOOKUP($B17,'Pos and Incl IMPORT'!$B$2:$X109,4,FALSE),IFERROR(0/0,""))</f>
        <v>SpFLMP125859</v>
      </c>
      <c r="I16" s="136"/>
      <c r="J16" s="136"/>
      <c r="K16" s="136" t="str">
        <f>IFERROR(VLOOKUP($B16,'Pos and Incl IMPORT'!$B$2:$P109,7,FALSE),IFERROR(0/0,""))</f>
        <v>Null</v>
      </c>
      <c r="L16" s="187">
        <f>IFERROR(VLOOKUP($B16,'Pos and Incl IMPORT'!$B$2:$P109,11,FALSE),IFERROR(0/0,""))</f>
        <v>3</v>
      </c>
      <c r="M16" s="136" t="str">
        <f>IFERROR(VLOOKUP($B16,'Pos and Incl IMPORT'!$B$2:$P109,12,FALSE),IFERROR(0/0,""))</f>
        <v>from RFR audit</v>
      </c>
      <c r="N16" s="136" t="str">
        <f>IFERROR(VLOOKUP($B16,'Pos and Incl IMPORT'!$B$2:$P109,13,FALSE),IFERROR(0/0,""))</f>
        <v/>
      </c>
      <c r="O16" s="187">
        <f>IFERROR(VLOOKUP($B16,'Pos and Incl IMPORT'!$B$2:$P109,14,FALSE),IFERROR(0/0,""))</f>
        <v>1</v>
      </c>
      <c r="P16" s="187">
        <f>IFERROR(VLOOKUP($B16,'Pos and Incl IMPORT'!$B$2:$P109,15,FALSE),IFERROR(0/0,""))</f>
        <v>710</v>
      </c>
      <c r="Q16" s="136" t="str">
        <f>IFERROR(VLOOKUP($B16,'Pos and Incl IMPORT'!$B$2:$S109,16,FALSE),IFERROR(0/0,""))</f>
        <v>FLMP964950</v>
      </c>
      <c r="R16" s="136" t="str">
        <f>IFERROR(VLOOKUP($B16,'Pos and Incl IMPORT'!$B$2:$S109,17,FALSE),IFERROR(0/0,""))</f>
        <v/>
      </c>
      <c r="S16" s="136" t="str">
        <f>IFERROR(VLOOKUP($B16,'Pos and Incl IMPORT'!$B$2:$S109,18,FALSE),IFERROR(0/0,""))</f>
        <v/>
      </c>
      <c r="T16" s="136" t="str">
        <f>IFERROR(VLOOKUP($B16,'Pos and Incl IMPORT'!$B$2:$S109,19,FALSE),IFERROR(0/0,""))</f>
        <v/>
      </c>
      <c r="U16" s="187">
        <f t="shared" si="1"/>
        <v>4</v>
      </c>
      <c r="V16" s="14"/>
      <c r="W16" s="14"/>
      <c r="X16" s="14"/>
      <c r="Y16" s="14"/>
    </row>
    <row r="17">
      <c r="B17" s="26" t="str">
        <f>IFERROR(__xludf.DUMMYFUNCTION("""COMPUTED_VALUE"""),"FLT1433")</f>
        <v>FLT1433</v>
      </c>
      <c r="C17" s="26" t="str">
        <f>IFERROR(__xludf.DUMMYFUNCTION("""COMPUTED_VALUE"""),"RUN-FLMP_2022-01-02_RFR-046")</f>
        <v>RUN-FLMP_2022-01-02_RFR-046</v>
      </c>
      <c r="D17" s="185">
        <f>IFERROR(__xludf.DUMMYFUNCTION("""COMPUTED_VALUE"""),44563.0)</f>
        <v>44563</v>
      </c>
      <c r="E17" s="185">
        <f>IFERROR(__xludf.DUMMYFUNCTION("""COMPUTED_VALUE"""),44563.0)</f>
        <v>44563</v>
      </c>
      <c r="F17" s="186">
        <f>IFERROR(__xludf.DUMMYFUNCTION("""COMPUTED_VALUE"""),0.5042592592581059)</f>
        <v>0.5042592593</v>
      </c>
      <c r="G17" s="26" t="str">
        <f>IFERROR(__xludf.DUMMYFUNCTION("""COMPUTED_VALUE"""),"Positive")</f>
        <v>Positive</v>
      </c>
      <c r="H17" s="136" t="str">
        <f>IFERROR(VLOOKUP($B18,'Pos and Incl IMPORT'!$B$2:$X109,4,FALSE),IFERROR(0/0,""))</f>
        <v>SpFLMP812292</v>
      </c>
      <c r="I17" s="136"/>
      <c r="J17" s="136"/>
      <c r="K17" s="136" t="str">
        <f>IFERROR(VLOOKUP($B17,'Pos and Incl IMPORT'!$B$2:$P109,7,FALSE),IFERROR(0/0,""))</f>
        <v>Positive</v>
      </c>
      <c r="L17" s="187" t="str">
        <f>IFERROR(VLOOKUP($B17,'Pos and Incl IMPORT'!$B$2:$P109,11,FALSE),IFERROR(0/0,""))</f>
        <v/>
      </c>
      <c r="M17" s="136" t="str">
        <f>IFERROR(VLOOKUP($B17,'Pos and Incl IMPORT'!$B$2:$P109,12,FALSE),IFERROR(0/0,""))</f>
        <v/>
      </c>
      <c r="N17" s="136" t="str">
        <f>IFERROR(VLOOKUP($B17,'Pos and Incl IMPORT'!$B$2:$P109,13,FALSE),IFERROR(0/0,""))</f>
        <v/>
      </c>
      <c r="O17" s="187">
        <f>IFERROR(VLOOKUP($B17,'Pos and Incl IMPORT'!$B$2:$P109,14,FALSE),IFERROR(0/0,""))</f>
        <v>4</v>
      </c>
      <c r="P17" s="187">
        <f>IFERROR(VLOOKUP($B17,'Pos and Incl IMPORT'!$B$2:$P109,15,FALSE),IFERROR(0/0,""))</f>
        <v>720</v>
      </c>
      <c r="Q17" s="136" t="str">
        <f>IFERROR(VLOOKUP($B17,'Pos and Incl IMPORT'!$B$2:$S109,16,FALSE),IFERROR(0/0,""))</f>
        <v>FLMP776278</v>
      </c>
      <c r="R17" s="136" t="str">
        <f>IFERROR(VLOOKUP($B17,'Pos and Incl IMPORT'!$B$2:$S109,17,FALSE),IFERROR(0/0,""))</f>
        <v>FLMP828735</v>
      </c>
      <c r="S17" s="136" t="str">
        <f>IFERROR(VLOOKUP($B17,'Pos and Incl IMPORT'!$B$2:$S109,18,FALSE),IFERROR(0/0,""))</f>
        <v>FLMP302189</v>
      </c>
      <c r="T17" s="136" t="str">
        <f>IFERROR(VLOOKUP($B17,'Pos and Incl IMPORT'!$B$2:$S109,19,FALSE),IFERROR(0/0,""))</f>
        <v/>
      </c>
      <c r="U17" s="187">
        <f t="shared" si="1"/>
        <v>3</v>
      </c>
      <c r="V17" s="14"/>
      <c r="W17" s="14"/>
      <c r="X17" s="14"/>
      <c r="Y17" s="14"/>
    </row>
    <row r="18">
      <c r="B18" s="26" t="str">
        <f>IFERROR(__xludf.DUMMYFUNCTION("""COMPUTED_VALUE"""),"FLB6845")</f>
        <v>FLB6845</v>
      </c>
      <c r="C18" s="26" t="str">
        <f>IFERROR(__xludf.DUMMYFUNCTION("""COMPUTED_VALUE"""),"RUN-FLMP_2022-01-02_RFR-046")</f>
        <v>RUN-FLMP_2022-01-02_RFR-046</v>
      </c>
      <c r="D18" s="185">
        <f>IFERROR(__xludf.DUMMYFUNCTION("""COMPUTED_VALUE"""),44563.0)</f>
        <v>44563</v>
      </c>
      <c r="E18" s="185">
        <f>IFERROR(__xludf.DUMMYFUNCTION("""COMPUTED_VALUE"""),44563.0)</f>
        <v>44563</v>
      </c>
      <c r="F18" s="186">
        <f>IFERROR(__xludf.DUMMYFUNCTION("""COMPUTED_VALUE"""),0.6414004629623378)</f>
        <v>0.641400463</v>
      </c>
      <c r="G18" s="26" t="str">
        <f>IFERROR(__xludf.DUMMYFUNCTION("""COMPUTED_VALUE"""),"Positive")</f>
        <v>Positive</v>
      </c>
      <c r="H18" s="136" t="str">
        <f>IFERROR(VLOOKUP($B19,'Pos and Incl IMPORT'!$B$2:$X109,4,FALSE),IFERROR(0/0,""))</f>
        <v>SpFLMP125859</v>
      </c>
      <c r="I18" s="136"/>
      <c r="J18" s="136"/>
      <c r="K18" s="136" t="str">
        <f>IFERROR(VLOOKUP($B18,'Pos and Incl IMPORT'!$B$2:$P109,7,FALSE),IFERROR(0/0,""))</f>
        <v>Positive</v>
      </c>
      <c r="L18" s="187" t="str">
        <f>IFERROR(VLOOKUP($B18,'Pos and Incl IMPORT'!$B$2:$P109,11,FALSE),IFERROR(0/0,""))</f>
        <v/>
      </c>
      <c r="M18" s="136" t="str">
        <f>IFERROR(VLOOKUP($B18,'Pos and Incl IMPORT'!$B$2:$P109,12,FALSE),IFERROR(0/0,""))</f>
        <v/>
      </c>
      <c r="N18" s="136" t="str">
        <f>IFERROR(VLOOKUP($B18,'Pos and Incl IMPORT'!$B$2:$P109,13,FALSE),IFERROR(0/0,""))</f>
        <v/>
      </c>
      <c r="O18" s="187">
        <f>IFERROR(VLOOKUP($B18,'Pos and Incl IMPORT'!$B$2:$P109,14,FALSE),IFERROR(0/0,""))</f>
        <v>3</v>
      </c>
      <c r="P18" s="187">
        <f>IFERROR(VLOOKUP($B18,'Pos and Incl IMPORT'!$B$2:$P109,15,FALSE),IFERROR(0/0,""))</f>
        <v>730</v>
      </c>
      <c r="Q18" s="136" t="str">
        <f>IFERROR(VLOOKUP($B18,'Pos and Incl IMPORT'!$B$2:$S109,16,FALSE),IFERROR(0/0,""))</f>
        <v>FLMP652238</v>
      </c>
      <c r="R18" s="136" t="str">
        <f>IFERROR(VLOOKUP($B18,'Pos and Incl IMPORT'!$B$2:$S109,17,FALSE),IFERROR(0/0,""))</f>
        <v>FLMP915544</v>
      </c>
      <c r="S18" s="136" t="str">
        <f>IFERROR(VLOOKUP($B18,'Pos and Incl IMPORT'!$B$2:$S109,18,FALSE),IFERROR(0/0,""))</f>
        <v>FLMP473007</v>
      </c>
      <c r="T18" s="136" t="str">
        <f>IFERROR(VLOOKUP($B18,'Pos and Incl IMPORT'!$B$2:$S109,19,FALSE),IFERROR(0/0,""))</f>
        <v/>
      </c>
      <c r="U18" s="187">
        <f t="shared" si="1"/>
        <v>1</v>
      </c>
      <c r="V18" s="14"/>
      <c r="W18" s="14"/>
      <c r="X18" s="14"/>
      <c r="Y18" s="14"/>
    </row>
    <row r="19">
      <c r="B19" s="26" t="str">
        <f>IFERROR(__xludf.DUMMYFUNCTION("""COMPUTED_VALUE"""),"FL11017")</f>
        <v>FL11017</v>
      </c>
      <c r="C19" s="26" t="str">
        <f>IFERROR(__xludf.DUMMYFUNCTION("""COMPUTED_VALUE"""),"RUN-FLMP_2022-01-03_RFR-047")</f>
        <v>RUN-FLMP_2022-01-03_RFR-047</v>
      </c>
      <c r="D19" s="185">
        <f>IFERROR(__xludf.DUMMYFUNCTION("""COMPUTED_VALUE"""),44564.0)</f>
        <v>44564</v>
      </c>
      <c r="E19" s="185">
        <f>IFERROR(__xludf.DUMMYFUNCTION("""COMPUTED_VALUE"""),44564.0)</f>
        <v>44564</v>
      </c>
      <c r="F19" s="186">
        <f>IFERROR(__xludf.DUMMYFUNCTION("""COMPUTED_VALUE"""),0.304583333334449)</f>
        <v>0.3045833333</v>
      </c>
      <c r="G19" s="26" t="str">
        <f>IFERROR(__xludf.DUMMYFUNCTION("""COMPUTED_VALUE"""),"Positive")</f>
        <v>Positive</v>
      </c>
      <c r="H19" s="136" t="str">
        <f>IFERROR(VLOOKUP($B20,'Pos and Incl IMPORT'!$B$2:$X109,4,FALSE),IFERROR(0/0,""))</f>
        <v>SpFLMP125859</v>
      </c>
      <c r="I19" s="136"/>
      <c r="J19" s="136"/>
      <c r="K19" s="136" t="str">
        <f>IFERROR(VLOOKUP($B19,'Pos and Incl IMPORT'!$B$2:$P109,7,FALSE),IFERROR(0/0,""))</f>
        <v>Positive</v>
      </c>
      <c r="L19" s="187" t="str">
        <f>IFERROR(VLOOKUP($B19,'Pos and Incl IMPORT'!$B$2:$P109,11,FALSE),IFERROR(0/0,""))</f>
        <v/>
      </c>
      <c r="M19" s="136" t="str">
        <f>IFERROR(VLOOKUP($B19,'Pos and Incl IMPORT'!$B$2:$P109,12,FALSE),IFERROR(0/0,""))</f>
        <v>RT Jan26 Change name from Jason to Julia because Jason appeared twice and both tested neg by antigen OLD NOTE review with RFR, why 2 with Jason?</v>
      </c>
      <c r="N19" s="136" t="str">
        <f>IFERROR(VLOOKUP($B19,'Pos and Incl IMPORT'!$B$2:$P109,13,FALSE),IFERROR(0/0,""))</f>
        <v/>
      </c>
      <c r="O19" s="187">
        <f>IFERROR(VLOOKUP($B19,'Pos and Incl IMPORT'!$B$2:$P109,14,FALSE),IFERROR(0/0,""))</f>
        <v>1</v>
      </c>
      <c r="P19" s="187">
        <f>IFERROR(VLOOKUP($B19,'Pos and Incl IMPORT'!$B$2:$P109,15,FALSE),IFERROR(0/0,""))</f>
        <v>747</v>
      </c>
      <c r="Q19" s="136" t="str">
        <f>IFERROR(VLOOKUP($B19,'Pos and Incl IMPORT'!$B$2:$S109,16,FALSE),IFERROR(0/0,""))</f>
        <v>FLMP857562</v>
      </c>
      <c r="R19" s="136" t="str">
        <f>IFERROR(VLOOKUP($B19,'Pos and Incl IMPORT'!$B$2:$S109,17,FALSE),IFERROR(0/0,""))</f>
        <v/>
      </c>
      <c r="S19" s="136" t="str">
        <f>IFERROR(VLOOKUP($B19,'Pos and Incl IMPORT'!$B$2:$S109,18,FALSE),IFERROR(0/0,""))</f>
        <v/>
      </c>
      <c r="T19" s="136" t="str">
        <f>IFERROR(VLOOKUP($B19,'Pos and Incl IMPORT'!$B$2:$S109,19,FALSE),IFERROR(0/0,""))</f>
        <v/>
      </c>
      <c r="U19" s="187">
        <f t="shared" si="1"/>
        <v>2</v>
      </c>
      <c r="V19" s="14"/>
      <c r="W19" s="14"/>
      <c r="X19" s="14"/>
      <c r="Y19" s="14"/>
    </row>
    <row r="20">
      <c r="B20" s="26" t="str">
        <f>IFERROR(__xludf.DUMMYFUNCTION("""COMPUTED_VALUE"""),"FLT1128")</f>
        <v>FLT1128</v>
      </c>
      <c r="C20" s="26" t="str">
        <f>IFERROR(__xludf.DUMMYFUNCTION("""COMPUTED_VALUE"""),"RUN-FLMP_2022-01-03_RFR-047")</f>
        <v>RUN-FLMP_2022-01-03_RFR-047</v>
      </c>
      <c r="D20" s="185">
        <f>IFERROR(__xludf.DUMMYFUNCTION("""COMPUTED_VALUE"""),44564.0)</f>
        <v>44564</v>
      </c>
      <c r="E20" s="185">
        <f>IFERROR(__xludf.DUMMYFUNCTION("""COMPUTED_VALUE"""),44564.0)</f>
        <v>44564</v>
      </c>
      <c r="F20" s="186">
        <f>IFERROR(__xludf.DUMMYFUNCTION("""COMPUTED_VALUE"""),0.3050231481465744)</f>
        <v>0.3050231481</v>
      </c>
      <c r="G20" s="26" t="str">
        <f>IFERROR(__xludf.DUMMYFUNCTION("""COMPUTED_VALUE"""),"Positive")</f>
        <v>Positive</v>
      </c>
      <c r="H20" s="136" t="str">
        <f>IFERROR(VLOOKUP($B21,'Pos and Incl IMPORT'!$B$2:$X109,4,FALSE),IFERROR(0/0,""))</f>
        <v>SpFLMP213396</v>
      </c>
      <c r="I20" s="136"/>
      <c r="J20" s="136"/>
      <c r="K20" s="136" t="str">
        <f>IFERROR(VLOOKUP($B20,'Pos and Incl IMPORT'!$B$2:$P109,7,FALSE),IFERROR(0/0,""))</f>
        <v>Positive</v>
      </c>
      <c r="L20" s="187" t="str">
        <f>IFERROR(VLOOKUP($B20,'Pos and Incl IMPORT'!$B$2:$P109,11,FALSE),IFERROR(0/0,""))</f>
        <v/>
      </c>
      <c r="M20" s="136" t="str">
        <f>IFERROR(VLOOKUP($B20,'Pos and Incl IMPORT'!$B$2:$P109,12,FALSE),IFERROR(0/0,""))</f>
        <v>review with RFR, why 2 with Jason?</v>
      </c>
      <c r="N20" s="136" t="str">
        <f>IFERROR(VLOOKUP($B20,'Pos and Incl IMPORT'!$B$2:$P109,13,FALSE),IFERROR(0/0,""))</f>
        <v/>
      </c>
      <c r="O20" s="187">
        <f>IFERROR(VLOOKUP($B20,'Pos and Incl IMPORT'!$B$2:$P109,14,FALSE),IFERROR(0/0,""))</f>
        <v>1</v>
      </c>
      <c r="P20" s="187">
        <f>IFERROR(VLOOKUP($B20,'Pos and Incl IMPORT'!$B$2:$P109,15,FALSE),IFERROR(0/0,""))</f>
        <v>748</v>
      </c>
      <c r="Q20" s="136" t="str">
        <f>IFERROR(VLOOKUP($B20,'Pos and Incl IMPORT'!$B$2:$S109,16,FALSE),IFERROR(0/0,""))</f>
        <v>FLMP302189</v>
      </c>
      <c r="R20" s="136" t="str">
        <f>IFERROR(VLOOKUP($B20,'Pos and Incl IMPORT'!$B$2:$S109,17,FALSE),IFERROR(0/0,""))</f>
        <v/>
      </c>
      <c r="S20" s="136" t="str">
        <f>IFERROR(VLOOKUP($B20,'Pos and Incl IMPORT'!$B$2:$S109,18,FALSE),IFERROR(0/0,""))</f>
        <v/>
      </c>
      <c r="T20" s="136" t="str">
        <f>IFERROR(VLOOKUP($B20,'Pos and Incl IMPORT'!$B$2:$S109,19,FALSE),IFERROR(0/0,""))</f>
        <v/>
      </c>
      <c r="U20" s="187">
        <f t="shared" si="1"/>
        <v>4</v>
      </c>
      <c r="V20" s="14"/>
      <c r="W20" s="14"/>
      <c r="X20" s="14"/>
      <c r="Y20" s="14"/>
    </row>
    <row r="21">
      <c r="B21" s="26" t="str">
        <f>IFERROR(__xludf.DUMMYFUNCTION("""COMPUTED_VALUE"""),"FLB6849")</f>
        <v>FLB6849</v>
      </c>
      <c r="C21" s="26" t="str">
        <f>IFERROR(__xludf.DUMMYFUNCTION("""COMPUTED_VALUE"""),"RUN-FLMP_2022-01-06_RFR-050")</f>
        <v>RUN-FLMP_2022-01-06_RFR-050</v>
      </c>
      <c r="D21" s="185">
        <f>IFERROR(__xludf.DUMMYFUNCTION("""COMPUTED_VALUE"""),44567.0)</f>
        <v>44567</v>
      </c>
      <c r="E21" s="185">
        <f>IFERROR(__xludf.DUMMYFUNCTION("""COMPUTED_VALUE"""),44566.0)</f>
        <v>44566</v>
      </c>
      <c r="F21" s="186">
        <f>IFERROR(__xludf.DUMMYFUNCTION("""COMPUTED_VALUE"""),0.6553124999991269)</f>
        <v>0.6553125</v>
      </c>
      <c r="G21" s="26" t="str">
        <f>IFERROR(__xludf.DUMMYFUNCTION("""COMPUTED_VALUE"""),"Positive")</f>
        <v>Positive</v>
      </c>
      <c r="H21" s="136" t="str">
        <f>IFERROR(VLOOKUP($B22,'Pos and Incl IMPORT'!$B$2:$X109,4,FALSE),IFERROR(0/0,""))</f>
        <v>SpFLMP683385</v>
      </c>
      <c r="I21" s="136"/>
      <c r="J21" s="136"/>
      <c r="K21" s="136" t="str">
        <f>IFERROR(VLOOKUP($B21,'Pos and Incl IMPORT'!$B$2:$P109,7,FALSE),IFERROR(0/0,""))</f>
        <v>Positive</v>
      </c>
      <c r="L21" s="187" t="str">
        <f>IFERROR(VLOOKUP($B21,'Pos and Incl IMPORT'!$B$2:$P109,11,FALSE),IFERROR(0/0,""))</f>
        <v/>
      </c>
      <c r="M21" s="136" t="str">
        <f>IFERROR(VLOOKUP($B21,'Pos and Incl IMPORT'!$B$2:$P109,12,FALSE),IFERROR(0/0,""))</f>
        <v/>
      </c>
      <c r="N21" s="136" t="str">
        <f>IFERROR(VLOOKUP($B21,'Pos and Incl IMPORT'!$B$2:$P109,13,FALSE),IFERROR(0/0,""))</f>
        <v/>
      </c>
      <c r="O21" s="187">
        <f>IFERROR(VLOOKUP($B21,'Pos and Incl IMPORT'!$B$2:$P109,14,FALSE),IFERROR(0/0,""))</f>
        <v>1</v>
      </c>
      <c r="P21" s="187">
        <f>IFERROR(VLOOKUP($B21,'Pos and Incl IMPORT'!$B$2:$P109,15,FALSE),IFERROR(0/0,""))</f>
        <v>785</v>
      </c>
      <c r="Q21" s="136" t="str">
        <f>IFERROR(VLOOKUP($B21,'Pos and Incl IMPORT'!$B$2:$S109,16,FALSE),IFERROR(0/0,""))</f>
        <v>FLMP909119</v>
      </c>
      <c r="R21" s="136" t="str">
        <f>IFERROR(VLOOKUP($B21,'Pos and Incl IMPORT'!$B$2:$S109,17,FALSE),IFERROR(0/0,""))</f>
        <v/>
      </c>
      <c r="S21" s="136" t="str">
        <f>IFERROR(VLOOKUP($B21,'Pos and Incl IMPORT'!$B$2:$S109,18,FALSE),IFERROR(0/0,""))</f>
        <v/>
      </c>
      <c r="T21" s="136" t="str">
        <f>IFERROR(VLOOKUP($B21,'Pos and Incl IMPORT'!$B$2:$S109,19,FALSE),IFERROR(0/0,""))</f>
        <v/>
      </c>
      <c r="U21" s="187">
        <f t="shared" si="1"/>
        <v>1</v>
      </c>
      <c r="V21" s="14"/>
      <c r="W21" s="14"/>
      <c r="X21" s="14"/>
      <c r="Y21" s="14"/>
    </row>
    <row r="22">
      <c r="B22" s="26" t="str">
        <f>IFERROR(__xludf.DUMMYFUNCTION("""COMPUTED_VALUE"""),"FLB5889")</f>
        <v>FLB5889</v>
      </c>
      <c r="C22" s="26" t="str">
        <f>IFERROR(__xludf.DUMMYFUNCTION("""COMPUTED_VALUE"""),"RUN-FLMP_2022-01-06_RFR-050")</f>
        <v>RUN-FLMP_2022-01-06_RFR-050</v>
      </c>
      <c r="D22" s="185">
        <f>IFERROR(__xludf.DUMMYFUNCTION("""COMPUTED_VALUE"""),44567.0)</f>
        <v>44567</v>
      </c>
      <c r="E22" s="185">
        <f>IFERROR(__xludf.DUMMYFUNCTION("""COMPUTED_VALUE"""),44567.0)</f>
        <v>44567</v>
      </c>
      <c r="F22" s="186">
        <f>IFERROR(__xludf.DUMMYFUNCTION("""COMPUTED_VALUE"""),0.3404861111121136)</f>
        <v>0.3404861111</v>
      </c>
      <c r="G22" s="26" t="str">
        <f>IFERROR(__xludf.DUMMYFUNCTION("""COMPUTED_VALUE"""),"Positive")</f>
        <v>Positive</v>
      </c>
      <c r="H22" s="136" t="str">
        <f>IFERROR(VLOOKUP($B23,'Pos and Incl IMPORT'!$B$2:$X109,4,FALSE),IFERROR(0/0,""))</f>
        <v>SpFLMP683385</v>
      </c>
      <c r="I22" s="136"/>
      <c r="J22" s="136"/>
      <c r="K22" s="136" t="str">
        <f>IFERROR(VLOOKUP($B22,'Pos and Incl IMPORT'!$B$2:$P109,7,FALSE),IFERROR(0/0,""))</f>
        <v>Positive</v>
      </c>
      <c r="L22" s="187" t="str">
        <f>IFERROR(VLOOKUP($B22,'Pos and Incl IMPORT'!$B$2:$P109,11,FALSE),IFERROR(0/0,""))</f>
        <v/>
      </c>
      <c r="M22" s="136" t="str">
        <f>IFERROR(VLOOKUP($B22,'Pos and Incl IMPORT'!$B$2:$P109,12,FALSE),IFERROR(0/0,""))</f>
        <v/>
      </c>
      <c r="N22" s="136" t="str">
        <f>IFERROR(VLOOKUP($B22,'Pos and Incl IMPORT'!$B$2:$P109,13,FALSE),IFERROR(0/0,""))</f>
        <v/>
      </c>
      <c r="O22" s="187">
        <f>IFERROR(VLOOKUP($B22,'Pos and Incl IMPORT'!$B$2:$P109,14,FALSE),IFERROR(0/0,""))</f>
        <v>1</v>
      </c>
      <c r="P22" s="187">
        <f>IFERROR(VLOOKUP($B22,'Pos and Incl IMPORT'!$B$2:$P109,15,FALSE),IFERROR(0/0,""))</f>
        <v>797</v>
      </c>
      <c r="Q22" s="136" t="str">
        <f>IFERROR(VLOOKUP($B22,'Pos and Incl IMPORT'!$B$2:$S109,16,FALSE),IFERROR(0/0,""))</f>
        <v>FLMP172687</v>
      </c>
      <c r="R22" s="136" t="str">
        <f>IFERROR(VLOOKUP($B22,'Pos and Incl IMPORT'!$B$2:$S109,17,FALSE),IFERROR(0/0,""))</f>
        <v/>
      </c>
      <c r="S22" s="136" t="str">
        <f>IFERROR(VLOOKUP($B22,'Pos and Incl IMPORT'!$B$2:$S109,18,FALSE),IFERROR(0/0,""))</f>
        <v/>
      </c>
      <c r="T22" s="136" t="str">
        <f>IFERROR(VLOOKUP($B22,'Pos and Incl IMPORT'!$B$2:$S109,19,FALSE),IFERROR(0/0,""))</f>
        <v/>
      </c>
      <c r="U22" s="187">
        <f t="shared" si="1"/>
        <v>1</v>
      </c>
      <c r="V22" s="14"/>
      <c r="W22" s="14"/>
      <c r="X22" s="14"/>
      <c r="Y22" s="14"/>
    </row>
    <row r="23">
      <c r="B23" s="26" t="str">
        <f>IFERROR(__xludf.DUMMYFUNCTION("""COMPUTED_VALUE"""),"FLB5830")</f>
        <v>FLB5830</v>
      </c>
      <c r="C23" s="26" t="str">
        <f>IFERROR(__xludf.DUMMYFUNCTION("""COMPUTED_VALUE"""),"RUN-FLMP_2022-01-06_RFR-050")</f>
        <v>RUN-FLMP_2022-01-06_RFR-050</v>
      </c>
      <c r="D23" s="185">
        <f>IFERROR(__xludf.DUMMYFUNCTION("""COMPUTED_VALUE"""),44567.0)</f>
        <v>44567</v>
      </c>
      <c r="E23" s="185">
        <f>IFERROR(__xludf.DUMMYFUNCTION("""COMPUTED_VALUE"""),44567.0)</f>
        <v>44567</v>
      </c>
      <c r="F23" s="186">
        <f>IFERROR(__xludf.DUMMYFUNCTION("""COMPUTED_VALUE"""),0.3410879629627743)</f>
        <v>0.341087963</v>
      </c>
      <c r="G23" s="26" t="str">
        <f>IFERROR(__xludf.DUMMYFUNCTION("""COMPUTED_VALUE"""),"Positive")</f>
        <v>Positive</v>
      </c>
      <c r="H23" s="136" t="str">
        <f>IFERROR(VLOOKUP($B24,'Pos and Incl IMPORT'!$B$2:$X109,4,FALSE),IFERROR(0/0,""))</f>
        <v>SpFLMP683385</v>
      </c>
      <c r="I23" s="136"/>
      <c r="J23" s="136"/>
      <c r="K23" s="136" t="str">
        <f>IFERROR(VLOOKUP($B23,'Pos and Incl IMPORT'!$B$2:$P109,7,FALSE),IFERROR(0/0,""))</f>
        <v>Positive</v>
      </c>
      <c r="L23" s="187" t="str">
        <f>IFERROR(VLOOKUP($B23,'Pos and Incl IMPORT'!$B$2:$P109,11,FALSE),IFERROR(0/0,""))</f>
        <v/>
      </c>
      <c r="M23" s="136" t="str">
        <f>IFERROR(VLOOKUP($B23,'Pos and Incl IMPORT'!$B$2:$P109,12,FALSE),IFERROR(0/0,""))</f>
        <v/>
      </c>
      <c r="N23" s="136" t="str">
        <f>IFERROR(VLOOKUP($B23,'Pos and Incl IMPORT'!$B$2:$P109,13,FALSE),IFERROR(0/0,""))</f>
        <v/>
      </c>
      <c r="O23" s="187">
        <f>IFERROR(VLOOKUP($B23,'Pos and Incl IMPORT'!$B$2:$P109,14,FALSE),IFERROR(0/0,""))</f>
        <v>1</v>
      </c>
      <c r="P23" s="187">
        <f>IFERROR(VLOOKUP($B23,'Pos and Incl IMPORT'!$B$2:$P109,15,FALSE),IFERROR(0/0,""))</f>
        <v>798</v>
      </c>
      <c r="Q23" s="136" t="str">
        <f>IFERROR(VLOOKUP($B23,'Pos and Incl IMPORT'!$B$2:$S109,16,FALSE),IFERROR(0/0,""))</f>
        <v>FLMP549529</v>
      </c>
      <c r="R23" s="136" t="str">
        <f>IFERROR(VLOOKUP($B23,'Pos and Incl IMPORT'!$B$2:$S109,17,FALSE),IFERROR(0/0,""))</f>
        <v/>
      </c>
      <c r="S23" s="136" t="str">
        <f>IFERROR(VLOOKUP($B23,'Pos and Incl IMPORT'!$B$2:$S109,18,FALSE),IFERROR(0/0,""))</f>
        <v/>
      </c>
      <c r="T23" s="136" t="str">
        <f>IFERROR(VLOOKUP($B23,'Pos and Incl IMPORT'!$B$2:$S109,19,FALSE),IFERROR(0/0,""))</f>
        <v/>
      </c>
      <c r="U23" s="187">
        <f t="shared" si="1"/>
        <v>1</v>
      </c>
      <c r="V23" s="14"/>
      <c r="W23" s="14"/>
      <c r="X23" s="14"/>
      <c r="Y23" s="14"/>
    </row>
    <row r="24">
      <c r="B24" s="26" t="str">
        <f>IFERROR(__xludf.DUMMYFUNCTION("""COMPUTED_VALUE"""),"FLT1136")</f>
        <v>FLT1136</v>
      </c>
      <c r="C24" s="26" t="str">
        <f>IFERROR(__xludf.DUMMYFUNCTION("""COMPUTED_VALUE"""),"RUN-FLMP_2022-01-06_RFR-050")</f>
        <v>RUN-FLMP_2022-01-06_RFR-050</v>
      </c>
      <c r="D24" s="185">
        <f>IFERROR(__xludf.DUMMYFUNCTION("""COMPUTED_VALUE"""),44567.0)</f>
        <v>44567</v>
      </c>
      <c r="E24" s="185">
        <f>IFERROR(__xludf.DUMMYFUNCTION("""COMPUTED_VALUE"""),44567.0)</f>
        <v>44567</v>
      </c>
      <c r="F24" s="186">
        <f>IFERROR(__xludf.DUMMYFUNCTION("""COMPUTED_VALUE"""),0.3426157407411665)</f>
        <v>0.3426157407</v>
      </c>
      <c r="G24" s="26" t="str">
        <f>IFERROR(__xludf.DUMMYFUNCTION("""COMPUTED_VALUE"""),"Positive")</f>
        <v>Positive</v>
      </c>
      <c r="H24" s="136" t="str">
        <f>IFERROR(VLOOKUP($B25,'Pos and Incl IMPORT'!$B$2:$X109,4,FALSE),IFERROR(0/0,""))</f>
        <v>SpFLMP342787</v>
      </c>
      <c r="I24" s="136"/>
      <c r="J24" s="136"/>
      <c r="K24" s="136" t="str">
        <f>IFERROR(VLOOKUP($B24,'Pos and Incl IMPORT'!$B$2:$P109,7,FALSE),IFERROR(0/0,""))</f>
        <v>Positive</v>
      </c>
      <c r="L24" s="187" t="str">
        <f>IFERROR(VLOOKUP($B24,'Pos and Incl IMPORT'!$B$2:$P109,11,FALSE),IFERROR(0/0,""))</f>
        <v/>
      </c>
      <c r="M24" s="136" t="str">
        <f>IFERROR(VLOOKUP($B24,'Pos and Incl IMPORT'!$B$2:$P109,12,FALSE),IFERROR(0/0,""))</f>
        <v/>
      </c>
      <c r="N24" s="136" t="str">
        <f>IFERROR(VLOOKUP($B24,'Pos and Incl IMPORT'!$B$2:$P109,13,FALSE),IFERROR(0/0,""))</f>
        <v/>
      </c>
      <c r="O24" s="187">
        <f>IFERROR(VLOOKUP($B24,'Pos and Incl IMPORT'!$B$2:$P109,14,FALSE),IFERROR(0/0,""))</f>
        <v>1</v>
      </c>
      <c r="P24" s="187">
        <f>IFERROR(VLOOKUP($B24,'Pos and Incl IMPORT'!$B$2:$P109,15,FALSE),IFERROR(0/0,""))</f>
        <v>801</v>
      </c>
      <c r="Q24" s="136" t="str">
        <f>IFERROR(VLOOKUP($B24,'Pos and Incl IMPORT'!$B$2:$S109,16,FALSE),IFERROR(0/0,""))</f>
        <v>FLMP858721</v>
      </c>
      <c r="R24" s="136" t="str">
        <f>IFERROR(VLOOKUP($B24,'Pos and Incl IMPORT'!$B$2:$S109,17,FALSE),IFERROR(0/0,""))</f>
        <v/>
      </c>
      <c r="S24" s="136" t="str">
        <f>IFERROR(VLOOKUP($B24,'Pos and Incl IMPORT'!$B$2:$S109,18,FALSE),IFERROR(0/0,""))</f>
        <v/>
      </c>
      <c r="T24" s="136" t="str">
        <f>IFERROR(VLOOKUP($B24,'Pos and Incl IMPORT'!$B$2:$S109,19,FALSE),IFERROR(0/0,""))</f>
        <v/>
      </c>
      <c r="U24" s="187">
        <f t="shared" si="1"/>
        <v>1</v>
      </c>
      <c r="V24" s="14"/>
      <c r="W24" s="14"/>
      <c r="X24" s="14"/>
      <c r="Y24" s="14"/>
    </row>
    <row r="25">
      <c r="B25" s="26" t="str">
        <f>IFERROR(__xludf.DUMMYFUNCTION("""COMPUTED_VALUE"""),"FLT1475")</f>
        <v>FLT1475</v>
      </c>
      <c r="C25" s="26" t="str">
        <f>IFERROR(__xludf.DUMMYFUNCTION("""COMPUTED_VALUE"""),"RUN-FLMP_2022-01-08_RFR-052")</f>
        <v>RUN-FLMP_2022-01-08_RFR-052</v>
      </c>
      <c r="D25" s="185">
        <f>IFERROR(__xludf.DUMMYFUNCTION("""COMPUTED_VALUE"""),44569.0)</f>
        <v>44569</v>
      </c>
      <c r="E25" s="185">
        <f>IFERROR(__xludf.DUMMYFUNCTION("""COMPUTED_VALUE"""),44569.0)</f>
        <v>44569</v>
      </c>
      <c r="F25" s="186">
        <f>IFERROR(__xludf.DUMMYFUNCTION("""COMPUTED_VALUE"""),0.36055555555503815)</f>
        <v>0.3605555556</v>
      </c>
      <c r="G25" s="26" t="str">
        <f>IFERROR(__xludf.DUMMYFUNCTION("""COMPUTED_VALUE"""),"Positive")</f>
        <v>Positive</v>
      </c>
      <c r="H25" s="136" t="str">
        <f>IFERROR(VLOOKUP($B26,'Pos and Incl IMPORT'!$B$2:$X109,4,FALSE),IFERROR(0/0,""))</f>
        <v>SpFLMP125859</v>
      </c>
      <c r="I25" s="136"/>
      <c r="J25" s="136"/>
      <c r="K25" s="136" t="str">
        <f>IFERROR(VLOOKUP($B25,'Pos and Incl IMPORT'!$B$2:$P109,7,FALSE),IFERROR(0/0,""))</f>
        <v>Positive</v>
      </c>
      <c r="L25" s="187" t="str">
        <f>IFERROR(VLOOKUP($B25,'Pos and Incl IMPORT'!$B$2:$P109,11,FALSE),IFERROR(0/0,""))</f>
        <v/>
      </c>
      <c r="M25" s="136" t="str">
        <f>IFERROR(VLOOKUP($B25,'Pos and Incl IMPORT'!$B$2:$P109,12,FALSE),IFERROR(0/0,""))</f>
        <v/>
      </c>
      <c r="N25" s="136" t="str">
        <f>IFERROR(VLOOKUP($B25,'Pos and Incl IMPORT'!$B$2:$P109,13,FALSE),IFERROR(0/0,""))</f>
        <v/>
      </c>
      <c r="O25" s="187">
        <f>IFERROR(VLOOKUP($B25,'Pos and Incl IMPORT'!$B$2:$P109,14,FALSE),IFERROR(0/0,""))</f>
        <v>1</v>
      </c>
      <c r="P25" s="187">
        <f>IFERROR(VLOOKUP($B25,'Pos and Incl IMPORT'!$B$2:$P109,15,FALSE),IFERROR(0/0,""))</f>
        <v>827</v>
      </c>
      <c r="Q25" s="136" t="str">
        <f>IFERROR(VLOOKUP($B25,'Pos and Incl IMPORT'!$B$2:$S109,16,FALSE),IFERROR(0/0,""))</f>
        <v>FLMP710853</v>
      </c>
      <c r="R25" s="136" t="str">
        <f>IFERROR(VLOOKUP($B25,'Pos and Incl IMPORT'!$B$2:$S109,17,FALSE),IFERROR(0/0,""))</f>
        <v/>
      </c>
      <c r="S25" s="136" t="str">
        <f>IFERROR(VLOOKUP($B25,'Pos and Incl IMPORT'!$B$2:$S109,18,FALSE),IFERROR(0/0,""))</f>
        <v/>
      </c>
      <c r="T25" s="136" t="str">
        <f>IFERROR(VLOOKUP($B25,'Pos and Incl IMPORT'!$B$2:$S109,19,FALSE),IFERROR(0/0,""))</f>
        <v/>
      </c>
      <c r="U25" s="187">
        <f t="shared" si="1"/>
        <v>2</v>
      </c>
      <c r="V25" s="14"/>
      <c r="W25" s="14"/>
      <c r="X25" s="14"/>
      <c r="Y25" s="14"/>
    </row>
    <row r="26">
      <c r="B26" s="26" t="str">
        <f>IFERROR(__xludf.DUMMYFUNCTION("""COMPUTED_VALUE"""),"FLE895")</f>
        <v>FLE895</v>
      </c>
      <c r="C26" s="26" t="str">
        <f>IFERROR(__xludf.DUMMYFUNCTION("""COMPUTED_VALUE"""),"RUN-FLMP_2022-01-10_RFR-053")</f>
        <v>RUN-FLMP_2022-01-10_RFR-053</v>
      </c>
      <c r="D26" s="185">
        <f>IFERROR(__xludf.DUMMYFUNCTION("""COMPUTED_VALUE"""),44571.0)</f>
        <v>44571</v>
      </c>
      <c r="E26" s="185">
        <f>IFERROR(__xludf.DUMMYFUNCTION("""COMPUTED_VALUE"""),44570.0)</f>
        <v>44570</v>
      </c>
      <c r="F26" s="186">
        <f>IFERROR(__xludf.DUMMYFUNCTION("""COMPUTED_VALUE"""),0.5401620370357705)</f>
        <v>0.540162037</v>
      </c>
      <c r="G26" s="26" t="str">
        <f>IFERROR(__xludf.DUMMYFUNCTION("""COMPUTED_VALUE"""),"Positive")</f>
        <v>Positive</v>
      </c>
      <c r="H26" s="136" t="str">
        <f>IFERROR(VLOOKUP($B27,'Pos and Incl IMPORT'!$B$2:$X109,4,FALSE),IFERROR(0/0,""))</f>
        <v>SpFLMP125859</v>
      </c>
      <c r="I26" s="136"/>
      <c r="J26" s="136"/>
      <c r="K26" s="136" t="str">
        <f>IFERROR(VLOOKUP($B26,'Pos and Incl IMPORT'!$B$2:$P109,7,FALSE),IFERROR(0/0,""))</f>
        <v>Positive</v>
      </c>
      <c r="L26" s="187" t="str">
        <f>IFERROR(VLOOKUP($B26,'Pos and Incl IMPORT'!$B$2:$P109,11,FALSE),IFERROR(0/0,""))</f>
        <v/>
      </c>
      <c r="M26" s="136" t="str">
        <f>IFERROR(VLOOKUP($B26,'Pos and Incl IMPORT'!$B$2:$P109,12,FALSE),IFERROR(0/0,""))</f>
        <v/>
      </c>
      <c r="N26" s="136" t="str">
        <f>IFERROR(VLOOKUP($B26,'Pos and Incl IMPORT'!$B$2:$P109,13,FALSE),IFERROR(0/0,""))</f>
        <v/>
      </c>
      <c r="O26" s="187">
        <f>IFERROR(VLOOKUP($B26,'Pos and Incl IMPORT'!$B$2:$P109,14,FALSE),IFERROR(0/0,""))</f>
        <v>1</v>
      </c>
      <c r="P26" s="187">
        <f>IFERROR(VLOOKUP($B26,'Pos and Incl IMPORT'!$B$2:$P109,15,FALSE),IFERROR(0/0,""))</f>
        <v>839</v>
      </c>
      <c r="Q26" s="136" t="str">
        <f>IFERROR(VLOOKUP($B26,'Pos and Incl IMPORT'!$B$2:$S109,16,FALSE),IFERROR(0/0,""))</f>
        <v>FLMP302189</v>
      </c>
      <c r="R26" s="136" t="str">
        <f>IFERROR(VLOOKUP($B26,'Pos and Incl IMPORT'!$B$2:$S109,17,FALSE),IFERROR(0/0,""))</f>
        <v/>
      </c>
      <c r="S26" s="136" t="str">
        <f>IFERROR(VLOOKUP($B26,'Pos and Incl IMPORT'!$B$2:$S109,18,FALSE),IFERROR(0/0,""))</f>
        <v/>
      </c>
      <c r="T26" s="136" t="str">
        <f>IFERROR(VLOOKUP($B26,'Pos and Incl IMPORT'!$B$2:$S109,19,FALSE),IFERROR(0/0,""))</f>
        <v/>
      </c>
      <c r="U26" s="187">
        <f t="shared" si="1"/>
        <v>4</v>
      </c>
      <c r="V26" s="14"/>
      <c r="W26" s="14"/>
      <c r="X26" s="14"/>
      <c r="Y26" s="14"/>
    </row>
    <row r="27">
      <c r="B27" s="26" t="str">
        <f>IFERROR(__xludf.DUMMYFUNCTION("""COMPUTED_VALUE"""),"FLE885")</f>
        <v>FLE885</v>
      </c>
      <c r="C27" s="26" t="str">
        <f>IFERROR(__xludf.DUMMYFUNCTION("""COMPUTED_VALUE"""),"RUN-FLMP_2022-01-10_RFR-053")</f>
        <v>RUN-FLMP_2022-01-10_RFR-053</v>
      </c>
      <c r="D27" s="185">
        <f>IFERROR(__xludf.DUMMYFUNCTION("""COMPUTED_VALUE"""),44571.0)</f>
        <v>44571</v>
      </c>
      <c r="E27" s="185">
        <f>IFERROR(__xludf.DUMMYFUNCTION("""COMPUTED_VALUE"""),44570.0)</f>
        <v>44570</v>
      </c>
      <c r="F27" s="186">
        <f>IFERROR(__xludf.DUMMYFUNCTION("""COMPUTED_VALUE"""),0.5405555555553292)</f>
        <v>0.5405555556</v>
      </c>
      <c r="G27" s="26" t="str">
        <f>IFERROR(__xludf.DUMMYFUNCTION("""COMPUTED_VALUE"""),"Positive")</f>
        <v>Positive</v>
      </c>
      <c r="H27" s="136" t="str">
        <f>IFERROR(VLOOKUP($B28,'Pos and Incl IMPORT'!$B$2:$X109,4,FALSE),IFERROR(0/0,""))</f>
        <v>SpFLMP125859</v>
      </c>
      <c r="I27" s="136"/>
      <c r="J27" s="136"/>
      <c r="K27" s="136" t="str">
        <f>IFERROR(VLOOKUP($B27,'Pos and Incl IMPORT'!$B$2:$P109,7,FALSE),IFERROR(0/0,""))</f>
        <v>Positive</v>
      </c>
      <c r="L27" s="187" t="str">
        <f>IFERROR(VLOOKUP($B27,'Pos and Incl IMPORT'!$B$2:$P109,11,FALSE),IFERROR(0/0,""))</f>
        <v/>
      </c>
      <c r="M27" s="136" t="str">
        <f>IFERROR(VLOOKUP($B27,'Pos and Incl IMPORT'!$B$2:$P109,12,FALSE),IFERROR(0/0,""))</f>
        <v/>
      </c>
      <c r="N27" s="136" t="str">
        <f>IFERROR(VLOOKUP($B27,'Pos and Incl IMPORT'!$B$2:$P109,13,FALSE),IFERROR(0/0,""))</f>
        <v/>
      </c>
      <c r="O27" s="187">
        <f>IFERROR(VLOOKUP($B27,'Pos and Incl IMPORT'!$B$2:$P109,14,FALSE),IFERROR(0/0,""))</f>
        <v>1</v>
      </c>
      <c r="P27" s="187">
        <f>IFERROR(VLOOKUP($B27,'Pos and Incl IMPORT'!$B$2:$P109,15,FALSE),IFERROR(0/0,""))</f>
        <v>840</v>
      </c>
      <c r="Q27" s="136" t="str">
        <f>IFERROR(VLOOKUP($B27,'Pos and Incl IMPORT'!$B$2:$S109,16,FALSE),IFERROR(0/0,""))</f>
        <v>FLMP828735</v>
      </c>
      <c r="R27" s="136" t="str">
        <f>IFERROR(VLOOKUP($B27,'Pos and Incl IMPORT'!$B$2:$S109,17,FALSE),IFERROR(0/0,""))</f>
        <v/>
      </c>
      <c r="S27" s="136" t="str">
        <f>IFERROR(VLOOKUP($B27,'Pos and Incl IMPORT'!$B$2:$S109,18,FALSE),IFERROR(0/0,""))</f>
        <v/>
      </c>
      <c r="T27" s="136" t="str">
        <f>IFERROR(VLOOKUP($B27,'Pos and Incl IMPORT'!$B$2:$S109,19,FALSE),IFERROR(0/0,""))</f>
        <v/>
      </c>
      <c r="U27" s="187">
        <f t="shared" si="1"/>
        <v>3</v>
      </c>
      <c r="V27" s="14"/>
      <c r="W27" s="14"/>
      <c r="X27" s="14"/>
      <c r="Y27" s="14"/>
    </row>
    <row r="28">
      <c r="B28" s="26" t="str">
        <f>IFERROR(__xludf.DUMMYFUNCTION("""COMPUTED_VALUE"""),"FLE810")</f>
        <v>FLE810</v>
      </c>
      <c r="C28" s="26" t="str">
        <f>IFERROR(__xludf.DUMMYFUNCTION("""COMPUTED_VALUE"""),"RUN-FLMP_2022-01-10_RFR-053")</f>
        <v>RUN-FLMP_2022-01-10_RFR-053</v>
      </c>
      <c r="D28" s="185">
        <f>IFERROR(__xludf.DUMMYFUNCTION("""COMPUTED_VALUE"""),44571.0)</f>
        <v>44571</v>
      </c>
      <c r="E28" s="185">
        <f>IFERROR(__xludf.DUMMYFUNCTION("""COMPUTED_VALUE"""),44570.0)</f>
        <v>44570</v>
      </c>
      <c r="F28" s="186">
        <f>IFERROR(__xludf.DUMMYFUNCTION("""COMPUTED_VALUE"""),0.5409375000017462)</f>
        <v>0.5409375</v>
      </c>
      <c r="G28" s="26" t="str">
        <f>IFERROR(__xludf.DUMMYFUNCTION("""COMPUTED_VALUE"""),"Positive")</f>
        <v>Positive</v>
      </c>
      <c r="H28" s="136" t="str">
        <f>IFERROR(VLOOKUP($B29,'Pos and Incl IMPORT'!$B$2:$X109,4,FALSE),IFERROR(0/0,""))</f>
        <v>SpFLMP125859</v>
      </c>
      <c r="I28" s="136"/>
      <c r="J28" s="136"/>
      <c r="K28" s="136" t="str">
        <f>IFERROR(VLOOKUP($B28,'Pos and Incl IMPORT'!$B$2:$P109,7,FALSE),IFERROR(0/0,""))</f>
        <v>Positive</v>
      </c>
      <c r="L28" s="187" t="str">
        <f>IFERROR(VLOOKUP($B28,'Pos and Incl IMPORT'!$B$2:$P109,11,FALSE),IFERROR(0/0,""))</f>
        <v/>
      </c>
      <c r="M28" s="136" t="str">
        <f>IFERROR(VLOOKUP($B28,'Pos and Incl IMPORT'!$B$2:$P109,12,FALSE),IFERROR(0/0,""))</f>
        <v/>
      </c>
      <c r="N28" s="136" t="str">
        <f>IFERROR(VLOOKUP($B28,'Pos and Incl IMPORT'!$B$2:$P109,13,FALSE),IFERROR(0/0,""))</f>
        <v/>
      </c>
      <c r="O28" s="187">
        <f>IFERROR(VLOOKUP($B28,'Pos and Incl IMPORT'!$B$2:$P109,14,FALSE),IFERROR(0/0,""))</f>
        <v>1</v>
      </c>
      <c r="P28" s="187">
        <f>IFERROR(VLOOKUP($B28,'Pos and Incl IMPORT'!$B$2:$P109,15,FALSE),IFERROR(0/0,""))</f>
        <v>841</v>
      </c>
      <c r="Q28" s="136" t="str">
        <f>IFERROR(VLOOKUP($B28,'Pos and Incl IMPORT'!$B$2:$S109,16,FALSE),IFERROR(0/0,""))</f>
        <v>FLMP776278</v>
      </c>
      <c r="R28" s="136" t="str">
        <f>IFERROR(VLOOKUP($B28,'Pos and Incl IMPORT'!$B$2:$S109,17,FALSE),IFERROR(0/0,""))</f>
        <v/>
      </c>
      <c r="S28" s="136" t="str">
        <f>IFERROR(VLOOKUP($B28,'Pos and Incl IMPORT'!$B$2:$S109,18,FALSE),IFERROR(0/0,""))</f>
        <v/>
      </c>
      <c r="T28" s="136" t="str">
        <f>IFERROR(VLOOKUP($B28,'Pos and Incl IMPORT'!$B$2:$S109,19,FALSE),IFERROR(0/0,""))</f>
        <v/>
      </c>
      <c r="U28" s="187">
        <f t="shared" si="1"/>
        <v>3</v>
      </c>
      <c r="V28" s="14"/>
      <c r="W28" s="14"/>
      <c r="X28" s="14"/>
      <c r="Y28" s="14"/>
    </row>
    <row r="29">
      <c r="B29" s="26" t="str">
        <f>IFERROR(__xludf.DUMMYFUNCTION("""COMPUTED_VALUE"""),"FLE812")</f>
        <v>FLE812</v>
      </c>
      <c r="C29" s="26" t="str">
        <f>IFERROR(__xludf.DUMMYFUNCTION("""COMPUTED_VALUE"""),"RUN-FLMP_2022-01-10_RFR-053")</f>
        <v>RUN-FLMP_2022-01-10_RFR-053</v>
      </c>
      <c r="D29" s="185">
        <f>IFERROR(__xludf.DUMMYFUNCTION("""COMPUTED_VALUE"""),44571.0)</f>
        <v>44571</v>
      </c>
      <c r="E29" s="185">
        <f>IFERROR(__xludf.DUMMYFUNCTION("""COMPUTED_VALUE"""),44570.0)</f>
        <v>44570</v>
      </c>
      <c r="F29" s="186">
        <f>IFERROR(__xludf.DUMMYFUNCTION("""COMPUTED_VALUE"""),0.5412847222214623)</f>
        <v>0.5412847222</v>
      </c>
      <c r="G29" s="26" t="str">
        <f>IFERROR(__xludf.DUMMYFUNCTION("""COMPUTED_VALUE"""),"Positive")</f>
        <v>Positive</v>
      </c>
      <c r="H29" s="136" t="str">
        <f>IFERROR(VLOOKUP($B30,'Pos and Incl IMPORT'!$B$2:$X109,4,FALSE),IFERROR(0/0,""))</f>
        <v>SpFLMP649771</v>
      </c>
      <c r="I29" s="136"/>
      <c r="J29" s="136"/>
      <c r="K29" s="136" t="str">
        <f>IFERROR(VLOOKUP($B29,'Pos and Incl IMPORT'!$B$2:$P109,7,FALSE),IFERROR(0/0,""))</f>
        <v>Positive</v>
      </c>
      <c r="L29" s="187" t="str">
        <f>IFERROR(VLOOKUP($B29,'Pos and Incl IMPORT'!$B$2:$P109,11,FALSE),IFERROR(0/0,""))</f>
        <v/>
      </c>
      <c r="M29" s="136" t="str">
        <f>IFERROR(VLOOKUP($B29,'Pos and Incl IMPORT'!$B$2:$P109,12,FALSE),IFERROR(0/0,""))</f>
        <v/>
      </c>
      <c r="N29" s="136" t="str">
        <f>IFERROR(VLOOKUP($B29,'Pos and Incl IMPORT'!$B$2:$P109,13,FALSE),IFERROR(0/0,""))</f>
        <v/>
      </c>
      <c r="O29" s="187">
        <f>IFERROR(VLOOKUP($B29,'Pos and Incl IMPORT'!$B$2:$P109,14,FALSE),IFERROR(0/0,""))</f>
        <v>1</v>
      </c>
      <c r="P29" s="187">
        <f>IFERROR(VLOOKUP($B29,'Pos and Incl IMPORT'!$B$2:$P109,15,FALSE),IFERROR(0/0,""))</f>
        <v>842</v>
      </c>
      <c r="Q29" s="136" t="str">
        <f>IFERROR(VLOOKUP($B29,'Pos and Incl IMPORT'!$B$2:$S109,16,FALSE),IFERROR(0/0,""))</f>
        <v>FLMP857562</v>
      </c>
      <c r="R29" s="136" t="str">
        <f>IFERROR(VLOOKUP($B29,'Pos and Incl IMPORT'!$B$2:$S109,17,FALSE),IFERROR(0/0,""))</f>
        <v/>
      </c>
      <c r="S29" s="136" t="str">
        <f>IFERROR(VLOOKUP($B29,'Pos and Incl IMPORT'!$B$2:$S109,18,FALSE),IFERROR(0/0,""))</f>
        <v/>
      </c>
      <c r="T29" s="136" t="str">
        <f>IFERROR(VLOOKUP($B29,'Pos and Incl IMPORT'!$B$2:$S109,19,FALSE),IFERROR(0/0,""))</f>
        <v/>
      </c>
      <c r="U29" s="187">
        <f t="shared" si="1"/>
        <v>2</v>
      </c>
      <c r="V29" s="14"/>
      <c r="W29" s="14"/>
      <c r="X29" s="14"/>
      <c r="Y29" s="14"/>
    </row>
    <row r="30">
      <c r="B30" s="26" t="str">
        <f>IFERROR(__xludf.DUMMYFUNCTION("""COMPUTED_VALUE"""),"FLT1400")</f>
        <v>FLT1400</v>
      </c>
      <c r="C30" s="26" t="str">
        <f>IFERROR(__xludf.DUMMYFUNCTION("""COMPUTED_VALUE"""),"RUN-FLMP_2022-01-10_RFR-053")</f>
        <v>RUN-FLMP_2022-01-10_RFR-053</v>
      </c>
      <c r="D30" s="185">
        <f>IFERROR(__xludf.DUMMYFUNCTION("""COMPUTED_VALUE"""),44571.0)</f>
        <v>44571</v>
      </c>
      <c r="E30" s="185">
        <f>IFERROR(__xludf.DUMMYFUNCTION("""COMPUTED_VALUE"""),44570.0)</f>
        <v>44570</v>
      </c>
      <c r="F30" s="186">
        <f>IFERROR(__xludf.DUMMYFUNCTION("""COMPUTED_VALUE"""),0.7543171296310902)</f>
        <v>0.7543171296</v>
      </c>
      <c r="G30" s="26" t="str">
        <f>IFERROR(__xludf.DUMMYFUNCTION("""COMPUTED_VALUE"""),"Positive")</f>
        <v>Positive</v>
      </c>
      <c r="H30" s="136" t="str">
        <f>IFERROR(VLOOKUP($B31,'Pos and Incl IMPORT'!$B$2:$X109,4,FALSE),IFERROR(0/0,""))</f>
        <v>SpFLMP935298</v>
      </c>
      <c r="I30" s="136"/>
      <c r="J30" s="136"/>
      <c r="K30" s="136" t="str">
        <f>IFERROR(VLOOKUP($B30,'Pos and Incl IMPORT'!$B$2:$P109,7,FALSE),IFERROR(0/0,""))</f>
        <v>Positive</v>
      </c>
      <c r="L30" s="187" t="str">
        <f>IFERROR(VLOOKUP($B30,'Pos and Incl IMPORT'!$B$2:$P109,11,FALSE),IFERROR(0/0,""))</f>
        <v/>
      </c>
      <c r="M30" s="136" t="str">
        <f>IFERROR(VLOOKUP($B30,'Pos and Incl IMPORT'!$B$2:$P109,12,FALSE),IFERROR(0/0,""))</f>
        <v/>
      </c>
      <c r="N30" s="136" t="str">
        <f>IFERROR(VLOOKUP($B30,'Pos and Incl IMPORT'!$B$2:$P109,13,FALSE),IFERROR(0/0,""))</f>
        <v/>
      </c>
      <c r="O30" s="187">
        <f>IFERROR(VLOOKUP($B30,'Pos and Incl IMPORT'!$B$2:$P109,14,FALSE),IFERROR(0/0,""))</f>
        <v>1</v>
      </c>
      <c r="P30" s="187">
        <f>IFERROR(VLOOKUP($B30,'Pos and Incl IMPORT'!$B$2:$P109,15,FALSE),IFERROR(0/0,""))</f>
        <v>855</v>
      </c>
      <c r="Q30" s="136" t="str">
        <f>IFERROR(VLOOKUP($B30,'Pos and Incl IMPORT'!$B$2:$S109,16,FALSE),IFERROR(0/0,""))</f>
        <v>FLMP330127</v>
      </c>
      <c r="R30" s="136" t="str">
        <f>IFERROR(VLOOKUP($B30,'Pos and Incl IMPORT'!$B$2:$S109,17,FALSE),IFERROR(0/0,""))</f>
        <v/>
      </c>
      <c r="S30" s="136" t="str">
        <f>IFERROR(VLOOKUP($B30,'Pos and Incl IMPORT'!$B$2:$S109,18,FALSE),IFERROR(0/0,""))</f>
        <v/>
      </c>
      <c r="T30" s="136" t="str">
        <f>IFERROR(VLOOKUP($B30,'Pos and Incl IMPORT'!$B$2:$S109,19,FALSE),IFERROR(0/0,""))</f>
        <v/>
      </c>
      <c r="U30" s="187">
        <f t="shared" si="1"/>
        <v>2</v>
      </c>
      <c r="V30" s="14"/>
      <c r="W30" s="14"/>
      <c r="X30" s="14"/>
      <c r="Y30" s="14"/>
    </row>
    <row r="31">
      <c r="B31" s="26" t="str">
        <f>IFERROR(__xludf.DUMMYFUNCTION("""COMPUTED_VALUE"""),"FLT1465")</f>
        <v>FLT1465</v>
      </c>
      <c r="C31" s="26" t="str">
        <f>IFERROR(__xludf.DUMMYFUNCTION("""COMPUTED_VALUE"""),"RUN-FLMP_2022-01-10_RFR-053")</f>
        <v>RUN-FLMP_2022-01-10_RFR-053</v>
      </c>
      <c r="D31" s="185">
        <f>IFERROR(__xludf.DUMMYFUNCTION("""COMPUTED_VALUE"""),44571.0)</f>
        <v>44571</v>
      </c>
      <c r="E31" s="185">
        <f>IFERROR(__xludf.DUMMYFUNCTION("""COMPUTED_VALUE"""),44570.0)</f>
        <v>44570</v>
      </c>
      <c r="F31" s="186">
        <f>IFERROR(__xludf.DUMMYFUNCTION("""COMPUTED_VALUE"""),0.7574768518534256)</f>
        <v>0.7574768519</v>
      </c>
      <c r="G31" s="26" t="str">
        <f>IFERROR(__xludf.DUMMYFUNCTION("""COMPUTED_VALUE"""),"Positive")</f>
        <v>Positive</v>
      </c>
      <c r="H31" s="136" t="str">
        <f>IFERROR(VLOOKUP($B32,'Pos and Incl IMPORT'!$B$2:$X109,4,FALSE),IFERROR(0/0,""))</f>
        <v>SpFLMP418927</v>
      </c>
      <c r="I31" s="136"/>
      <c r="J31" s="136"/>
      <c r="K31" s="136" t="str">
        <f>IFERROR(VLOOKUP($B31,'Pos and Incl IMPORT'!$B$2:$P109,7,FALSE),IFERROR(0/0,""))</f>
        <v>Positive</v>
      </c>
      <c r="L31" s="187" t="str">
        <f>IFERROR(VLOOKUP($B31,'Pos and Incl IMPORT'!$B$2:$P109,11,FALSE),IFERROR(0/0,""))</f>
        <v/>
      </c>
      <c r="M31" s="136" t="str">
        <f>IFERROR(VLOOKUP($B31,'Pos and Incl IMPORT'!$B$2:$P109,12,FALSE),IFERROR(0/0,""))</f>
        <v/>
      </c>
      <c r="N31" s="136" t="str">
        <f>IFERROR(VLOOKUP($B31,'Pos and Incl IMPORT'!$B$2:$P109,13,FALSE),IFERROR(0/0,""))</f>
        <v/>
      </c>
      <c r="O31" s="187">
        <f>IFERROR(VLOOKUP($B31,'Pos and Incl IMPORT'!$B$2:$P109,14,FALSE),IFERROR(0/0,""))</f>
        <v>1</v>
      </c>
      <c r="P31" s="187">
        <f>IFERROR(VLOOKUP($B31,'Pos and Incl IMPORT'!$B$2:$P109,15,FALSE),IFERROR(0/0,""))</f>
        <v>856</v>
      </c>
      <c r="Q31" s="136" t="str">
        <f>IFERROR(VLOOKUP($B31,'Pos and Incl IMPORT'!$B$2:$S109,16,FALSE),IFERROR(0/0,""))</f>
        <v>FLMP147333</v>
      </c>
      <c r="R31" s="136" t="str">
        <f>IFERROR(VLOOKUP($B31,'Pos and Incl IMPORT'!$B$2:$S109,17,FALSE),IFERROR(0/0,""))</f>
        <v/>
      </c>
      <c r="S31" s="136" t="str">
        <f>IFERROR(VLOOKUP($B31,'Pos and Incl IMPORT'!$B$2:$S109,18,FALSE),IFERROR(0/0,""))</f>
        <v/>
      </c>
      <c r="T31" s="136" t="str">
        <f>IFERROR(VLOOKUP($B31,'Pos and Incl IMPORT'!$B$2:$S109,19,FALSE),IFERROR(0/0,""))</f>
        <v/>
      </c>
      <c r="U31" s="187">
        <f t="shared" si="1"/>
        <v>2</v>
      </c>
      <c r="V31" s="14"/>
      <c r="W31" s="14"/>
      <c r="X31" s="14"/>
      <c r="Y31" s="14"/>
    </row>
    <row r="32">
      <c r="B32" s="26" t="str">
        <f>IFERROR(__xludf.DUMMYFUNCTION("""COMPUTED_VALUE"""),"FLB5838")</f>
        <v>FLB5838</v>
      </c>
      <c r="C32" s="26" t="str">
        <f>IFERROR(__xludf.DUMMYFUNCTION("""COMPUTED_VALUE"""),"RUN-FLMP_2022-01-10_RFR-053")</f>
        <v>RUN-FLMP_2022-01-10_RFR-053</v>
      </c>
      <c r="D32" s="185">
        <f>IFERROR(__xludf.DUMMYFUNCTION("""COMPUTED_VALUE"""),44571.0)</f>
        <v>44571</v>
      </c>
      <c r="E32" s="185">
        <f>IFERROR(__xludf.DUMMYFUNCTION("""COMPUTED_VALUE"""),44570.0)</f>
        <v>44570</v>
      </c>
      <c r="F32" s="186">
        <f>IFERROR(__xludf.DUMMYFUNCTION("""COMPUTED_VALUE"""),0.762939814816491)</f>
        <v>0.7629398148</v>
      </c>
      <c r="G32" s="26" t="str">
        <f>IFERROR(__xludf.DUMMYFUNCTION("""COMPUTED_VALUE"""),"Positive")</f>
        <v>Positive</v>
      </c>
      <c r="H32" s="136" t="str">
        <f>IFERROR(VLOOKUP($B33,'Pos and Incl IMPORT'!$B$2:$X109,4,FALSE),IFERROR(0/0,""))</f>
        <v>SpFLMP496039</v>
      </c>
      <c r="I32" s="136"/>
      <c r="J32" s="136"/>
      <c r="K32" s="136" t="str">
        <f>IFERROR(VLOOKUP($B32,'Pos and Incl IMPORT'!$B$2:$P109,7,FALSE),IFERROR(0/0,""))</f>
        <v>Positive</v>
      </c>
      <c r="L32" s="187" t="str">
        <f>IFERROR(VLOOKUP($B32,'Pos and Incl IMPORT'!$B$2:$P109,11,FALSE),IFERROR(0/0,""))</f>
        <v/>
      </c>
      <c r="M32" s="136" t="str">
        <f>IFERROR(VLOOKUP($B32,'Pos and Incl IMPORT'!$B$2:$P109,12,FALSE),IFERROR(0/0,""))</f>
        <v/>
      </c>
      <c r="N32" s="136" t="str">
        <f>IFERROR(VLOOKUP($B32,'Pos and Incl IMPORT'!$B$2:$P109,13,FALSE),IFERROR(0/0,""))</f>
        <v/>
      </c>
      <c r="O32" s="187">
        <f>IFERROR(VLOOKUP($B32,'Pos and Incl IMPORT'!$B$2:$P109,14,FALSE),IFERROR(0/0,""))</f>
        <v>3</v>
      </c>
      <c r="P32" s="187">
        <f>IFERROR(VLOOKUP($B32,'Pos and Incl IMPORT'!$B$2:$P109,15,FALSE),IFERROR(0/0,""))</f>
        <v>857</v>
      </c>
      <c r="Q32" s="136" t="str">
        <f>IFERROR(VLOOKUP($B32,'Pos and Incl IMPORT'!$B$2:$S109,16,FALSE),IFERROR(0/0,""))</f>
        <v>FLMP202537</v>
      </c>
      <c r="R32" s="136" t="str">
        <f>IFERROR(VLOOKUP($B32,'Pos and Incl IMPORT'!$B$2:$S109,17,FALSE),IFERROR(0/0,""))</f>
        <v>FLMP876695</v>
      </c>
      <c r="S32" s="136" t="str">
        <f>IFERROR(VLOOKUP($B32,'Pos and Incl IMPORT'!$B$2:$S109,18,FALSE),IFERROR(0/0,""))</f>
        <v>FLMP909043</v>
      </c>
      <c r="T32" s="136" t="str">
        <f>IFERROR(VLOOKUP($B32,'Pos and Incl IMPORT'!$B$2:$S109,19,FALSE),IFERROR(0/0,""))</f>
        <v/>
      </c>
      <c r="U32" s="187">
        <f t="shared" si="1"/>
        <v>2</v>
      </c>
      <c r="V32" s="14"/>
      <c r="W32" s="14"/>
      <c r="X32" s="14"/>
      <c r="Y32" s="14"/>
    </row>
    <row r="33">
      <c r="B33" s="26" t="str">
        <f>IFERROR(__xludf.DUMMYFUNCTION("""COMPUTED_VALUE"""),"FLB7375")</f>
        <v>FLB7375</v>
      </c>
      <c r="C33" s="26" t="str">
        <f>IFERROR(__xludf.DUMMYFUNCTION("""COMPUTED_VALUE"""),"RUN-FLMP_2022-01-10_RFR-053")</f>
        <v>RUN-FLMP_2022-01-10_RFR-053</v>
      </c>
      <c r="D33" s="185">
        <f>IFERROR(__xludf.DUMMYFUNCTION("""COMPUTED_VALUE"""),44571.0)</f>
        <v>44571</v>
      </c>
      <c r="E33" s="185">
        <f>IFERROR(__xludf.DUMMYFUNCTION("""COMPUTED_VALUE"""),44571.0)</f>
        <v>44571</v>
      </c>
      <c r="F33" s="186">
        <f>IFERROR(__xludf.DUMMYFUNCTION("""COMPUTED_VALUE"""),0.0)</f>
        <v>0</v>
      </c>
      <c r="G33" s="26" t="str">
        <f>IFERROR(__xludf.DUMMYFUNCTION("""COMPUTED_VALUE"""),"Positive")</f>
        <v>Positive</v>
      </c>
      <c r="H33" s="136" t="str">
        <f>IFERROR(VLOOKUP($B34,'Pos and Incl IMPORT'!$B$2:$X109,4,FALSE),IFERROR(0/0,""))</f>
        <v>SpFLMP342787</v>
      </c>
      <c r="I33" s="136"/>
      <c r="J33" s="136"/>
      <c r="K33" s="136" t="str">
        <f>IFERROR(VLOOKUP($B33,'Pos and Incl IMPORT'!$B$2:$P109,7,FALSE),IFERROR(0/0,""))</f>
        <v/>
      </c>
      <c r="L33" s="187">
        <f>IFERROR(VLOOKUP($B33,'Pos and Incl IMPORT'!$B$2:$P109,11,FALSE),IFERROR(0/0,""))</f>
        <v>5</v>
      </c>
      <c r="M33" s="136" t="str">
        <f>IFERROR(VLOOKUP($B33,'Pos and Incl IMPORT'!$B$2:$P109,12,FALSE),IFERROR(0/0,""))</f>
        <v>Added Row from Staff Notes paper and staff reprot, confirmed by text message this tube was positive</v>
      </c>
      <c r="N33" s="136" t="str">
        <f>IFERROR(VLOOKUP($B33,'Pos and Incl IMPORT'!$B$2:$P109,13,FALSE),IFERROR(0/0,""))</f>
        <v/>
      </c>
      <c r="O33" s="187">
        <f>IFERROR(VLOOKUP($B33,'Pos and Incl IMPORT'!$B$2:$P109,14,FALSE),IFERROR(0/0,""))</f>
        <v>2</v>
      </c>
      <c r="P33" s="187">
        <f>IFERROR(VLOOKUP($B33,'Pos and Incl IMPORT'!$B$2:$P109,15,FALSE),IFERROR(0/0,""))</f>
        <v>876</v>
      </c>
      <c r="Q33" s="136" t="str">
        <f>IFERROR(VLOOKUP($B33,'Pos and Incl IMPORT'!$B$2:$S109,16,FALSE),IFERROR(0/0,""))</f>
        <v>FLMP205382</v>
      </c>
      <c r="R33" s="136" t="str">
        <f>IFERROR(VLOOKUP($B33,'Pos and Incl IMPORT'!$B$2:$S109,17,FALSE),IFERROR(0/0,""))</f>
        <v>FLMP818068</v>
      </c>
      <c r="S33" s="136" t="str">
        <f>IFERROR(VLOOKUP($B33,'Pos and Incl IMPORT'!$B$2:$S109,18,FALSE),IFERROR(0/0,""))</f>
        <v/>
      </c>
      <c r="T33" s="136" t="str">
        <f>IFERROR(VLOOKUP($B33,'Pos and Incl IMPORT'!$B$2:$S109,19,FALSE),IFERROR(0/0,""))</f>
        <v/>
      </c>
      <c r="U33" s="187">
        <f t="shared" si="1"/>
        <v>1</v>
      </c>
      <c r="V33" s="14"/>
      <c r="W33" s="14"/>
      <c r="X33" s="14"/>
      <c r="Y33" s="14"/>
    </row>
    <row r="34">
      <c r="B34" s="26" t="str">
        <f>IFERROR(__xludf.DUMMYFUNCTION("""COMPUTED_VALUE"""),"FLE296")</f>
        <v>FLE296</v>
      </c>
      <c r="C34" s="26" t="str">
        <f>IFERROR(__xludf.DUMMYFUNCTION("""COMPUTED_VALUE"""),"RUN-FLMP_2022-01-10_RFR-053")</f>
        <v>RUN-FLMP_2022-01-10_RFR-053</v>
      </c>
      <c r="D34" s="185">
        <f>IFERROR(__xludf.DUMMYFUNCTION("""COMPUTED_VALUE"""),44571.0)</f>
        <v>44571</v>
      </c>
      <c r="E34" s="185">
        <f>IFERROR(__xludf.DUMMYFUNCTION("""COMPUTED_VALUE"""),44571.0)</f>
        <v>44571</v>
      </c>
      <c r="F34" s="186">
        <f>IFERROR(__xludf.DUMMYFUNCTION("""COMPUTED_VALUE"""),0.33939814814948477)</f>
        <v>0.3393981481</v>
      </c>
      <c r="G34" s="26" t="str">
        <f>IFERROR(__xludf.DUMMYFUNCTION("""COMPUTED_VALUE"""),"Positive")</f>
        <v>Positive</v>
      </c>
      <c r="H34" s="136" t="str">
        <f>IFERROR(VLOOKUP($B35,'Pos and Incl IMPORT'!$B$2:$X109,4,FALSE),IFERROR(0/0,""))</f>
        <v>SpFLMP342787</v>
      </c>
      <c r="I34" s="136"/>
      <c r="J34" s="136"/>
      <c r="K34" s="136" t="str">
        <f>IFERROR(VLOOKUP($B34,'Pos and Incl IMPORT'!$B$2:$P109,7,FALSE),IFERROR(0/0,""))</f>
        <v>Positive</v>
      </c>
      <c r="L34" s="187" t="str">
        <f>IFERROR(VLOOKUP($B34,'Pos and Incl IMPORT'!$B$2:$P109,11,FALSE),IFERROR(0/0,""))</f>
        <v/>
      </c>
      <c r="M34" s="136" t="str">
        <f>IFERROR(VLOOKUP($B34,'Pos and Incl IMPORT'!$B$2:$P109,12,FALSE),IFERROR(0/0,""))</f>
        <v/>
      </c>
      <c r="N34" s="136" t="str">
        <f>IFERROR(VLOOKUP($B34,'Pos and Incl IMPORT'!$B$2:$P109,13,FALSE),IFERROR(0/0,""))</f>
        <v/>
      </c>
      <c r="O34" s="187">
        <f>IFERROR(VLOOKUP($B34,'Pos and Incl IMPORT'!$B$2:$P109,14,FALSE),IFERROR(0/0,""))</f>
        <v>1</v>
      </c>
      <c r="P34" s="187">
        <f>IFERROR(VLOOKUP($B34,'Pos and Incl IMPORT'!$B$2:$P109,15,FALSE),IFERROR(0/0,""))</f>
        <v>891</v>
      </c>
      <c r="Q34" s="136" t="str">
        <f>IFERROR(VLOOKUP($B34,'Pos and Incl IMPORT'!$B$2:$S109,16,FALSE),IFERROR(0/0,""))</f>
        <v>FLMP132084</v>
      </c>
      <c r="R34" s="136" t="str">
        <f>IFERROR(VLOOKUP($B34,'Pos and Incl IMPORT'!$B$2:$S109,17,FALSE),IFERROR(0/0,""))</f>
        <v/>
      </c>
      <c r="S34" s="136" t="str">
        <f>IFERROR(VLOOKUP($B34,'Pos and Incl IMPORT'!$B$2:$S109,18,FALSE),IFERROR(0/0,""))</f>
        <v/>
      </c>
      <c r="T34" s="136" t="str">
        <f>IFERROR(VLOOKUP($B34,'Pos and Incl IMPORT'!$B$2:$S109,19,FALSE),IFERROR(0/0,""))</f>
        <v/>
      </c>
      <c r="U34" s="187">
        <f t="shared" si="1"/>
        <v>2</v>
      </c>
      <c r="V34" s="14"/>
      <c r="W34" s="14"/>
      <c r="X34" s="14"/>
      <c r="Y34" s="14"/>
    </row>
    <row r="35">
      <c r="B35" s="26" t="str">
        <f>IFERROR(__xludf.DUMMYFUNCTION("""COMPUTED_VALUE"""),"FLB5866")</f>
        <v>FLB5866</v>
      </c>
      <c r="C35" s="26" t="str">
        <f>IFERROR(__xludf.DUMMYFUNCTION("""COMPUTED_VALUE"""),"RUN-FLMP_2022-01-10_RFR-053")</f>
        <v>RUN-FLMP_2022-01-10_RFR-053</v>
      </c>
      <c r="D35" s="185">
        <f>IFERROR(__xludf.DUMMYFUNCTION("""COMPUTED_VALUE"""),44571.0)</f>
        <v>44571</v>
      </c>
      <c r="E35" s="185">
        <f>IFERROR(__xludf.DUMMYFUNCTION("""COMPUTED_VALUE"""),44571.0)</f>
        <v>44571</v>
      </c>
      <c r="F35" s="186">
        <f>IFERROR(__xludf.DUMMYFUNCTION("""COMPUTED_VALUE"""),0.3410185185202863)</f>
        <v>0.3410185185</v>
      </c>
      <c r="G35" s="26" t="str">
        <f>IFERROR(__xludf.DUMMYFUNCTION("""COMPUTED_VALUE"""),"Positive")</f>
        <v>Positive</v>
      </c>
      <c r="H35" s="136" t="str">
        <f>IFERROR(VLOOKUP($B36,'Pos and Incl IMPORT'!$B$2:$X109,4,FALSE),IFERROR(0/0,""))</f>
        <v>SpFLMP600756</v>
      </c>
      <c r="I35" s="136"/>
      <c r="J35" s="136"/>
      <c r="K35" s="136" t="str">
        <f>IFERROR(VLOOKUP($B35,'Pos and Incl IMPORT'!$B$2:$P109,7,FALSE),IFERROR(0/0,""))</f>
        <v>Positive</v>
      </c>
      <c r="L35" s="187" t="str">
        <f>IFERROR(VLOOKUP($B35,'Pos and Incl IMPORT'!$B$2:$P109,11,FALSE),IFERROR(0/0,""))</f>
        <v/>
      </c>
      <c r="M35" s="136" t="str">
        <f>IFERROR(VLOOKUP($B35,'Pos and Incl IMPORT'!$B$2:$P109,12,FALSE),IFERROR(0/0,""))</f>
        <v/>
      </c>
      <c r="N35" s="136" t="str">
        <f>IFERROR(VLOOKUP($B35,'Pos and Incl IMPORT'!$B$2:$P109,13,FALSE),IFERROR(0/0,""))</f>
        <v/>
      </c>
      <c r="O35" s="187">
        <f>IFERROR(VLOOKUP($B35,'Pos and Incl IMPORT'!$B$2:$P109,14,FALSE),IFERROR(0/0,""))</f>
        <v>1</v>
      </c>
      <c r="P35" s="187">
        <f>IFERROR(VLOOKUP($B35,'Pos and Incl IMPORT'!$B$2:$P109,15,FALSE),IFERROR(0/0,""))</f>
        <v>892</v>
      </c>
      <c r="Q35" s="136" t="str">
        <f>IFERROR(VLOOKUP($B35,'Pos and Incl IMPORT'!$B$2:$S109,16,FALSE),IFERROR(0/0,""))</f>
        <v>FLMP676985</v>
      </c>
      <c r="R35" s="136" t="str">
        <f>IFERROR(VLOOKUP($B35,'Pos and Incl IMPORT'!$B$2:$S109,17,FALSE),IFERROR(0/0,""))</f>
        <v/>
      </c>
      <c r="S35" s="136" t="str">
        <f>IFERROR(VLOOKUP($B35,'Pos and Incl IMPORT'!$B$2:$S109,18,FALSE),IFERROR(0/0,""))</f>
        <v/>
      </c>
      <c r="T35" s="136" t="str">
        <f>IFERROR(VLOOKUP($B35,'Pos and Incl IMPORT'!$B$2:$S109,19,FALSE),IFERROR(0/0,""))</f>
        <v/>
      </c>
      <c r="U35" s="187">
        <f t="shared" si="1"/>
        <v>2</v>
      </c>
      <c r="V35" s="14"/>
      <c r="W35" s="14"/>
      <c r="X35" s="14"/>
      <c r="Y35" s="14"/>
    </row>
    <row r="36">
      <c r="B36" s="26" t="str">
        <f>IFERROR(__xludf.DUMMYFUNCTION("""COMPUTED_VALUE"""),"FLT1161")</f>
        <v>FLT1161</v>
      </c>
      <c r="C36" s="26" t="str">
        <f>IFERROR(__xludf.DUMMYFUNCTION("""COMPUTED_VALUE"""),"RUN-FLMP_2022-01-10_RFR-053")</f>
        <v>RUN-FLMP_2022-01-10_RFR-053</v>
      </c>
      <c r="D36" s="185">
        <f>IFERROR(__xludf.DUMMYFUNCTION("""COMPUTED_VALUE"""),44571.0)</f>
        <v>44571</v>
      </c>
      <c r="E36" s="185">
        <f>IFERROR(__xludf.DUMMYFUNCTION("""COMPUTED_VALUE"""),44571.0)</f>
        <v>44571</v>
      </c>
      <c r="F36" s="186">
        <f>IFERROR(__xludf.DUMMYFUNCTION("""COMPUTED_VALUE"""),0.35539351851912215)</f>
        <v>0.3553935185</v>
      </c>
      <c r="G36" s="26" t="str">
        <f>IFERROR(__xludf.DUMMYFUNCTION("""COMPUTED_VALUE"""),"Positive")</f>
        <v>Positive</v>
      </c>
      <c r="H36" s="136" t="str">
        <f>IFERROR(VLOOKUP($B37,'Pos and Incl IMPORT'!$B$2:$X109,4,FALSE),IFERROR(0/0,""))</f>
        <v>SpFLMP342787</v>
      </c>
      <c r="I36" s="136"/>
      <c r="J36" s="136"/>
      <c r="K36" s="136" t="str">
        <f>IFERROR(VLOOKUP($B36,'Pos and Incl IMPORT'!$B$2:$P109,7,FALSE),IFERROR(0/0,""))</f>
        <v>Positive</v>
      </c>
      <c r="L36" s="187" t="str">
        <f>IFERROR(VLOOKUP($B36,'Pos and Incl IMPORT'!$B$2:$P109,11,FALSE),IFERROR(0/0,""))</f>
        <v/>
      </c>
      <c r="M36" s="136" t="str">
        <f>IFERROR(VLOOKUP($B36,'Pos and Incl IMPORT'!$B$2:$P109,12,FALSE),IFERROR(0/0,""))</f>
        <v/>
      </c>
      <c r="N36" s="136" t="str">
        <f>IFERROR(VLOOKUP($B36,'Pos and Incl IMPORT'!$B$2:$P109,13,FALSE),IFERROR(0/0,""))</f>
        <v/>
      </c>
      <c r="O36" s="187">
        <f>IFERROR(VLOOKUP($B36,'Pos and Incl IMPORT'!$B$2:$P109,14,FALSE),IFERROR(0/0,""))</f>
        <v>3</v>
      </c>
      <c r="P36" s="187">
        <f>IFERROR(VLOOKUP($B36,'Pos and Incl IMPORT'!$B$2:$P109,15,FALSE),IFERROR(0/0,""))</f>
        <v>903</v>
      </c>
      <c r="Q36" s="136" t="str">
        <f>IFERROR(VLOOKUP($B36,'Pos and Incl IMPORT'!$B$2:$S109,16,FALSE),IFERROR(0/0,""))</f>
        <v>FLMP887888</v>
      </c>
      <c r="R36" s="136" t="str">
        <f>IFERROR(VLOOKUP($B36,'Pos and Incl IMPORT'!$B$2:$S109,17,FALSE),IFERROR(0/0,""))</f>
        <v>FLMP876455</v>
      </c>
      <c r="S36" s="136" t="str">
        <f>IFERROR(VLOOKUP($B36,'Pos and Incl IMPORT'!$B$2:$S109,18,FALSE),IFERROR(0/0,""))</f>
        <v>FLMP969044</v>
      </c>
      <c r="T36" s="136" t="str">
        <f>IFERROR(VLOOKUP($B36,'Pos and Incl IMPORT'!$B$2:$S109,19,FALSE),IFERROR(0/0,""))</f>
        <v/>
      </c>
      <c r="U36" s="187">
        <f t="shared" si="1"/>
        <v>2</v>
      </c>
      <c r="V36" s="14"/>
      <c r="W36" s="14"/>
      <c r="X36" s="14"/>
      <c r="Y36" s="14"/>
    </row>
    <row r="37">
      <c r="B37" s="26" t="str">
        <f>IFERROR(__xludf.DUMMYFUNCTION("""COMPUTED_VALUE"""),"FLE258")</f>
        <v>FLE258</v>
      </c>
      <c r="C37" s="26" t="str">
        <f>IFERROR(__xludf.DUMMYFUNCTION("""COMPUTED_VALUE"""),"RUN-FLMP_2022-01-10_RFR-053")</f>
        <v>RUN-FLMP_2022-01-10_RFR-053</v>
      </c>
      <c r="D37" s="185">
        <f>IFERROR(__xludf.DUMMYFUNCTION("""COMPUTED_VALUE"""),44571.0)</f>
        <v>44571</v>
      </c>
      <c r="E37" s="185">
        <f>IFERROR(__xludf.DUMMYFUNCTION("""COMPUTED_VALUE"""),44571.0)</f>
        <v>44571</v>
      </c>
      <c r="F37" s="186">
        <f>IFERROR(__xludf.DUMMYFUNCTION("""COMPUTED_VALUE"""),0.3584374999991269)</f>
        <v>0.3584375</v>
      </c>
      <c r="G37" s="26" t="str">
        <f>IFERROR(__xludf.DUMMYFUNCTION("""COMPUTED_VALUE"""),"Positive")</f>
        <v>Positive</v>
      </c>
      <c r="H37" s="136" t="str">
        <f>IFERROR(VLOOKUP($B38,'Pos and Incl IMPORT'!$B$2:$X109,4,FALSE),IFERROR(0/0,""))</f>
        <v>SpFLMP213396</v>
      </c>
      <c r="I37" s="136"/>
      <c r="J37" s="136"/>
      <c r="K37" s="136" t="str">
        <f>IFERROR(VLOOKUP($B37,'Pos and Incl IMPORT'!$B$2:$P109,7,FALSE),IFERROR(0/0,""))</f>
        <v>Positive</v>
      </c>
      <c r="L37" s="187" t="str">
        <f>IFERROR(VLOOKUP($B37,'Pos and Incl IMPORT'!$B$2:$P109,11,FALSE),IFERROR(0/0,""))</f>
        <v/>
      </c>
      <c r="M37" s="136" t="str">
        <f>IFERROR(VLOOKUP($B37,'Pos and Incl IMPORT'!$B$2:$P109,12,FALSE),IFERROR(0/0,""))</f>
        <v/>
      </c>
      <c r="N37" s="136" t="str">
        <f>IFERROR(VLOOKUP($B37,'Pos and Incl IMPORT'!$B$2:$P109,13,FALSE),IFERROR(0/0,""))</f>
        <v/>
      </c>
      <c r="O37" s="187">
        <f>IFERROR(VLOOKUP($B37,'Pos and Incl IMPORT'!$B$2:$P109,14,FALSE),IFERROR(0/0,""))</f>
        <v>1</v>
      </c>
      <c r="P37" s="187">
        <f>IFERROR(VLOOKUP($B37,'Pos and Incl IMPORT'!$B$2:$P109,15,FALSE),IFERROR(0/0,""))</f>
        <v>908</v>
      </c>
      <c r="Q37" s="136" t="str">
        <f>IFERROR(VLOOKUP($B37,'Pos and Incl IMPORT'!$B$2:$S109,16,FALSE),IFERROR(0/0,""))</f>
        <v>FLMP365997</v>
      </c>
      <c r="R37" s="136" t="str">
        <f>IFERROR(VLOOKUP($B37,'Pos and Incl IMPORT'!$B$2:$S109,17,FALSE),IFERROR(0/0,""))</f>
        <v/>
      </c>
      <c r="S37" s="136" t="str">
        <f>IFERROR(VLOOKUP($B37,'Pos and Incl IMPORT'!$B$2:$S109,18,FALSE),IFERROR(0/0,""))</f>
        <v/>
      </c>
      <c r="T37" s="136" t="str">
        <f>IFERROR(VLOOKUP($B37,'Pos and Incl IMPORT'!$B$2:$S109,19,FALSE),IFERROR(0/0,""))</f>
        <v/>
      </c>
      <c r="U37" s="187">
        <f t="shared" si="1"/>
        <v>2</v>
      </c>
      <c r="V37" s="14"/>
      <c r="W37" s="14"/>
      <c r="X37" s="14"/>
      <c r="Y37" s="14"/>
    </row>
    <row r="38">
      <c r="B38" s="26" t="str">
        <f>IFERROR(__xludf.DUMMYFUNCTION("""COMPUTED_VALUE"""),"FLT1495")</f>
        <v>FLT1495</v>
      </c>
      <c r="C38" s="26" t="str">
        <f>IFERROR(__xludf.DUMMYFUNCTION("""COMPUTED_VALUE"""),"RUN-FLMP_2022-01-10_RFR-053")</f>
        <v>RUN-FLMP_2022-01-10_RFR-053</v>
      </c>
      <c r="D38" s="185">
        <f>IFERROR(__xludf.DUMMYFUNCTION("""COMPUTED_VALUE"""),44571.0)</f>
        <v>44571</v>
      </c>
      <c r="E38" s="185">
        <f>IFERROR(__xludf.DUMMYFUNCTION("""COMPUTED_VALUE"""),44571.0)</f>
        <v>44571</v>
      </c>
      <c r="F38" s="186">
        <f>IFERROR(__xludf.DUMMYFUNCTION("""COMPUTED_VALUE"""),0.3728240740747424)</f>
        <v>0.3728240741</v>
      </c>
      <c r="G38" s="26" t="str">
        <f>IFERROR(__xludf.DUMMYFUNCTION("""COMPUTED_VALUE"""),"Positive")</f>
        <v>Positive</v>
      </c>
      <c r="H38" s="136" t="str">
        <f>IFERROR(VLOOKUP($B39,'Pos and Incl IMPORT'!$B$2:$X109,4,FALSE),IFERROR(0/0,""))</f>
        <v>SpFLMP213396</v>
      </c>
      <c r="I38" s="136"/>
      <c r="J38" s="136"/>
      <c r="K38" s="136" t="str">
        <f>IFERROR(VLOOKUP($B38,'Pos and Incl IMPORT'!$B$2:$P109,7,FALSE),IFERROR(0/0,""))</f>
        <v>Positive</v>
      </c>
      <c r="L38" s="187" t="str">
        <f>IFERROR(VLOOKUP($B38,'Pos and Incl IMPORT'!$B$2:$P109,11,FALSE),IFERROR(0/0,""))</f>
        <v/>
      </c>
      <c r="M38" s="136" t="str">
        <f>IFERROR(VLOOKUP($B38,'Pos and Incl IMPORT'!$B$2:$P109,12,FALSE),IFERROR(0/0,""))</f>
        <v/>
      </c>
      <c r="N38" s="136" t="str">
        <f>IFERROR(VLOOKUP($B38,'Pos and Incl IMPORT'!$B$2:$P109,13,FALSE),IFERROR(0/0,""))</f>
        <v/>
      </c>
      <c r="O38" s="187">
        <f>IFERROR(VLOOKUP($B38,'Pos and Incl IMPORT'!$B$2:$P109,14,FALSE),IFERROR(0/0,""))</f>
        <v>1</v>
      </c>
      <c r="P38" s="187">
        <f>IFERROR(VLOOKUP($B38,'Pos and Incl IMPORT'!$B$2:$P109,15,FALSE),IFERROR(0/0,""))</f>
        <v>917</v>
      </c>
      <c r="Q38" s="136" t="str">
        <f>IFERROR(VLOOKUP($B38,'Pos and Incl IMPORT'!$B$2:$S109,16,FALSE),IFERROR(0/0,""))</f>
        <v>FLMP455751</v>
      </c>
      <c r="R38" s="136" t="str">
        <f>IFERROR(VLOOKUP($B38,'Pos and Incl IMPORT'!$B$2:$S109,17,FALSE),IFERROR(0/0,""))</f>
        <v/>
      </c>
      <c r="S38" s="136" t="str">
        <f>IFERROR(VLOOKUP($B38,'Pos and Incl IMPORT'!$B$2:$S109,18,FALSE),IFERROR(0/0,""))</f>
        <v/>
      </c>
      <c r="T38" s="136" t="str">
        <f>IFERROR(VLOOKUP($B38,'Pos and Incl IMPORT'!$B$2:$S109,19,FALSE),IFERROR(0/0,""))</f>
        <v/>
      </c>
      <c r="U38" s="187">
        <f t="shared" si="1"/>
        <v>1</v>
      </c>
      <c r="V38" s="14"/>
      <c r="W38" s="14"/>
      <c r="X38" s="14"/>
      <c r="Y38" s="14"/>
    </row>
    <row r="39">
      <c r="B39" s="26" t="str">
        <f>IFERROR(__xludf.DUMMYFUNCTION("""COMPUTED_VALUE"""),"FLT1472")</f>
        <v>FLT1472</v>
      </c>
      <c r="C39" s="26" t="str">
        <f>IFERROR(__xludf.DUMMYFUNCTION("""COMPUTED_VALUE"""),"RUN-FLMP_2022-01-10_RFR-053")</f>
        <v>RUN-FLMP_2022-01-10_RFR-053</v>
      </c>
      <c r="D39" s="185">
        <f>IFERROR(__xludf.DUMMYFUNCTION("""COMPUTED_VALUE"""),44571.0)</f>
        <v>44571</v>
      </c>
      <c r="E39" s="185">
        <f>IFERROR(__xludf.DUMMYFUNCTION("""COMPUTED_VALUE"""),44571.0)</f>
        <v>44571</v>
      </c>
      <c r="F39" s="186">
        <f>IFERROR(__xludf.DUMMYFUNCTION("""COMPUTED_VALUE"""),0.37465277777664596)</f>
        <v>0.3746527778</v>
      </c>
      <c r="G39" s="26" t="str">
        <f>IFERROR(__xludf.DUMMYFUNCTION("""COMPUTED_VALUE"""),"Inconclusive")</f>
        <v>Inconclusive</v>
      </c>
      <c r="H39" s="136" t="str">
        <f>IFERROR(VLOOKUP($B40,'Pos and Incl IMPORT'!$B$2:$X109,4,FALSE),IFERROR(0/0,""))</f>
        <v>SpFLMP600756</v>
      </c>
      <c r="I39" s="136"/>
      <c r="J39" s="136"/>
      <c r="K39" s="136" t="str">
        <f>IFERROR(VLOOKUP($B39,'Pos and Incl IMPORT'!$B$2:$P109,7,FALSE),IFERROR(0/0,""))</f>
        <v>Inconclusive</v>
      </c>
      <c r="L39" s="187" t="str">
        <f>IFERROR(VLOOKUP($B39,'Pos and Incl IMPORT'!$B$2:$P109,11,FALSE),IFERROR(0/0,""))</f>
        <v/>
      </c>
      <c r="M39" s="136" t="str">
        <f>IFERROR(VLOOKUP($B39,'Pos and Incl IMPORT'!$B$2:$P109,12,FALSE),IFERROR(0/0,""))</f>
        <v/>
      </c>
      <c r="N39" s="136" t="str">
        <f>IFERROR(VLOOKUP($B39,'Pos and Incl IMPORT'!$B$2:$P109,13,FALSE),IFERROR(0/0,""))</f>
        <v/>
      </c>
      <c r="O39" s="187">
        <f>IFERROR(VLOOKUP($B39,'Pos and Incl IMPORT'!$B$2:$P109,14,FALSE),IFERROR(0/0,""))</f>
        <v>1</v>
      </c>
      <c r="P39" s="187">
        <f>IFERROR(VLOOKUP($B39,'Pos and Incl IMPORT'!$B$2:$P109,15,FALSE),IFERROR(0/0,""))</f>
        <v>918</v>
      </c>
      <c r="Q39" s="136" t="str">
        <f>IFERROR(VLOOKUP($B39,'Pos and Incl IMPORT'!$B$2:$S109,16,FALSE),IFERROR(0/0,""))</f>
        <v>FLMP912235</v>
      </c>
      <c r="R39" s="136" t="str">
        <f>IFERROR(VLOOKUP($B39,'Pos and Incl IMPORT'!$B$2:$S109,17,FALSE),IFERROR(0/0,""))</f>
        <v/>
      </c>
      <c r="S39" s="136" t="str">
        <f>IFERROR(VLOOKUP($B39,'Pos and Incl IMPORT'!$B$2:$S109,18,FALSE),IFERROR(0/0,""))</f>
        <v/>
      </c>
      <c r="T39" s="136" t="str">
        <f>IFERROR(VLOOKUP($B39,'Pos and Incl IMPORT'!$B$2:$S109,19,FALSE),IFERROR(0/0,""))</f>
        <v/>
      </c>
      <c r="U39" s="187">
        <f t="shared" si="1"/>
        <v>1</v>
      </c>
      <c r="V39" s="14"/>
      <c r="W39" s="14"/>
      <c r="X39" s="14"/>
      <c r="Y39" s="14"/>
    </row>
    <row r="40">
      <c r="B40" s="26" t="str">
        <f>IFERROR(__xludf.DUMMYFUNCTION("""COMPUTED_VALUE"""),"FLT1434")</f>
        <v>FLT1434</v>
      </c>
      <c r="C40" s="26" t="str">
        <f>IFERROR(__xludf.DUMMYFUNCTION("""COMPUTED_VALUE"""),"RUN-FLMP_2022-01-10_RFR-055")</f>
        <v>RUN-FLMP_2022-01-10_RFR-055</v>
      </c>
      <c r="D40" s="185">
        <f>IFERROR(__xludf.DUMMYFUNCTION("""COMPUTED_VALUE"""),44571.0)</f>
        <v>44571</v>
      </c>
      <c r="E40" s="185">
        <f>IFERROR(__xludf.DUMMYFUNCTION("""COMPUTED_VALUE"""),44571.0)</f>
        <v>44571</v>
      </c>
      <c r="F40" s="186">
        <f>IFERROR(__xludf.DUMMYFUNCTION("""COMPUTED_VALUE"""),0.6599189814805868)</f>
        <v>0.6599189815</v>
      </c>
      <c r="G40" s="26" t="str">
        <f>IFERROR(__xludf.DUMMYFUNCTION("""COMPUTED_VALUE"""),"Positive")</f>
        <v>Positive</v>
      </c>
      <c r="H40" s="136" t="str">
        <f>IFERROR(VLOOKUP($B41,'Pos and Incl IMPORT'!$B$2:$X109,4,FALSE),IFERROR(0/0,""))</f>
        <v>SpFLMP120998</v>
      </c>
      <c r="I40" s="136"/>
      <c r="J40" s="136"/>
      <c r="K40" s="136" t="str">
        <f>IFERROR(VLOOKUP($B40,'Pos and Incl IMPORT'!$B$2:$P109,7,FALSE),IFERROR(0/0,""))</f>
        <v>Positive</v>
      </c>
      <c r="L40" s="187" t="str">
        <f>IFERROR(VLOOKUP($B40,'Pos and Incl IMPORT'!$B$2:$P109,11,FALSE),IFERROR(0/0,""))</f>
        <v/>
      </c>
      <c r="M40" s="136" t="str">
        <f>IFERROR(VLOOKUP($B40,'Pos and Incl IMPORT'!$B$2:$P109,12,FALSE),IFERROR(0/0,""))</f>
        <v/>
      </c>
      <c r="N40" s="136" t="str">
        <f>IFERROR(VLOOKUP($B40,'Pos and Incl IMPORT'!$B$2:$P109,13,FALSE),IFERROR(0/0,""))</f>
        <v/>
      </c>
      <c r="O40" s="187">
        <f>IFERROR(VLOOKUP($B40,'Pos and Incl IMPORT'!$B$2:$P109,14,FALSE),IFERROR(0/0,""))</f>
        <v>1</v>
      </c>
      <c r="P40" s="187">
        <f>IFERROR(VLOOKUP($B40,'Pos and Incl IMPORT'!$B$2:$P109,15,FALSE),IFERROR(0/0,""))</f>
        <v>921</v>
      </c>
      <c r="Q40" s="136" t="str">
        <f>IFERROR(VLOOKUP($B40,'Pos and Incl IMPORT'!$B$2:$S109,16,FALSE),IFERROR(0/0,""))</f>
        <v>FLMP887888</v>
      </c>
      <c r="R40" s="136" t="str">
        <f>IFERROR(VLOOKUP($B40,'Pos and Incl IMPORT'!$B$2:$S109,17,FALSE),IFERROR(0/0,""))</f>
        <v/>
      </c>
      <c r="S40" s="136" t="str">
        <f>IFERROR(VLOOKUP($B40,'Pos and Incl IMPORT'!$B$2:$S109,18,FALSE),IFERROR(0/0,""))</f>
        <v/>
      </c>
      <c r="T40" s="136" t="str">
        <f>IFERROR(VLOOKUP($B40,'Pos and Incl IMPORT'!$B$2:$S109,19,FALSE),IFERROR(0/0,""))</f>
        <v/>
      </c>
      <c r="U40" s="187">
        <f t="shared" si="1"/>
        <v>2</v>
      </c>
      <c r="V40" s="14"/>
      <c r="W40" s="14"/>
      <c r="X40" s="14"/>
      <c r="Y40" s="14"/>
    </row>
    <row r="41">
      <c r="B41" s="26" t="str">
        <f>IFERROR(__xludf.DUMMYFUNCTION("""COMPUTED_VALUE"""),"MA26")</f>
        <v>MA26</v>
      </c>
      <c r="C41" s="26" t="str">
        <f>IFERROR(__xludf.DUMMYFUNCTION("""COMPUTED_VALUE"""),"RUN-FLMP_2022-01-11_RFR-059")</f>
        <v>RUN-FLMP_2022-01-11_RFR-059</v>
      </c>
      <c r="D41" s="185">
        <f>IFERROR(__xludf.DUMMYFUNCTION("""COMPUTED_VALUE"""),44572.0)</f>
        <v>44572</v>
      </c>
      <c r="E41" s="185">
        <f>IFERROR(__xludf.DUMMYFUNCTION("""COMPUTED_VALUE"""),44572.0)</f>
        <v>44572</v>
      </c>
      <c r="F41" s="186">
        <f>IFERROR(__xludf.DUMMYFUNCTION("""COMPUTED_VALUE"""),0.6732986111128412)</f>
        <v>0.6732986111</v>
      </c>
      <c r="G41" s="26" t="str">
        <f>IFERROR(__xludf.DUMMYFUNCTION("""COMPUTED_VALUE"""),"Positive")</f>
        <v>Positive</v>
      </c>
      <c r="H41" s="136" t="str">
        <f>IFERROR(VLOOKUP($B42,'Pos and Incl IMPORT'!$B$2:$X109,4,FALSE),IFERROR(0/0,""))</f>
        <v>SpFLMP649771</v>
      </c>
      <c r="I41" s="136"/>
      <c r="J41" s="136"/>
      <c r="K41" s="136" t="str">
        <f>IFERROR(VLOOKUP($B41,'Pos and Incl IMPORT'!$B$2:$P109,7,FALSE),IFERROR(0/0,""))</f>
        <v>Positive</v>
      </c>
      <c r="L41" s="187" t="str">
        <f>IFERROR(VLOOKUP($B41,'Pos and Incl IMPORT'!$B$2:$P109,11,FALSE),IFERROR(0/0,""))</f>
        <v/>
      </c>
      <c r="M41" s="136" t="str">
        <f>IFERROR(VLOOKUP($B41,'Pos and Incl IMPORT'!$B$2:$P109,12,FALSE),IFERROR(0/0,""))</f>
        <v/>
      </c>
      <c r="N41" s="136" t="str">
        <f>IFERROR(VLOOKUP($B41,'Pos and Incl IMPORT'!$B$2:$P109,13,FALSE),IFERROR(0/0,""))</f>
        <v/>
      </c>
      <c r="O41" s="187">
        <f>IFERROR(VLOOKUP($B41,'Pos and Incl IMPORT'!$B$2:$P109,14,FALSE),IFERROR(0/0,""))</f>
        <v>1</v>
      </c>
      <c r="P41" s="187">
        <f>IFERROR(VLOOKUP($B41,'Pos and Incl IMPORT'!$B$2:$P109,15,FALSE),IFERROR(0/0,""))</f>
        <v>928</v>
      </c>
      <c r="Q41" s="136" t="str">
        <f>IFERROR(VLOOKUP($B41,'Pos and Incl IMPORT'!$B$2:$S109,16,FALSE),IFERROR(0/0,""))</f>
        <v>FLMP233123</v>
      </c>
      <c r="R41" s="136" t="str">
        <f>IFERROR(VLOOKUP($B41,'Pos and Incl IMPORT'!$B$2:$S109,17,FALSE),IFERROR(0/0,""))</f>
        <v/>
      </c>
      <c r="S41" s="136" t="str">
        <f>IFERROR(VLOOKUP($B41,'Pos and Incl IMPORT'!$B$2:$S109,18,FALSE),IFERROR(0/0,""))</f>
        <v/>
      </c>
      <c r="T41" s="136" t="str">
        <f>IFERROR(VLOOKUP($B41,'Pos and Incl IMPORT'!$B$2:$S109,19,FALSE),IFERROR(0/0,""))</f>
        <v/>
      </c>
      <c r="U41" s="187">
        <f t="shared" si="1"/>
        <v>1</v>
      </c>
      <c r="V41" s="14"/>
      <c r="W41" s="14"/>
      <c r="X41" s="14"/>
      <c r="Y41" s="14"/>
    </row>
    <row r="42">
      <c r="B42" s="26" t="str">
        <f>IFERROR(__xludf.DUMMYFUNCTION("""COMPUTED_VALUE"""),"FLB6850")</f>
        <v>FLB6850</v>
      </c>
      <c r="C42" s="26" t="str">
        <f>IFERROR(__xludf.DUMMYFUNCTION("""COMPUTED_VALUE"""),"RUN-FLMP_2022-01-17_RFR-063")</f>
        <v>RUN-FLMP_2022-01-17_RFR-063</v>
      </c>
      <c r="D42" s="185">
        <f>IFERROR(__xludf.DUMMYFUNCTION("""COMPUTED_VALUE"""),44578.0)</f>
        <v>44578</v>
      </c>
      <c r="E42" s="185">
        <f>IFERROR(__xludf.DUMMYFUNCTION("""COMPUTED_VALUE"""),44578.0)</f>
        <v>44578</v>
      </c>
      <c r="F42" s="186">
        <f>IFERROR(__xludf.DUMMYFUNCTION("""COMPUTED_VALUE"""),0.4287499999991269)</f>
        <v>0.42875</v>
      </c>
      <c r="G42" s="26" t="str">
        <f>IFERROR(__xludf.DUMMYFUNCTION("""COMPUTED_VALUE"""),"Positive")</f>
        <v>Positive</v>
      </c>
      <c r="H42" s="136" t="str">
        <f>IFERROR(VLOOKUP($B43,'Pos and Incl IMPORT'!$B$2:$X109,4,FALSE),IFERROR(0/0,""))</f>
        <v>SpFLMP649771</v>
      </c>
      <c r="I42" s="136"/>
      <c r="J42" s="136"/>
      <c r="K42" s="136" t="str">
        <f>IFERROR(VLOOKUP($B42,'Pos and Incl IMPORT'!$B$2:$P109,7,FALSE),IFERROR(0/0,""))</f>
        <v>Positive</v>
      </c>
      <c r="L42" s="187" t="str">
        <f>IFERROR(VLOOKUP($B42,'Pos and Incl IMPORT'!$B$2:$P109,11,FALSE),IFERROR(0/0,""))</f>
        <v/>
      </c>
      <c r="M42" s="136" t="str">
        <f>IFERROR(VLOOKUP($B42,'Pos and Incl IMPORT'!$B$2:$P109,12,FALSE),IFERROR(0/0,""))</f>
        <v/>
      </c>
      <c r="N42" s="136" t="str">
        <f>IFERROR(VLOOKUP($B42,'Pos and Incl IMPORT'!$B$2:$P109,13,FALSE),IFERROR(0/0,""))</f>
        <v/>
      </c>
      <c r="O42" s="187">
        <f>IFERROR(VLOOKUP($B42,'Pos and Incl IMPORT'!$B$2:$P109,14,FALSE),IFERROR(0/0,""))</f>
        <v>1</v>
      </c>
      <c r="P42" s="187">
        <f>IFERROR(VLOOKUP($B42,'Pos and Incl IMPORT'!$B$2:$P109,15,FALSE),IFERROR(0/0,""))</f>
        <v>1034</v>
      </c>
      <c r="Q42" s="136" t="str">
        <f>IFERROR(VLOOKUP($B42,'Pos and Incl IMPORT'!$B$2:$S109,16,FALSE),IFERROR(0/0,""))</f>
        <v>FLMP330127</v>
      </c>
      <c r="R42" s="136" t="str">
        <f>IFERROR(VLOOKUP($B42,'Pos and Incl IMPORT'!$B$2:$S109,17,FALSE),IFERROR(0/0,""))</f>
        <v/>
      </c>
      <c r="S42" s="136" t="str">
        <f>IFERROR(VLOOKUP($B42,'Pos and Incl IMPORT'!$B$2:$S109,18,FALSE),IFERROR(0/0,""))</f>
        <v/>
      </c>
      <c r="T42" s="136" t="str">
        <f>IFERROR(VLOOKUP($B42,'Pos and Incl IMPORT'!$B$2:$S109,19,FALSE),IFERROR(0/0,""))</f>
        <v/>
      </c>
      <c r="U42" s="187">
        <f t="shared" si="1"/>
        <v>2</v>
      </c>
      <c r="V42" s="14"/>
      <c r="W42" s="14"/>
      <c r="X42" s="14"/>
      <c r="Y42" s="14"/>
    </row>
    <row r="43">
      <c r="B43" s="26" t="str">
        <f>IFERROR(__xludf.DUMMYFUNCTION("""COMPUTED_VALUE"""),"FLT1172")</f>
        <v>FLT1172</v>
      </c>
      <c r="C43" s="26" t="str">
        <f>IFERROR(__xludf.DUMMYFUNCTION("""COMPUTED_VALUE"""),"RUN-FLMP_2022-01-17_RFR-063")</f>
        <v>RUN-FLMP_2022-01-17_RFR-063</v>
      </c>
      <c r="D43" s="185">
        <f>IFERROR(__xludf.DUMMYFUNCTION("""COMPUTED_VALUE"""),44578.0)</f>
        <v>44578</v>
      </c>
      <c r="E43" s="185">
        <f>IFERROR(__xludf.DUMMYFUNCTION("""COMPUTED_VALUE"""),44578.0)</f>
        <v>44578</v>
      </c>
      <c r="F43" s="186">
        <f>IFERROR(__xludf.DUMMYFUNCTION("""COMPUTED_VALUE"""),0.42949074074203963)</f>
        <v>0.4294907407</v>
      </c>
      <c r="G43" s="26" t="str">
        <f>IFERROR(__xludf.DUMMYFUNCTION("""COMPUTED_VALUE"""),"Positive")</f>
        <v>Positive</v>
      </c>
      <c r="H43" s="136" t="str">
        <f>IFERROR(VLOOKUP($B44,'Pos and Incl IMPORT'!$B$2:$X109,4,FALSE),IFERROR(0/0,""))</f>
        <v>SpFLMP649771</v>
      </c>
      <c r="I43" s="136"/>
      <c r="J43" s="136"/>
      <c r="K43" s="136" t="str">
        <f>IFERROR(VLOOKUP($B43,'Pos and Incl IMPORT'!$B$2:$P109,7,FALSE),IFERROR(0/0,""))</f>
        <v>Positive</v>
      </c>
      <c r="L43" s="187" t="str">
        <f>IFERROR(VLOOKUP($B43,'Pos and Incl IMPORT'!$B$2:$P109,11,FALSE),IFERROR(0/0,""))</f>
        <v/>
      </c>
      <c r="M43" s="136" t="str">
        <f>IFERROR(VLOOKUP($B43,'Pos and Incl IMPORT'!$B$2:$P109,12,FALSE),IFERROR(0/0,""))</f>
        <v/>
      </c>
      <c r="N43" s="136" t="str">
        <f>IFERROR(VLOOKUP($B43,'Pos and Incl IMPORT'!$B$2:$P109,13,FALSE),IFERROR(0/0,""))</f>
        <v/>
      </c>
      <c r="O43" s="187">
        <f>IFERROR(VLOOKUP($B43,'Pos and Incl IMPORT'!$B$2:$P109,14,FALSE),IFERROR(0/0,""))</f>
        <v>1</v>
      </c>
      <c r="P43" s="187">
        <f>IFERROR(VLOOKUP($B43,'Pos and Incl IMPORT'!$B$2:$P109,15,FALSE),IFERROR(0/0,""))</f>
        <v>1035</v>
      </c>
      <c r="Q43" s="136" t="str">
        <f>IFERROR(VLOOKUP($B43,'Pos and Incl IMPORT'!$B$2:$S109,16,FALSE),IFERROR(0/0,""))</f>
        <v>FLMP147333</v>
      </c>
      <c r="R43" s="136" t="str">
        <f>IFERROR(VLOOKUP($B43,'Pos and Incl IMPORT'!$B$2:$S109,17,FALSE),IFERROR(0/0,""))</f>
        <v/>
      </c>
      <c r="S43" s="136" t="str">
        <f>IFERROR(VLOOKUP($B43,'Pos and Incl IMPORT'!$B$2:$S109,18,FALSE),IFERROR(0/0,""))</f>
        <v/>
      </c>
      <c r="T43" s="136" t="str">
        <f>IFERROR(VLOOKUP($B43,'Pos and Incl IMPORT'!$B$2:$S109,19,FALSE),IFERROR(0/0,""))</f>
        <v/>
      </c>
      <c r="U43" s="187">
        <f t="shared" si="1"/>
        <v>2</v>
      </c>
      <c r="V43" s="14"/>
      <c r="W43" s="14"/>
      <c r="X43" s="14"/>
      <c r="Y43" s="14"/>
    </row>
    <row r="44">
      <c r="B44" s="26" t="str">
        <f>IFERROR(__xludf.DUMMYFUNCTION("""COMPUTED_VALUE"""),"FLT1129")</f>
        <v>FLT1129</v>
      </c>
      <c r="C44" s="26" t="str">
        <f>IFERROR(__xludf.DUMMYFUNCTION("""COMPUTED_VALUE"""),"RUN-FLMP_2022-01-17_RFR-063")</f>
        <v>RUN-FLMP_2022-01-17_RFR-063</v>
      </c>
      <c r="D44" s="185">
        <f>IFERROR(__xludf.DUMMYFUNCTION("""COMPUTED_VALUE"""),44578.0)</f>
        <v>44578</v>
      </c>
      <c r="E44" s="185">
        <f>IFERROR(__xludf.DUMMYFUNCTION("""COMPUTED_VALUE"""),44578.0)</f>
        <v>44578</v>
      </c>
      <c r="F44" s="186">
        <f>IFERROR(__xludf.DUMMYFUNCTION("""COMPUTED_VALUE"""),0.4324884259258397)</f>
        <v>0.4324884259</v>
      </c>
      <c r="G44" s="26" t="str">
        <f>IFERROR(__xludf.DUMMYFUNCTION("""COMPUTED_VALUE"""),"Positive")</f>
        <v>Positive</v>
      </c>
      <c r="H44" s="136" t="str">
        <f>IFERROR(VLOOKUP($B45,'Pos and Incl IMPORT'!$B$2:$X109,4,FALSE),IFERROR(0/0,""))</f>
        <v>SpFLMP418927</v>
      </c>
      <c r="I44" s="136"/>
      <c r="J44" s="136"/>
      <c r="K44" s="136" t="str">
        <f>IFERROR(VLOOKUP($B44,'Pos and Incl IMPORT'!$B$2:$P109,7,FALSE),IFERROR(0/0,""))</f>
        <v>Positive</v>
      </c>
      <c r="L44" s="187" t="str">
        <f>IFERROR(VLOOKUP($B44,'Pos and Incl IMPORT'!$B$2:$P109,11,FALSE),IFERROR(0/0,""))</f>
        <v/>
      </c>
      <c r="M44" s="136" t="str">
        <f>IFERROR(VLOOKUP($B44,'Pos and Incl IMPORT'!$B$2:$P109,12,FALSE),IFERROR(0/0,""))</f>
        <v/>
      </c>
      <c r="N44" s="136" t="str">
        <f>IFERROR(VLOOKUP($B44,'Pos and Incl IMPORT'!$B$2:$P109,13,FALSE),IFERROR(0/0,""))</f>
        <v/>
      </c>
      <c r="O44" s="187">
        <f>IFERROR(VLOOKUP($B44,'Pos and Incl IMPORT'!$B$2:$P109,14,FALSE),IFERROR(0/0,""))</f>
        <v>1</v>
      </c>
      <c r="P44" s="187">
        <f>IFERROR(VLOOKUP($B44,'Pos and Incl IMPORT'!$B$2:$P109,15,FALSE),IFERROR(0/0,""))</f>
        <v>1037</v>
      </c>
      <c r="Q44" s="136" t="str">
        <f>IFERROR(VLOOKUP($B44,'Pos and Incl IMPORT'!$B$2:$S109,16,FALSE),IFERROR(0/0,""))</f>
        <v>FLMP601970</v>
      </c>
      <c r="R44" s="136" t="str">
        <f>IFERROR(VLOOKUP($B44,'Pos and Incl IMPORT'!$B$2:$S109,17,FALSE),IFERROR(0/0,""))</f>
        <v/>
      </c>
      <c r="S44" s="136" t="str">
        <f>IFERROR(VLOOKUP($B44,'Pos and Incl IMPORT'!$B$2:$S109,18,FALSE),IFERROR(0/0,""))</f>
        <v/>
      </c>
      <c r="T44" s="136" t="str">
        <f>IFERROR(VLOOKUP($B44,'Pos and Incl IMPORT'!$B$2:$S109,19,FALSE),IFERROR(0/0,""))</f>
        <v/>
      </c>
      <c r="U44" s="187">
        <f t="shared" si="1"/>
        <v>1</v>
      </c>
      <c r="V44" s="14"/>
      <c r="W44" s="14"/>
      <c r="X44" s="14"/>
      <c r="Y44" s="14"/>
    </row>
    <row r="45">
      <c r="B45" s="26" t="str">
        <f>IFERROR(__xludf.DUMMYFUNCTION("""COMPUTED_VALUE"""),"FLB5837")</f>
        <v>FLB5837</v>
      </c>
      <c r="C45" s="26" t="str">
        <f>IFERROR(__xludf.DUMMYFUNCTION("""COMPUTED_VALUE"""),"RUN-FLMP_2022-01-17_RFR-063")</f>
        <v>RUN-FLMP_2022-01-17_RFR-063</v>
      </c>
      <c r="D45" s="185">
        <f>IFERROR(__xludf.DUMMYFUNCTION("""COMPUTED_VALUE"""),44578.0)</f>
        <v>44578</v>
      </c>
      <c r="E45" s="185">
        <f>IFERROR(__xludf.DUMMYFUNCTION("""COMPUTED_VALUE"""),44578.0)</f>
        <v>44578</v>
      </c>
      <c r="F45" s="186">
        <f>IFERROR(__xludf.DUMMYFUNCTION("""COMPUTED_VALUE"""),0.44460648148015025)</f>
        <v>0.4446064815</v>
      </c>
      <c r="G45" s="26" t="str">
        <f>IFERROR(__xludf.DUMMYFUNCTION("""COMPUTED_VALUE"""),"Positive")</f>
        <v>Positive</v>
      </c>
      <c r="H45" s="136" t="str">
        <f>IFERROR(VLOOKUP($B46,'Pos and Incl IMPORT'!$B$2:$X109,4,FALSE),IFERROR(0/0,""))</f>
        <v>SpFLMP125859</v>
      </c>
      <c r="I45" s="136"/>
      <c r="J45" s="136"/>
      <c r="K45" s="136" t="str">
        <f>IFERROR(VLOOKUP($B45,'Pos and Incl IMPORT'!$B$2:$P109,7,FALSE),IFERROR(0/0,""))</f>
        <v>Positive</v>
      </c>
      <c r="L45" s="187" t="str">
        <f>IFERROR(VLOOKUP($B45,'Pos and Incl IMPORT'!$B$2:$P109,11,FALSE),IFERROR(0/0,""))</f>
        <v/>
      </c>
      <c r="M45" s="136" t="str">
        <f>IFERROR(VLOOKUP($B45,'Pos and Incl IMPORT'!$B$2:$P109,12,FALSE),IFERROR(0/0,""))</f>
        <v/>
      </c>
      <c r="N45" s="136" t="str">
        <f>IFERROR(VLOOKUP($B45,'Pos and Incl IMPORT'!$B$2:$P109,13,FALSE),IFERROR(0/0,""))</f>
        <v/>
      </c>
      <c r="O45" s="187">
        <f>IFERROR(VLOOKUP($B45,'Pos and Incl IMPORT'!$B$2:$P109,14,FALSE),IFERROR(0/0,""))</f>
        <v>3</v>
      </c>
      <c r="P45" s="187">
        <f>IFERROR(VLOOKUP($B45,'Pos and Incl IMPORT'!$B$2:$P109,15,FALSE),IFERROR(0/0,""))</f>
        <v>1042</v>
      </c>
      <c r="Q45" s="136" t="str">
        <f>IFERROR(VLOOKUP($B45,'Pos and Incl IMPORT'!$B$2:$S109,16,FALSE),IFERROR(0/0,""))</f>
        <v>FLMP202537</v>
      </c>
      <c r="R45" s="136" t="str">
        <f>IFERROR(VLOOKUP($B45,'Pos and Incl IMPORT'!$B$2:$S109,17,FALSE),IFERROR(0/0,""))</f>
        <v>FLMP876695</v>
      </c>
      <c r="S45" s="136" t="str">
        <f>IFERROR(VLOOKUP($B45,'Pos and Incl IMPORT'!$B$2:$S109,18,FALSE),IFERROR(0/0,""))</f>
        <v>FLMP909043</v>
      </c>
      <c r="T45" s="136" t="str">
        <f>IFERROR(VLOOKUP($B45,'Pos and Incl IMPORT'!$B$2:$S109,19,FALSE),IFERROR(0/0,""))</f>
        <v/>
      </c>
      <c r="U45" s="187">
        <f t="shared" si="1"/>
        <v>2</v>
      </c>
      <c r="V45" s="14"/>
      <c r="W45" s="14"/>
      <c r="X45" s="14"/>
      <c r="Y45" s="14"/>
    </row>
    <row r="46">
      <c r="B46" s="26" t="str">
        <f>IFERROR(__xludf.DUMMYFUNCTION("""COMPUTED_VALUE"""),"FLB7156")</f>
        <v>FLB7156</v>
      </c>
      <c r="C46" s="26" t="str">
        <f>IFERROR(__xludf.DUMMYFUNCTION("""COMPUTED_VALUE"""),"RUN-FLMP_2022-01-17_RFR-063")</f>
        <v>RUN-FLMP_2022-01-17_RFR-063</v>
      </c>
      <c r="D46" s="185">
        <f>IFERROR(__xludf.DUMMYFUNCTION("""COMPUTED_VALUE"""),44578.0)</f>
        <v>44578</v>
      </c>
      <c r="E46" s="185">
        <f>IFERROR(__xludf.DUMMYFUNCTION("""COMPUTED_VALUE"""),44578.0)</f>
        <v>44578</v>
      </c>
      <c r="F46" s="186">
        <f>IFERROR(__xludf.DUMMYFUNCTION("""COMPUTED_VALUE"""),0.5683680555557657)</f>
        <v>0.5683680556</v>
      </c>
      <c r="G46" s="26" t="str">
        <f>IFERROR(__xludf.DUMMYFUNCTION("""COMPUTED_VALUE"""),"Positive")</f>
        <v>Positive</v>
      </c>
      <c r="H46" s="136" t="str">
        <f>IFERROR(VLOOKUP($B47,'Pos and Incl IMPORT'!$B$2:$X109,4,FALSE),IFERROR(0/0,""))</f>
        <v>SpFLMP342787</v>
      </c>
      <c r="I46" s="136"/>
      <c r="J46" s="136"/>
      <c r="K46" s="136" t="str">
        <f>IFERROR(VLOOKUP($B46,'Pos and Incl IMPORT'!$B$2:$P109,7,FALSE),IFERROR(0/0,""))</f>
        <v>Positive</v>
      </c>
      <c r="L46" s="187" t="str">
        <f>IFERROR(VLOOKUP($B46,'Pos and Incl IMPORT'!$B$2:$P109,11,FALSE),IFERROR(0/0,""))</f>
        <v/>
      </c>
      <c r="M46" s="136" t="str">
        <f>IFERROR(VLOOKUP($B46,'Pos and Incl IMPORT'!$B$2:$P109,12,FALSE),IFERROR(0/0,""))</f>
        <v/>
      </c>
      <c r="N46" s="136" t="str">
        <f>IFERROR(VLOOKUP($B46,'Pos and Incl IMPORT'!$B$2:$P109,13,FALSE),IFERROR(0/0,""))</f>
        <v/>
      </c>
      <c r="O46" s="187">
        <f>IFERROR(VLOOKUP($B46,'Pos and Incl IMPORT'!$B$2:$P109,14,FALSE),IFERROR(0/0,""))</f>
        <v>4</v>
      </c>
      <c r="P46" s="187">
        <f>IFERROR(VLOOKUP($B46,'Pos and Incl IMPORT'!$B$2:$P109,15,FALSE),IFERROR(0/0,""))</f>
        <v>1065</v>
      </c>
      <c r="Q46" s="136" t="str">
        <f>IFERROR(VLOOKUP($B46,'Pos and Incl IMPORT'!$B$2:$S109,16,FALSE),IFERROR(0/0,""))</f>
        <v>FLMP776278</v>
      </c>
      <c r="R46" s="136" t="str">
        <f>IFERROR(VLOOKUP($B46,'Pos and Incl IMPORT'!$B$2:$S109,17,FALSE),IFERROR(0/0,""))</f>
        <v>FLMP828735</v>
      </c>
      <c r="S46" s="136" t="str">
        <f>IFERROR(VLOOKUP($B46,'Pos and Incl IMPORT'!$B$2:$S109,18,FALSE),IFERROR(0/0,""))</f>
        <v>FLMP302189</v>
      </c>
      <c r="T46" s="136" t="str">
        <f>IFERROR(VLOOKUP($B46,'Pos and Incl IMPORT'!$B$2:$S109,19,FALSE),IFERROR(0/0,""))</f>
        <v/>
      </c>
      <c r="U46" s="187">
        <f t="shared" si="1"/>
        <v>3</v>
      </c>
      <c r="V46" s="14"/>
      <c r="W46" s="14"/>
      <c r="X46" s="14"/>
      <c r="Y46" s="14"/>
    </row>
    <row r="47">
      <c r="B47" s="26" t="str">
        <f>IFERROR(__xludf.DUMMYFUNCTION("""COMPUTED_VALUE"""),"FLB7404")</f>
        <v>FLB7404</v>
      </c>
      <c r="C47" s="26" t="str">
        <f>IFERROR(__xludf.DUMMYFUNCTION("""COMPUTED_VALUE"""),"RUN-FLMP_2022-01-18_RFR-065")</f>
        <v>RUN-FLMP_2022-01-18_RFR-065</v>
      </c>
      <c r="D47" s="185">
        <f>IFERROR(__xludf.DUMMYFUNCTION("""COMPUTED_VALUE"""),44579.0)</f>
        <v>44579</v>
      </c>
      <c r="E47" s="185">
        <f>IFERROR(__xludf.DUMMYFUNCTION("""COMPUTED_VALUE"""),44578.0)</f>
        <v>44578</v>
      </c>
      <c r="F47" s="186">
        <f>IFERROR(__xludf.DUMMYFUNCTION("""COMPUTED_VALUE"""),0.5889351851838001)</f>
        <v>0.5889351852</v>
      </c>
      <c r="G47" s="26" t="str">
        <f>IFERROR(__xludf.DUMMYFUNCTION("""COMPUTED_VALUE"""),"Positive")</f>
        <v>Positive</v>
      </c>
      <c r="H47" s="136" t="str">
        <f>IFERROR(VLOOKUP($B48,'Pos and Incl IMPORT'!$B$2:$X109,4,FALSE),IFERROR(0/0,""))</f>
        <v>SpFLMP342787</v>
      </c>
      <c r="I47" s="136"/>
      <c r="J47" s="136"/>
      <c r="K47" s="136" t="str">
        <f>IFERROR(VLOOKUP($B47,'Pos and Incl IMPORT'!$B$2:$P109,7,FALSE),IFERROR(0/0,""))</f>
        <v>Positive</v>
      </c>
      <c r="L47" s="187" t="str">
        <f>IFERROR(VLOOKUP($B47,'Pos and Incl IMPORT'!$B$2:$P109,11,FALSE),IFERROR(0/0,""))</f>
        <v/>
      </c>
      <c r="M47" s="136" t="str">
        <f>IFERROR(VLOOKUP($B47,'Pos and Incl IMPORT'!$B$2:$P109,12,FALSE),IFERROR(0/0,""))</f>
        <v/>
      </c>
      <c r="N47" s="136" t="str">
        <f>IFERROR(VLOOKUP($B47,'Pos and Incl IMPORT'!$B$2:$P109,13,FALSE),IFERROR(0/0,""))</f>
        <v/>
      </c>
      <c r="O47" s="187">
        <f>IFERROR(VLOOKUP($B47,'Pos and Incl IMPORT'!$B$2:$P109,14,FALSE),IFERROR(0/0,""))</f>
        <v>1</v>
      </c>
      <c r="P47" s="187">
        <f>IFERROR(VLOOKUP($B47,'Pos and Incl IMPORT'!$B$2:$P109,15,FALSE),IFERROR(0/0,""))</f>
        <v>1070</v>
      </c>
      <c r="Q47" s="136" t="str">
        <f>IFERROR(VLOOKUP($B47,'Pos and Incl IMPORT'!$B$2:$S109,16,FALSE),IFERROR(0/0,""))</f>
        <v>FLMP710853</v>
      </c>
      <c r="R47" s="136" t="str">
        <f>IFERROR(VLOOKUP($B47,'Pos and Incl IMPORT'!$B$2:$S109,17,FALSE),IFERROR(0/0,""))</f>
        <v/>
      </c>
      <c r="S47" s="136" t="str">
        <f>IFERROR(VLOOKUP($B47,'Pos and Incl IMPORT'!$B$2:$S109,18,FALSE),IFERROR(0/0,""))</f>
        <v/>
      </c>
      <c r="T47" s="136" t="str">
        <f>IFERROR(VLOOKUP($B47,'Pos and Incl IMPORT'!$B$2:$S109,19,FALSE),IFERROR(0/0,""))</f>
        <v/>
      </c>
      <c r="U47" s="187">
        <f t="shared" si="1"/>
        <v>2</v>
      </c>
      <c r="V47" s="14"/>
      <c r="W47" s="14"/>
      <c r="X47" s="14"/>
      <c r="Y47" s="14"/>
    </row>
    <row r="48">
      <c r="B48" s="26" t="str">
        <f>IFERROR(__xludf.DUMMYFUNCTION("""COMPUTED_VALUE"""),"FLE255")</f>
        <v>FLE255</v>
      </c>
      <c r="C48" s="26" t="str">
        <f>IFERROR(__xludf.DUMMYFUNCTION("""COMPUTED_VALUE"""),"RUN-FLMP_2022-01-18_RFR-065")</f>
        <v>RUN-FLMP_2022-01-18_RFR-065</v>
      </c>
      <c r="D48" s="185">
        <f>IFERROR(__xludf.DUMMYFUNCTION("""COMPUTED_VALUE"""),44579.0)</f>
        <v>44579</v>
      </c>
      <c r="E48" s="185">
        <f>IFERROR(__xludf.DUMMYFUNCTION("""COMPUTED_VALUE"""),44578.0)</f>
        <v>44578</v>
      </c>
      <c r="F48" s="186">
        <f>IFERROR(__xludf.DUMMYFUNCTION("""COMPUTED_VALUE"""),0.5896296296305081)</f>
        <v>0.5896296296</v>
      </c>
      <c r="G48" s="26" t="str">
        <f>IFERROR(__xludf.DUMMYFUNCTION("""COMPUTED_VALUE"""),"Positive")</f>
        <v>Positive</v>
      </c>
      <c r="H48" s="136" t="str">
        <f>IFERROR(VLOOKUP($B49,'Pos and Incl IMPORT'!$B$2:$X109,4,FALSE),IFERROR(0/0,""))</f>
        <v>SpFLMP342787</v>
      </c>
      <c r="I48" s="136"/>
      <c r="J48" s="136"/>
      <c r="K48" s="136" t="str">
        <f>IFERROR(VLOOKUP($B48,'Pos and Incl IMPORT'!$B$2:$P109,7,FALSE),IFERROR(0/0,""))</f>
        <v>Positive</v>
      </c>
      <c r="L48" s="187" t="str">
        <f>IFERROR(VLOOKUP($B48,'Pos and Incl IMPORT'!$B$2:$P109,11,FALSE),IFERROR(0/0,""))</f>
        <v/>
      </c>
      <c r="M48" s="136" t="str">
        <f>IFERROR(VLOOKUP($B48,'Pos and Incl IMPORT'!$B$2:$P109,12,FALSE),IFERROR(0/0,""))</f>
        <v/>
      </c>
      <c r="N48" s="136" t="str">
        <f>IFERROR(VLOOKUP($B48,'Pos and Incl IMPORT'!$B$2:$P109,13,FALSE),IFERROR(0/0,""))</f>
        <v/>
      </c>
      <c r="O48" s="187">
        <f>IFERROR(VLOOKUP($B48,'Pos and Incl IMPORT'!$B$2:$P109,14,FALSE),IFERROR(0/0,""))</f>
        <v>1</v>
      </c>
      <c r="P48" s="187">
        <f>IFERROR(VLOOKUP($B48,'Pos and Incl IMPORT'!$B$2:$P109,15,FALSE),IFERROR(0/0,""))</f>
        <v>1071</v>
      </c>
      <c r="Q48" s="136" t="str">
        <f>IFERROR(VLOOKUP($B48,'Pos and Incl IMPORT'!$B$2:$S109,16,FALSE),IFERROR(0/0,""))</f>
        <v>FLMP132084</v>
      </c>
      <c r="R48" s="136" t="str">
        <f>IFERROR(VLOOKUP($B48,'Pos and Incl IMPORT'!$B$2:$S109,17,FALSE),IFERROR(0/0,""))</f>
        <v/>
      </c>
      <c r="S48" s="136" t="str">
        <f>IFERROR(VLOOKUP($B48,'Pos and Incl IMPORT'!$B$2:$S109,18,FALSE),IFERROR(0/0,""))</f>
        <v/>
      </c>
      <c r="T48" s="136" t="str">
        <f>IFERROR(VLOOKUP($B48,'Pos and Incl IMPORT'!$B$2:$S109,19,FALSE),IFERROR(0/0,""))</f>
        <v/>
      </c>
      <c r="U48" s="187">
        <f t="shared" si="1"/>
        <v>2</v>
      </c>
      <c r="V48" s="14"/>
      <c r="W48" s="14"/>
      <c r="X48" s="14"/>
      <c r="Y48" s="14"/>
    </row>
    <row r="49">
      <c r="B49" s="26" t="str">
        <f>IFERROR(__xludf.DUMMYFUNCTION("""COMPUTED_VALUE"""),"FLE318")</f>
        <v>FLE318</v>
      </c>
      <c r="C49" s="26" t="str">
        <f>IFERROR(__xludf.DUMMYFUNCTION("""COMPUTED_VALUE"""),"RUN-FLMP_2022-01-18_RFR-065")</f>
        <v>RUN-FLMP_2022-01-18_RFR-065</v>
      </c>
      <c r="D49" s="185">
        <f>IFERROR(__xludf.DUMMYFUNCTION("""COMPUTED_VALUE"""),44579.0)</f>
        <v>44579</v>
      </c>
      <c r="E49" s="185">
        <f>IFERROR(__xludf.DUMMYFUNCTION("""COMPUTED_VALUE"""),44578.0)</f>
        <v>44578</v>
      </c>
      <c r="F49" s="186">
        <f>IFERROR(__xludf.DUMMYFUNCTION("""COMPUTED_VALUE"""),0.5933449074072996)</f>
        <v>0.5933449074</v>
      </c>
      <c r="G49" s="26" t="str">
        <f>IFERROR(__xludf.DUMMYFUNCTION("""COMPUTED_VALUE"""),"Positive")</f>
        <v>Positive</v>
      </c>
      <c r="H49" s="136" t="str">
        <f>IFERROR(VLOOKUP($B50,'Pos and Incl IMPORT'!$B$2:$X109,4,FALSE),IFERROR(0/0,""))</f>
        <v>SpFLMP342787</v>
      </c>
      <c r="I49" s="136"/>
      <c r="J49" s="136"/>
      <c r="K49" s="136" t="str">
        <f>IFERROR(VLOOKUP($B49,'Pos and Incl IMPORT'!$B$2:$P109,7,FALSE),IFERROR(0/0,""))</f>
        <v>Positive</v>
      </c>
      <c r="L49" s="187" t="str">
        <f>IFERROR(VLOOKUP($B49,'Pos and Incl IMPORT'!$B$2:$P109,11,FALSE),IFERROR(0/0,""))</f>
        <v/>
      </c>
      <c r="M49" s="136" t="str">
        <f>IFERROR(VLOOKUP($B49,'Pos and Incl IMPORT'!$B$2:$P109,12,FALSE),IFERROR(0/0,""))</f>
        <v/>
      </c>
      <c r="N49" s="136" t="str">
        <f>IFERROR(VLOOKUP($B49,'Pos and Incl IMPORT'!$B$2:$P109,13,FALSE),IFERROR(0/0,""))</f>
        <v/>
      </c>
      <c r="O49" s="187">
        <f>IFERROR(VLOOKUP($B49,'Pos and Incl IMPORT'!$B$2:$P109,14,FALSE),IFERROR(0/0,""))</f>
        <v>1</v>
      </c>
      <c r="P49" s="187">
        <f>IFERROR(VLOOKUP($B49,'Pos and Incl IMPORT'!$B$2:$P109,15,FALSE),IFERROR(0/0,""))</f>
        <v>1072</v>
      </c>
      <c r="Q49" s="136" t="str">
        <f>IFERROR(VLOOKUP($B49,'Pos and Incl IMPORT'!$B$2:$S109,16,FALSE),IFERROR(0/0,""))</f>
        <v>FLMP676985</v>
      </c>
      <c r="R49" s="136" t="str">
        <f>IFERROR(VLOOKUP($B49,'Pos and Incl IMPORT'!$B$2:$S109,17,FALSE),IFERROR(0/0,""))</f>
        <v/>
      </c>
      <c r="S49" s="136" t="str">
        <f>IFERROR(VLOOKUP($B49,'Pos and Incl IMPORT'!$B$2:$S109,18,FALSE),IFERROR(0/0,""))</f>
        <v/>
      </c>
      <c r="T49" s="136" t="str">
        <f>IFERROR(VLOOKUP($B49,'Pos and Incl IMPORT'!$B$2:$S109,19,FALSE),IFERROR(0/0,""))</f>
        <v/>
      </c>
      <c r="U49" s="187">
        <f t="shared" si="1"/>
        <v>2</v>
      </c>
      <c r="V49" s="14"/>
      <c r="W49" s="14"/>
      <c r="X49" s="14"/>
      <c r="Y49" s="14"/>
    </row>
    <row r="50">
      <c r="B50" s="26" t="str">
        <f>IFERROR(__xludf.DUMMYFUNCTION("""COMPUTED_VALUE"""),"FLE251")</f>
        <v>FLE251</v>
      </c>
      <c r="C50" s="26" t="str">
        <f>IFERROR(__xludf.DUMMYFUNCTION("""COMPUTED_VALUE"""),"RUN-FLMP_2022-01-18_RFR-065")</f>
        <v>RUN-FLMP_2022-01-18_RFR-065</v>
      </c>
      <c r="D50" s="185">
        <f>IFERROR(__xludf.DUMMYFUNCTION("""COMPUTED_VALUE"""),44579.0)</f>
        <v>44579</v>
      </c>
      <c r="E50" s="185">
        <f>IFERROR(__xludf.DUMMYFUNCTION("""COMPUTED_VALUE"""),44578.0)</f>
        <v>44578</v>
      </c>
      <c r="F50" s="186">
        <f>IFERROR(__xludf.DUMMYFUNCTION("""COMPUTED_VALUE"""),0.594027777777228)</f>
        <v>0.5940277778</v>
      </c>
      <c r="G50" s="26" t="str">
        <f>IFERROR(__xludf.DUMMYFUNCTION("""COMPUTED_VALUE"""),"Positive")</f>
        <v>Positive</v>
      </c>
      <c r="H50" s="136" t="str">
        <f>IFERROR(VLOOKUP($B51,'Pos and Incl IMPORT'!$B$2:$X109,4,FALSE),IFERROR(0/0,""))</f>
        <v>SpFLMP939619</v>
      </c>
      <c r="I50" s="136"/>
      <c r="J50" s="136"/>
      <c r="K50" s="136" t="str">
        <f>IFERROR(VLOOKUP($B50,'Pos and Incl IMPORT'!$B$2:$P109,7,FALSE),IFERROR(0/0,""))</f>
        <v>Positive</v>
      </c>
      <c r="L50" s="187" t="str">
        <f>IFERROR(VLOOKUP($B50,'Pos and Incl IMPORT'!$B$2:$P109,11,FALSE),IFERROR(0/0,""))</f>
        <v/>
      </c>
      <c r="M50" s="136" t="str">
        <f>IFERROR(VLOOKUP($B50,'Pos and Incl IMPORT'!$B$2:$P109,12,FALSE),IFERROR(0/0,""))</f>
        <v/>
      </c>
      <c r="N50" s="136" t="str">
        <f>IFERROR(VLOOKUP($B50,'Pos and Incl IMPORT'!$B$2:$P109,13,FALSE),IFERROR(0/0,""))</f>
        <v/>
      </c>
      <c r="O50" s="187">
        <f>IFERROR(VLOOKUP($B50,'Pos and Incl IMPORT'!$B$2:$P109,14,FALSE),IFERROR(0/0,""))</f>
        <v>1</v>
      </c>
      <c r="P50" s="187">
        <f>IFERROR(VLOOKUP($B50,'Pos and Incl IMPORT'!$B$2:$P109,15,FALSE),IFERROR(0/0,""))</f>
        <v>1077</v>
      </c>
      <c r="Q50" s="136" t="str">
        <f>IFERROR(VLOOKUP($B50,'Pos and Incl IMPORT'!$B$2:$S109,16,FALSE),IFERROR(0/0,""))</f>
        <v>FLMP365997</v>
      </c>
      <c r="R50" s="136" t="str">
        <f>IFERROR(VLOOKUP($B50,'Pos and Incl IMPORT'!$B$2:$S109,17,FALSE),IFERROR(0/0,""))</f>
        <v/>
      </c>
      <c r="S50" s="136" t="str">
        <f>IFERROR(VLOOKUP($B50,'Pos and Incl IMPORT'!$B$2:$S109,18,FALSE),IFERROR(0/0,""))</f>
        <v/>
      </c>
      <c r="T50" s="136" t="str">
        <f>IFERROR(VLOOKUP($B50,'Pos and Incl IMPORT'!$B$2:$S109,19,FALSE),IFERROR(0/0,""))</f>
        <v/>
      </c>
      <c r="U50" s="187">
        <f t="shared" si="1"/>
        <v>2</v>
      </c>
      <c r="V50" s="14"/>
      <c r="W50" s="14"/>
      <c r="X50" s="14"/>
      <c r="Y50" s="14"/>
    </row>
    <row r="51">
      <c r="B51" s="26" t="str">
        <f>IFERROR(__xludf.DUMMYFUNCTION("""COMPUTED_VALUE"""),"FLB5792")</f>
        <v>FLB5792</v>
      </c>
      <c r="C51" s="26" t="str">
        <f>IFERROR(__xludf.DUMMYFUNCTION("""COMPUTED_VALUE"""),"RUN-FLMP_2022-02-14_RFR-088")</f>
        <v>RUN-FLMP_2022-02-14_RFR-088</v>
      </c>
      <c r="D51" s="185">
        <f>IFERROR(__xludf.DUMMYFUNCTION("""COMPUTED_VALUE"""),44606.0)</f>
        <v>44606</v>
      </c>
      <c r="E51" s="185">
        <f>IFERROR(__xludf.DUMMYFUNCTION("""COMPUTED_VALUE"""),44606.0)</f>
        <v>44606</v>
      </c>
      <c r="F51" s="186">
        <f>IFERROR(__xludf.DUMMYFUNCTION("""COMPUTED_VALUE"""),0.3314699074071541)</f>
        <v>0.3314699074</v>
      </c>
      <c r="G51" s="26" t="str">
        <f>IFERROR(__xludf.DUMMYFUNCTION("""COMPUTED_VALUE"""),"Inconclusive")</f>
        <v>Inconclusive</v>
      </c>
      <c r="H51" s="136" t="str">
        <f>IFERROR(VLOOKUP($B52,'Pos and Incl IMPORT'!$B$2:$X109,4,FALSE),IFERROR(0/0,""))</f>
        <v>SpFLMP268514</v>
      </c>
      <c r="I51" s="136"/>
      <c r="J51" s="136"/>
      <c r="K51" s="136" t="str">
        <f>IFERROR(VLOOKUP($B51,'Pos and Incl IMPORT'!$B$2:$P109,7,FALSE),IFERROR(0/0,""))</f>
        <v>Inconclusive</v>
      </c>
      <c r="L51" s="187" t="str">
        <f>IFERROR(VLOOKUP($B51,'Pos and Incl IMPORT'!$B$2:$P109,11,FALSE),IFERROR(0/0,""))</f>
        <v/>
      </c>
      <c r="M51" s="136" t="str">
        <f>IFERROR(VLOOKUP($B51,'Pos and Incl IMPORT'!$B$2:$P109,12,FALSE),IFERROR(0/0,""))</f>
        <v/>
      </c>
      <c r="N51" s="136" t="str">
        <f>IFERROR(VLOOKUP($B51,'Pos and Incl IMPORT'!$B$2:$P109,13,FALSE),IFERROR(0/0,""))</f>
        <v/>
      </c>
      <c r="O51" s="187">
        <f>IFERROR(VLOOKUP($B51,'Pos and Incl IMPORT'!$B$2:$P109,14,FALSE),IFERROR(0/0,""))</f>
        <v>1</v>
      </c>
      <c r="P51" s="187">
        <f>IFERROR(VLOOKUP($B51,'Pos and Incl IMPORT'!$B$2:$P109,15,FALSE),IFERROR(0/0,""))</f>
        <v>1678</v>
      </c>
      <c r="Q51" s="136" t="str">
        <f>IFERROR(VLOOKUP($B51,'Pos and Incl IMPORT'!$B$2:$S109,16,FALSE),IFERROR(0/0,""))</f>
        <v>FLMP987142</v>
      </c>
      <c r="R51" s="136" t="str">
        <f>IFERROR(VLOOKUP($B51,'Pos and Incl IMPORT'!$B$2:$S109,17,FALSE),IFERROR(0/0,""))</f>
        <v/>
      </c>
      <c r="S51" s="136" t="str">
        <f>IFERROR(VLOOKUP($B51,'Pos and Incl IMPORT'!$B$2:$S109,18,FALSE),IFERROR(0/0,""))</f>
        <v/>
      </c>
      <c r="T51" s="136" t="str">
        <f>IFERROR(VLOOKUP($B51,'Pos and Incl IMPORT'!$B$2:$S109,19,FALSE),IFERROR(0/0,""))</f>
        <v/>
      </c>
      <c r="U51" s="187">
        <f t="shared" si="1"/>
        <v>2</v>
      </c>
      <c r="V51" s="14"/>
      <c r="W51" s="14"/>
      <c r="X51" s="14"/>
      <c r="Y51" s="14"/>
    </row>
    <row r="52">
      <c r="B52" s="26" t="str">
        <f>IFERROR(__xludf.DUMMYFUNCTION("""COMPUTED_VALUE"""),"AG721")</f>
        <v>AG721</v>
      </c>
      <c r="C52" s="26" t="str">
        <f>IFERROR(__xludf.DUMMYFUNCTION("""COMPUTED_VALUE"""),"RUN-FLMP_2022-05-02_RFR-122")</f>
        <v>RUN-FLMP_2022-05-02_RFR-122</v>
      </c>
      <c r="D52" s="185">
        <f>IFERROR(__xludf.DUMMYFUNCTION("""COMPUTED_VALUE"""),44683.0)</f>
        <v>44683</v>
      </c>
      <c r="E52" s="185">
        <f>IFERROR(__xludf.DUMMYFUNCTION("""COMPUTED_VALUE"""),44683.0)</f>
        <v>44683</v>
      </c>
      <c r="F52" s="186">
        <f>IFERROR(__xludf.DUMMYFUNCTION("""COMPUTED_VALUE"""),0.28214120370466844)</f>
        <v>0.2821412037</v>
      </c>
      <c r="G52" s="26" t="str">
        <f>IFERROR(__xludf.DUMMYFUNCTION("""COMPUTED_VALUE"""),"Positive")</f>
        <v>Positive</v>
      </c>
      <c r="H52" s="136" t="str">
        <f>IFERROR(VLOOKUP($B53,'Pos and Incl IMPORT'!$B$2:$X109,4,FALSE),IFERROR(0/0,""))</f>
        <v>SpFLMP659315</v>
      </c>
      <c r="I52" s="136"/>
      <c r="J52" s="136"/>
      <c r="K52" s="136" t="str">
        <f>IFERROR(VLOOKUP($B52,'Pos and Incl IMPORT'!$B$2:$P109,7,FALSE),IFERROR(0/0,""))</f>
        <v>Positive</v>
      </c>
      <c r="L52" s="187" t="str">
        <f>IFERROR(VLOOKUP($B52,'Pos and Incl IMPORT'!$B$2:$P109,11,FALSE),IFERROR(0/0,""))</f>
        <v/>
      </c>
      <c r="M52" s="136" t="str">
        <f>IFERROR(VLOOKUP($B52,'Pos and Incl IMPORT'!$B$2:$P109,12,FALSE),IFERROR(0/0,""))</f>
        <v/>
      </c>
      <c r="N52" s="136" t="str">
        <f>IFERROR(VLOOKUP($B52,'Pos and Incl IMPORT'!$B$2:$P109,13,FALSE),IFERROR(0/0,""))</f>
        <v/>
      </c>
      <c r="O52" s="187">
        <f>IFERROR(VLOOKUP($B52,'Pos and Incl IMPORT'!$B$2:$P109,14,FALSE),IFERROR(0/0,""))</f>
        <v>4</v>
      </c>
      <c r="P52" s="187">
        <f>IFERROR(VLOOKUP($B52,'Pos and Incl IMPORT'!$B$2:$P109,15,FALSE),IFERROR(0/0,""))</f>
        <v>2683</v>
      </c>
      <c r="Q52" s="136" t="str">
        <f>IFERROR(VLOOKUP($B52,'Pos and Incl IMPORT'!$B$2:$S109,16,FALSE),IFERROR(0/0,""))</f>
        <v>FLMP472803</v>
      </c>
      <c r="R52" s="136" t="str">
        <f>IFERROR(VLOOKUP($B52,'Pos and Incl IMPORT'!$B$2:$S109,17,FALSE),IFERROR(0/0,""))</f>
        <v>FLMP687722</v>
      </c>
      <c r="S52" s="136" t="str">
        <f>IFERROR(VLOOKUP($B52,'Pos and Incl IMPORT'!$B$2:$S109,18,FALSE),IFERROR(0/0,""))</f>
        <v>FLMP464138</v>
      </c>
      <c r="T52" s="136" t="str">
        <f>IFERROR(VLOOKUP($B52,'Pos and Incl IMPORT'!$B$2:$S109,19,FALSE),IFERROR(0/0,""))</f>
        <v/>
      </c>
      <c r="U52" s="187">
        <f t="shared" si="1"/>
        <v>1</v>
      </c>
      <c r="V52" s="14"/>
      <c r="W52" s="14"/>
      <c r="X52" s="14"/>
      <c r="Y52" s="14"/>
    </row>
    <row r="53">
      <c r="B53" s="26" t="str">
        <f>IFERROR(__xludf.DUMMYFUNCTION("""COMPUTED_VALUE"""),"MA108")</f>
        <v>MA108</v>
      </c>
      <c r="C53" s="26" t="str">
        <f>IFERROR(__xludf.DUMMYFUNCTION("""COMPUTED_VALUE"""),"RUN-FLMP_2022-05-02_RFR-124")</f>
        <v>RUN-FLMP_2022-05-02_RFR-124</v>
      </c>
      <c r="D53" s="185">
        <f>IFERROR(__xludf.DUMMYFUNCTION("""COMPUTED_VALUE"""),44683.0)</f>
        <v>44683</v>
      </c>
      <c r="E53" s="185">
        <f>IFERROR(__xludf.DUMMYFUNCTION("""COMPUTED_VALUE"""),44683.0)</f>
        <v>44683</v>
      </c>
      <c r="F53" s="186">
        <f>IFERROR(__xludf.DUMMYFUNCTION("""COMPUTED_VALUE"""),0.5416666666678793)</f>
        <v>0.5416666667</v>
      </c>
      <c r="G53" s="26" t="str">
        <f>IFERROR(__xludf.DUMMYFUNCTION("""COMPUTED_VALUE"""),"Positive")</f>
        <v>Positive</v>
      </c>
      <c r="H53" s="136" t="str">
        <f>IFERROR(VLOOKUP($B54,'Pos and Incl IMPORT'!$B$2:$X109,4,FALSE),IFERROR(0/0,""))</f>
        <v>SpFLMP596479</v>
      </c>
      <c r="I53" s="136"/>
      <c r="J53" s="136"/>
      <c r="K53" s="136" t="str">
        <f>IFERROR(VLOOKUP($B53,'Pos and Incl IMPORT'!$B$2:$P109,7,FALSE),IFERROR(0/0,""))</f>
        <v>Positive</v>
      </c>
      <c r="L53" s="187" t="str">
        <f>IFERROR(VLOOKUP($B53,'Pos and Incl IMPORT'!$B$2:$P109,11,FALSE),IFERROR(0/0,""))</f>
        <v/>
      </c>
      <c r="M53" s="136" t="str">
        <f>IFERROR(VLOOKUP($B53,'Pos and Incl IMPORT'!$B$2:$P109,12,FALSE),IFERROR(0/0,""))</f>
        <v/>
      </c>
      <c r="N53" s="136" t="str">
        <f>IFERROR(VLOOKUP($B53,'Pos and Incl IMPORT'!$B$2:$P109,13,FALSE),IFERROR(0/0,""))</f>
        <v/>
      </c>
      <c r="O53" s="187">
        <f>IFERROR(VLOOKUP($B53,'Pos and Incl IMPORT'!$B$2:$P109,14,FALSE),IFERROR(0/0,""))</f>
        <v>1</v>
      </c>
      <c r="P53" s="187">
        <f>IFERROR(VLOOKUP($B53,'Pos and Incl IMPORT'!$B$2:$P109,15,FALSE),IFERROR(0/0,""))</f>
        <v>2732</v>
      </c>
      <c r="Q53" s="136" t="str">
        <f>IFERROR(VLOOKUP($B53,'Pos and Incl IMPORT'!$B$2:$S109,16,FALSE),IFERROR(0/0,""))</f>
        <v>FLMP687722</v>
      </c>
      <c r="R53" s="136" t="str">
        <f>IFERROR(VLOOKUP($B53,'Pos and Incl IMPORT'!$B$2:$S109,17,FALSE),IFERROR(0/0,""))</f>
        <v/>
      </c>
      <c r="S53" s="136" t="str">
        <f>IFERROR(VLOOKUP($B53,'Pos and Incl IMPORT'!$B$2:$S109,18,FALSE),IFERROR(0/0,""))</f>
        <v/>
      </c>
      <c r="T53" s="136" t="str">
        <f>IFERROR(VLOOKUP($B53,'Pos and Incl IMPORT'!$B$2:$S109,19,FALSE),IFERROR(0/0,""))</f>
        <v/>
      </c>
      <c r="U53" s="187">
        <f t="shared" si="1"/>
        <v>2</v>
      </c>
      <c r="V53" s="14"/>
      <c r="W53" s="14"/>
      <c r="X53" s="14"/>
      <c r="Y53" s="14"/>
    </row>
    <row r="54">
      <c r="B54" s="26" t="str">
        <f>IFERROR(__xludf.DUMMYFUNCTION("""COMPUTED_VALUE"""),"AJ6912")</f>
        <v>AJ6912</v>
      </c>
      <c r="C54" s="26" t="str">
        <f>IFERROR(__xludf.DUMMYFUNCTION("""COMPUTED_VALUE"""),"RUN-FLMP_2022-05-09_RFR-128")</f>
        <v>RUN-FLMP_2022-05-09_RFR-128</v>
      </c>
      <c r="D54" s="185">
        <f>IFERROR(__xludf.DUMMYFUNCTION("""COMPUTED_VALUE"""),44690.0)</f>
        <v>44690</v>
      </c>
      <c r="E54" s="185">
        <f>IFERROR(__xludf.DUMMYFUNCTION("""COMPUTED_VALUE"""),44689.0)</f>
        <v>44689</v>
      </c>
      <c r="F54" s="186">
        <f>IFERROR(__xludf.DUMMYFUNCTION("""COMPUTED_VALUE"""),0.7787152777782467)</f>
        <v>0.7787152778</v>
      </c>
      <c r="G54" s="26" t="str">
        <f>IFERROR(__xludf.DUMMYFUNCTION("""COMPUTED_VALUE"""),"Inconclusive")</f>
        <v>Inconclusive</v>
      </c>
      <c r="H54" s="136" t="str">
        <f>IFERROR(VLOOKUP($B55,'Pos and Incl IMPORT'!$B$2:$X109,4,FALSE),IFERROR(0/0,""))</f>
        <v>SpFLMP965392</v>
      </c>
      <c r="I54" s="136"/>
      <c r="J54" s="136"/>
      <c r="K54" s="136" t="str">
        <f>IFERROR(VLOOKUP($B54,'Pos and Incl IMPORT'!$B$2:$P109,7,FALSE),IFERROR(0/0,""))</f>
        <v>Inconclusive</v>
      </c>
      <c r="L54" s="187" t="str">
        <f>IFERROR(VLOOKUP($B54,'Pos and Incl IMPORT'!$B$2:$P109,11,FALSE),IFERROR(0/0,""))</f>
        <v/>
      </c>
      <c r="M54" s="136" t="str">
        <f>IFERROR(VLOOKUP($B54,'Pos and Incl IMPORT'!$B$2:$P109,12,FALSE),IFERROR(0/0,""))</f>
        <v/>
      </c>
      <c r="N54" s="136" t="str">
        <f>IFERROR(VLOOKUP($B54,'Pos and Incl IMPORT'!$B$2:$P109,13,FALSE),IFERROR(0/0,""))</f>
        <v/>
      </c>
      <c r="O54" s="187">
        <f>IFERROR(VLOOKUP($B54,'Pos and Incl IMPORT'!$B$2:$P109,14,FALSE),IFERROR(0/0,""))</f>
        <v>3</v>
      </c>
      <c r="P54" s="187">
        <f>IFERROR(VLOOKUP($B54,'Pos and Incl IMPORT'!$B$2:$P109,15,FALSE),IFERROR(0/0,""))</f>
        <v>2787</v>
      </c>
      <c r="Q54" s="136" t="str">
        <f>IFERROR(VLOOKUP($B54,'Pos and Incl IMPORT'!$B$2:$S109,16,FALSE),IFERROR(0/0,""))</f>
        <v>FLMP552537</v>
      </c>
      <c r="R54" s="136" t="str">
        <f>IFERROR(VLOOKUP($B54,'Pos and Incl IMPORT'!$B$2:$S109,17,FALSE),IFERROR(0/0,""))</f>
        <v>FLMP254321</v>
      </c>
      <c r="S54" s="136" t="str">
        <f>IFERROR(VLOOKUP($B54,'Pos and Incl IMPORT'!$B$2:$S109,18,FALSE),IFERROR(0/0,""))</f>
        <v>FLMP705416</v>
      </c>
      <c r="T54" s="136" t="str">
        <f>IFERROR(VLOOKUP($B54,'Pos and Incl IMPORT'!$B$2:$S109,19,FALSE),IFERROR(0/0,""))</f>
        <v/>
      </c>
      <c r="U54" s="187">
        <f t="shared" si="1"/>
        <v>2</v>
      </c>
      <c r="V54" s="14"/>
      <c r="W54" s="14"/>
      <c r="X54" s="14"/>
      <c r="Y54" s="14"/>
    </row>
    <row r="55">
      <c r="B55" s="26" t="str">
        <f>IFERROR(__xludf.DUMMYFUNCTION("""COMPUTED_VALUE"""),"AJ8958")</f>
        <v>AJ8958</v>
      </c>
      <c r="C55" s="26" t="str">
        <f>IFERROR(__xludf.DUMMYFUNCTION("""COMPUTED_VALUE"""),"RUN-FLMP_2022-05-09_RFR-128")</f>
        <v>RUN-FLMP_2022-05-09_RFR-128</v>
      </c>
      <c r="D55" s="185">
        <f>IFERROR(__xludf.DUMMYFUNCTION("""COMPUTED_VALUE"""),44690.0)</f>
        <v>44690</v>
      </c>
      <c r="E55" s="185">
        <f>IFERROR(__xludf.DUMMYFUNCTION("""COMPUTED_VALUE"""),44690.0)</f>
        <v>44690</v>
      </c>
      <c r="F55" s="186">
        <f>IFERROR(__xludf.DUMMYFUNCTION("""COMPUTED_VALUE"""),0.33171296296131914)</f>
        <v>0.331712963</v>
      </c>
      <c r="G55" s="26" t="str">
        <f>IFERROR(__xludf.DUMMYFUNCTION("""COMPUTED_VALUE"""),"Positive")</f>
        <v>Positive</v>
      </c>
      <c r="H55" s="136" t="str">
        <f>IFERROR(VLOOKUP($B56,'Pos and Incl IMPORT'!$B$2:$X109,4,FALSE),IFERROR(0/0,""))</f>
        <v>SpFLMP170622</v>
      </c>
      <c r="I55" s="136"/>
      <c r="J55" s="136"/>
      <c r="K55" s="136" t="str">
        <f>IFERROR(VLOOKUP($B55,'Pos and Incl IMPORT'!$B$2:$P109,7,FALSE),IFERROR(0/0,""))</f>
        <v>Positive</v>
      </c>
      <c r="L55" s="187" t="str">
        <f>IFERROR(VLOOKUP($B55,'Pos and Incl IMPORT'!$B$2:$P109,11,FALSE),IFERROR(0/0,""))</f>
        <v/>
      </c>
      <c r="M55" s="136" t="str">
        <f>IFERROR(VLOOKUP($B55,'Pos and Incl IMPORT'!$B$2:$P109,12,FALSE),IFERROR(0/0,""))</f>
        <v/>
      </c>
      <c r="N55" s="136" t="str">
        <f>IFERROR(VLOOKUP($B55,'Pos and Incl IMPORT'!$B$2:$P109,13,FALSE),IFERROR(0/0,""))</f>
        <v/>
      </c>
      <c r="O55" s="187">
        <f>IFERROR(VLOOKUP($B55,'Pos and Incl IMPORT'!$B$2:$P109,14,FALSE),IFERROR(0/0,""))</f>
        <v>4</v>
      </c>
      <c r="P55" s="187">
        <f>IFERROR(VLOOKUP($B55,'Pos and Incl IMPORT'!$B$2:$P109,15,FALSE),IFERROR(0/0,""))</f>
        <v>2814</v>
      </c>
      <c r="Q55" s="136" t="str">
        <f>IFERROR(VLOOKUP($B55,'Pos and Incl IMPORT'!$B$2:$S109,16,FALSE),IFERROR(0/0,""))</f>
        <v>FLMP608363</v>
      </c>
      <c r="R55" s="136" t="str">
        <f>IFERROR(VLOOKUP($B55,'Pos and Incl IMPORT'!$B$2:$S109,17,FALSE),IFERROR(0/0,""))</f>
        <v>FLMP325595</v>
      </c>
      <c r="S55" s="136" t="str">
        <f>IFERROR(VLOOKUP($B55,'Pos and Incl IMPORT'!$B$2:$S109,18,FALSE),IFERROR(0/0,""))</f>
        <v>FLMP322473</v>
      </c>
      <c r="T55" s="136" t="str">
        <f>IFERROR(VLOOKUP($B55,'Pos and Incl IMPORT'!$B$2:$S109,19,FALSE),IFERROR(0/0,""))</f>
        <v/>
      </c>
      <c r="U55" s="187">
        <f t="shared" si="1"/>
        <v>2</v>
      </c>
      <c r="V55" s="14"/>
      <c r="W55" s="14"/>
      <c r="X55" s="14"/>
      <c r="Y55" s="14"/>
    </row>
    <row r="56">
      <c r="B56" s="26" t="str">
        <f>IFERROR(__xludf.DUMMYFUNCTION("""COMPUTED_VALUE"""),"FLE821")</f>
        <v>FLE821</v>
      </c>
      <c r="C56" s="26" t="str">
        <f>IFERROR(__xludf.DUMMYFUNCTION("""COMPUTED_VALUE"""),"RUN-FLMP_2022-05-09_RFR-128")</f>
        <v>RUN-FLMP_2022-05-09_RFR-128</v>
      </c>
      <c r="D56" s="185">
        <f>IFERROR(__xludf.DUMMYFUNCTION("""COMPUTED_VALUE"""),44690.0)</f>
        <v>44690</v>
      </c>
      <c r="E56" s="185">
        <f>IFERROR(__xludf.DUMMYFUNCTION("""COMPUTED_VALUE"""),44690.0)</f>
        <v>44690</v>
      </c>
      <c r="F56" s="186">
        <f>IFERROR(__xludf.DUMMYFUNCTION("""COMPUTED_VALUE"""),0.37625000000116415)</f>
        <v>0.37625</v>
      </c>
      <c r="G56" s="26" t="str">
        <f>IFERROR(__xludf.DUMMYFUNCTION("""COMPUTED_VALUE"""),"Positive")</f>
        <v>Positive</v>
      </c>
      <c r="H56" s="136" t="str">
        <f>IFERROR(VLOOKUP($B57,'Pos and Incl IMPORT'!$B$2:$X109,4,FALSE),IFERROR(0/0,""))</f>
        <v>SpFLMP596479</v>
      </c>
      <c r="I56" s="136"/>
      <c r="J56" s="136"/>
      <c r="K56" s="136" t="str">
        <f>IFERROR(VLOOKUP($B56,'Pos and Incl IMPORT'!$B$2:$P109,7,FALSE),IFERROR(0/0,""))</f>
        <v>Positive</v>
      </c>
      <c r="L56" s="187" t="str">
        <f>IFERROR(VLOOKUP($B56,'Pos and Incl IMPORT'!$B$2:$P109,11,FALSE),IFERROR(0/0,""))</f>
        <v/>
      </c>
      <c r="M56" s="136" t="str">
        <f>IFERROR(VLOOKUP($B56,'Pos and Incl IMPORT'!$B$2:$P109,12,FALSE),IFERROR(0/0,""))</f>
        <v/>
      </c>
      <c r="N56" s="136" t="str">
        <f>IFERROR(VLOOKUP($B56,'Pos and Incl IMPORT'!$B$2:$P109,13,FALSE),IFERROR(0/0,""))</f>
        <v/>
      </c>
      <c r="O56" s="187">
        <f>IFERROR(VLOOKUP($B56,'Pos and Incl IMPORT'!$B$2:$P109,14,FALSE),IFERROR(0/0,""))</f>
        <v>2</v>
      </c>
      <c r="P56" s="187">
        <f>IFERROR(VLOOKUP($B56,'Pos and Incl IMPORT'!$B$2:$P109,15,FALSE),IFERROR(0/0,""))</f>
        <v>2836</v>
      </c>
      <c r="Q56" s="136" t="str">
        <f>IFERROR(VLOOKUP($B56,'Pos and Incl IMPORT'!$B$2:$S109,16,FALSE),IFERROR(0/0,""))</f>
        <v>FLMP634528</v>
      </c>
      <c r="R56" s="136" t="str">
        <f>IFERROR(VLOOKUP($B56,'Pos and Incl IMPORT'!$B$2:$S109,17,FALSE),IFERROR(0/0,""))</f>
        <v>FLMP997508</v>
      </c>
      <c r="S56" s="136" t="str">
        <f>IFERROR(VLOOKUP($B56,'Pos and Incl IMPORT'!$B$2:$S109,18,FALSE),IFERROR(0/0,""))</f>
        <v/>
      </c>
      <c r="T56" s="136" t="str">
        <f>IFERROR(VLOOKUP($B56,'Pos and Incl IMPORT'!$B$2:$S109,19,FALSE),IFERROR(0/0,""))</f>
        <v/>
      </c>
      <c r="U56" s="187">
        <f t="shared" si="1"/>
        <v>1</v>
      </c>
      <c r="V56" s="14"/>
      <c r="W56" s="14"/>
      <c r="X56" s="14"/>
      <c r="Y56" s="14"/>
    </row>
    <row r="57">
      <c r="B57" s="26" t="str">
        <f>IFERROR(__xludf.DUMMYFUNCTION("""COMPUTED_VALUE"""),"FLE202")</f>
        <v>FLE202</v>
      </c>
      <c r="C57" s="26" t="str">
        <f>IFERROR(__xludf.DUMMYFUNCTION("""COMPUTED_VALUE"""),"RUN-FLMP_2022-05-09_RFR-131")</f>
        <v>RUN-FLMP_2022-05-09_RFR-131</v>
      </c>
      <c r="D57" s="185">
        <f>IFERROR(__xludf.DUMMYFUNCTION("""COMPUTED_VALUE"""),44690.0)</f>
        <v>44690</v>
      </c>
      <c r="E57" s="185">
        <f>IFERROR(__xludf.DUMMYFUNCTION("""COMPUTED_VALUE"""),44690.0)</f>
        <v>44690</v>
      </c>
      <c r="F57" s="186">
        <f>IFERROR(__xludf.DUMMYFUNCTION("""COMPUTED_VALUE"""),0.5220833333332848)</f>
        <v>0.5220833333</v>
      </c>
      <c r="G57" s="26" t="str">
        <f>IFERROR(__xludf.DUMMYFUNCTION("""COMPUTED_VALUE"""),"Positive")</f>
        <v>Positive</v>
      </c>
      <c r="H57" s="136" t="str">
        <f>IFERROR(VLOOKUP($B58,'Pos and Incl IMPORT'!$B$2:$X109,4,FALSE),IFERROR(0/0,""))</f>
        <v>SpFLMP965392</v>
      </c>
      <c r="I57" s="136"/>
      <c r="J57" s="136"/>
      <c r="K57" s="136" t="str">
        <f>IFERROR(VLOOKUP($B57,'Pos and Incl IMPORT'!$B$2:$P109,7,FALSE),IFERROR(0/0,""))</f>
        <v>Positive</v>
      </c>
      <c r="L57" s="187" t="str">
        <f>IFERROR(VLOOKUP($B57,'Pos and Incl IMPORT'!$B$2:$P109,11,FALSE),IFERROR(0/0,""))</f>
        <v/>
      </c>
      <c r="M57" s="136" t="str">
        <f>IFERROR(VLOOKUP($B57,'Pos and Incl IMPORT'!$B$2:$P109,12,FALSE),IFERROR(0/0,""))</f>
        <v/>
      </c>
      <c r="N57" s="136" t="str">
        <f>IFERROR(VLOOKUP($B57,'Pos and Incl IMPORT'!$B$2:$P109,13,FALSE),IFERROR(0/0,""))</f>
        <v/>
      </c>
      <c r="O57" s="187">
        <f>IFERROR(VLOOKUP($B57,'Pos and Incl IMPORT'!$B$2:$P109,14,FALSE),IFERROR(0/0,""))</f>
        <v>1</v>
      </c>
      <c r="P57" s="187">
        <f>IFERROR(VLOOKUP($B57,'Pos and Incl IMPORT'!$B$2:$P109,15,FALSE),IFERROR(0/0,""))</f>
        <v>2841</v>
      </c>
      <c r="Q57" s="136" t="str">
        <f>IFERROR(VLOOKUP($B57,'Pos and Incl IMPORT'!$B$2:$S109,16,FALSE),IFERROR(0/0,""))</f>
        <v>FLMP552537</v>
      </c>
      <c r="R57" s="136" t="str">
        <f>IFERROR(VLOOKUP($B57,'Pos and Incl IMPORT'!$B$2:$S109,17,FALSE),IFERROR(0/0,""))</f>
        <v/>
      </c>
      <c r="S57" s="136" t="str">
        <f>IFERROR(VLOOKUP($B57,'Pos and Incl IMPORT'!$B$2:$S109,18,FALSE),IFERROR(0/0,""))</f>
        <v/>
      </c>
      <c r="T57" s="136" t="str">
        <f>IFERROR(VLOOKUP($B57,'Pos and Incl IMPORT'!$B$2:$S109,19,FALSE),IFERROR(0/0,""))</f>
        <v/>
      </c>
      <c r="U57" s="187">
        <f t="shared" si="1"/>
        <v>2</v>
      </c>
      <c r="V57" s="14"/>
      <c r="W57" s="14"/>
      <c r="X57" s="14"/>
      <c r="Y57" s="14"/>
    </row>
    <row r="58">
      <c r="B58" s="26" t="str">
        <f>IFERROR(__xludf.DUMMYFUNCTION("""COMPUTED_VALUE"""),"AH365")</f>
        <v>AH365</v>
      </c>
      <c r="C58" s="26" t="str">
        <f>IFERROR(__xludf.DUMMYFUNCTION("""COMPUTED_VALUE"""),"RUN-FLMP_2022-05-09_RFR-131")</f>
        <v>RUN-FLMP_2022-05-09_RFR-131</v>
      </c>
      <c r="D58" s="185">
        <f>IFERROR(__xludf.DUMMYFUNCTION("""COMPUTED_VALUE"""),44690.0)</f>
        <v>44690</v>
      </c>
      <c r="E58" s="185">
        <f>IFERROR(__xludf.DUMMYFUNCTION("""COMPUTED_VALUE"""),44690.0)</f>
        <v>44690</v>
      </c>
      <c r="F58" s="186">
        <f>IFERROR(__xludf.DUMMYFUNCTION("""COMPUTED_VALUE"""),0.5359490740738693)</f>
        <v>0.5359490741</v>
      </c>
      <c r="G58" s="26" t="str">
        <f>IFERROR(__xludf.DUMMYFUNCTION("""COMPUTED_VALUE"""),"Positive")</f>
        <v>Positive</v>
      </c>
      <c r="H58" s="136" t="str">
        <f>IFERROR(VLOOKUP($B59,'Pos and Incl IMPORT'!$B$2:$X109,4,FALSE),IFERROR(0/0,""))</f>
        <v>SpFLMP604497</v>
      </c>
      <c r="I58" s="136"/>
      <c r="J58" s="136"/>
      <c r="K58" s="136" t="str">
        <f>IFERROR(VLOOKUP($B58,'Pos and Incl IMPORT'!$B$2:$P109,7,FALSE),IFERROR(0/0,""))</f>
        <v>Positive</v>
      </c>
      <c r="L58" s="187" t="str">
        <f>IFERROR(VLOOKUP($B58,'Pos and Incl IMPORT'!$B$2:$P109,11,FALSE),IFERROR(0/0,""))</f>
        <v/>
      </c>
      <c r="M58" s="136" t="str">
        <f>IFERROR(VLOOKUP($B58,'Pos and Incl IMPORT'!$B$2:$P109,12,FALSE),IFERROR(0/0,""))</f>
        <v/>
      </c>
      <c r="N58" s="136" t="str">
        <f>IFERROR(VLOOKUP($B58,'Pos and Incl IMPORT'!$B$2:$P109,13,FALSE),IFERROR(0/0,""))</f>
        <v/>
      </c>
      <c r="O58" s="187">
        <f>IFERROR(VLOOKUP($B58,'Pos and Incl IMPORT'!$B$2:$P109,14,FALSE),IFERROR(0/0,""))</f>
        <v>1</v>
      </c>
      <c r="P58" s="187">
        <f>IFERROR(VLOOKUP($B58,'Pos and Incl IMPORT'!$B$2:$P109,15,FALSE),IFERROR(0/0,""))</f>
        <v>2846</v>
      </c>
      <c r="Q58" s="136" t="str">
        <f>IFERROR(VLOOKUP($B58,'Pos and Incl IMPORT'!$B$2:$S109,16,FALSE),IFERROR(0/0,""))</f>
        <v>FLMP608363</v>
      </c>
      <c r="R58" s="136" t="str">
        <f>IFERROR(VLOOKUP($B58,'Pos and Incl IMPORT'!$B$2:$S109,17,FALSE),IFERROR(0/0,""))</f>
        <v/>
      </c>
      <c r="S58" s="136" t="str">
        <f>IFERROR(VLOOKUP($B58,'Pos and Incl IMPORT'!$B$2:$S109,18,FALSE),IFERROR(0/0,""))</f>
        <v/>
      </c>
      <c r="T58" s="136" t="str">
        <f>IFERROR(VLOOKUP($B58,'Pos and Incl IMPORT'!$B$2:$S109,19,FALSE),IFERROR(0/0,""))</f>
        <v/>
      </c>
      <c r="U58" s="187">
        <f t="shared" si="1"/>
        <v>2</v>
      </c>
      <c r="V58" s="14"/>
      <c r="W58" s="14"/>
      <c r="X58" s="14"/>
      <c r="Y58" s="14"/>
    </row>
    <row r="59">
      <c r="B59" s="26" t="str">
        <f>IFERROR(__xludf.DUMMYFUNCTION("""COMPUTED_VALUE"""),"AJ6664")</f>
        <v>AJ6664</v>
      </c>
      <c r="C59" s="26" t="str">
        <f>IFERROR(__xludf.DUMMYFUNCTION("""COMPUTED_VALUE"""),"RUN-FLMP_2022-05-11_RFR-132")</f>
        <v>RUN-FLMP_2022-05-11_RFR-132</v>
      </c>
      <c r="D59" s="185">
        <f>IFERROR(__xludf.DUMMYFUNCTION("""COMPUTED_VALUE"""),44692.0)</f>
        <v>44692</v>
      </c>
      <c r="E59" s="185">
        <f>IFERROR(__xludf.DUMMYFUNCTION("""COMPUTED_VALUE"""),44692.0)</f>
        <v>44692</v>
      </c>
      <c r="F59" s="186">
        <f>IFERROR(__xludf.DUMMYFUNCTION("""COMPUTED_VALUE"""),0.3509374999994179)</f>
        <v>0.3509375</v>
      </c>
      <c r="G59" s="26" t="str">
        <f>IFERROR(__xludf.DUMMYFUNCTION("""COMPUTED_VALUE"""),"Inconclusive")</f>
        <v>Inconclusive</v>
      </c>
      <c r="H59" s="136" t="str">
        <f>IFERROR(VLOOKUP($B60,'Pos and Incl IMPORT'!$B$2:$X109,4,FALSE),IFERROR(0/0,""))</f>
        <v>SpFLMP939619</v>
      </c>
      <c r="I59" s="136"/>
      <c r="J59" s="136"/>
      <c r="K59" s="136" t="str">
        <f>IFERROR(VLOOKUP($B59,'Pos and Incl IMPORT'!$B$2:$P109,7,FALSE),IFERROR(0/0,""))</f>
        <v>Null</v>
      </c>
      <c r="L59" s="187">
        <f>IFERROR(VLOOKUP($B59,'Pos and Incl IMPORT'!$B$2:$P109,11,FALSE),IFERROR(0/0,""))</f>
        <v>4</v>
      </c>
      <c r="M59" s="136" t="str">
        <f>IFERROR(VLOOKUP($B59,'Pos and Incl IMPORT'!$B$2:$P109,12,FALSE),IFERROR(0/0,""))</f>
        <v>Null called Inconclusive</v>
      </c>
      <c r="N59" s="136" t="str">
        <f>IFERROR(VLOOKUP($B59,'Pos and Incl IMPORT'!$B$2:$P109,13,FALSE),IFERROR(0/0,""))</f>
        <v/>
      </c>
      <c r="O59" s="187">
        <f>IFERROR(VLOOKUP($B59,'Pos and Incl IMPORT'!$B$2:$P109,14,FALSE),IFERROR(0/0,""))</f>
        <v>1</v>
      </c>
      <c r="P59" s="187">
        <f>IFERROR(VLOOKUP($B59,'Pos and Incl IMPORT'!$B$2:$P109,15,FALSE),IFERROR(0/0,""))</f>
        <v>2849</v>
      </c>
      <c r="Q59" s="136" t="str">
        <f>IFERROR(VLOOKUP($B59,'Pos and Incl IMPORT'!$B$2:$S109,16,FALSE),IFERROR(0/0,""))</f>
        <v>FLMP477732</v>
      </c>
      <c r="R59" s="136" t="str">
        <f>IFERROR(VLOOKUP($B59,'Pos and Incl IMPORT'!$B$2:$S109,17,FALSE),IFERROR(0/0,""))</f>
        <v/>
      </c>
      <c r="S59" s="136" t="str">
        <f>IFERROR(VLOOKUP($B59,'Pos and Incl IMPORT'!$B$2:$S109,18,FALSE),IFERROR(0/0,""))</f>
        <v/>
      </c>
      <c r="T59" s="136" t="str">
        <f>IFERROR(VLOOKUP($B59,'Pos and Incl IMPORT'!$B$2:$S109,19,FALSE),IFERROR(0/0,""))</f>
        <v/>
      </c>
      <c r="U59" s="187">
        <f t="shared" si="1"/>
        <v>1</v>
      </c>
      <c r="V59" s="14"/>
      <c r="W59" s="14"/>
      <c r="X59" s="14"/>
      <c r="Y59" s="14"/>
    </row>
    <row r="60">
      <c r="B60" s="26" t="str">
        <f>IFERROR(__xludf.DUMMYFUNCTION("""COMPUTED_VALUE"""),"FLB6807")</f>
        <v>FLB6807</v>
      </c>
      <c r="C60" s="26" t="str">
        <f>IFERROR(__xludf.DUMMYFUNCTION("""COMPUTED_VALUE"""),"RUN-FLMP_2022-05-19_RFR-144")</f>
        <v>RUN-FLMP_2022-05-19_RFR-144</v>
      </c>
      <c r="D60" s="185">
        <f>IFERROR(__xludf.DUMMYFUNCTION("""COMPUTED_VALUE"""),44700.0)</f>
        <v>44700</v>
      </c>
      <c r="E60" s="185">
        <f>IFERROR(__xludf.DUMMYFUNCTION("""COMPUTED_VALUE"""),44700.0)</f>
        <v>44700</v>
      </c>
      <c r="F60" s="186">
        <f>IFERROR(__xludf.DUMMYFUNCTION("""COMPUTED_VALUE"""),0.32843750000029104)</f>
        <v>0.3284375</v>
      </c>
      <c r="G60" s="26" t="str">
        <f>IFERROR(__xludf.DUMMYFUNCTION("""COMPUTED_VALUE"""),"Positive")</f>
        <v>Positive</v>
      </c>
      <c r="H60" s="136" t="str">
        <f>IFERROR(VLOOKUP($B61,'Pos and Incl IMPORT'!$B$2:$X109,4,FALSE),IFERROR(0/0,""))</f>
        <v>SpFLMP572444</v>
      </c>
      <c r="I60" s="136"/>
      <c r="J60" s="136"/>
      <c r="K60" s="136" t="str">
        <f>IFERROR(VLOOKUP($B60,'Pos and Incl IMPORT'!$B$2:$P109,7,FALSE),IFERROR(0/0,""))</f>
        <v>Positive</v>
      </c>
      <c r="L60" s="187" t="str">
        <f>IFERROR(VLOOKUP($B60,'Pos and Incl IMPORT'!$B$2:$P109,11,FALSE),IFERROR(0/0,""))</f>
        <v/>
      </c>
      <c r="M60" s="136" t="str">
        <f>IFERROR(VLOOKUP($B60,'Pos and Incl IMPORT'!$B$2:$P109,12,FALSE),IFERROR(0/0,""))</f>
        <v/>
      </c>
      <c r="N60" s="136" t="str">
        <f>IFERROR(VLOOKUP($B60,'Pos and Incl IMPORT'!$B$2:$P109,13,FALSE),IFERROR(0/0,""))</f>
        <v/>
      </c>
      <c r="O60" s="187">
        <f>IFERROR(VLOOKUP($B60,'Pos and Incl IMPORT'!$B$2:$P109,14,FALSE),IFERROR(0/0,""))</f>
        <v>1</v>
      </c>
      <c r="P60" s="187">
        <f>IFERROR(VLOOKUP($B60,'Pos and Incl IMPORT'!$B$2:$P109,15,FALSE),IFERROR(0/0,""))</f>
        <v>2966</v>
      </c>
      <c r="Q60" s="136" t="str">
        <f>IFERROR(VLOOKUP($B60,'Pos and Incl IMPORT'!$B$2:$S109,16,FALSE),IFERROR(0/0,""))</f>
        <v>FLMP987142</v>
      </c>
      <c r="R60" s="136" t="str">
        <f>IFERROR(VLOOKUP($B60,'Pos and Incl IMPORT'!$B$2:$S109,17,FALSE),IFERROR(0/0,""))</f>
        <v/>
      </c>
      <c r="S60" s="136" t="str">
        <f>IFERROR(VLOOKUP($B60,'Pos and Incl IMPORT'!$B$2:$S109,18,FALSE),IFERROR(0/0,""))</f>
        <v/>
      </c>
      <c r="T60" s="136" t="str">
        <f>IFERROR(VLOOKUP($B60,'Pos and Incl IMPORT'!$B$2:$S109,19,FALSE),IFERROR(0/0,""))</f>
        <v/>
      </c>
      <c r="U60" s="187">
        <f t="shared" si="1"/>
        <v>2</v>
      </c>
      <c r="V60" s="14"/>
      <c r="W60" s="14"/>
      <c r="X60" s="14"/>
      <c r="Y60" s="14"/>
    </row>
    <row r="61">
      <c r="B61" s="26" t="str">
        <f>IFERROR(__xludf.DUMMYFUNCTION("""COMPUTED_VALUE"""),"AH408")</f>
        <v>AH408</v>
      </c>
      <c r="C61" s="26" t="str">
        <f>IFERROR(__xludf.DUMMYFUNCTION("""COMPUTED_VALUE"""),"RUN-FLMP_2022-05-23_RFR-146")</f>
        <v>RUN-FLMP_2022-05-23_RFR-146</v>
      </c>
      <c r="D61" s="185">
        <f>IFERROR(__xludf.DUMMYFUNCTION("""COMPUTED_VALUE"""),44704.0)</f>
        <v>44704</v>
      </c>
      <c r="E61" s="185">
        <f>IFERROR(__xludf.DUMMYFUNCTION("""COMPUTED_VALUE"""),44703.0)</f>
        <v>44703</v>
      </c>
      <c r="F61" s="186">
        <f>IFERROR(__xludf.DUMMYFUNCTION("""COMPUTED_VALUE"""),0.6963194444433611)</f>
        <v>0.6963194444</v>
      </c>
      <c r="G61" s="26" t="str">
        <f>IFERROR(__xludf.DUMMYFUNCTION("""COMPUTED_VALUE"""),"Positive")</f>
        <v>Positive</v>
      </c>
      <c r="H61" s="136" t="str">
        <f>IFERROR(VLOOKUP($B62,'Pos and Incl IMPORT'!$B$2:$X109,4,FALSE),IFERROR(0/0,""))</f>
        <v>SpFLMP870846</v>
      </c>
      <c r="I61" s="136"/>
      <c r="J61" s="136"/>
      <c r="K61" s="136" t="str">
        <f>IFERROR(VLOOKUP($B61,'Pos and Incl IMPORT'!$B$2:$P109,7,FALSE),IFERROR(0/0,""))</f>
        <v>Positive</v>
      </c>
      <c r="L61" s="187" t="str">
        <f>IFERROR(VLOOKUP($B61,'Pos and Incl IMPORT'!$B$2:$P109,11,FALSE),IFERROR(0/0,""))</f>
        <v/>
      </c>
      <c r="M61" s="136" t="str">
        <f>IFERROR(VLOOKUP($B61,'Pos and Incl IMPORT'!$B$2:$P109,12,FALSE),IFERROR(0/0,""))</f>
        <v/>
      </c>
      <c r="N61" s="136" t="str">
        <f>IFERROR(VLOOKUP($B61,'Pos and Incl IMPORT'!$B$2:$P109,13,FALSE),IFERROR(0/0,""))</f>
        <v/>
      </c>
      <c r="O61" s="187">
        <f>IFERROR(VLOOKUP($B61,'Pos and Incl IMPORT'!$B$2:$P109,14,FALSE),IFERROR(0/0,""))</f>
        <v>3</v>
      </c>
      <c r="P61" s="187">
        <f>IFERROR(VLOOKUP($B61,'Pos and Incl IMPORT'!$B$2:$P109,15,FALSE),IFERROR(0/0,""))</f>
        <v>3006</v>
      </c>
      <c r="Q61" s="136" t="str">
        <f>IFERROR(VLOOKUP($B61,'Pos and Incl IMPORT'!$B$2:$S109,16,FALSE),IFERROR(0/0,""))</f>
        <v>FLMP502901</v>
      </c>
      <c r="R61" s="136" t="str">
        <f>IFERROR(VLOOKUP($B61,'Pos and Incl IMPORT'!$B$2:$S109,17,FALSE),IFERROR(0/0,""))</f>
        <v>FLMP458975</v>
      </c>
      <c r="S61" s="136" t="str">
        <f>IFERROR(VLOOKUP($B61,'Pos and Incl IMPORT'!$B$2:$S109,18,FALSE),IFERROR(0/0,""))</f>
        <v>FLMP787024</v>
      </c>
      <c r="T61" s="136" t="str">
        <f>IFERROR(VLOOKUP($B61,'Pos and Incl IMPORT'!$B$2:$S109,19,FALSE),IFERROR(0/0,""))</f>
        <v/>
      </c>
      <c r="U61" s="187">
        <f t="shared" si="1"/>
        <v>1</v>
      </c>
      <c r="V61" s="14"/>
      <c r="W61" s="14"/>
      <c r="X61" s="14"/>
      <c r="Y61" s="14"/>
    </row>
    <row r="62">
      <c r="B62" s="26" t="str">
        <f>IFERROR(__xludf.DUMMYFUNCTION("""COMPUTED_VALUE"""),"AH7754")</f>
        <v>AH7754</v>
      </c>
      <c r="C62" s="26" t="str">
        <f>IFERROR(__xludf.DUMMYFUNCTION("""COMPUTED_VALUE"""),"RUN-FLMP_2022-12-15_APS-136")</f>
        <v>RUN-FLMP_2022-12-15_APS-136</v>
      </c>
      <c r="D62" s="185">
        <f>IFERROR(__xludf.DUMMYFUNCTION("""COMPUTED_VALUE"""),44910.0)</f>
        <v>44910</v>
      </c>
      <c r="E62" s="185">
        <f>IFERROR(__xludf.DUMMYFUNCTION("""COMPUTED_VALUE"""),44910.0)</f>
        <v>44910</v>
      </c>
      <c r="F62" s="186">
        <f>IFERROR(__xludf.DUMMYFUNCTION("""COMPUTED_VALUE"""),0.35001157407532446)</f>
        <v>0.3500115741</v>
      </c>
      <c r="G62" s="26" t="str">
        <f>IFERROR(__xludf.DUMMYFUNCTION("""COMPUTED_VALUE"""),"Positive")</f>
        <v>Positive</v>
      </c>
      <c r="H62" s="136" t="str">
        <f>IFERROR(VLOOKUP($B63,'Pos and Incl IMPORT'!$B$2:$X109,4,FALSE),IFERROR(0/0,""))</f>
        <v/>
      </c>
      <c r="I62" s="136"/>
      <c r="J62" s="136"/>
      <c r="K62" s="136" t="str">
        <f>IFERROR(VLOOKUP($B62,'Pos and Incl IMPORT'!$B$2:$P109,7,FALSE),IFERROR(0/0,""))</f>
        <v>Null</v>
      </c>
      <c r="L62" s="187">
        <f>IFERROR(VLOOKUP($B62,'Pos and Incl IMPORT'!$B$2:$P109,11,FALSE),IFERROR(0/0,""))</f>
        <v>3</v>
      </c>
      <c r="M62" s="136" t="str">
        <f>IFERROR(VLOOKUP($B62,'Pos and Incl IMPORT'!$B$2:$P109,12,FALSE),IFERROR(0/0,""))</f>
        <v>RT Dec25 - from memory that they had a positive pool which led to the Lucira and Antigen referral test right after at 10am (see RTR)</v>
      </c>
      <c r="N62" s="136" t="str">
        <f>IFERROR(VLOOKUP($B62,'Pos and Incl IMPORT'!$B$2:$P109,13,FALSE),IFERROR(0/0,""))</f>
        <v/>
      </c>
      <c r="O62" s="187">
        <f>IFERROR(VLOOKUP($B62,'Pos and Incl IMPORT'!$B$2:$P109,14,FALSE),IFERROR(0/0,""))</f>
        <v>2</v>
      </c>
      <c r="P62" s="187">
        <f>IFERROR(VLOOKUP($B62,'Pos and Incl IMPORT'!$B$2:$P109,15,FALSE),IFERROR(0/0,""))</f>
        <v>3363</v>
      </c>
      <c r="Q62" s="136" t="str">
        <f>IFERROR(VLOOKUP($B62,'Pos and Incl IMPORT'!$B$2:$S109,16,FALSE),IFERROR(0/0,""))</f>
        <v>FLMP183184</v>
      </c>
      <c r="R62" s="136" t="str">
        <f>IFERROR(VLOOKUP($B62,'Pos and Incl IMPORT'!$B$2:$S109,17,FALSE),IFERROR(0/0,""))</f>
        <v>FLMP618864</v>
      </c>
      <c r="S62" s="136" t="str">
        <f>IFERROR(VLOOKUP($B62,'Pos and Incl IMPORT'!$B$2:$S109,18,FALSE),IFERROR(0/0,""))</f>
        <v/>
      </c>
      <c r="T62" s="136" t="str">
        <f>IFERROR(VLOOKUP($B62,'Pos and Incl IMPORT'!$B$2:$S109,19,FALSE),IFERROR(0/0,""))</f>
        <v/>
      </c>
      <c r="U62" s="187">
        <f t="shared" si="1"/>
        <v>1</v>
      </c>
      <c r="V62" s="14"/>
      <c r="W62" s="14"/>
      <c r="X62" s="14"/>
      <c r="Y62" s="14"/>
    </row>
    <row r="63">
      <c r="L63" s="48"/>
    </row>
    <row r="64">
      <c r="L64" s="48"/>
    </row>
    <row r="65">
      <c r="L65" s="48"/>
    </row>
    <row r="66">
      <c r="L66" s="48"/>
    </row>
    <row r="67">
      <c r="L67" s="48"/>
    </row>
    <row r="68">
      <c r="L68" s="48"/>
    </row>
    <row r="69">
      <c r="L69" s="48"/>
    </row>
    <row r="70">
      <c r="L70" s="48"/>
    </row>
    <row r="71">
      <c r="L71" s="48"/>
    </row>
    <row r="72">
      <c r="L72" s="48"/>
    </row>
    <row r="73">
      <c r="L73" s="48"/>
    </row>
    <row r="74">
      <c r="L74" s="48"/>
    </row>
    <row r="75">
      <c r="L75" s="48"/>
    </row>
    <row r="76">
      <c r="L76" s="48"/>
    </row>
    <row r="77">
      <c r="L77" s="48"/>
    </row>
    <row r="78">
      <c r="L78" s="48"/>
    </row>
    <row r="79">
      <c r="L79" s="48"/>
    </row>
    <row r="80">
      <c r="L80" s="48"/>
    </row>
    <row r="81">
      <c r="L81" s="48"/>
    </row>
    <row r="82">
      <c r="L82" s="48"/>
    </row>
    <row r="83">
      <c r="L83" s="48"/>
    </row>
    <row r="84">
      <c r="L84" s="48"/>
    </row>
    <row r="85">
      <c r="L85" s="48"/>
    </row>
    <row r="86">
      <c r="L86" s="48"/>
    </row>
    <row r="87">
      <c r="L87" s="48"/>
    </row>
    <row r="88">
      <c r="L88" s="48"/>
    </row>
    <row r="89">
      <c r="L89" s="48"/>
    </row>
    <row r="90">
      <c r="L90" s="48"/>
    </row>
    <row r="91">
      <c r="L91" s="48"/>
    </row>
    <row r="92">
      <c r="L92" s="48"/>
    </row>
    <row r="93">
      <c r="L93" s="48"/>
    </row>
    <row r="94">
      <c r="L94" s="48"/>
    </row>
    <row r="95">
      <c r="L95" s="48"/>
    </row>
    <row r="96">
      <c r="L96" s="48"/>
    </row>
    <row r="97">
      <c r="L97" s="48"/>
    </row>
    <row r="98">
      <c r="L98" s="48"/>
    </row>
    <row r="99">
      <c r="L99" s="48"/>
    </row>
    <row r="100">
      <c r="L100" s="48"/>
    </row>
    <row r="101">
      <c r="L101" s="48"/>
    </row>
    <row r="102">
      <c r="L102" s="48"/>
    </row>
    <row r="103">
      <c r="L103" s="48"/>
    </row>
    <row r="104">
      <c r="L104" s="48"/>
    </row>
    <row r="105">
      <c r="L105" s="48"/>
    </row>
    <row r="106">
      <c r="L106" s="48"/>
    </row>
    <row r="107">
      <c r="L107" s="48"/>
    </row>
    <row r="108">
      <c r="L108" s="48"/>
    </row>
    <row r="109">
      <c r="L109" s="48"/>
    </row>
  </sheetData>
  <hyperlinks>
    <hyperlink r:id="rId2" ref="A2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5" max="5" width="16.25"/>
    <col customWidth="1" min="12" max="12" width="11.0"/>
    <col customWidth="1" min="20" max="20" width="22.63"/>
  </cols>
  <sheetData>
    <row r="1">
      <c r="A1" s="180" t="s">
        <v>197</v>
      </c>
      <c r="B1" s="188" t="str">
        <f>IFERROR(__xludf.DUMMYFUNCTION("IMPORTRANGE(A2,""Pos and Incl!A:S"")"),"TUBE ID")</f>
        <v>TUBE ID</v>
      </c>
      <c r="C1" s="182" t="str">
        <f>IFERROR(__xludf.DUMMYFUNCTION("""COMPUTED_VALUE"""),"COLLECTION DATE")</f>
        <v>COLLECTION DATE</v>
      </c>
      <c r="D1" s="182" t="str">
        <f>IFERROR(__xludf.DUMMYFUNCTION("""COMPUTED_VALUE"""),"COLLECTION TIME")</f>
        <v>COLLECTION TIME</v>
      </c>
      <c r="E1" s="182" t="str">
        <f>IFERROR(__xludf.DUMMYFUNCTION("""COMPUTED_VALUE"""),"SPONSOR PERSON ID")</f>
        <v>SPONSOR PERSON ID</v>
      </c>
      <c r="F1" s="182" t="str">
        <f>IFERROR(__xludf.DUMMYFUNCTION("""COMPUTED_VALUE"""),"SPONSOR FIRSTNAME")</f>
        <v>SPONSOR FIRSTNAME</v>
      </c>
      <c r="G1" s="182" t="str">
        <f>IFERROR(__xludf.DUMMYFUNCTION("""COMPUTED_VALUE"""),"SPONSOR LASTNAME")</f>
        <v>SPONSOR LASTNAME</v>
      </c>
      <c r="H1" s="182" t="str">
        <f>IFERROR(__xludf.DUMMYFUNCTION("""COMPUTED_VALUE"""),"APP
RESULT")</f>
        <v>APP
RESULT</v>
      </c>
      <c r="I1" s="182" t="str">
        <f>IFERROR(__xludf.DUMMYFUNCTION("""COMPUTED_VALUE"""),"FINAL RESULT")</f>
        <v>FINAL RESULT</v>
      </c>
      <c r="J1" s="182" t="str">
        <f>IFERROR(__xludf.DUMMYFUNCTION("""COMPUTED_VALUE"""),"RESULT DATE")</f>
        <v>RESULT DATE</v>
      </c>
      <c r="K1" s="182" t="str">
        <f>IFERROR(__xludf.DUMMYFUNCTION("""COMPUTED_VALUE"""),"RESULT TIME")</f>
        <v>RESULT TIME</v>
      </c>
      <c r="L1" s="182" t="str">
        <f>IFERROR(__xludf.DUMMYFUNCTION("""COMPUTED_VALUE"""),"Result Correct Code")</f>
        <v>Result Correct Code</v>
      </c>
      <c r="M1" s="189" t="str">
        <f>IFERROR(__xludf.DUMMYFUNCTION("""COMPUTED_VALUE"""),"Correction Notes")</f>
        <v>Correction Notes</v>
      </c>
      <c r="N1" s="189" t="str">
        <f>IFERROR(__xludf.DUMMYFUNCTION("""COMPUTED_VALUE"""),"NOTE")</f>
        <v>NOTE</v>
      </c>
      <c r="O1" s="182" t="str">
        <f>IFERROR(__xludf.DUMMYFUNCTION("""COMPUTED_VALUE"""),"NUM SAMPLES (Pool Level)")</f>
        <v>NUM SAMPLES (Pool Level)</v>
      </c>
      <c r="P1" s="182" t="str">
        <f>IFERROR(__xludf.DUMMYFUNCTION("""COMPUTED_VALUE"""),"Match Row in APS Data PHI - postDEL")</f>
        <v>Match Row in APS Data PHI - postDEL</v>
      </c>
      <c r="Q1" s="182" t="str">
        <f>IFERROR(__xludf.DUMMYFUNCTION("""COMPUTED_VALUE"""),"Sample Person1")</f>
        <v>Sample Person1</v>
      </c>
      <c r="R1" s="182" t="str">
        <f>IFERROR(__xludf.DUMMYFUNCTION("""COMPUTED_VALUE"""),"Sample Person2")</f>
        <v>Sample Person2</v>
      </c>
      <c r="S1" s="182" t="str">
        <f>IFERROR(__xludf.DUMMYFUNCTION("""COMPUTED_VALUE"""),"Sample Person3")</f>
        <v>Sample Person3</v>
      </c>
      <c r="T1" s="182" t="str">
        <f>IFERROR(__xludf.DUMMYFUNCTION("""COMPUTED_VALUE"""),"Sample Person4")</f>
        <v>Sample Person4</v>
      </c>
      <c r="U1" s="6" t="s">
        <v>204</v>
      </c>
      <c r="V1" s="190"/>
      <c r="W1" s="190"/>
      <c r="X1" s="190"/>
      <c r="Y1" s="190"/>
      <c r="Z1" s="190"/>
      <c r="AA1" s="190"/>
    </row>
    <row r="2">
      <c r="A2" s="129" t="s">
        <v>205</v>
      </c>
      <c r="B2" s="191" t="str">
        <f>IFERROR(__xludf.DUMMYFUNCTION("""COMPUTED_VALUE"""),"351430")</f>
        <v>351430</v>
      </c>
      <c r="C2" s="185">
        <f>IFERROR(__xludf.DUMMYFUNCTION("""COMPUTED_VALUE"""),44211.0)</f>
        <v>44211</v>
      </c>
      <c r="D2" s="186">
        <f>IFERROR(__xludf.DUMMYFUNCTION("""COMPUTED_VALUE"""),0.3252777777777778)</f>
        <v>0.3252777778</v>
      </c>
      <c r="E2" s="26" t="str">
        <f>IFERROR(__xludf.DUMMYFUNCTION("""COMPUTED_VALUE"""),"SpFLMP294811")</f>
        <v>SpFLMP294811</v>
      </c>
      <c r="F2" s="26"/>
      <c r="G2" s="26"/>
      <c r="H2" s="26" t="str">
        <f>IFERROR(__xludf.DUMMYFUNCTION("""COMPUTED_VALUE"""),"Null")</f>
        <v>Null</v>
      </c>
      <c r="I2" s="26" t="str">
        <f>IFERROR(__xludf.DUMMYFUNCTION("""COMPUTED_VALUE"""),"Positive")</f>
        <v>Positive</v>
      </c>
      <c r="J2" s="26"/>
      <c r="K2" s="26"/>
      <c r="L2" s="192">
        <f>IFERROR(__xludf.DUMMYFUNCTION("""COMPUTED_VALUE"""),3.0)</f>
        <v>3</v>
      </c>
      <c r="M2" s="191" t="str">
        <f>IFERROR(__xludf.DUMMYFUNCTION("""COMPUTED_VALUE"""),"Null called Positive - Sponsor communicated identity of other person in pool on day of, see RTR")</f>
        <v>Null called Positive - Sponsor communicated identity of other person in pool on day of, see RTR</v>
      </c>
      <c r="N2" s="191"/>
      <c r="O2" s="192">
        <f>IFERROR(__xludf.DUMMYFUNCTION("""COMPUTED_VALUE"""),2.0)</f>
        <v>2</v>
      </c>
      <c r="P2" s="26">
        <f>IFERROR(__xludf.DUMMYFUNCTION("""COMPUTED_VALUE"""),42.0)</f>
        <v>42</v>
      </c>
      <c r="Q2" s="26" t="str">
        <f>IFERROR(__xludf.DUMMYFUNCTION("""COMPUTED_VALUE"""),"FLMP466389")</f>
        <v>FLMP466389</v>
      </c>
      <c r="R2" s="26" t="str">
        <f>IFERROR(__xludf.DUMMYFUNCTION("""COMPUTED_VALUE"""),"FLMP197976")</f>
        <v>FLMP197976</v>
      </c>
      <c r="S2" s="26"/>
      <c r="T2" s="26"/>
      <c r="U2" s="25" t="str">
        <f t="shared" ref="U2:U62" si="1">IF(COUNTA(Q2:T2)=1,"INDIV","POOL")</f>
        <v>POOL</v>
      </c>
    </row>
    <row r="3">
      <c r="B3" s="26" t="str">
        <f>IFERROR(__xludf.DUMMYFUNCTION("""COMPUTED_VALUE"""),"351430B")</f>
        <v>351430B</v>
      </c>
      <c r="C3" s="185">
        <f>IFERROR(__xludf.DUMMYFUNCTION("""COMPUTED_VALUE"""),44211.0)</f>
        <v>44211</v>
      </c>
      <c r="D3" s="186">
        <f>IFERROR(__xludf.DUMMYFUNCTION("""COMPUTED_VALUE"""),0.6666666666666666)</f>
        <v>0.6666666667</v>
      </c>
      <c r="E3" s="26" t="str">
        <f>IFERROR(__xludf.DUMMYFUNCTION("""COMPUTED_VALUE"""),"SpFLMP659315")</f>
        <v>SpFLMP659315</v>
      </c>
      <c r="F3" s="26"/>
      <c r="G3" s="26"/>
      <c r="H3" s="26"/>
      <c r="I3" s="26" t="str">
        <f>IFERROR(__xludf.DUMMYFUNCTION("""COMPUTED_VALUE"""),"Positive")</f>
        <v>Positive</v>
      </c>
      <c r="J3" s="26"/>
      <c r="K3" s="26"/>
      <c r="L3" s="192">
        <f>IFERROR(__xludf.DUMMYFUNCTION("""COMPUTED_VALUE"""),5.0)</f>
        <v>5</v>
      </c>
      <c r="M3" s="191" t="str">
        <f>IFERROR(__xludf.DUMMYFUNCTION("""COMPUTED_VALUE"""),"Resample for deconv not collected in App, info on samples is in 1-15-22 Run File")</f>
        <v>Resample for deconv not collected in App, info on samples is in 1-15-22 Run File</v>
      </c>
      <c r="N3" s="191"/>
      <c r="O3" s="192">
        <f>IFERROR(__xludf.DUMMYFUNCTION("""COMPUTED_VALUE"""),1.0)</f>
        <v>1</v>
      </c>
      <c r="P3" s="26">
        <f>IFERROR(__xludf.DUMMYFUNCTION("""COMPUTED_VALUE"""),51.0)</f>
        <v>51</v>
      </c>
      <c r="Q3" s="26" t="str">
        <f>IFERROR(__xludf.DUMMYFUNCTION("""COMPUTED_VALUE"""),"FLMP466389")</f>
        <v>FLMP466389</v>
      </c>
      <c r="R3" s="26"/>
      <c r="S3" s="26"/>
      <c r="T3" s="26"/>
      <c r="U3" s="25" t="str">
        <f t="shared" si="1"/>
        <v>INDIV</v>
      </c>
    </row>
    <row r="4">
      <c r="B4" s="26" t="str">
        <f>IFERROR(__xludf.DUMMYFUNCTION("""COMPUTED_VALUE"""),"351430D")</f>
        <v>351430D</v>
      </c>
      <c r="C4" s="185">
        <f>IFERROR(__xludf.DUMMYFUNCTION("""COMPUTED_VALUE"""),44211.0)</f>
        <v>44211</v>
      </c>
      <c r="D4" s="186">
        <f>IFERROR(__xludf.DUMMYFUNCTION("""COMPUTED_VALUE"""),0.6666666666666666)</f>
        <v>0.6666666667</v>
      </c>
      <c r="E4" s="26" t="str">
        <f>IFERROR(__xludf.DUMMYFUNCTION("""COMPUTED_VALUE"""),"SpFLMP659315")</f>
        <v>SpFLMP659315</v>
      </c>
      <c r="F4" s="26"/>
      <c r="G4" s="26"/>
      <c r="H4" s="26"/>
      <c r="I4" s="26" t="str">
        <f>IFERROR(__xludf.DUMMYFUNCTION("""COMPUTED_VALUE"""),"Positive")</f>
        <v>Positive</v>
      </c>
      <c r="J4" s="26"/>
      <c r="K4" s="26"/>
      <c r="L4" s="192">
        <f>IFERROR(__xludf.DUMMYFUNCTION("""COMPUTED_VALUE"""),5.0)</f>
        <v>5</v>
      </c>
      <c r="M4" s="191" t="str">
        <f>IFERROR(__xludf.DUMMYFUNCTION("""COMPUTED_VALUE"""),"Saliva only run on PCR, Resample for deconv not collected in App, info on samples is in 1-15-22 Run File")</f>
        <v>Saliva only run on PCR, Resample for deconv not collected in App, info on samples is in 1-15-22 Run File</v>
      </c>
      <c r="N4" s="191"/>
      <c r="O4" s="192">
        <f>IFERROR(__xludf.DUMMYFUNCTION("""COMPUTED_VALUE"""),1.0)</f>
        <v>1</v>
      </c>
      <c r="P4" s="26">
        <f>IFERROR(__xludf.DUMMYFUNCTION("""COMPUTED_VALUE"""),53.0)</f>
        <v>53</v>
      </c>
      <c r="Q4" s="26" t="str">
        <f>IFERROR(__xludf.DUMMYFUNCTION("""COMPUTED_VALUE"""),"FLMP466389")</f>
        <v>FLMP466389</v>
      </c>
      <c r="R4" s="26"/>
      <c r="S4" s="26"/>
      <c r="T4" s="26"/>
      <c r="U4" s="25" t="str">
        <f t="shared" si="1"/>
        <v>INDIV</v>
      </c>
    </row>
    <row r="5">
      <c r="B5" s="26" t="str">
        <f>IFERROR(__xludf.DUMMYFUNCTION("""COMPUTED_VALUE"""),"MA1463")</f>
        <v>MA1463</v>
      </c>
      <c r="C5" s="185">
        <f>IFERROR(__xludf.DUMMYFUNCTION("""COMPUTED_VALUE"""),44548.0)</f>
        <v>44548</v>
      </c>
      <c r="D5" s="186">
        <f>IFERROR(__xludf.DUMMYFUNCTION("""COMPUTED_VALUE"""),0.29943287037037036)</f>
        <v>0.2994328704</v>
      </c>
      <c r="E5" s="26" t="str">
        <f>IFERROR(__xludf.DUMMYFUNCTION("""COMPUTED_VALUE"""),"SpFLMP659315")</f>
        <v>SpFLMP659315</v>
      </c>
      <c r="F5" s="26"/>
      <c r="G5" s="26"/>
      <c r="H5" s="26" t="str">
        <f>IFERROR(__xludf.DUMMYFUNCTION("""COMPUTED_VALUE"""),"Positive")</f>
        <v>Positive</v>
      </c>
      <c r="I5" s="26" t="str">
        <f>IFERROR(__xludf.DUMMYFUNCTION("""COMPUTED_VALUE"""),"Positive")</f>
        <v>Positive</v>
      </c>
      <c r="J5" s="185">
        <f>IFERROR(__xludf.DUMMYFUNCTION("""COMPUTED_VALUE"""),44548.0)</f>
        <v>44548</v>
      </c>
      <c r="K5" s="186">
        <f>IFERROR(__xludf.DUMMYFUNCTION("""COMPUTED_VALUE"""),0.39408564814814817)</f>
        <v>0.3940856481</v>
      </c>
      <c r="L5" s="192"/>
      <c r="M5" s="191"/>
      <c r="N5" s="191"/>
      <c r="O5" s="192">
        <f>IFERROR(__xludf.DUMMYFUNCTION("""COMPUTED_VALUE"""),2.0)</f>
        <v>2</v>
      </c>
      <c r="P5" s="26">
        <f>IFERROR(__xludf.DUMMYFUNCTION("""COMPUTED_VALUE"""),614.0)</f>
        <v>614</v>
      </c>
      <c r="Q5" s="26" t="str">
        <f>IFERROR(__xludf.DUMMYFUNCTION("""COMPUTED_VALUE"""),"FLMP634407")</f>
        <v>FLMP634407</v>
      </c>
      <c r="R5" s="26" t="str">
        <f>IFERROR(__xludf.DUMMYFUNCTION("""COMPUTED_VALUE"""),"FLMP619442")</f>
        <v>FLMP619442</v>
      </c>
      <c r="S5" s="26"/>
      <c r="T5" s="26"/>
      <c r="U5" s="25" t="str">
        <f t="shared" si="1"/>
        <v>POOL</v>
      </c>
    </row>
    <row r="6">
      <c r="B6" s="26" t="str">
        <f>IFERROR(__xludf.DUMMYFUNCTION("""COMPUTED_VALUE"""),"MA1215")</f>
        <v>MA1215</v>
      </c>
      <c r="C6" s="185">
        <f>IFERROR(__xludf.DUMMYFUNCTION("""COMPUTED_VALUE"""),44548.0)</f>
        <v>44548</v>
      </c>
      <c r="D6" s="186">
        <f>IFERROR(__xludf.DUMMYFUNCTION("""COMPUTED_VALUE"""),0.3919097222222222)</f>
        <v>0.3919097222</v>
      </c>
      <c r="E6" s="26" t="str">
        <f>IFERROR(__xludf.DUMMYFUNCTION("""COMPUTED_VALUE"""),"SpFLMP659315")</f>
        <v>SpFLMP659315</v>
      </c>
      <c r="F6" s="26"/>
      <c r="G6" s="26"/>
      <c r="H6" s="26" t="str">
        <f>IFERROR(__xludf.DUMMYFUNCTION("""COMPUTED_VALUE"""),"Positive")</f>
        <v>Positive</v>
      </c>
      <c r="I6" s="26" t="str">
        <f>IFERROR(__xludf.DUMMYFUNCTION("""COMPUTED_VALUE"""),"Positive")</f>
        <v>Positive</v>
      </c>
      <c r="J6" s="185">
        <f>IFERROR(__xludf.DUMMYFUNCTION("""COMPUTED_VALUE"""),44549.0)</f>
        <v>44549</v>
      </c>
      <c r="K6" s="186">
        <f>IFERROR(__xludf.DUMMYFUNCTION("""COMPUTED_VALUE"""),0.3618865740740741)</f>
        <v>0.3618865741</v>
      </c>
      <c r="L6" s="192"/>
      <c r="M6" s="191" t="str">
        <f>IFERROR(__xludf.DUMMYFUNCTION("""COMPUTED_VALUE"""),"name email fix")</f>
        <v>name email fix</v>
      </c>
      <c r="N6" s="191"/>
      <c r="O6" s="192">
        <f>IFERROR(__xludf.DUMMYFUNCTION("""COMPUTED_VALUE"""),1.0)</f>
        <v>1</v>
      </c>
      <c r="P6" s="26">
        <f>IFERROR(__xludf.DUMMYFUNCTION("""COMPUTED_VALUE"""),618.0)</f>
        <v>618</v>
      </c>
      <c r="Q6" s="26" t="str">
        <f>IFERROR(__xludf.DUMMYFUNCTION("""COMPUTED_VALUE"""),"FLMP619442")</f>
        <v>FLMP619442</v>
      </c>
      <c r="R6" s="26"/>
      <c r="S6" s="26"/>
      <c r="T6" s="26"/>
      <c r="U6" s="25" t="str">
        <f t="shared" si="1"/>
        <v>INDIV</v>
      </c>
    </row>
    <row r="7">
      <c r="B7" s="26" t="str">
        <f>IFERROR(__xludf.DUMMYFUNCTION("""COMPUTED_VALUE"""),"FLM276")</f>
        <v>FLM276</v>
      </c>
      <c r="C7" s="185">
        <f>IFERROR(__xludf.DUMMYFUNCTION("""COMPUTED_VALUE"""),44552.0)</f>
        <v>44552</v>
      </c>
      <c r="D7" s="186">
        <f>IFERROR(__xludf.DUMMYFUNCTION("""COMPUTED_VALUE"""),0.7594791666666667)</f>
        <v>0.7594791667</v>
      </c>
      <c r="E7" s="26" t="str">
        <f>IFERROR(__xludf.DUMMYFUNCTION("""COMPUTED_VALUE"""),"SpFLMP659315")</f>
        <v>SpFLMP659315</v>
      </c>
      <c r="F7" s="26"/>
      <c r="G7" s="26"/>
      <c r="H7" s="26" t="str">
        <f>IFERROR(__xludf.DUMMYFUNCTION("""COMPUTED_VALUE"""),"Positive")</f>
        <v>Positive</v>
      </c>
      <c r="I7" s="26" t="str">
        <f>IFERROR(__xludf.DUMMYFUNCTION("""COMPUTED_VALUE"""),"Positive")</f>
        <v>Positive</v>
      </c>
      <c r="J7" s="185">
        <f>IFERROR(__xludf.DUMMYFUNCTION("""COMPUTED_VALUE"""),44552.0)</f>
        <v>44552</v>
      </c>
      <c r="K7" s="186">
        <f>IFERROR(__xludf.DUMMYFUNCTION("""COMPUTED_VALUE"""),0.7982060185185185)</f>
        <v>0.7982060185</v>
      </c>
      <c r="L7" s="192"/>
      <c r="M7" s="191" t="str">
        <f>IFERROR(__xludf.DUMMYFUNCTION("""COMPUTED_VALUE"""),"name email fix")</f>
        <v>name email fix</v>
      </c>
      <c r="N7" s="191"/>
      <c r="O7" s="192">
        <f>IFERROR(__xludf.DUMMYFUNCTION("""COMPUTED_VALUE"""),1.0)</f>
        <v>1</v>
      </c>
      <c r="P7" s="26">
        <f>IFERROR(__xludf.DUMMYFUNCTION("""COMPUTED_VALUE"""),646.0)</f>
        <v>646</v>
      </c>
      <c r="Q7" s="26" t="str">
        <f>IFERROR(__xludf.DUMMYFUNCTION("""COMPUTED_VALUE"""),"FLMP619442")</f>
        <v>FLMP619442</v>
      </c>
      <c r="R7" s="26"/>
      <c r="S7" s="26"/>
      <c r="T7" s="26"/>
      <c r="U7" s="25" t="str">
        <f t="shared" si="1"/>
        <v>INDIV</v>
      </c>
    </row>
    <row r="8">
      <c r="B8" s="26" t="str">
        <f>IFERROR(__xludf.DUMMYFUNCTION("""COMPUTED_VALUE"""),"MA1362")</f>
        <v>MA1362</v>
      </c>
      <c r="C8" s="185">
        <f>IFERROR(__xludf.DUMMYFUNCTION("""COMPUTED_VALUE"""),44553.0)</f>
        <v>44553</v>
      </c>
      <c r="D8" s="186">
        <f>IFERROR(__xludf.DUMMYFUNCTION("""COMPUTED_VALUE"""),0.37064814814814817)</f>
        <v>0.3706481481</v>
      </c>
      <c r="E8" s="26" t="str">
        <f>IFERROR(__xludf.DUMMYFUNCTION("""COMPUTED_VALUE"""),"SpFLMP659315")</f>
        <v>SpFLMP659315</v>
      </c>
      <c r="F8" s="26"/>
      <c r="G8" s="26"/>
      <c r="H8" s="26" t="str">
        <f>IFERROR(__xludf.DUMMYFUNCTION("""COMPUTED_VALUE"""),"Positive")</f>
        <v>Positive</v>
      </c>
      <c r="I8" s="26" t="str">
        <f>IFERROR(__xludf.DUMMYFUNCTION("""COMPUTED_VALUE"""),"Positive")</f>
        <v>Positive</v>
      </c>
      <c r="J8" s="185">
        <f>IFERROR(__xludf.DUMMYFUNCTION("""COMPUTED_VALUE"""),44553.0)</f>
        <v>44553</v>
      </c>
      <c r="K8" s="186">
        <f>IFERROR(__xludf.DUMMYFUNCTION("""COMPUTED_VALUE"""),0.6457291666666667)</f>
        <v>0.6457291667</v>
      </c>
      <c r="L8" s="192"/>
      <c r="M8" s="191" t="str">
        <f>IFERROR(__xludf.DUMMYFUNCTION("""COMPUTED_VALUE"""),"name email fix")</f>
        <v>name email fix</v>
      </c>
      <c r="N8" s="191"/>
      <c r="O8" s="192">
        <f>IFERROR(__xludf.DUMMYFUNCTION("""COMPUTED_VALUE"""),1.0)</f>
        <v>1</v>
      </c>
      <c r="P8" s="26">
        <f>IFERROR(__xludf.DUMMYFUNCTION("""COMPUTED_VALUE"""),650.0)</f>
        <v>650</v>
      </c>
      <c r="Q8" s="26" t="str">
        <f>IFERROR(__xludf.DUMMYFUNCTION("""COMPUTED_VALUE"""),"FLMP619442")</f>
        <v>FLMP619442</v>
      </c>
      <c r="R8" s="26"/>
      <c r="S8" s="26"/>
      <c r="T8" s="26"/>
      <c r="U8" s="25" t="str">
        <f t="shared" si="1"/>
        <v>INDIV</v>
      </c>
    </row>
    <row r="9">
      <c r="B9" s="26" t="str">
        <f>IFERROR(__xludf.DUMMYFUNCTION("""COMPUTED_VALUE"""),"MA1325")</f>
        <v>MA1325</v>
      </c>
      <c r="C9" s="185">
        <f>IFERROR(__xludf.DUMMYFUNCTION("""COMPUTED_VALUE"""),44554.0)</f>
        <v>44554</v>
      </c>
      <c r="D9" s="186">
        <f>IFERROR(__xludf.DUMMYFUNCTION("""COMPUTED_VALUE"""),0.3094212962962963)</f>
        <v>0.3094212963</v>
      </c>
      <c r="E9" s="26" t="str">
        <f>IFERROR(__xludf.DUMMYFUNCTION("""COMPUTED_VALUE"""),"SpFLMP659315")</f>
        <v>SpFLMP659315</v>
      </c>
      <c r="F9" s="26"/>
      <c r="G9" s="26"/>
      <c r="H9" s="26" t="str">
        <f>IFERROR(__xludf.DUMMYFUNCTION("""COMPUTED_VALUE"""),"Positive")</f>
        <v>Positive</v>
      </c>
      <c r="I9" s="26" t="str">
        <f>IFERROR(__xludf.DUMMYFUNCTION("""COMPUTED_VALUE"""),"Positive")</f>
        <v>Positive</v>
      </c>
      <c r="J9" s="185">
        <f>IFERROR(__xludf.DUMMYFUNCTION("""COMPUTED_VALUE"""),44554.0)</f>
        <v>44554</v>
      </c>
      <c r="K9" s="186">
        <f>IFERROR(__xludf.DUMMYFUNCTION("""COMPUTED_VALUE"""),0.39295138888888886)</f>
        <v>0.3929513889</v>
      </c>
      <c r="L9" s="192"/>
      <c r="M9" s="191" t="str">
        <f>IFERROR(__xludf.DUMMYFUNCTION("""COMPUTED_VALUE"""),"name email fix")</f>
        <v>name email fix</v>
      </c>
      <c r="N9" s="191"/>
      <c r="O9" s="192">
        <f>IFERROR(__xludf.DUMMYFUNCTION("""COMPUTED_VALUE"""),1.0)</f>
        <v>1</v>
      </c>
      <c r="P9" s="26">
        <f>IFERROR(__xludf.DUMMYFUNCTION("""COMPUTED_VALUE"""),652.0)</f>
        <v>652</v>
      </c>
      <c r="Q9" s="26" t="str">
        <f>IFERROR(__xludf.DUMMYFUNCTION("""COMPUTED_VALUE"""),"FLMP619442")</f>
        <v>FLMP619442</v>
      </c>
      <c r="R9" s="26"/>
      <c r="S9" s="26"/>
      <c r="T9" s="26"/>
      <c r="U9" s="25" t="str">
        <f t="shared" si="1"/>
        <v>INDIV</v>
      </c>
    </row>
    <row r="10">
      <c r="B10" s="26" t="str">
        <f>IFERROR(__xludf.DUMMYFUNCTION("""COMPUTED_VALUE"""),"MAX311")</f>
        <v>MAX311</v>
      </c>
      <c r="C10" s="185">
        <f>IFERROR(__xludf.DUMMYFUNCTION("""COMPUTED_VALUE"""),44555.0)</f>
        <v>44555</v>
      </c>
      <c r="D10" s="186">
        <f>IFERROR(__xludf.DUMMYFUNCTION("""COMPUTED_VALUE"""),0.35530092592592594)</f>
        <v>0.3553009259</v>
      </c>
      <c r="E10" s="26" t="str">
        <f>IFERROR(__xludf.DUMMYFUNCTION("""COMPUTED_VALUE"""),"SpFLMP659315")</f>
        <v>SpFLMP659315</v>
      </c>
      <c r="F10" s="26"/>
      <c r="G10" s="26"/>
      <c r="H10" s="26" t="str">
        <f>IFERROR(__xludf.DUMMYFUNCTION("""COMPUTED_VALUE"""),"Positive")</f>
        <v>Positive</v>
      </c>
      <c r="I10" s="26" t="str">
        <f>IFERROR(__xludf.DUMMYFUNCTION("""COMPUTED_VALUE"""),"Positive")</f>
        <v>Positive</v>
      </c>
      <c r="J10" s="185">
        <f>IFERROR(__xludf.DUMMYFUNCTION("""COMPUTED_VALUE"""),44555.0)</f>
        <v>44555</v>
      </c>
      <c r="K10" s="186">
        <f>IFERROR(__xludf.DUMMYFUNCTION("""COMPUTED_VALUE"""),0.7082407407407407)</f>
        <v>0.7082407407</v>
      </c>
      <c r="L10" s="192"/>
      <c r="M10" s="191" t="str">
        <f>IFERROR(__xludf.DUMMYFUNCTION("""COMPUTED_VALUE"""),"name email fix")</f>
        <v>name email fix</v>
      </c>
      <c r="N10" s="191"/>
      <c r="O10" s="192">
        <f>IFERROR(__xludf.DUMMYFUNCTION("""COMPUTED_VALUE"""),1.0)</f>
        <v>1</v>
      </c>
      <c r="P10" s="26">
        <f>IFERROR(__xludf.DUMMYFUNCTION("""COMPUTED_VALUE"""),661.0)</f>
        <v>661</v>
      </c>
      <c r="Q10" s="26" t="str">
        <f>IFERROR(__xludf.DUMMYFUNCTION("""COMPUTED_VALUE"""),"FLMP619442")</f>
        <v>FLMP619442</v>
      </c>
      <c r="R10" s="26"/>
      <c r="S10" s="26"/>
      <c r="T10" s="26"/>
      <c r="U10" s="25" t="str">
        <f t="shared" si="1"/>
        <v>INDIV</v>
      </c>
    </row>
    <row r="11">
      <c r="B11" s="26" t="str">
        <f>IFERROR(__xludf.DUMMYFUNCTION("""COMPUTED_VALUE"""),"MAX430")</f>
        <v>MAX430</v>
      </c>
      <c r="C11" s="185">
        <f>IFERROR(__xludf.DUMMYFUNCTION("""COMPUTED_VALUE"""),44555.0)</f>
        <v>44555</v>
      </c>
      <c r="D11" s="186">
        <f>IFERROR(__xludf.DUMMYFUNCTION("""COMPUTED_VALUE"""),0.3556944444444444)</f>
        <v>0.3556944444</v>
      </c>
      <c r="E11" s="26" t="str">
        <f>IFERROR(__xludf.DUMMYFUNCTION("""COMPUTED_VALUE"""),"SpFLMP659315")</f>
        <v>SpFLMP659315</v>
      </c>
      <c r="F11" s="26"/>
      <c r="G11" s="26"/>
      <c r="H11" s="26" t="str">
        <f>IFERROR(__xludf.DUMMYFUNCTION("""COMPUTED_VALUE"""),"Positive")</f>
        <v>Positive</v>
      </c>
      <c r="I11" s="26" t="str">
        <f>IFERROR(__xludf.DUMMYFUNCTION("""COMPUTED_VALUE"""),"Positive")</f>
        <v>Positive</v>
      </c>
      <c r="J11" s="185">
        <f>IFERROR(__xludf.DUMMYFUNCTION("""COMPUTED_VALUE"""),44555.0)</f>
        <v>44555</v>
      </c>
      <c r="K11" s="186">
        <f>IFERROR(__xludf.DUMMYFUNCTION("""COMPUTED_VALUE"""),0.7082407407407407)</f>
        <v>0.7082407407</v>
      </c>
      <c r="L11" s="192"/>
      <c r="M11" s="191" t="str">
        <f>IFERROR(__xludf.DUMMYFUNCTION("""COMPUTED_VALUE"""),"name email fix")</f>
        <v>name email fix</v>
      </c>
      <c r="N11" s="191"/>
      <c r="O11" s="192">
        <f>IFERROR(__xludf.DUMMYFUNCTION("""COMPUTED_VALUE"""),1.0)</f>
        <v>1</v>
      </c>
      <c r="P11" s="26">
        <f>IFERROR(__xludf.DUMMYFUNCTION("""COMPUTED_VALUE"""),662.0)</f>
        <v>662</v>
      </c>
      <c r="Q11" s="26" t="str">
        <f>IFERROR(__xludf.DUMMYFUNCTION("""COMPUTED_VALUE"""),"FLMP619442")</f>
        <v>FLMP619442</v>
      </c>
      <c r="R11" s="26"/>
      <c r="S11" s="26"/>
      <c r="T11" s="26"/>
      <c r="U11" s="25" t="str">
        <f t="shared" si="1"/>
        <v>INDIV</v>
      </c>
    </row>
    <row r="12">
      <c r="B12" s="26" t="str">
        <f>IFERROR(__xludf.DUMMYFUNCTION("""COMPUTED_VALUE"""),"MAX371")</f>
        <v>MAX371</v>
      </c>
      <c r="C12" s="185">
        <f>IFERROR(__xludf.DUMMYFUNCTION("""COMPUTED_VALUE"""),44556.0)</f>
        <v>44556</v>
      </c>
      <c r="D12" s="186">
        <f>IFERROR(__xludf.DUMMYFUNCTION("""COMPUTED_VALUE"""),0.2064814814814815)</f>
        <v>0.2064814815</v>
      </c>
      <c r="E12" s="26" t="str">
        <f>IFERROR(__xludf.DUMMYFUNCTION("""COMPUTED_VALUE"""),"SpFLMP659315")</f>
        <v>SpFLMP659315</v>
      </c>
      <c r="F12" s="26"/>
      <c r="G12" s="26"/>
      <c r="H12" s="26" t="str">
        <f>IFERROR(__xludf.DUMMYFUNCTION("""COMPUTED_VALUE"""),"Positive")</f>
        <v>Positive</v>
      </c>
      <c r="I12" s="26" t="str">
        <f>IFERROR(__xludf.DUMMYFUNCTION("""COMPUTED_VALUE"""),"Positive")</f>
        <v>Positive</v>
      </c>
      <c r="J12" s="185">
        <f>IFERROR(__xludf.DUMMYFUNCTION("""COMPUTED_VALUE"""),44556.0)</f>
        <v>44556</v>
      </c>
      <c r="K12" s="186">
        <f>IFERROR(__xludf.DUMMYFUNCTION("""COMPUTED_VALUE"""),0.20700231481481482)</f>
        <v>0.2070023148</v>
      </c>
      <c r="L12" s="192"/>
      <c r="M12" s="191" t="str">
        <f>IFERROR(__xludf.DUMMYFUNCTION("""COMPUTED_VALUE"""),"name email fix")</f>
        <v>name email fix</v>
      </c>
      <c r="N12" s="191"/>
      <c r="O12" s="192">
        <f>IFERROR(__xludf.DUMMYFUNCTION("""COMPUTED_VALUE"""),1.0)</f>
        <v>1</v>
      </c>
      <c r="P12" s="26">
        <f>IFERROR(__xludf.DUMMYFUNCTION("""COMPUTED_VALUE"""),666.0)</f>
        <v>666</v>
      </c>
      <c r="Q12" s="26" t="str">
        <f>IFERROR(__xludf.DUMMYFUNCTION("""COMPUTED_VALUE"""),"FLMP619442")</f>
        <v>FLMP619442</v>
      </c>
      <c r="R12" s="26"/>
      <c r="S12" s="26"/>
      <c r="T12" s="26"/>
      <c r="U12" s="25" t="str">
        <f t="shared" si="1"/>
        <v>INDIV</v>
      </c>
    </row>
    <row r="13">
      <c r="B13" s="26" t="str">
        <f>IFERROR(__xludf.DUMMYFUNCTION("""COMPUTED_VALUE"""),"MAX288FIX")</f>
        <v>MAX288FIX</v>
      </c>
      <c r="C13" s="185">
        <f>IFERROR(__xludf.DUMMYFUNCTION("""COMPUTED_VALUE"""),44561.0)</f>
        <v>44561</v>
      </c>
      <c r="D13" s="186">
        <f>IFERROR(__xludf.DUMMYFUNCTION("""COMPUTED_VALUE"""),0.720925925925926)</f>
        <v>0.7209259259</v>
      </c>
      <c r="E13" s="26" t="str">
        <f>IFERROR(__xludf.DUMMYFUNCTION("""COMPUTED_VALUE"""),"SpFLMP659315")</f>
        <v>SpFLMP659315</v>
      </c>
      <c r="F13" s="26"/>
      <c r="G13" s="26"/>
      <c r="H13" s="26" t="str">
        <f>IFERROR(__xludf.DUMMYFUNCTION("""COMPUTED_VALUE"""),"Positive")</f>
        <v>Positive</v>
      </c>
      <c r="I13" s="26" t="str">
        <f>IFERROR(__xludf.DUMMYFUNCTION("""COMPUTED_VALUE"""),"Positive")</f>
        <v>Positive</v>
      </c>
      <c r="J13" s="185">
        <f>IFERROR(__xludf.DUMMYFUNCTION("""COMPUTED_VALUE"""),44561.0)</f>
        <v>44561</v>
      </c>
      <c r="K13" s="186">
        <f>IFERROR(__xludf.DUMMYFUNCTION("""COMPUTED_VALUE"""),0.7218055555555556)</f>
        <v>0.7218055556</v>
      </c>
      <c r="L13" s="192"/>
      <c r="M13" s="191"/>
      <c r="N13" s="191"/>
      <c r="O13" s="192">
        <f>IFERROR(__xludf.DUMMYFUNCTION("""COMPUTED_VALUE"""),1.0)</f>
        <v>1</v>
      </c>
      <c r="P13" s="26">
        <f>IFERROR(__xludf.DUMMYFUNCTION("""COMPUTED_VALUE"""),706.0)</f>
        <v>706</v>
      </c>
      <c r="Q13" s="26" t="str">
        <f>IFERROR(__xludf.DUMMYFUNCTION("""COMPUTED_VALUE"""),"FLMP964950")</f>
        <v>FLMP964950</v>
      </c>
      <c r="R13" s="26"/>
      <c r="S13" s="26"/>
      <c r="T13" s="26"/>
      <c r="U13" s="25" t="str">
        <f t="shared" si="1"/>
        <v>INDIV</v>
      </c>
    </row>
    <row r="14">
      <c r="B14" s="26" t="str">
        <f>IFERROR(__xludf.DUMMYFUNCTION("""COMPUTED_VALUE"""),"MAX347")</f>
        <v>MAX347</v>
      </c>
      <c r="C14" s="185">
        <f>IFERROR(__xludf.DUMMYFUNCTION("""COMPUTED_VALUE"""),44561.0)</f>
        <v>44561</v>
      </c>
      <c r="D14" s="186">
        <f>IFERROR(__xludf.DUMMYFUNCTION("""COMPUTED_VALUE"""),0.7309143518518518)</f>
        <v>0.7309143519</v>
      </c>
      <c r="E14" s="26" t="str">
        <f>IFERROR(__xludf.DUMMYFUNCTION("""COMPUTED_VALUE"""),"SpFLMP659315")</f>
        <v>SpFLMP659315</v>
      </c>
      <c r="F14" s="26"/>
      <c r="G14" s="26"/>
      <c r="H14" s="26" t="str">
        <f>IFERROR(__xludf.DUMMYFUNCTION("""COMPUTED_VALUE"""),"Positive")</f>
        <v>Positive</v>
      </c>
      <c r="I14" s="26" t="str">
        <f>IFERROR(__xludf.DUMMYFUNCTION("""COMPUTED_VALUE"""),"Positive")</f>
        <v>Positive</v>
      </c>
      <c r="J14" s="185">
        <f>IFERROR(__xludf.DUMMYFUNCTION("""COMPUTED_VALUE"""),44561.0)</f>
        <v>44561</v>
      </c>
      <c r="K14" s="186">
        <f>IFERROR(__xludf.DUMMYFUNCTION("""COMPUTED_VALUE"""),0.8211921296296296)</f>
        <v>0.8211921296</v>
      </c>
      <c r="L14" s="192"/>
      <c r="M14" s="191"/>
      <c r="N14" s="191"/>
      <c r="O14" s="192">
        <f>IFERROR(__xludf.DUMMYFUNCTION("""COMPUTED_VALUE"""),1.0)</f>
        <v>1</v>
      </c>
      <c r="P14" s="26">
        <f>IFERROR(__xludf.DUMMYFUNCTION("""COMPUTED_VALUE"""),708.0)</f>
        <v>708</v>
      </c>
      <c r="Q14" s="26" t="str">
        <f>IFERROR(__xludf.DUMMYFUNCTION("""COMPUTED_VALUE"""),"FLMP964950")</f>
        <v>FLMP964950</v>
      </c>
      <c r="R14" s="26"/>
      <c r="S14" s="26"/>
      <c r="T14" s="26"/>
      <c r="U14" s="25" t="str">
        <f t="shared" si="1"/>
        <v>INDIV</v>
      </c>
    </row>
    <row r="15">
      <c r="B15" s="26" t="str">
        <f>IFERROR(__xludf.DUMMYFUNCTION("""COMPUTED_VALUE"""),"MA63")</f>
        <v>MA63</v>
      </c>
      <c r="C15" s="185">
        <f>IFERROR(__xludf.DUMMYFUNCTION("""COMPUTED_VALUE"""),44562.0)</f>
        <v>44562</v>
      </c>
      <c r="D15" s="186">
        <f>IFERROR(__xludf.DUMMYFUNCTION("""COMPUTED_VALUE"""),0.5235763888888889)</f>
        <v>0.5235763889</v>
      </c>
      <c r="E15" s="26" t="str">
        <f>IFERROR(__xludf.DUMMYFUNCTION("""COMPUTED_VALUE"""),"SpFLMP659315")</f>
        <v>SpFLMP659315</v>
      </c>
      <c r="F15" s="26"/>
      <c r="G15" s="26"/>
      <c r="H15" s="26" t="str">
        <f>IFERROR(__xludf.DUMMYFUNCTION("""COMPUTED_VALUE"""),"Null")</f>
        <v>Null</v>
      </c>
      <c r="I15" s="26" t="str">
        <f>IFERROR(__xludf.DUMMYFUNCTION("""COMPUTED_VALUE"""),"Positive")</f>
        <v>Positive</v>
      </c>
      <c r="J15" s="185">
        <f>IFERROR(__xludf.DUMMYFUNCTION("""COMPUTED_VALUE"""),44886.0)</f>
        <v>44886</v>
      </c>
      <c r="K15" s="186">
        <f>IFERROR(__xludf.DUMMYFUNCTION("""COMPUTED_VALUE"""),0.5893402777777778)</f>
        <v>0.5893402778</v>
      </c>
      <c r="L15" s="192">
        <f>IFERROR(__xludf.DUMMYFUNCTION("""COMPUTED_VALUE"""),3.0)</f>
        <v>3</v>
      </c>
      <c r="M15" s="191" t="str">
        <f>IFERROR(__xludf.DUMMYFUNCTION("""COMPUTED_VALUE"""),"from RFR audit")</f>
        <v>from RFR audit</v>
      </c>
      <c r="N15" s="191"/>
      <c r="O15" s="192">
        <f>IFERROR(__xludf.DUMMYFUNCTION("""COMPUTED_VALUE"""),1.0)</f>
        <v>1</v>
      </c>
      <c r="P15" s="26">
        <f>IFERROR(__xludf.DUMMYFUNCTION("""COMPUTED_VALUE"""),709.0)</f>
        <v>709</v>
      </c>
      <c r="Q15" s="26" t="str">
        <f>IFERROR(__xludf.DUMMYFUNCTION("""COMPUTED_VALUE"""),"FLMP964950")</f>
        <v>FLMP964950</v>
      </c>
      <c r="R15" s="26"/>
      <c r="S15" s="26"/>
      <c r="T15" s="26"/>
      <c r="U15" s="25" t="str">
        <f t="shared" si="1"/>
        <v>INDIV</v>
      </c>
    </row>
    <row r="16">
      <c r="B16" s="26" t="str">
        <f>IFERROR(__xludf.DUMMYFUNCTION("""COMPUTED_VALUE"""),"MA92")</f>
        <v>MA92</v>
      </c>
      <c r="C16" s="185">
        <f>IFERROR(__xludf.DUMMYFUNCTION("""COMPUTED_VALUE"""),44562.0)</f>
        <v>44562</v>
      </c>
      <c r="D16" s="186">
        <f>IFERROR(__xludf.DUMMYFUNCTION("""COMPUTED_VALUE"""),0.5242824074074074)</f>
        <v>0.5242824074</v>
      </c>
      <c r="E16" s="26" t="str">
        <f>IFERROR(__xludf.DUMMYFUNCTION("""COMPUTED_VALUE"""),"SpFLMP659315")</f>
        <v>SpFLMP659315</v>
      </c>
      <c r="F16" s="26"/>
      <c r="G16" s="26"/>
      <c r="H16" s="26" t="str">
        <f>IFERROR(__xludf.DUMMYFUNCTION("""COMPUTED_VALUE"""),"Null")</f>
        <v>Null</v>
      </c>
      <c r="I16" s="26" t="str">
        <f>IFERROR(__xludf.DUMMYFUNCTION("""COMPUTED_VALUE"""),"Positive")</f>
        <v>Positive</v>
      </c>
      <c r="J16" s="185">
        <f>IFERROR(__xludf.DUMMYFUNCTION("""COMPUTED_VALUE"""),44886.0)</f>
        <v>44886</v>
      </c>
      <c r="K16" s="186">
        <f>IFERROR(__xludf.DUMMYFUNCTION("""COMPUTED_VALUE"""),0.5893402777777778)</f>
        <v>0.5893402778</v>
      </c>
      <c r="L16" s="192">
        <f>IFERROR(__xludf.DUMMYFUNCTION("""COMPUTED_VALUE"""),3.0)</f>
        <v>3</v>
      </c>
      <c r="M16" s="191" t="str">
        <f>IFERROR(__xludf.DUMMYFUNCTION("""COMPUTED_VALUE"""),"from RFR audit")</f>
        <v>from RFR audit</v>
      </c>
      <c r="N16" s="191"/>
      <c r="O16" s="192">
        <f>IFERROR(__xludf.DUMMYFUNCTION("""COMPUTED_VALUE"""),1.0)</f>
        <v>1</v>
      </c>
      <c r="P16" s="26">
        <f>IFERROR(__xludf.DUMMYFUNCTION("""COMPUTED_VALUE"""),710.0)</f>
        <v>710</v>
      </c>
      <c r="Q16" s="26" t="str">
        <f>IFERROR(__xludf.DUMMYFUNCTION("""COMPUTED_VALUE"""),"FLMP964950")</f>
        <v>FLMP964950</v>
      </c>
      <c r="R16" s="26"/>
      <c r="S16" s="26"/>
      <c r="T16" s="26"/>
      <c r="U16" s="25" t="str">
        <f t="shared" si="1"/>
        <v>INDIV</v>
      </c>
    </row>
    <row r="17">
      <c r="B17" s="26" t="str">
        <f>IFERROR(__xludf.DUMMYFUNCTION("""COMPUTED_VALUE"""),"FLT1433")</f>
        <v>FLT1433</v>
      </c>
      <c r="C17" s="185">
        <f>IFERROR(__xludf.DUMMYFUNCTION("""COMPUTED_VALUE"""),44563.0)</f>
        <v>44563</v>
      </c>
      <c r="D17" s="186">
        <f>IFERROR(__xludf.DUMMYFUNCTION("""COMPUTED_VALUE"""),0.5042592592592593)</f>
        <v>0.5042592593</v>
      </c>
      <c r="E17" s="26" t="str">
        <f>IFERROR(__xludf.DUMMYFUNCTION("""COMPUTED_VALUE"""),"SpFLMP125859")</f>
        <v>SpFLMP125859</v>
      </c>
      <c r="F17" s="26"/>
      <c r="G17" s="26"/>
      <c r="H17" s="26" t="str">
        <f>IFERROR(__xludf.DUMMYFUNCTION("""COMPUTED_VALUE"""),"Positive")</f>
        <v>Positive</v>
      </c>
      <c r="I17" s="26" t="str">
        <f>IFERROR(__xludf.DUMMYFUNCTION("""COMPUTED_VALUE"""),"Positive")</f>
        <v>Positive</v>
      </c>
      <c r="J17" s="185">
        <f>IFERROR(__xludf.DUMMYFUNCTION("""COMPUTED_VALUE"""),44563.0)</f>
        <v>44563</v>
      </c>
      <c r="K17" s="186">
        <f>IFERROR(__xludf.DUMMYFUNCTION("""COMPUTED_VALUE"""),0.8255902777777778)</f>
        <v>0.8255902778</v>
      </c>
      <c r="L17" s="192"/>
      <c r="M17" s="191"/>
      <c r="N17" s="191"/>
      <c r="O17" s="192">
        <f>IFERROR(__xludf.DUMMYFUNCTION("""COMPUTED_VALUE"""),4.0)</f>
        <v>4</v>
      </c>
      <c r="P17" s="26">
        <f>IFERROR(__xludf.DUMMYFUNCTION("""COMPUTED_VALUE"""),720.0)</f>
        <v>720</v>
      </c>
      <c r="Q17" s="26" t="str">
        <f>IFERROR(__xludf.DUMMYFUNCTION("""COMPUTED_VALUE"""),"FLMP776278")</f>
        <v>FLMP776278</v>
      </c>
      <c r="R17" s="26" t="str">
        <f>IFERROR(__xludf.DUMMYFUNCTION("""COMPUTED_VALUE"""),"FLMP828735")</f>
        <v>FLMP828735</v>
      </c>
      <c r="S17" s="26" t="str">
        <f>IFERROR(__xludf.DUMMYFUNCTION("""COMPUTED_VALUE"""),"FLMP302189")</f>
        <v>FLMP302189</v>
      </c>
      <c r="T17" s="26" t="str">
        <f>IFERROR(__xludf.DUMMYFUNCTION("""COMPUTED_VALUE"""),"FLMP857562")</f>
        <v>FLMP857562</v>
      </c>
      <c r="U17" s="25" t="str">
        <f t="shared" si="1"/>
        <v>POOL</v>
      </c>
    </row>
    <row r="18">
      <c r="B18" s="26" t="str">
        <f>IFERROR(__xludf.DUMMYFUNCTION("""COMPUTED_VALUE"""),"FL11017")</f>
        <v>FL11017</v>
      </c>
      <c r="C18" s="185">
        <f>IFERROR(__xludf.DUMMYFUNCTION("""COMPUTED_VALUE"""),44564.0)</f>
        <v>44564</v>
      </c>
      <c r="D18" s="186">
        <f>IFERROR(__xludf.DUMMYFUNCTION("""COMPUTED_VALUE"""),0.3045833333333333)</f>
        <v>0.3045833333</v>
      </c>
      <c r="E18" s="26" t="str">
        <f>IFERROR(__xludf.DUMMYFUNCTION("""COMPUTED_VALUE"""),"SpFLMP125859")</f>
        <v>SpFLMP125859</v>
      </c>
      <c r="F18" s="26"/>
      <c r="G18" s="26"/>
      <c r="H18" s="26" t="str">
        <f>IFERROR(__xludf.DUMMYFUNCTION("""COMPUTED_VALUE"""),"Positive")</f>
        <v>Positive</v>
      </c>
      <c r="I18" s="26" t="str">
        <f>IFERROR(__xludf.DUMMYFUNCTION("""COMPUTED_VALUE"""),"Positive")</f>
        <v>Positive</v>
      </c>
      <c r="J18" s="185">
        <f>IFERROR(__xludf.DUMMYFUNCTION("""COMPUTED_VALUE"""),44564.0)</f>
        <v>44564</v>
      </c>
      <c r="K18" s="186">
        <f>IFERROR(__xludf.DUMMYFUNCTION("""COMPUTED_VALUE"""),0.4255555555555556)</f>
        <v>0.4255555556</v>
      </c>
      <c r="L18" s="192"/>
      <c r="M18" s="191" t="str">
        <f>IFERROR(__xludf.DUMMYFUNCTION("""COMPUTED_VALUE"""),"RT Jan26 Change name from Jason to Julia because Jason appeared twice and both tested neg by antigen OLD NOTE review with RFR, why 2 with Jason?")</f>
        <v>RT Jan26 Change name from Jason to Julia because Jason appeared twice and both tested neg by antigen OLD NOTE review with RFR, why 2 with Jason?</v>
      </c>
      <c r="N18" s="191"/>
      <c r="O18" s="192">
        <f>IFERROR(__xludf.DUMMYFUNCTION("""COMPUTED_VALUE"""),1.0)</f>
        <v>1</v>
      </c>
      <c r="P18" s="26">
        <f>IFERROR(__xludf.DUMMYFUNCTION("""COMPUTED_VALUE"""),747.0)</f>
        <v>747</v>
      </c>
      <c r="Q18" s="26" t="str">
        <f>IFERROR(__xludf.DUMMYFUNCTION("""COMPUTED_VALUE"""),"FLMP857562")</f>
        <v>FLMP857562</v>
      </c>
      <c r="R18" s="26"/>
      <c r="S18" s="26"/>
      <c r="T18" s="26"/>
      <c r="U18" s="25" t="str">
        <f t="shared" si="1"/>
        <v>INDIV</v>
      </c>
    </row>
    <row r="19">
      <c r="B19" s="26" t="str">
        <f>IFERROR(__xludf.DUMMYFUNCTION("""COMPUTED_VALUE"""),"FLT1128")</f>
        <v>FLT1128</v>
      </c>
      <c r="C19" s="185">
        <f>IFERROR(__xludf.DUMMYFUNCTION("""COMPUTED_VALUE"""),44564.0)</f>
        <v>44564</v>
      </c>
      <c r="D19" s="186">
        <f>IFERROR(__xludf.DUMMYFUNCTION("""COMPUTED_VALUE"""),0.3050231481481481)</f>
        <v>0.3050231481</v>
      </c>
      <c r="E19" s="26" t="str">
        <f>IFERROR(__xludf.DUMMYFUNCTION("""COMPUTED_VALUE"""),"SpFLMP125859")</f>
        <v>SpFLMP125859</v>
      </c>
      <c r="F19" s="26"/>
      <c r="G19" s="26"/>
      <c r="H19" s="26" t="str">
        <f>IFERROR(__xludf.DUMMYFUNCTION("""COMPUTED_VALUE"""),"Positive")</f>
        <v>Positive</v>
      </c>
      <c r="I19" s="26" t="str">
        <f>IFERROR(__xludf.DUMMYFUNCTION("""COMPUTED_VALUE"""),"Positive")</f>
        <v>Positive</v>
      </c>
      <c r="J19" s="185">
        <f>IFERROR(__xludf.DUMMYFUNCTION("""COMPUTED_VALUE"""),44564.0)</f>
        <v>44564</v>
      </c>
      <c r="K19" s="186">
        <f>IFERROR(__xludf.DUMMYFUNCTION("""COMPUTED_VALUE"""),0.4255555555555556)</f>
        <v>0.4255555556</v>
      </c>
      <c r="L19" s="192"/>
      <c r="M19" s="191" t="str">
        <f>IFERROR(__xludf.DUMMYFUNCTION("""COMPUTED_VALUE"""),"review with RFR, why 2 with Jason?")</f>
        <v>review with RFR, why 2 with Jason?</v>
      </c>
      <c r="N19" s="191"/>
      <c r="O19" s="192">
        <f>IFERROR(__xludf.DUMMYFUNCTION("""COMPUTED_VALUE"""),1.0)</f>
        <v>1</v>
      </c>
      <c r="P19" s="26">
        <f>IFERROR(__xludf.DUMMYFUNCTION("""COMPUTED_VALUE"""),748.0)</f>
        <v>748</v>
      </c>
      <c r="Q19" s="26" t="str">
        <f>IFERROR(__xludf.DUMMYFUNCTION("""COMPUTED_VALUE"""),"FLMP302189")</f>
        <v>FLMP302189</v>
      </c>
      <c r="R19" s="26"/>
      <c r="S19" s="26"/>
      <c r="T19" s="26"/>
      <c r="U19" s="25" t="str">
        <f t="shared" si="1"/>
        <v>INDIV</v>
      </c>
    </row>
    <row r="20">
      <c r="B20" s="26" t="str">
        <f>IFERROR(__xludf.DUMMYFUNCTION("""COMPUTED_VALUE"""),"FLE895")</f>
        <v>FLE895</v>
      </c>
      <c r="C20" s="185">
        <f>IFERROR(__xludf.DUMMYFUNCTION("""COMPUTED_VALUE"""),44570.0)</f>
        <v>44570</v>
      </c>
      <c r="D20" s="186">
        <f>IFERROR(__xludf.DUMMYFUNCTION("""COMPUTED_VALUE"""),0.540162037037037)</f>
        <v>0.540162037</v>
      </c>
      <c r="E20" s="26" t="str">
        <f>IFERROR(__xludf.DUMMYFUNCTION("""COMPUTED_VALUE"""),"SpFLMP125859")</f>
        <v>SpFLMP125859</v>
      </c>
      <c r="F20" s="26"/>
      <c r="G20" s="26"/>
      <c r="H20" s="26" t="str">
        <f>IFERROR(__xludf.DUMMYFUNCTION("""COMPUTED_VALUE"""),"Positive")</f>
        <v>Positive</v>
      </c>
      <c r="I20" s="26" t="str">
        <f>IFERROR(__xludf.DUMMYFUNCTION("""COMPUTED_VALUE"""),"Positive")</f>
        <v>Positive</v>
      </c>
      <c r="J20" s="185">
        <f>IFERROR(__xludf.DUMMYFUNCTION("""COMPUTED_VALUE"""),44571.0)</f>
        <v>44571</v>
      </c>
      <c r="K20" s="186">
        <f>IFERROR(__xludf.DUMMYFUNCTION("""COMPUTED_VALUE"""),0.4724537037037037)</f>
        <v>0.4724537037</v>
      </c>
      <c r="L20" s="26"/>
      <c r="M20" s="191"/>
      <c r="N20" s="191"/>
      <c r="O20" s="26">
        <f>IFERROR(__xludf.DUMMYFUNCTION("""COMPUTED_VALUE"""),1.0)</f>
        <v>1</v>
      </c>
      <c r="P20" s="26">
        <f>IFERROR(__xludf.DUMMYFUNCTION("""COMPUTED_VALUE"""),839.0)</f>
        <v>839</v>
      </c>
      <c r="Q20" s="26" t="str">
        <f>IFERROR(__xludf.DUMMYFUNCTION("""COMPUTED_VALUE"""),"FLMP302189")</f>
        <v>FLMP302189</v>
      </c>
      <c r="R20" s="26"/>
      <c r="S20" s="26"/>
      <c r="T20" s="26"/>
      <c r="U20" s="25" t="str">
        <f t="shared" si="1"/>
        <v>INDIV</v>
      </c>
    </row>
    <row r="21">
      <c r="B21" s="26" t="str">
        <f>IFERROR(__xludf.DUMMYFUNCTION("""COMPUTED_VALUE"""),"FLE885")</f>
        <v>FLE885</v>
      </c>
      <c r="C21" s="185">
        <f>IFERROR(__xludf.DUMMYFUNCTION("""COMPUTED_VALUE"""),44570.0)</f>
        <v>44570</v>
      </c>
      <c r="D21" s="186">
        <f>IFERROR(__xludf.DUMMYFUNCTION("""COMPUTED_VALUE"""),0.5405555555555556)</f>
        <v>0.5405555556</v>
      </c>
      <c r="E21" s="26" t="str">
        <f>IFERROR(__xludf.DUMMYFUNCTION("""COMPUTED_VALUE"""),"SpFLMP125859")</f>
        <v>SpFLMP125859</v>
      </c>
      <c r="F21" s="26"/>
      <c r="G21" s="26"/>
      <c r="H21" s="26" t="str">
        <f>IFERROR(__xludf.DUMMYFUNCTION("""COMPUTED_VALUE"""),"Positive")</f>
        <v>Positive</v>
      </c>
      <c r="I21" s="26" t="str">
        <f>IFERROR(__xludf.DUMMYFUNCTION("""COMPUTED_VALUE"""),"Positive")</f>
        <v>Positive</v>
      </c>
      <c r="J21" s="185">
        <f>IFERROR(__xludf.DUMMYFUNCTION("""COMPUTED_VALUE"""),44571.0)</f>
        <v>44571</v>
      </c>
      <c r="K21" s="186">
        <f>IFERROR(__xludf.DUMMYFUNCTION("""COMPUTED_VALUE"""),0.4724537037037037)</f>
        <v>0.4724537037</v>
      </c>
      <c r="L21" s="26"/>
      <c r="M21" s="191"/>
      <c r="N21" s="191"/>
      <c r="O21" s="26">
        <f>IFERROR(__xludf.DUMMYFUNCTION("""COMPUTED_VALUE"""),1.0)</f>
        <v>1</v>
      </c>
      <c r="P21" s="26">
        <f>IFERROR(__xludf.DUMMYFUNCTION("""COMPUTED_VALUE"""),840.0)</f>
        <v>840</v>
      </c>
      <c r="Q21" s="26" t="str">
        <f>IFERROR(__xludf.DUMMYFUNCTION("""COMPUTED_VALUE"""),"FLMP828735")</f>
        <v>FLMP828735</v>
      </c>
      <c r="R21" s="26"/>
      <c r="S21" s="26"/>
      <c r="T21" s="26"/>
      <c r="U21" s="25" t="str">
        <f t="shared" si="1"/>
        <v>INDIV</v>
      </c>
    </row>
    <row r="22">
      <c r="B22" s="26" t="str">
        <f>IFERROR(__xludf.DUMMYFUNCTION("""COMPUTED_VALUE"""),"FLE810")</f>
        <v>FLE810</v>
      </c>
      <c r="C22" s="185">
        <f>IFERROR(__xludf.DUMMYFUNCTION("""COMPUTED_VALUE"""),44570.0)</f>
        <v>44570</v>
      </c>
      <c r="D22" s="186">
        <f>IFERROR(__xludf.DUMMYFUNCTION("""COMPUTED_VALUE"""),0.5409375)</f>
        <v>0.5409375</v>
      </c>
      <c r="E22" s="26" t="str">
        <f>IFERROR(__xludf.DUMMYFUNCTION("""COMPUTED_VALUE"""),"SpFLMP125859")</f>
        <v>SpFLMP125859</v>
      </c>
      <c r="F22" s="26"/>
      <c r="G22" s="26"/>
      <c r="H22" s="26" t="str">
        <f>IFERROR(__xludf.DUMMYFUNCTION("""COMPUTED_VALUE"""),"Positive")</f>
        <v>Positive</v>
      </c>
      <c r="I22" s="26" t="str">
        <f>IFERROR(__xludf.DUMMYFUNCTION("""COMPUTED_VALUE"""),"Positive")</f>
        <v>Positive</v>
      </c>
      <c r="J22" s="185">
        <f>IFERROR(__xludf.DUMMYFUNCTION("""COMPUTED_VALUE"""),44571.0)</f>
        <v>44571</v>
      </c>
      <c r="K22" s="186">
        <f>IFERROR(__xludf.DUMMYFUNCTION("""COMPUTED_VALUE"""),0.4724537037037037)</f>
        <v>0.4724537037</v>
      </c>
      <c r="L22" s="26"/>
      <c r="M22" s="191"/>
      <c r="N22" s="191"/>
      <c r="O22" s="26">
        <f>IFERROR(__xludf.DUMMYFUNCTION("""COMPUTED_VALUE"""),1.0)</f>
        <v>1</v>
      </c>
      <c r="P22" s="26">
        <f>IFERROR(__xludf.DUMMYFUNCTION("""COMPUTED_VALUE"""),841.0)</f>
        <v>841</v>
      </c>
      <c r="Q22" s="26" t="str">
        <f>IFERROR(__xludf.DUMMYFUNCTION("""COMPUTED_VALUE"""),"FLMP776278")</f>
        <v>FLMP776278</v>
      </c>
      <c r="R22" s="26"/>
      <c r="S22" s="26"/>
      <c r="T22" s="26"/>
      <c r="U22" s="25" t="str">
        <f t="shared" si="1"/>
        <v>INDIV</v>
      </c>
    </row>
    <row r="23">
      <c r="B23" s="26" t="str">
        <f>IFERROR(__xludf.DUMMYFUNCTION("""COMPUTED_VALUE"""),"FLE812")</f>
        <v>FLE812</v>
      </c>
      <c r="C23" s="185">
        <f>IFERROR(__xludf.DUMMYFUNCTION("""COMPUTED_VALUE"""),44570.0)</f>
        <v>44570</v>
      </c>
      <c r="D23" s="186">
        <f>IFERROR(__xludf.DUMMYFUNCTION("""COMPUTED_VALUE"""),0.5412847222222222)</f>
        <v>0.5412847222</v>
      </c>
      <c r="E23" s="26" t="str">
        <f>IFERROR(__xludf.DUMMYFUNCTION("""COMPUTED_VALUE"""),"SpFLMP125859")</f>
        <v>SpFLMP125859</v>
      </c>
      <c r="F23" s="26"/>
      <c r="G23" s="26"/>
      <c r="H23" s="26" t="str">
        <f>IFERROR(__xludf.DUMMYFUNCTION("""COMPUTED_VALUE"""),"Positive")</f>
        <v>Positive</v>
      </c>
      <c r="I23" s="26" t="str">
        <f>IFERROR(__xludf.DUMMYFUNCTION("""COMPUTED_VALUE"""),"Positive")</f>
        <v>Positive</v>
      </c>
      <c r="J23" s="185">
        <f>IFERROR(__xludf.DUMMYFUNCTION("""COMPUTED_VALUE"""),44571.0)</f>
        <v>44571</v>
      </c>
      <c r="K23" s="186">
        <f>IFERROR(__xludf.DUMMYFUNCTION("""COMPUTED_VALUE"""),0.4724537037037037)</f>
        <v>0.4724537037</v>
      </c>
      <c r="L23" s="26"/>
      <c r="M23" s="191"/>
      <c r="N23" s="191"/>
      <c r="O23" s="26">
        <f>IFERROR(__xludf.DUMMYFUNCTION("""COMPUTED_VALUE"""),1.0)</f>
        <v>1</v>
      </c>
      <c r="P23" s="26">
        <f>IFERROR(__xludf.DUMMYFUNCTION("""COMPUTED_VALUE"""),842.0)</f>
        <v>842</v>
      </c>
      <c r="Q23" s="26" t="str">
        <f>IFERROR(__xludf.DUMMYFUNCTION("""COMPUTED_VALUE"""),"FLMP857562")</f>
        <v>FLMP857562</v>
      </c>
      <c r="R23" s="26"/>
      <c r="S23" s="26"/>
      <c r="T23" s="26"/>
      <c r="U23" s="25" t="str">
        <f t="shared" si="1"/>
        <v>INDIV</v>
      </c>
    </row>
    <row r="24">
      <c r="B24" s="26" t="str">
        <f>IFERROR(__xludf.DUMMYFUNCTION("""COMPUTED_VALUE"""),"FLB7156")</f>
        <v>FLB7156</v>
      </c>
      <c r="C24" s="185">
        <f>IFERROR(__xludf.DUMMYFUNCTION("""COMPUTED_VALUE"""),44578.0)</f>
        <v>44578</v>
      </c>
      <c r="D24" s="186">
        <f>IFERROR(__xludf.DUMMYFUNCTION("""COMPUTED_VALUE"""),0.5683680555555556)</f>
        <v>0.5683680556</v>
      </c>
      <c r="E24" s="26" t="str">
        <f>IFERROR(__xludf.DUMMYFUNCTION("""COMPUTED_VALUE"""),"SpFLMP125859")</f>
        <v>SpFLMP125859</v>
      </c>
      <c r="F24" s="26"/>
      <c r="G24" s="26"/>
      <c r="H24" s="26" t="str">
        <f>IFERROR(__xludf.DUMMYFUNCTION("""COMPUTED_VALUE"""),"Positive")</f>
        <v>Positive</v>
      </c>
      <c r="I24" s="26" t="str">
        <f>IFERROR(__xludf.DUMMYFUNCTION("""COMPUTED_VALUE"""),"Positive")</f>
        <v>Positive</v>
      </c>
      <c r="J24" s="185">
        <f>IFERROR(__xludf.DUMMYFUNCTION("""COMPUTED_VALUE"""),44578.0)</f>
        <v>44578</v>
      </c>
      <c r="K24" s="186">
        <f>IFERROR(__xludf.DUMMYFUNCTION("""COMPUTED_VALUE"""),0.8699305555555555)</f>
        <v>0.8699305556</v>
      </c>
      <c r="L24" s="26"/>
      <c r="M24" s="191"/>
      <c r="N24" s="191"/>
      <c r="O24" s="26">
        <f>IFERROR(__xludf.DUMMYFUNCTION("""COMPUTED_VALUE"""),4.0)</f>
        <v>4</v>
      </c>
      <c r="P24" s="26">
        <f>IFERROR(__xludf.DUMMYFUNCTION("""COMPUTED_VALUE"""),1065.0)</f>
        <v>1065</v>
      </c>
      <c r="Q24" s="26" t="str">
        <f>IFERROR(__xludf.DUMMYFUNCTION("""COMPUTED_VALUE"""),"FLMP776278")</f>
        <v>FLMP776278</v>
      </c>
      <c r="R24" s="26" t="str">
        <f>IFERROR(__xludf.DUMMYFUNCTION("""COMPUTED_VALUE"""),"FLMP828735")</f>
        <v>FLMP828735</v>
      </c>
      <c r="S24" s="26" t="str">
        <f>IFERROR(__xludf.DUMMYFUNCTION("""COMPUTED_VALUE"""),"FLMP302189")</f>
        <v>FLMP302189</v>
      </c>
      <c r="T24" s="26" t="str">
        <f>IFERROR(__xludf.DUMMYFUNCTION("""COMPUTED_VALUE"""),"FLMP857562")</f>
        <v>FLMP857562</v>
      </c>
      <c r="U24" s="25" t="str">
        <f t="shared" si="1"/>
        <v>POOL</v>
      </c>
    </row>
    <row r="25">
      <c r="B25" s="26" t="str">
        <f>IFERROR(__xludf.DUMMYFUNCTION("""COMPUTED_VALUE"""),"FLB6845")</f>
        <v>FLB6845</v>
      </c>
      <c r="C25" s="185">
        <f>IFERROR(__xludf.DUMMYFUNCTION("""COMPUTED_VALUE"""),44563.0)</f>
        <v>44563</v>
      </c>
      <c r="D25" s="186">
        <f>IFERROR(__xludf.DUMMYFUNCTION("""COMPUTED_VALUE"""),0.6414004629629629)</f>
        <v>0.641400463</v>
      </c>
      <c r="E25" s="26" t="str">
        <f>IFERROR(__xludf.DUMMYFUNCTION("""COMPUTED_VALUE"""),"SpFLMP812292")</f>
        <v>SpFLMP812292</v>
      </c>
      <c r="F25" s="26"/>
      <c r="G25" s="26"/>
      <c r="H25" s="26" t="str">
        <f>IFERROR(__xludf.DUMMYFUNCTION("""COMPUTED_VALUE"""),"Positive")</f>
        <v>Positive</v>
      </c>
      <c r="I25" s="26" t="str">
        <f>IFERROR(__xludf.DUMMYFUNCTION("""COMPUTED_VALUE"""),"Positive")</f>
        <v>Positive</v>
      </c>
      <c r="J25" s="185">
        <f>IFERROR(__xludf.DUMMYFUNCTION("""COMPUTED_VALUE"""),44563.0)</f>
        <v>44563</v>
      </c>
      <c r="K25" s="186">
        <f>IFERROR(__xludf.DUMMYFUNCTION("""COMPUTED_VALUE"""),0.8255902777777778)</f>
        <v>0.8255902778</v>
      </c>
      <c r="L25" s="26"/>
      <c r="M25" s="191"/>
      <c r="N25" s="191"/>
      <c r="O25" s="26">
        <f>IFERROR(__xludf.DUMMYFUNCTION("""COMPUTED_VALUE"""),3.0)</f>
        <v>3</v>
      </c>
      <c r="P25" s="26">
        <f>IFERROR(__xludf.DUMMYFUNCTION("""COMPUTED_VALUE"""),730.0)</f>
        <v>730</v>
      </c>
      <c r="Q25" s="26" t="str">
        <f>IFERROR(__xludf.DUMMYFUNCTION("""COMPUTED_VALUE"""),"FLMP652238")</f>
        <v>FLMP652238</v>
      </c>
      <c r="R25" s="26" t="str">
        <f>IFERROR(__xludf.DUMMYFUNCTION("""COMPUTED_VALUE"""),"FLMP915544")</f>
        <v>FLMP915544</v>
      </c>
      <c r="S25" s="26" t="str">
        <f>IFERROR(__xludf.DUMMYFUNCTION("""COMPUTED_VALUE"""),"FLMP473007")</f>
        <v>FLMP473007</v>
      </c>
      <c r="T25" s="26"/>
      <c r="U25" s="25" t="str">
        <f t="shared" si="1"/>
        <v>POOL</v>
      </c>
    </row>
    <row r="26">
      <c r="B26" s="26" t="str">
        <f>IFERROR(__xludf.DUMMYFUNCTION("""COMPUTED_VALUE"""),"FLB6849")</f>
        <v>FLB6849</v>
      </c>
      <c r="C26" s="185">
        <f>IFERROR(__xludf.DUMMYFUNCTION("""COMPUTED_VALUE"""),44566.0)</f>
        <v>44566</v>
      </c>
      <c r="D26" s="186">
        <f>IFERROR(__xludf.DUMMYFUNCTION("""COMPUTED_VALUE"""),0.6553125)</f>
        <v>0.6553125</v>
      </c>
      <c r="E26" s="26" t="str">
        <f>IFERROR(__xludf.DUMMYFUNCTION("""COMPUTED_VALUE"""),"SpFLMP213396")</f>
        <v>SpFLMP213396</v>
      </c>
      <c r="F26" s="26"/>
      <c r="G26" s="26"/>
      <c r="H26" s="26" t="str">
        <f>IFERROR(__xludf.DUMMYFUNCTION("""COMPUTED_VALUE"""),"Positive")</f>
        <v>Positive</v>
      </c>
      <c r="I26" s="26" t="str">
        <f>IFERROR(__xludf.DUMMYFUNCTION("""COMPUTED_VALUE"""),"Positive")</f>
        <v>Positive</v>
      </c>
      <c r="J26" s="185">
        <f>IFERROR(__xludf.DUMMYFUNCTION("""COMPUTED_VALUE"""),44567.0)</f>
        <v>44567</v>
      </c>
      <c r="K26" s="186">
        <f>IFERROR(__xludf.DUMMYFUNCTION("""COMPUTED_VALUE"""),0.4442361111111111)</f>
        <v>0.4442361111</v>
      </c>
      <c r="L26" s="26"/>
      <c r="M26" s="191"/>
      <c r="N26" s="191"/>
      <c r="O26" s="26">
        <f>IFERROR(__xludf.DUMMYFUNCTION("""COMPUTED_VALUE"""),1.0)</f>
        <v>1</v>
      </c>
      <c r="P26" s="26">
        <f>IFERROR(__xludf.DUMMYFUNCTION("""COMPUTED_VALUE"""),785.0)</f>
        <v>785</v>
      </c>
      <c r="Q26" s="26" t="str">
        <f>IFERROR(__xludf.DUMMYFUNCTION("""COMPUTED_VALUE"""),"FLMP909119")</f>
        <v>FLMP909119</v>
      </c>
      <c r="R26" s="26"/>
      <c r="S26" s="26"/>
      <c r="T26" s="26"/>
      <c r="U26" s="25" t="str">
        <f t="shared" si="1"/>
        <v>INDIV</v>
      </c>
    </row>
    <row r="27">
      <c r="B27" s="26" t="str">
        <f>IFERROR(__xludf.DUMMYFUNCTION("""COMPUTED_VALUE"""),"FLT1495")</f>
        <v>FLT1495</v>
      </c>
      <c r="C27" s="185">
        <f>IFERROR(__xludf.DUMMYFUNCTION("""COMPUTED_VALUE"""),44571.0)</f>
        <v>44571</v>
      </c>
      <c r="D27" s="186">
        <f>IFERROR(__xludf.DUMMYFUNCTION("""COMPUTED_VALUE"""),0.3728240740740741)</f>
        <v>0.3728240741</v>
      </c>
      <c r="E27" s="26" t="str">
        <f>IFERROR(__xludf.DUMMYFUNCTION("""COMPUTED_VALUE"""),"SpFLMP213396")</f>
        <v>SpFLMP213396</v>
      </c>
      <c r="F27" s="26"/>
      <c r="G27" s="26"/>
      <c r="H27" s="26" t="str">
        <f>IFERROR(__xludf.DUMMYFUNCTION("""COMPUTED_VALUE"""),"Positive")</f>
        <v>Positive</v>
      </c>
      <c r="I27" s="26" t="str">
        <f>IFERROR(__xludf.DUMMYFUNCTION("""COMPUTED_VALUE"""),"Positive")</f>
        <v>Positive</v>
      </c>
      <c r="J27" s="185">
        <f>IFERROR(__xludf.DUMMYFUNCTION("""COMPUTED_VALUE"""),44571.0)</f>
        <v>44571</v>
      </c>
      <c r="K27" s="186">
        <f>IFERROR(__xludf.DUMMYFUNCTION("""COMPUTED_VALUE"""),0.4724652777777778)</f>
        <v>0.4724652778</v>
      </c>
      <c r="L27" s="26"/>
      <c r="M27" s="191"/>
      <c r="N27" s="191"/>
      <c r="O27" s="26">
        <f>IFERROR(__xludf.DUMMYFUNCTION("""COMPUTED_VALUE"""),1.0)</f>
        <v>1</v>
      </c>
      <c r="P27" s="26">
        <f>IFERROR(__xludf.DUMMYFUNCTION("""COMPUTED_VALUE"""),917.0)</f>
        <v>917</v>
      </c>
      <c r="Q27" s="26" t="str">
        <f>IFERROR(__xludf.DUMMYFUNCTION("""COMPUTED_VALUE"""),"FLMP455751")</f>
        <v>FLMP455751</v>
      </c>
      <c r="R27" s="26"/>
      <c r="S27" s="26"/>
      <c r="T27" s="26"/>
      <c r="U27" s="25" t="str">
        <f t="shared" si="1"/>
        <v>INDIV</v>
      </c>
    </row>
    <row r="28">
      <c r="B28" s="26" t="str">
        <f>IFERROR(__xludf.DUMMYFUNCTION("""COMPUTED_VALUE"""),"FLT1472")</f>
        <v>FLT1472</v>
      </c>
      <c r="C28" s="185">
        <f>IFERROR(__xludf.DUMMYFUNCTION("""COMPUTED_VALUE"""),44571.0)</f>
        <v>44571</v>
      </c>
      <c r="D28" s="186">
        <f>IFERROR(__xludf.DUMMYFUNCTION("""COMPUTED_VALUE"""),0.3746527777777778)</f>
        <v>0.3746527778</v>
      </c>
      <c r="E28" s="26" t="str">
        <f>IFERROR(__xludf.DUMMYFUNCTION("""COMPUTED_VALUE"""),"SpFLMP213396")</f>
        <v>SpFLMP213396</v>
      </c>
      <c r="F28" s="26"/>
      <c r="G28" s="26"/>
      <c r="H28" s="26" t="str">
        <f>IFERROR(__xludf.DUMMYFUNCTION("""COMPUTED_VALUE"""),"Inconclusive")</f>
        <v>Inconclusive</v>
      </c>
      <c r="I28" s="26" t="str">
        <f>IFERROR(__xludf.DUMMYFUNCTION("""COMPUTED_VALUE"""),"Inconclusive")</f>
        <v>Inconclusive</v>
      </c>
      <c r="J28" s="185">
        <f>IFERROR(__xludf.DUMMYFUNCTION("""COMPUTED_VALUE"""),44571.0)</f>
        <v>44571</v>
      </c>
      <c r="K28" s="186">
        <f>IFERROR(__xludf.DUMMYFUNCTION("""COMPUTED_VALUE"""),0.5082638888888888)</f>
        <v>0.5082638889</v>
      </c>
      <c r="L28" s="26"/>
      <c r="M28" s="191"/>
      <c r="N28" s="191"/>
      <c r="O28" s="26">
        <f>IFERROR(__xludf.DUMMYFUNCTION("""COMPUTED_VALUE"""),1.0)</f>
        <v>1</v>
      </c>
      <c r="P28" s="26">
        <f>IFERROR(__xludf.DUMMYFUNCTION("""COMPUTED_VALUE"""),918.0)</f>
        <v>918</v>
      </c>
      <c r="Q28" s="26" t="str">
        <f>IFERROR(__xludf.DUMMYFUNCTION("""COMPUTED_VALUE"""),"FLMP912235")</f>
        <v>FLMP912235</v>
      </c>
      <c r="R28" s="26"/>
      <c r="S28" s="26"/>
      <c r="T28" s="26"/>
      <c r="U28" s="25" t="str">
        <f t="shared" si="1"/>
        <v>INDIV</v>
      </c>
    </row>
    <row r="29">
      <c r="B29" s="26" t="str">
        <f>IFERROR(__xludf.DUMMYFUNCTION("""COMPUTED_VALUE"""),"FLB5889")</f>
        <v>FLB5889</v>
      </c>
      <c r="C29" s="185">
        <f>IFERROR(__xludf.DUMMYFUNCTION("""COMPUTED_VALUE"""),44567.0)</f>
        <v>44567</v>
      </c>
      <c r="D29" s="186">
        <f>IFERROR(__xludf.DUMMYFUNCTION("""COMPUTED_VALUE"""),0.3404861111111111)</f>
        <v>0.3404861111</v>
      </c>
      <c r="E29" s="26" t="str">
        <f>IFERROR(__xludf.DUMMYFUNCTION("""COMPUTED_VALUE"""),"SpFLMP683385")</f>
        <v>SpFLMP683385</v>
      </c>
      <c r="F29" s="26"/>
      <c r="G29" s="26"/>
      <c r="H29" s="26" t="str">
        <f>IFERROR(__xludf.DUMMYFUNCTION("""COMPUTED_VALUE"""),"Positive")</f>
        <v>Positive</v>
      </c>
      <c r="I29" s="26" t="str">
        <f>IFERROR(__xludf.DUMMYFUNCTION("""COMPUTED_VALUE"""),"Positive")</f>
        <v>Positive</v>
      </c>
      <c r="J29" s="185">
        <f>IFERROR(__xludf.DUMMYFUNCTION("""COMPUTED_VALUE"""),44567.0)</f>
        <v>44567</v>
      </c>
      <c r="K29" s="186">
        <f>IFERROR(__xludf.DUMMYFUNCTION("""COMPUTED_VALUE"""),0.4442361111111111)</f>
        <v>0.4442361111</v>
      </c>
      <c r="L29" s="26"/>
      <c r="M29" s="191"/>
      <c r="N29" s="191"/>
      <c r="O29" s="26">
        <f>IFERROR(__xludf.DUMMYFUNCTION("""COMPUTED_VALUE"""),1.0)</f>
        <v>1</v>
      </c>
      <c r="P29" s="26">
        <f>IFERROR(__xludf.DUMMYFUNCTION("""COMPUTED_VALUE"""),797.0)</f>
        <v>797</v>
      </c>
      <c r="Q29" s="26" t="str">
        <f>IFERROR(__xludf.DUMMYFUNCTION("""COMPUTED_VALUE"""),"FLMP172687")</f>
        <v>FLMP172687</v>
      </c>
      <c r="R29" s="26"/>
      <c r="S29" s="26"/>
      <c r="T29" s="26"/>
      <c r="U29" s="25" t="str">
        <f t="shared" si="1"/>
        <v>INDIV</v>
      </c>
    </row>
    <row r="30">
      <c r="B30" s="26" t="str">
        <f>IFERROR(__xludf.DUMMYFUNCTION("""COMPUTED_VALUE"""),"FLB5830")</f>
        <v>FLB5830</v>
      </c>
      <c r="C30" s="185">
        <f>IFERROR(__xludf.DUMMYFUNCTION("""COMPUTED_VALUE"""),44567.0)</f>
        <v>44567</v>
      </c>
      <c r="D30" s="186">
        <f>IFERROR(__xludf.DUMMYFUNCTION("""COMPUTED_VALUE"""),0.34108796296296295)</f>
        <v>0.341087963</v>
      </c>
      <c r="E30" s="26" t="str">
        <f>IFERROR(__xludf.DUMMYFUNCTION("""COMPUTED_VALUE"""),"SpFLMP683385")</f>
        <v>SpFLMP683385</v>
      </c>
      <c r="F30" s="26"/>
      <c r="G30" s="26"/>
      <c r="H30" s="26" t="str">
        <f>IFERROR(__xludf.DUMMYFUNCTION("""COMPUTED_VALUE"""),"Positive")</f>
        <v>Positive</v>
      </c>
      <c r="I30" s="26" t="str">
        <f>IFERROR(__xludf.DUMMYFUNCTION("""COMPUTED_VALUE"""),"Positive")</f>
        <v>Positive</v>
      </c>
      <c r="J30" s="185">
        <f>IFERROR(__xludf.DUMMYFUNCTION("""COMPUTED_VALUE"""),44567.0)</f>
        <v>44567</v>
      </c>
      <c r="K30" s="186">
        <f>IFERROR(__xludf.DUMMYFUNCTION("""COMPUTED_VALUE"""),0.4442476851851852)</f>
        <v>0.4442476852</v>
      </c>
      <c r="L30" s="26"/>
      <c r="M30" s="191"/>
      <c r="N30" s="191"/>
      <c r="O30" s="26">
        <f>IFERROR(__xludf.DUMMYFUNCTION("""COMPUTED_VALUE"""),1.0)</f>
        <v>1</v>
      </c>
      <c r="P30" s="26">
        <f>IFERROR(__xludf.DUMMYFUNCTION("""COMPUTED_VALUE"""),798.0)</f>
        <v>798</v>
      </c>
      <c r="Q30" s="26" t="str">
        <f>IFERROR(__xludf.DUMMYFUNCTION("""COMPUTED_VALUE"""),"FLMP549529")</f>
        <v>FLMP549529</v>
      </c>
      <c r="R30" s="26"/>
      <c r="S30" s="26"/>
      <c r="T30" s="26"/>
      <c r="U30" s="25" t="str">
        <f t="shared" si="1"/>
        <v>INDIV</v>
      </c>
    </row>
    <row r="31">
      <c r="B31" s="26" t="str">
        <f>IFERROR(__xludf.DUMMYFUNCTION("""COMPUTED_VALUE"""),"FLT1136")</f>
        <v>FLT1136</v>
      </c>
      <c r="C31" s="185">
        <f>IFERROR(__xludf.DUMMYFUNCTION("""COMPUTED_VALUE"""),44567.0)</f>
        <v>44567</v>
      </c>
      <c r="D31" s="186">
        <f>IFERROR(__xludf.DUMMYFUNCTION("""COMPUTED_VALUE"""),0.34261574074074075)</f>
        <v>0.3426157407</v>
      </c>
      <c r="E31" s="26" t="str">
        <f>IFERROR(__xludf.DUMMYFUNCTION("""COMPUTED_VALUE"""),"SpFLMP683385")</f>
        <v>SpFLMP683385</v>
      </c>
      <c r="F31" s="26"/>
      <c r="G31" s="26"/>
      <c r="H31" s="26" t="str">
        <f>IFERROR(__xludf.DUMMYFUNCTION("""COMPUTED_VALUE"""),"Positive")</f>
        <v>Positive</v>
      </c>
      <c r="I31" s="26" t="str">
        <f>IFERROR(__xludf.DUMMYFUNCTION("""COMPUTED_VALUE"""),"Positive")</f>
        <v>Positive</v>
      </c>
      <c r="J31" s="185">
        <f>IFERROR(__xludf.DUMMYFUNCTION("""COMPUTED_VALUE"""),44567.0)</f>
        <v>44567</v>
      </c>
      <c r="K31" s="186">
        <f>IFERROR(__xludf.DUMMYFUNCTION("""COMPUTED_VALUE"""),0.4442476851851852)</f>
        <v>0.4442476852</v>
      </c>
      <c r="L31" s="26"/>
      <c r="M31" s="191"/>
      <c r="N31" s="191"/>
      <c r="O31" s="26">
        <f>IFERROR(__xludf.DUMMYFUNCTION("""COMPUTED_VALUE"""),1.0)</f>
        <v>1</v>
      </c>
      <c r="P31" s="26">
        <f>IFERROR(__xludf.DUMMYFUNCTION("""COMPUTED_VALUE"""),801.0)</f>
        <v>801</v>
      </c>
      <c r="Q31" s="26" t="str">
        <f>IFERROR(__xludf.DUMMYFUNCTION("""COMPUTED_VALUE"""),"FLMP858721")</f>
        <v>FLMP858721</v>
      </c>
      <c r="R31" s="26"/>
      <c r="S31" s="26"/>
      <c r="T31" s="26"/>
      <c r="U31" s="25" t="str">
        <f t="shared" si="1"/>
        <v>INDIV</v>
      </c>
    </row>
    <row r="32">
      <c r="B32" s="26" t="str">
        <f>IFERROR(__xludf.DUMMYFUNCTION("""COMPUTED_VALUE"""),"FLT1475")</f>
        <v>FLT1475</v>
      </c>
      <c r="C32" s="185">
        <f>IFERROR(__xludf.DUMMYFUNCTION("""COMPUTED_VALUE"""),44569.0)</f>
        <v>44569</v>
      </c>
      <c r="D32" s="186">
        <f>IFERROR(__xludf.DUMMYFUNCTION("""COMPUTED_VALUE"""),0.3605555555555556)</f>
        <v>0.3605555556</v>
      </c>
      <c r="E32" s="26" t="str">
        <f>IFERROR(__xludf.DUMMYFUNCTION("""COMPUTED_VALUE"""),"SpFLMP342787")</f>
        <v>SpFLMP342787</v>
      </c>
      <c r="F32" s="26"/>
      <c r="G32" s="26"/>
      <c r="H32" s="26" t="str">
        <f>IFERROR(__xludf.DUMMYFUNCTION("""COMPUTED_VALUE"""),"Positive")</f>
        <v>Positive</v>
      </c>
      <c r="I32" s="26" t="str">
        <f>IFERROR(__xludf.DUMMYFUNCTION("""COMPUTED_VALUE"""),"Positive")</f>
        <v>Positive</v>
      </c>
      <c r="J32" s="185">
        <f>IFERROR(__xludf.DUMMYFUNCTION("""COMPUTED_VALUE"""),44569.0)</f>
        <v>44569</v>
      </c>
      <c r="K32" s="186">
        <f>IFERROR(__xludf.DUMMYFUNCTION("""COMPUTED_VALUE"""),0.44179398148148147)</f>
        <v>0.4417939815</v>
      </c>
      <c r="L32" s="26"/>
      <c r="M32" s="191"/>
      <c r="N32" s="191"/>
      <c r="O32" s="26">
        <f>IFERROR(__xludf.DUMMYFUNCTION("""COMPUTED_VALUE"""),1.0)</f>
        <v>1</v>
      </c>
      <c r="P32" s="26">
        <f>IFERROR(__xludf.DUMMYFUNCTION("""COMPUTED_VALUE"""),827.0)</f>
        <v>827</v>
      </c>
      <c r="Q32" s="26" t="str">
        <f>IFERROR(__xludf.DUMMYFUNCTION("""COMPUTED_VALUE"""),"FLMP710853")</f>
        <v>FLMP710853</v>
      </c>
      <c r="R32" s="26"/>
      <c r="S32" s="26"/>
      <c r="T32" s="26"/>
      <c r="U32" s="25" t="str">
        <f t="shared" si="1"/>
        <v>INDIV</v>
      </c>
    </row>
    <row r="33">
      <c r="B33" s="26" t="str">
        <f>IFERROR(__xludf.DUMMYFUNCTION("""COMPUTED_VALUE"""),"FLE296")</f>
        <v>FLE296</v>
      </c>
      <c r="C33" s="185">
        <f>IFERROR(__xludf.DUMMYFUNCTION("""COMPUTED_VALUE"""),44571.0)</f>
        <v>44571</v>
      </c>
      <c r="D33" s="186">
        <f>IFERROR(__xludf.DUMMYFUNCTION("""COMPUTED_VALUE"""),0.33939814814814817)</f>
        <v>0.3393981481</v>
      </c>
      <c r="E33" s="26" t="str">
        <f>IFERROR(__xludf.DUMMYFUNCTION("""COMPUTED_VALUE"""),"SpFLMP342787")</f>
        <v>SpFLMP342787</v>
      </c>
      <c r="F33" s="26"/>
      <c r="G33" s="26"/>
      <c r="H33" s="26" t="str">
        <f>IFERROR(__xludf.DUMMYFUNCTION("""COMPUTED_VALUE"""),"Positive")</f>
        <v>Positive</v>
      </c>
      <c r="I33" s="26" t="str">
        <f>IFERROR(__xludf.DUMMYFUNCTION("""COMPUTED_VALUE"""),"Positive")</f>
        <v>Positive</v>
      </c>
      <c r="J33" s="185">
        <f>IFERROR(__xludf.DUMMYFUNCTION("""COMPUTED_VALUE"""),44571.0)</f>
        <v>44571</v>
      </c>
      <c r="K33" s="186">
        <f>IFERROR(__xludf.DUMMYFUNCTION("""COMPUTED_VALUE"""),0.4724537037037037)</f>
        <v>0.4724537037</v>
      </c>
      <c r="L33" s="26"/>
      <c r="M33" s="191"/>
      <c r="N33" s="191"/>
      <c r="O33" s="26">
        <f>IFERROR(__xludf.DUMMYFUNCTION("""COMPUTED_VALUE"""),1.0)</f>
        <v>1</v>
      </c>
      <c r="P33" s="26">
        <f>IFERROR(__xludf.DUMMYFUNCTION("""COMPUTED_VALUE"""),891.0)</f>
        <v>891</v>
      </c>
      <c r="Q33" s="26" t="str">
        <f>IFERROR(__xludf.DUMMYFUNCTION("""COMPUTED_VALUE"""),"FLMP132084")</f>
        <v>FLMP132084</v>
      </c>
      <c r="R33" s="26"/>
      <c r="S33" s="26"/>
      <c r="T33" s="26"/>
      <c r="U33" s="25" t="str">
        <f t="shared" si="1"/>
        <v>INDIV</v>
      </c>
    </row>
    <row r="34">
      <c r="B34" s="26" t="str">
        <f>IFERROR(__xludf.DUMMYFUNCTION("""COMPUTED_VALUE"""),"FLB5866")</f>
        <v>FLB5866</v>
      </c>
      <c r="C34" s="185">
        <f>IFERROR(__xludf.DUMMYFUNCTION("""COMPUTED_VALUE"""),44571.0)</f>
        <v>44571</v>
      </c>
      <c r="D34" s="186">
        <f>IFERROR(__xludf.DUMMYFUNCTION("""COMPUTED_VALUE"""),0.3410185185185185)</f>
        <v>0.3410185185</v>
      </c>
      <c r="E34" s="26" t="str">
        <f>IFERROR(__xludf.DUMMYFUNCTION("""COMPUTED_VALUE"""),"SpFLMP342787")</f>
        <v>SpFLMP342787</v>
      </c>
      <c r="F34" s="26"/>
      <c r="G34" s="26"/>
      <c r="H34" s="26" t="str">
        <f>IFERROR(__xludf.DUMMYFUNCTION("""COMPUTED_VALUE"""),"Positive")</f>
        <v>Positive</v>
      </c>
      <c r="I34" s="26" t="str">
        <f>IFERROR(__xludf.DUMMYFUNCTION("""COMPUTED_VALUE"""),"Positive")</f>
        <v>Positive</v>
      </c>
      <c r="J34" s="185">
        <f>IFERROR(__xludf.DUMMYFUNCTION("""COMPUTED_VALUE"""),44571.0)</f>
        <v>44571</v>
      </c>
      <c r="K34" s="186">
        <f>IFERROR(__xludf.DUMMYFUNCTION("""COMPUTED_VALUE"""),0.4724537037037037)</f>
        <v>0.4724537037</v>
      </c>
      <c r="L34" s="26"/>
      <c r="M34" s="191"/>
      <c r="N34" s="191"/>
      <c r="O34" s="26">
        <f>IFERROR(__xludf.DUMMYFUNCTION("""COMPUTED_VALUE"""),1.0)</f>
        <v>1</v>
      </c>
      <c r="P34" s="26">
        <f>IFERROR(__xludf.DUMMYFUNCTION("""COMPUTED_VALUE"""),892.0)</f>
        <v>892</v>
      </c>
      <c r="Q34" s="26" t="str">
        <f>IFERROR(__xludf.DUMMYFUNCTION("""COMPUTED_VALUE"""),"FLMP676985")</f>
        <v>FLMP676985</v>
      </c>
      <c r="R34" s="26"/>
      <c r="S34" s="26"/>
      <c r="T34" s="26"/>
      <c r="U34" s="25" t="str">
        <f t="shared" si="1"/>
        <v>INDIV</v>
      </c>
    </row>
    <row r="35">
      <c r="B35" s="26" t="str">
        <f>IFERROR(__xludf.DUMMYFUNCTION("""COMPUTED_VALUE"""),"FLE258")</f>
        <v>FLE258</v>
      </c>
      <c r="C35" s="185">
        <f>IFERROR(__xludf.DUMMYFUNCTION("""COMPUTED_VALUE"""),44571.0)</f>
        <v>44571</v>
      </c>
      <c r="D35" s="186">
        <f>IFERROR(__xludf.DUMMYFUNCTION("""COMPUTED_VALUE"""),0.3584375)</f>
        <v>0.3584375</v>
      </c>
      <c r="E35" s="26" t="str">
        <f>IFERROR(__xludf.DUMMYFUNCTION("""COMPUTED_VALUE"""),"SpFLMP342787")</f>
        <v>SpFLMP342787</v>
      </c>
      <c r="F35" s="26"/>
      <c r="G35" s="26"/>
      <c r="H35" s="26" t="str">
        <f>IFERROR(__xludf.DUMMYFUNCTION("""COMPUTED_VALUE"""),"Positive")</f>
        <v>Positive</v>
      </c>
      <c r="I35" s="26" t="str">
        <f>IFERROR(__xludf.DUMMYFUNCTION("""COMPUTED_VALUE"""),"Positive")</f>
        <v>Positive</v>
      </c>
      <c r="J35" s="185">
        <f>IFERROR(__xludf.DUMMYFUNCTION("""COMPUTED_VALUE"""),44571.0)</f>
        <v>44571</v>
      </c>
      <c r="K35" s="186">
        <f>IFERROR(__xludf.DUMMYFUNCTION("""COMPUTED_VALUE"""),0.4724652777777778)</f>
        <v>0.4724652778</v>
      </c>
      <c r="L35" s="26"/>
      <c r="M35" s="191"/>
      <c r="N35" s="191"/>
      <c r="O35" s="26">
        <f>IFERROR(__xludf.DUMMYFUNCTION("""COMPUTED_VALUE"""),1.0)</f>
        <v>1</v>
      </c>
      <c r="P35" s="26">
        <f>IFERROR(__xludf.DUMMYFUNCTION("""COMPUTED_VALUE"""),908.0)</f>
        <v>908</v>
      </c>
      <c r="Q35" s="26" t="str">
        <f>IFERROR(__xludf.DUMMYFUNCTION("""COMPUTED_VALUE"""),"FLMP365997")</f>
        <v>FLMP365997</v>
      </c>
      <c r="R35" s="26"/>
      <c r="S35" s="26"/>
      <c r="T35" s="26"/>
      <c r="U35" s="25" t="str">
        <f t="shared" si="1"/>
        <v>INDIV</v>
      </c>
    </row>
    <row r="36">
      <c r="B36" s="26" t="str">
        <f>IFERROR(__xludf.DUMMYFUNCTION("""COMPUTED_VALUE"""),"FLB7404")</f>
        <v>FLB7404</v>
      </c>
      <c r="C36" s="185">
        <f>IFERROR(__xludf.DUMMYFUNCTION("""COMPUTED_VALUE"""),44578.0)</f>
        <v>44578</v>
      </c>
      <c r="D36" s="186">
        <f>IFERROR(__xludf.DUMMYFUNCTION("""COMPUTED_VALUE"""),0.5889351851851852)</f>
        <v>0.5889351852</v>
      </c>
      <c r="E36" s="26" t="str">
        <f>IFERROR(__xludf.DUMMYFUNCTION("""COMPUTED_VALUE"""),"SpFLMP342787")</f>
        <v>SpFLMP342787</v>
      </c>
      <c r="F36" s="26"/>
      <c r="G36" s="26"/>
      <c r="H36" s="26" t="str">
        <f>IFERROR(__xludf.DUMMYFUNCTION("""COMPUTED_VALUE"""),"Positive")</f>
        <v>Positive</v>
      </c>
      <c r="I36" s="26" t="str">
        <f>IFERROR(__xludf.DUMMYFUNCTION("""COMPUTED_VALUE"""),"Positive")</f>
        <v>Positive</v>
      </c>
      <c r="J36" s="185">
        <f>IFERROR(__xludf.DUMMYFUNCTION("""COMPUTED_VALUE"""),44579.0)</f>
        <v>44579</v>
      </c>
      <c r="K36" s="186">
        <f>IFERROR(__xludf.DUMMYFUNCTION("""COMPUTED_VALUE"""),0.2937037037037037)</f>
        <v>0.2937037037</v>
      </c>
      <c r="L36" s="26"/>
      <c r="M36" s="191"/>
      <c r="N36" s="191"/>
      <c r="O36" s="26">
        <f>IFERROR(__xludf.DUMMYFUNCTION("""COMPUTED_VALUE"""),1.0)</f>
        <v>1</v>
      </c>
      <c r="P36" s="26">
        <f>IFERROR(__xludf.DUMMYFUNCTION("""COMPUTED_VALUE"""),1070.0)</f>
        <v>1070</v>
      </c>
      <c r="Q36" s="26" t="str">
        <f>IFERROR(__xludf.DUMMYFUNCTION("""COMPUTED_VALUE"""),"FLMP710853")</f>
        <v>FLMP710853</v>
      </c>
      <c r="R36" s="26"/>
      <c r="S36" s="26"/>
      <c r="T36" s="26"/>
      <c r="U36" s="25" t="str">
        <f t="shared" si="1"/>
        <v>INDIV</v>
      </c>
    </row>
    <row r="37">
      <c r="B37" s="26" t="str">
        <f>IFERROR(__xludf.DUMMYFUNCTION("""COMPUTED_VALUE"""),"FLE255")</f>
        <v>FLE255</v>
      </c>
      <c r="C37" s="185">
        <f>IFERROR(__xludf.DUMMYFUNCTION("""COMPUTED_VALUE"""),44578.0)</f>
        <v>44578</v>
      </c>
      <c r="D37" s="186">
        <f>IFERROR(__xludf.DUMMYFUNCTION("""COMPUTED_VALUE"""),0.5896296296296296)</f>
        <v>0.5896296296</v>
      </c>
      <c r="E37" s="26" t="str">
        <f>IFERROR(__xludf.DUMMYFUNCTION("""COMPUTED_VALUE"""),"SpFLMP342787")</f>
        <v>SpFLMP342787</v>
      </c>
      <c r="F37" s="26"/>
      <c r="G37" s="26"/>
      <c r="H37" s="26" t="str">
        <f>IFERROR(__xludf.DUMMYFUNCTION("""COMPUTED_VALUE"""),"Positive")</f>
        <v>Positive</v>
      </c>
      <c r="I37" s="26" t="str">
        <f>IFERROR(__xludf.DUMMYFUNCTION("""COMPUTED_VALUE"""),"Positive")</f>
        <v>Positive</v>
      </c>
      <c r="J37" s="185">
        <f>IFERROR(__xludf.DUMMYFUNCTION("""COMPUTED_VALUE"""),44579.0)</f>
        <v>44579</v>
      </c>
      <c r="K37" s="186">
        <f>IFERROR(__xludf.DUMMYFUNCTION("""COMPUTED_VALUE"""),0.2937152777777778)</f>
        <v>0.2937152778</v>
      </c>
      <c r="L37" s="26"/>
      <c r="M37" s="191"/>
      <c r="N37" s="191"/>
      <c r="O37" s="26">
        <f>IFERROR(__xludf.DUMMYFUNCTION("""COMPUTED_VALUE"""),1.0)</f>
        <v>1</v>
      </c>
      <c r="P37" s="26">
        <f>IFERROR(__xludf.DUMMYFUNCTION("""COMPUTED_VALUE"""),1071.0)</f>
        <v>1071</v>
      </c>
      <c r="Q37" s="26" t="str">
        <f>IFERROR(__xludf.DUMMYFUNCTION("""COMPUTED_VALUE"""),"FLMP132084")</f>
        <v>FLMP132084</v>
      </c>
      <c r="R37" s="26"/>
      <c r="S37" s="26"/>
      <c r="T37" s="26"/>
      <c r="U37" s="25" t="str">
        <f t="shared" si="1"/>
        <v>INDIV</v>
      </c>
    </row>
    <row r="38">
      <c r="B38" s="26" t="str">
        <f>IFERROR(__xludf.DUMMYFUNCTION("""COMPUTED_VALUE"""),"FLE318")</f>
        <v>FLE318</v>
      </c>
      <c r="C38" s="185">
        <f>IFERROR(__xludf.DUMMYFUNCTION("""COMPUTED_VALUE"""),44578.0)</f>
        <v>44578</v>
      </c>
      <c r="D38" s="186">
        <f>IFERROR(__xludf.DUMMYFUNCTION("""COMPUTED_VALUE"""),0.5933449074074074)</f>
        <v>0.5933449074</v>
      </c>
      <c r="E38" s="26" t="str">
        <f>IFERROR(__xludf.DUMMYFUNCTION("""COMPUTED_VALUE"""),"SpFLMP342787")</f>
        <v>SpFLMP342787</v>
      </c>
      <c r="F38" s="26"/>
      <c r="G38" s="26"/>
      <c r="H38" s="26" t="str">
        <f>IFERROR(__xludf.DUMMYFUNCTION("""COMPUTED_VALUE"""),"Positive")</f>
        <v>Positive</v>
      </c>
      <c r="I38" s="26" t="str">
        <f>IFERROR(__xludf.DUMMYFUNCTION("""COMPUTED_VALUE"""),"Positive")</f>
        <v>Positive</v>
      </c>
      <c r="J38" s="185">
        <f>IFERROR(__xludf.DUMMYFUNCTION("""COMPUTED_VALUE"""),44579.0)</f>
        <v>44579</v>
      </c>
      <c r="K38" s="186">
        <f>IFERROR(__xludf.DUMMYFUNCTION("""COMPUTED_VALUE"""),0.2937152777777778)</f>
        <v>0.2937152778</v>
      </c>
      <c r="L38" s="26"/>
      <c r="M38" s="191"/>
      <c r="N38" s="191"/>
      <c r="O38" s="26">
        <f>IFERROR(__xludf.DUMMYFUNCTION("""COMPUTED_VALUE"""),1.0)</f>
        <v>1</v>
      </c>
      <c r="P38" s="26">
        <f>IFERROR(__xludf.DUMMYFUNCTION("""COMPUTED_VALUE"""),1072.0)</f>
        <v>1072</v>
      </c>
      <c r="Q38" s="26" t="str">
        <f>IFERROR(__xludf.DUMMYFUNCTION("""COMPUTED_VALUE"""),"FLMP676985")</f>
        <v>FLMP676985</v>
      </c>
      <c r="R38" s="26"/>
      <c r="S38" s="26"/>
      <c r="T38" s="26"/>
      <c r="U38" s="25" t="str">
        <f t="shared" si="1"/>
        <v>INDIV</v>
      </c>
    </row>
    <row r="39">
      <c r="B39" s="26" t="str">
        <f>IFERROR(__xludf.DUMMYFUNCTION("""COMPUTED_VALUE"""),"FLE251")</f>
        <v>FLE251</v>
      </c>
      <c r="C39" s="185">
        <f>IFERROR(__xludf.DUMMYFUNCTION("""COMPUTED_VALUE"""),44578.0)</f>
        <v>44578</v>
      </c>
      <c r="D39" s="186">
        <f>IFERROR(__xludf.DUMMYFUNCTION("""COMPUTED_VALUE"""),0.5940277777777778)</f>
        <v>0.5940277778</v>
      </c>
      <c r="E39" s="26" t="str">
        <f>IFERROR(__xludf.DUMMYFUNCTION("""COMPUTED_VALUE"""),"SpFLMP342787")</f>
        <v>SpFLMP342787</v>
      </c>
      <c r="F39" s="26"/>
      <c r="G39" s="26"/>
      <c r="H39" s="26" t="str">
        <f>IFERROR(__xludf.DUMMYFUNCTION("""COMPUTED_VALUE"""),"Positive")</f>
        <v>Positive</v>
      </c>
      <c r="I39" s="26" t="str">
        <f>IFERROR(__xludf.DUMMYFUNCTION("""COMPUTED_VALUE"""),"Positive")</f>
        <v>Positive</v>
      </c>
      <c r="J39" s="185">
        <f>IFERROR(__xludf.DUMMYFUNCTION("""COMPUTED_VALUE"""),44579.0)</f>
        <v>44579</v>
      </c>
      <c r="K39" s="186">
        <f>IFERROR(__xludf.DUMMYFUNCTION("""COMPUTED_VALUE"""),0.2937152777777778)</f>
        <v>0.2937152778</v>
      </c>
      <c r="L39" s="26"/>
      <c r="M39" s="191"/>
      <c r="N39" s="191"/>
      <c r="O39" s="26">
        <f>IFERROR(__xludf.DUMMYFUNCTION("""COMPUTED_VALUE"""),1.0)</f>
        <v>1</v>
      </c>
      <c r="P39" s="26">
        <f>IFERROR(__xludf.DUMMYFUNCTION("""COMPUTED_VALUE"""),1077.0)</f>
        <v>1077</v>
      </c>
      <c r="Q39" s="26" t="str">
        <f>IFERROR(__xludf.DUMMYFUNCTION("""COMPUTED_VALUE"""),"FLMP365997")</f>
        <v>FLMP365997</v>
      </c>
      <c r="R39" s="26"/>
      <c r="S39" s="26"/>
      <c r="T39" s="26"/>
      <c r="U39" s="25" t="str">
        <f t="shared" si="1"/>
        <v>INDIV</v>
      </c>
    </row>
    <row r="40">
      <c r="B40" s="26" t="str">
        <f>IFERROR(__xludf.DUMMYFUNCTION("""COMPUTED_VALUE"""),"FLT1400")</f>
        <v>FLT1400</v>
      </c>
      <c r="C40" s="185">
        <f>IFERROR(__xludf.DUMMYFUNCTION("""COMPUTED_VALUE"""),44570.0)</f>
        <v>44570</v>
      </c>
      <c r="D40" s="186">
        <f>IFERROR(__xludf.DUMMYFUNCTION("""COMPUTED_VALUE"""),0.7543171296296296)</f>
        <v>0.7543171296</v>
      </c>
      <c r="E40" s="26" t="str">
        <f>IFERROR(__xludf.DUMMYFUNCTION("""COMPUTED_VALUE"""),"SpFLMP649771")</f>
        <v>SpFLMP649771</v>
      </c>
      <c r="F40" s="26"/>
      <c r="G40" s="26"/>
      <c r="H40" s="26" t="str">
        <f>IFERROR(__xludf.DUMMYFUNCTION("""COMPUTED_VALUE"""),"Positive")</f>
        <v>Positive</v>
      </c>
      <c r="I40" s="26" t="str">
        <f>IFERROR(__xludf.DUMMYFUNCTION("""COMPUTED_VALUE"""),"Positive")</f>
        <v>Positive</v>
      </c>
      <c r="J40" s="185">
        <f>IFERROR(__xludf.DUMMYFUNCTION("""COMPUTED_VALUE"""),44571.0)</f>
        <v>44571</v>
      </c>
      <c r="K40" s="186">
        <f>IFERROR(__xludf.DUMMYFUNCTION("""COMPUTED_VALUE"""),0.4724537037037037)</f>
        <v>0.4724537037</v>
      </c>
      <c r="L40" s="26"/>
      <c r="M40" s="191"/>
      <c r="N40" s="191"/>
      <c r="O40" s="26">
        <f>IFERROR(__xludf.DUMMYFUNCTION("""COMPUTED_VALUE"""),1.0)</f>
        <v>1</v>
      </c>
      <c r="P40" s="26">
        <f>IFERROR(__xludf.DUMMYFUNCTION("""COMPUTED_VALUE"""),855.0)</f>
        <v>855</v>
      </c>
      <c r="Q40" s="26" t="str">
        <f>IFERROR(__xludf.DUMMYFUNCTION("""COMPUTED_VALUE"""),"FLMP330127")</f>
        <v>FLMP330127</v>
      </c>
      <c r="R40" s="26"/>
      <c r="S40" s="26"/>
      <c r="T40" s="26"/>
      <c r="U40" s="25" t="str">
        <f t="shared" si="1"/>
        <v>INDIV</v>
      </c>
    </row>
    <row r="41">
      <c r="B41" s="26" t="str">
        <f>IFERROR(__xludf.DUMMYFUNCTION("""COMPUTED_VALUE"""),"FLT1465")</f>
        <v>FLT1465</v>
      </c>
      <c r="C41" s="185">
        <f>IFERROR(__xludf.DUMMYFUNCTION("""COMPUTED_VALUE"""),44570.0)</f>
        <v>44570</v>
      </c>
      <c r="D41" s="186">
        <f>IFERROR(__xludf.DUMMYFUNCTION("""COMPUTED_VALUE"""),0.7574768518518519)</f>
        <v>0.7574768519</v>
      </c>
      <c r="E41" s="26" t="str">
        <f>IFERROR(__xludf.DUMMYFUNCTION("""COMPUTED_VALUE"""),"SpFLMP935298")</f>
        <v>SpFLMP935298</v>
      </c>
      <c r="F41" s="26"/>
      <c r="G41" s="26"/>
      <c r="H41" s="26" t="str">
        <f>IFERROR(__xludf.DUMMYFUNCTION("""COMPUTED_VALUE"""),"Positive")</f>
        <v>Positive</v>
      </c>
      <c r="I41" s="26" t="str">
        <f>IFERROR(__xludf.DUMMYFUNCTION("""COMPUTED_VALUE"""),"Positive")</f>
        <v>Positive</v>
      </c>
      <c r="J41" s="185">
        <f>IFERROR(__xludf.DUMMYFUNCTION("""COMPUTED_VALUE"""),44571.0)</f>
        <v>44571</v>
      </c>
      <c r="K41" s="186">
        <f>IFERROR(__xludf.DUMMYFUNCTION("""COMPUTED_VALUE"""),0.4724537037037037)</f>
        <v>0.4724537037</v>
      </c>
      <c r="L41" s="26"/>
      <c r="M41" s="191"/>
      <c r="N41" s="191"/>
      <c r="O41" s="26">
        <f>IFERROR(__xludf.DUMMYFUNCTION("""COMPUTED_VALUE"""),1.0)</f>
        <v>1</v>
      </c>
      <c r="P41" s="26">
        <f>IFERROR(__xludf.DUMMYFUNCTION("""COMPUTED_VALUE"""),856.0)</f>
        <v>856</v>
      </c>
      <c r="Q41" s="26" t="str">
        <f>IFERROR(__xludf.DUMMYFUNCTION("""COMPUTED_VALUE"""),"FLMP147333")</f>
        <v>FLMP147333</v>
      </c>
      <c r="R41" s="26"/>
      <c r="S41" s="26"/>
      <c r="T41" s="26"/>
      <c r="U41" s="25" t="str">
        <f t="shared" si="1"/>
        <v>INDIV</v>
      </c>
    </row>
    <row r="42">
      <c r="B42" s="26" t="str">
        <f>IFERROR(__xludf.DUMMYFUNCTION("""COMPUTED_VALUE"""),"FLB6850")</f>
        <v>FLB6850</v>
      </c>
      <c r="C42" s="185">
        <f>IFERROR(__xludf.DUMMYFUNCTION("""COMPUTED_VALUE"""),44578.0)</f>
        <v>44578</v>
      </c>
      <c r="D42" s="186">
        <f>IFERROR(__xludf.DUMMYFUNCTION("""COMPUTED_VALUE"""),0.42875)</f>
        <v>0.42875</v>
      </c>
      <c r="E42" s="26" t="str">
        <f>IFERROR(__xludf.DUMMYFUNCTION("""COMPUTED_VALUE"""),"SpFLMP649771")</f>
        <v>SpFLMP649771</v>
      </c>
      <c r="F42" s="26"/>
      <c r="G42" s="26"/>
      <c r="H42" s="26" t="str">
        <f>IFERROR(__xludf.DUMMYFUNCTION("""COMPUTED_VALUE"""),"Positive")</f>
        <v>Positive</v>
      </c>
      <c r="I42" s="26" t="str">
        <f>IFERROR(__xludf.DUMMYFUNCTION("""COMPUTED_VALUE"""),"Positive")</f>
        <v>Positive</v>
      </c>
      <c r="J42" s="185">
        <f>IFERROR(__xludf.DUMMYFUNCTION("""COMPUTED_VALUE"""),44578.0)</f>
        <v>44578</v>
      </c>
      <c r="K42" s="186">
        <f>IFERROR(__xludf.DUMMYFUNCTION("""COMPUTED_VALUE"""),0.8699305555555555)</f>
        <v>0.8699305556</v>
      </c>
      <c r="L42" s="26"/>
      <c r="M42" s="191"/>
      <c r="N42" s="191"/>
      <c r="O42" s="26">
        <f>IFERROR(__xludf.DUMMYFUNCTION("""COMPUTED_VALUE"""),1.0)</f>
        <v>1</v>
      </c>
      <c r="P42" s="26">
        <f>IFERROR(__xludf.DUMMYFUNCTION("""COMPUTED_VALUE"""),1034.0)</f>
        <v>1034</v>
      </c>
      <c r="Q42" s="26" t="str">
        <f>IFERROR(__xludf.DUMMYFUNCTION("""COMPUTED_VALUE"""),"FLMP330127")</f>
        <v>FLMP330127</v>
      </c>
      <c r="R42" s="26"/>
      <c r="S42" s="26"/>
      <c r="T42" s="26"/>
      <c r="U42" s="25" t="str">
        <f t="shared" si="1"/>
        <v>INDIV</v>
      </c>
    </row>
    <row r="43">
      <c r="B43" s="26" t="str">
        <f>IFERROR(__xludf.DUMMYFUNCTION("""COMPUTED_VALUE"""),"FLT1172")</f>
        <v>FLT1172</v>
      </c>
      <c r="C43" s="185">
        <f>IFERROR(__xludf.DUMMYFUNCTION("""COMPUTED_VALUE"""),44578.0)</f>
        <v>44578</v>
      </c>
      <c r="D43" s="186">
        <f>IFERROR(__xludf.DUMMYFUNCTION("""COMPUTED_VALUE"""),0.42949074074074073)</f>
        <v>0.4294907407</v>
      </c>
      <c r="E43" s="26" t="str">
        <f>IFERROR(__xludf.DUMMYFUNCTION("""COMPUTED_VALUE"""),"SpFLMP649771")</f>
        <v>SpFLMP649771</v>
      </c>
      <c r="F43" s="26"/>
      <c r="G43" s="26"/>
      <c r="H43" s="26" t="str">
        <f>IFERROR(__xludf.DUMMYFUNCTION("""COMPUTED_VALUE"""),"Positive")</f>
        <v>Positive</v>
      </c>
      <c r="I43" s="26" t="str">
        <f>IFERROR(__xludf.DUMMYFUNCTION("""COMPUTED_VALUE"""),"Positive")</f>
        <v>Positive</v>
      </c>
      <c r="J43" s="185">
        <f>IFERROR(__xludf.DUMMYFUNCTION("""COMPUTED_VALUE"""),44578.0)</f>
        <v>44578</v>
      </c>
      <c r="K43" s="186">
        <f>IFERROR(__xludf.DUMMYFUNCTION("""COMPUTED_VALUE"""),0.8910763888888888)</f>
        <v>0.8910763889</v>
      </c>
      <c r="L43" s="26"/>
      <c r="M43" s="191"/>
      <c r="N43" s="191"/>
      <c r="O43" s="26">
        <f>IFERROR(__xludf.DUMMYFUNCTION("""COMPUTED_VALUE"""),1.0)</f>
        <v>1</v>
      </c>
      <c r="P43" s="26">
        <f>IFERROR(__xludf.DUMMYFUNCTION("""COMPUTED_VALUE"""),1035.0)</f>
        <v>1035</v>
      </c>
      <c r="Q43" s="26" t="str">
        <f>IFERROR(__xludf.DUMMYFUNCTION("""COMPUTED_VALUE"""),"FLMP147333")</f>
        <v>FLMP147333</v>
      </c>
      <c r="R43" s="26"/>
      <c r="S43" s="26"/>
      <c r="T43" s="26"/>
      <c r="U43" s="25" t="str">
        <f t="shared" si="1"/>
        <v>INDIV</v>
      </c>
    </row>
    <row r="44">
      <c r="B44" s="26" t="str">
        <f>IFERROR(__xludf.DUMMYFUNCTION("""COMPUTED_VALUE"""),"FLT1129")</f>
        <v>FLT1129</v>
      </c>
      <c r="C44" s="185">
        <f>IFERROR(__xludf.DUMMYFUNCTION("""COMPUTED_VALUE"""),44578.0)</f>
        <v>44578</v>
      </c>
      <c r="D44" s="186">
        <f>IFERROR(__xludf.DUMMYFUNCTION("""COMPUTED_VALUE"""),0.4324884259259259)</f>
        <v>0.4324884259</v>
      </c>
      <c r="E44" s="26" t="str">
        <f>IFERROR(__xludf.DUMMYFUNCTION("""COMPUTED_VALUE"""),"SpFLMP649771")</f>
        <v>SpFLMP649771</v>
      </c>
      <c r="F44" s="26"/>
      <c r="G44" s="26"/>
      <c r="H44" s="26" t="str">
        <f>IFERROR(__xludf.DUMMYFUNCTION("""COMPUTED_VALUE"""),"Positive")</f>
        <v>Positive</v>
      </c>
      <c r="I44" s="26" t="str">
        <f>IFERROR(__xludf.DUMMYFUNCTION("""COMPUTED_VALUE"""),"Positive")</f>
        <v>Positive</v>
      </c>
      <c r="J44" s="185">
        <f>IFERROR(__xludf.DUMMYFUNCTION("""COMPUTED_VALUE"""),44578.0)</f>
        <v>44578</v>
      </c>
      <c r="K44" s="186">
        <f>IFERROR(__xludf.DUMMYFUNCTION("""COMPUTED_VALUE"""),0.8699305555555555)</f>
        <v>0.8699305556</v>
      </c>
      <c r="L44" s="26"/>
      <c r="M44" s="191"/>
      <c r="N44" s="191"/>
      <c r="O44" s="26">
        <f>IFERROR(__xludf.DUMMYFUNCTION("""COMPUTED_VALUE"""),1.0)</f>
        <v>1</v>
      </c>
      <c r="P44" s="26">
        <f>IFERROR(__xludf.DUMMYFUNCTION("""COMPUTED_VALUE"""),1037.0)</f>
        <v>1037</v>
      </c>
      <c r="Q44" s="26" t="str">
        <f>IFERROR(__xludf.DUMMYFUNCTION("""COMPUTED_VALUE"""),"FLMP601970")</f>
        <v>FLMP601970</v>
      </c>
      <c r="R44" s="26"/>
      <c r="S44" s="26"/>
      <c r="T44" s="26"/>
      <c r="U44" s="25" t="str">
        <f t="shared" si="1"/>
        <v>INDIV</v>
      </c>
    </row>
    <row r="45">
      <c r="B45" s="26" t="str">
        <f>IFERROR(__xludf.DUMMYFUNCTION("""COMPUTED_VALUE"""),"FLB5838")</f>
        <v>FLB5838</v>
      </c>
      <c r="C45" s="185">
        <f>IFERROR(__xludf.DUMMYFUNCTION("""COMPUTED_VALUE"""),44570.0)</f>
        <v>44570</v>
      </c>
      <c r="D45" s="186">
        <f>IFERROR(__xludf.DUMMYFUNCTION("""COMPUTED_VALUE"""),0.7629398148148148)</f>
        <v>0.7629398148</v>
      </c>
      <c r="E45" s="26" t="str">
        <f>IFERROR(__xludf.DUMMYFUNCTION("""COMPUTED_VALUE"""),"SpFLMP418927")</f>
        <v>SpFLMP418927</v>
      </c>
      <c r="F45" s="26"/>
      <c r="G45" s="26"/>
      <c r="H45" s="26" t="str">
        <f>IFERROR(__xludf.DUMMYFUNCTION("""COMPUTED_VALUE"""),"Positive")</f>
        <v>Positive</v>
      </c>
      <c r="I45" s="26" t="str">
        <f>IFERROR(__xludf.DUMMYFUNCTION("""COMPUTED_VALUE"""),"Positive")</f>
        <v>Positive</v>
      </c>
      <c r="J45" s="185">
        <f>IFERROR(__xludf.DUMMYFUNCTION("""COMPUTED_VALUE"""),44571.0)</f>
        <v>44571</v>
      </c>
      <c r="K45" s="186">
        <f>IFERROR(__xludf.DUMMYFUNCTION("""COMPUTED_VALUE"""),0.4724537037037037)</f>
        <v>0.4724537037</v>
      </c>
      <c r="L45" s="26"/>
      <c r="M45" s="191"/>
      <c r="N45" s="191"/>
      <c r="O45" s="26">
        <f>IFERROR(__xludf.DUMMYFUNCTION("""COMPUTED_VALUE"""),3.0)</f>
        <v>3</v>
      </c>
      <c r="P45" s="26">
        <f>IFERROR(__xludf.DUMMYFUNCTION("""COMPUTED_VALUE"""),857.0)</f>
        <v>857</v>
      </c>
      <c r="Q45" s="26" t="str">
        <f>IFERROR(__xludf.DUMMYFUNCTION("""COMPUTED_VALUE"""),"FLMP202537")</f>
        <v>FLMP202537</v>
      </c>
      <c r="R45" s="26" t="str">
        <f>IFERROR(__xludf.DUMMYFUNCTION("""COMPUTED_VALUE"""),"FLMP876695")</f>
        <v>FLMP876695</v>
      </c>
      <c r="S45" s="26" t="str">
        <f>IFERROR(__xludf.DUMMYFUNCTION("""COMPUTED_VALUE"""),"FLMP909043")</f>
        <v>FLMP909043</v>
      </c>
      <c r="T45" s="26"/>
      <c r="U45" s="25" t="str">
        <f t="shared" si="1"/>
        <v>POOL</v>
      </c>
    </row>
    <row r="46">
      <c r="B46" s="26" t="str">
        <f>IFERROR(__xludf.DUMMYFUNCTION("""COMPUTED_VALUE"""),"FLB5837")</f>
        <v>FLB5837</v>
      </c>
      <c r="C46" s="185">
        <f>IFERROR(__xludf.DUMMYFUNCTION("""COMPUTED_VALUE"""),44578.0)</f>
        <v>44578</v>
      </c>
      <c r="D46" s="186">
        <f>IFERROR(__xludf.DUMMYFUNCTION("""COMPUTED_VALUE"""),0.44460648148148146)</f>
        <v>0.4446064815</v>
      </c>
      <c r="E46" s="26" t="str">
        <f>IFERROR(__xludf.DUMMYFUNCTION("""COMPUTED_VALUE"""),"SpFLMP418927")</f>
        <v>SpFLMP418927</v>
      </c>
      <c r="F46" s="26"/>
      <c r="G46" s="26"/>
      <c r="H46" s="26" t="str">
        <f>IFERROR(__xludf.DUMMYFUNCTION("""COMPUTED_VALUE"""),"Positive")</f>
        <v>Positive</v>
      </c>
      <c r="I46" s="26" t="str">
        <f>IFERROR(__xludf.DUMMYFUNCTION("""COMPUTED_VALUE"""),"Positive")</f>
        <v>Positive</v>
      </c>
      <c r="J46" s="185">
        <f>IFERROR(__xludf.DUMMYFUNCTION("""COMPUTED_VALUE"""),44578.0)</f>
        <v>44578</v>
      </c>
      <c r="K46" s="186">
        <f>IFERROR(__xludf.DUMMYFUNCTION("""COMPUTED_VALUE"""),0.8699305555555555)</f>
        <v>0.8699305556</v>
      </c>
      <c r="L46" s="26"/>
      <c r="M46" s="191"/>
      <c r="N46" s="191"/>
      <c r="O46" s="26">
        <f>IFERROR(__xludf.DUMMYFUNCTION("""COMPUTED_VALUE"""),3.0)</f>
        <v>3</v>
      </c>
      <c r="P46" s="26">
        <f>IFERROR(__xludf.DUMMYFUNCTION("""COMPUTED_VALUE"""),1042.0)</f>
        <v>1042</v>
      </c>
      <c r="Q46" s="26" t="str">
        <f>IFERROR(__xludf.DUMMYFUNCTION("""COMPUTED_VALUE"""),"FLMP202537")</f>
        <v>FLMP202537</v>
      </c>
      <c r="R46" s="26" t="str">
        <f>IFERROR(__xludf.DUMMYFUNCTION("""COMPUTED_VALUE"""),"FLMP876695")</f>
        <v>FLMP876695</v>
      </c>
      <c r="S46" s="26" t="str">
        <f>IFERROR(__xludf.DUMMYFUNCTION("""COMPUTED_VALUE"""),"FLMP909043")</f>
        <v>FLMP909043</v>
      </c>
      <c r="T46" s="26"/>
      <c r="U46" s="25" t="str">
        <f t="shared" si="1"/>
        <v>POOL</v>
      </c>
    </row>
    <row r="47">
      <c r="B47" s="26" t="str">
        <f>IFERROR(__xludf.DUMMYFUNCTION("""COMPUTED_VALUE"""),"FLB7375")</f>
        <v>FLB7375</v>
      </c>
      <c r="C47" s="185">
        <f>IFERROR(__xludf.DUMMYFUNCTION("""COMPUTED_VALUE"""),44571.0)</f>
        <v>44571</v>
      </c>
      <c r="D47" s="186">
        <f>IFERROR(__xludf.DUMMYFUNCTION("""COMPUTED_VALUE"""),0.0)</f>
        <v>0</v>
      </c>
      <c r="E47" s="26" t="str">
        <f>IFERROR(__xludf.DUMMYFUNCTION("""COMPUTED_VALUE"""),"SpFLMP496039")</f>
        <v>SpFLMP496039</v>
      </c>
      <c r="F47" s="26"/>
      <c r="G47" s="26"/>
      <c r="H47" s="26"/>
      <c r="I47" s="26" t="str">
        <f>IFERROR(__xludf.DUMMYFUNCTION("""COMPUTED_VALUE"""),"Positive")</f>
        <v>Positive</v>
      </c>
      <c r="J47" s="26"/>
      <c r="K47" s="26"/>
      <c r="L47" s="26">
        <f>IFERROR(__xludf.DUMMYFUNCTION("""COMPUTED_VALUE"""),5.0)</f>
        <v>5</v>
      </c>
      <c r="M47" s="191" t="str">
        <f>IFERROR(__xludf.DUMMYFUNCTION("""COMPUTED_VALUE"""),"Added Row from Staff Notes paper and staff reprot, confirmed by text message this tube was positive")</f>
        <v>Added Row from Staff Notes paper and staff reprot, confirmed by text message this tube was positive</v>
      </c>
      <c r="N47" s="191"/>
      <c r="O47" s="26">
        <f>IFERROR(__xludf.DUMMYFUNCTION("""COMPUTED_VALUE"""),2.0)</f>
        <v>2</v>
      </c>
      <c r="P47" s="26">
        <f>IFERROR(__xludf.DUMMYFUNCTION("""COMPUTED_VALUE"""),876.0)</f>
        <v>876</v>
      </c>
      <c r="Q47" s="26" t="str">
        <f>IFERROR(__xludf.DUMMYFUNCTION("""COMPUTED_VALUE"""),"FLMP205382")</f>
        <v>FLMP205382</v>
      </c>
      <c r="R47" s="26" t="str">
        <f>IFERROR(__xludf.DUMMYFUNCTION("""COMPUTED_VALUE"""),"FLMP818068")</f>
        <v>FLMP818068</v>
      </c>
      <c r="S47" s="26"/>
      <c r="T47" s="26"/>
      <c r="U47" s="25" t="str">
        <f t="shared" si="1"/>
        <v>POOL</v>
      </c>
    </row>
    <row r="48">
      <c r="B48" s="26" t="str">
        <f>IFERROR(__xludf.DUMMYFUNCTION("""COMPUTED_VALUE"""),"FLT1161")</f>
        <v>FLT1161</v>
      </c>
      <c r="C48" s="185">
        <f>IFERROR(__xludf.DUMMYFUNCTION("""COMPUTED_VALUE"""),44571.0)</f>
        <v>44571</v>
      </c>
      <c r="D48" s="186">
        <f>IFERROR(__xludf.DUMMYFUNCTION("""COMPUTED_VALUE"""),0.3553935185185185)</f>
        <v>0.3553935185</v>
      </c>
      <c r="E48" s="26" t="str">
        <f>IFERROR(__xludf.DUMMYFUNCTION("""COMPUTED_VALUE"""),"SpFLMP600756")</f>
        <v>SpFLMP600756</v>
      </c>
      <c r="F48" s="26"/>
      <c r="G48" s="26"/>
      <c r="H48" s="26" t="str">
        <f>IFERROR(__xludf.DUMMYFUNCTION("""COMPUTED_VALUE"""),"Positive")</f>
        <v>Positive</v>
      </c>
      <c r="I48" s="26" t="str">
        <f>IFERROR(__xludf.DUMMYFUNCTION("""COMPUTED_VALUE"""),"Positive")</f>
        <v>Positive</v>
      </c>
      <c r="J48" s="185">
        <f>IFERROR(__xludf.DUMMYFUNCTION("""COMPUTED_VALUE"""),44571.0)</f>
        <v>44571</v>
      </c>
      <c r="K48" s="186">
        <f>IFERROR(__xludf.DUMMYFUNCTION("""COMPUTED_VALUE"""),0.4724537037037037)</f>
        <v>0.4724537037</v>
      </c>
      <c r="L48" s="26"/>
      <c r="M48" s="191"/>
      <c r="N48" s="191"/>
      <c r="O48" s="26">
        <f>IFERROR(__xludf.DUMMYFUNCTION("""COMPUTED_VALUE"""),3.0)</f>
        <v>3</v>
      </c>
      <c r="P48" s="26">
        <f>IFERROR(__xludf.DUMMYFUNCTION("""COMPUTED_VALUE"""),903.0)</f>
        <v>903</v>
      </c>
      <c r="Q48" s="26" t="str">
        <f>IFERROR(__xludf.DUMMYFUNCTION("""COMPUTED_VALUE"""),"FLMP887888")</f>
        <v>FLMP887888</v>
      </c>
      <c r="R48" s="26" t="str">
        <f>IFERROR(__xludf.DUMMYFUNCTION("""COMPUTED_VALUE"""),"FLMP876455")</f>
        <v>FLMP876455</v>
      </c>
      <c r="S48" s="26" t="str">
        <f>IFERROR(__xludf.DUMMYFUNCTION("""COMPUTED_VALUE"""),"FLMP969044")</f>
        <v>FLMP969044</v>
      </c>
      <c r="T48" s="26"/>
      <c r="U48" s="25" t="str">
        <f t="shared" si="1"/>
        <v>POOL</v>
      </c>
    </row>
    <row r="49">
      <c r="B49" s="26" t="str">
        <f>IFERROR(__xludf.DUMMYFUNCTION("""COMPUTED_VALUE"""),"FLT1434")</f>
        <v>FLT1434</v>
      </c>
      <c r="C49" s="185">
        <f>IFERROR(__xludf.DUMMYFUNCTION("""COMPUTED_VALUE"""),44571.0)</f>
        <v>44571</v>
      </c>
      <c r="D49" s="186">
        <f>IFERROR(__xludf.DUMMYFUNCTION("""COMPUTED_VALUE"""),0.6599189814814815)</f>
        <v>0.6599189815</v>
      </c>
      <c r="E49" s="26" t="str">
        <f>IFERROR(__xludf.DUMMYFUNCTION("""COMPUTED_VALUE"""),"SpFLMP600756")</f>
        <v>SpFLMP600756</v>
      </c>
      <c r="F49" s="26"/>
      <c r="G49" s="26"/>
      <c r="H49" s="26" t="str">
        <f>IFERROR(__xludf.DUMMYFUNCTION("""COMPUTED_VALUE"""),"Positive")</f>
        <v>Positive</v>
      </c>
      <c r="I49" s="26" t="str">
        <f>IFERROR(__xludf.DUMMYFUNCTION("""COMPUTED_VALUE"""),"Positive")</f>
        <v>Positive</v>
      </c>
      <c r="J49" s="185">
        <f>IFERROR(__xludf.DUMMYFUNCTION("""COMPUTED_VALUE"""),44571.0)</f>
        <v>44571</v>
      </c>
      <c r="K49" s="186">
        <f>IFERROR(__xludf.DUMMYFUNCTION("""COMPUTED_VALUE"""),0.8319328703703703)</f>
        <v>0.8319328704</v>
      </c>
      <c r="L49" s="26"/>
      <c r="M49" s="191"/>
      <c r="N49" s="191"/>
      <c r="O49" s="26">
        <f>IFERROR(__xludf.DUMMYFUNCTION("""COMPUTED_VALUE"""),1.0)</f>
        <v>1</v>
      </c>
      <c r="P49" s="26">
        <f>IFERROR(__xludf.DUMMYFUNCTION("""COMPUTED_VALUE"""),921.0)</f>
        <v>921</v>
      </c>
      <c r="Q49" s="26" t="str">
        <f>IFERROR(__xludf.DUMMYFUNCTION("""COMPUTED_VALUE"""),"FLMP887888")</f>
        <v>FLMP887888</v>
      </c>
      <c r="R49" s="26"/>
      <c r="S49" s="26"/>
      <c r="T49" s="26"/>
      <c r="U49" s="25" t="str">
        <f t="shared" si="1"/>
        <v>INDIV</v>
      </c>
    </row>
    <row r="50">
      <c r="B50" s="26" t="str">
        <f>IFERROR(__xludf.DUMMYFUNCTION("""COMPUTED_VALUE"""),"MA26")</f>
        <v>MA26</v>
      </c>
      <c r="C50" s="185">
        <f>IFERROR(__xludf.DUMMYFUNCTION("""COMPUTED_VALUE"""),44572.0)</f>
        <v>44572</v>
      </c>
      <c r="D50" s="186">
        <f>IFERROR(__xludf.DUMMYFUNCTION("""COMPUTED_VALUE"""),0.6732986111111111)</f>
        <v>0.6732986111</v>
      </c>
      <c r="E50" s="26" t="str">
        <f>IFERROR(__xludf.DUMMYFUNCTION("""COMPUTED_VALUE"""),"SpFLMP120998")</f>
        <v>SpFLMP120998</v>
      </c>
      <c r="F50" s="26"/>
      <c r="G50" s="26"/>
      <c r="H50" s="26" t="str">
        <f>IFERROR(__xludf.DUMMYFUNCTION("""COMPUTED_VALUE"""),"Positive")</f>
        <v>Positive</v>
      </c>
      <c r="I50" s="26" t="str">
        <f>IFERROR(__xludf.DUMMYFUNCTION("""COMPUTED_VALUE"""),"Positive")</f>
        <v>Positive</v>
      </c>
      <c r="J50" s="185">
        <f>IFERROR(__xludf.DUMMYFUNCTION("""COMPUTED_VALUE"""),44576.0)</f>
        <v>44576</v>
      </c>
      <c r="K50" s="186">
        <f>IFERROR(__xludf.DUMMYFUNCTION("""COMPUTED_VALUE"""),0.552037037037037)</f>
        <v>0.552037037</v>
      </c>
      <c r="L50" s="26"/>
      <c r="M50" s="191"/>
      <c r="N50" s="191"/>
      <c r="O50" s="26">
        <f>IFERROR(__xludf.DUMMYFUNCTION("""COMPUTED_VALUE"""),1.0)</f>
        <v>1</v>
      </c>
      <c r="P50" s="26">
        <f>IFERROR(__xludf.DUMMYFUNCTION("""COMPUTED_VALUE"""),928.0)</f>
        <v>928</v>
      </c>
      <c r="Q50" s="26" t="str">
        <f>IFERROR(__xludf.DUMMYFUNCTION("""COMPUTED_VALUE"""),"FLMP233123")</f>
        <v>FLMP233123</v>
      </c>
      <c r="R50" s="26"/>
      <c r="S50" s="26"/>
      <c r="T50" s="26"/>
      <c r="U50" s="25" t="str">
        <f t="shared" si="1"/>
        <v>INDIV</v>
      </c>
    </row>
    <row r="51">
      <c r="B51" s="26" t="str">
        <f>IFERROR(__xludf.DUMMYFUNCTION("""COMPUTED_VALUE"""),"AG721")</f>
        <v>AG721</v>
      </c>
      <c r="C51" s="185">
        <f>IFERROR(__xludf.DUMMYFUNCTION("""COMPUTED_VALUE"""),44683.0)</f>
        <v>44683</v>
      </c>
      <c r="D51" s="186">
        <f>IFERROR(__xludf.DUMMYFUNCTION("""COMPUTED_VALUE"""),0.2821412037037037)</f>
        <v>0.2821412037</v>
      </c>
      <c r="E51" s="26" t="str">
        <f>IFERROR(__xludf.DUMMYFUNCTION("""COMPUTED_VALUE"""),"SpFLMP268514")</f>
        <v>SpFLMP268514</v>
      </c>
      <c r="F51" s="26"/>
      <c r="G51" s="26"/>
      <c r="H51" s="26" t="str">
        <f>IFERROR(__xludf.DUMMYFUNCTION("""COMPUTED_VALUE"""),"Positive")</f>
        <v>Positive</v>
      </c>
      <c r="I51" s="26" t="str">
        <f>IFERROR(__xludf.DUMMYFUNCTION("""COMPUTED_VALUE"""),"Positive")</f>
        <v>Positive</v>
      </c>
      <c r="J51" s="185">
        <f>IFERROR(__xludf.DUMMYFUNCTION("""COMPUTED_VALUE"""),44683.0)</f>
        <v>44683</v>
      </c>
      <c r="K51" s="186">
        <f>IFERROR(__xludf.DUMMYFUNCTION("""COMPUTED_VALUE"""),0.5293287037037037)</f>
        <v>0.5293287037</v>
      </c>
      <c r="L51" s="26"/>
      <c r="M51" s="191"/>
      <c r="N51" s="191"/>
      <c r="O51" s="26">
        <f>IFERROR(__xludf.DUMMYFUNCTION("""COMPUTED_VALUE"""),4.0)</f>
        <v>4</v>
      </c>
      <c r="P51" s="26">
        <f>IFERROR(__xludf.DUMMYFUNCTION("""COMPUTED_VALUE"""),2683.0)</f>
        <v>2683</v>
      </c>
      <c r="Q51" s="26" t="str">
        <f>IFERROR(__xludf.DUMMYFUNCTION("""COMPUTED_VALUE"""),"FLMP472803")</f>
        <v>FLMP472803</v>
      </c>
      <c r="R51" s="26" t="str">
        <f>IFERROR(__xludf.DUMMYFUNCTION("""COMPUTED_VALUE"""),"FLMP687722")</f>
        <v>FLMP687722</v>
      </c>
      <c r="S51" s="26" t="str">
        <f>IFERROR(__xludf.DUMMYFUNCTION("""COMPUTED_VALUE"""),"FLMP464138")</f>
        <v>FLMP464138</v>
      </c>
      <c r="T51" s="26" t="str">
        <f>IFERROR(__xludf.DUMMYFUNCTION("""COMPUTED_VALUE"""),"FLMP132170")</f>
        <v>FLMP132170</v>
      </c>
      <c r="U51" s="25" t="str">
        <f t="shared" si="1"/>
        <v>POOL</v>
      </c>
    </row>
    <row r="52">
      <c r="B52" s="26" t="str">
        <f>IFERROR(__xludf.DUMMYFUNCTION("""COMPUTED_VALUE"""),"MA108")</f>
        <v>MA108</v>
      </c>
      <c r="C52" s="185">
        <f>IFERROR(__xludf.DUMMYFUNCTION("""COMPUTED_VALUE"""),44683.0)</f>
        <v>44683</v>
      </c>
      <c r="D52" s="186">
        <f>IFERROR(__xludf.DUMMYFUNCTION("""COMPUTED_VALUE"""),0.5416666666666666)</f>
        <v>0.5416666667</v>
      </c>
      <c r="E52" s="26" t="str">
        <f>IFERROR(__xludf.DUMMYFUNCTION("""COMPUTED_VALUE"""),"SpFLMP659315")</f>
        <v>SpFLMP659315</v>
      </c>
      <c r="F52" s="26"/>
      <c r="G52" s="26"/>
      <c r="H52" s="26" t="str">
        <f>IFERROR(__xludf.DUMMYFUNCTION("""COMPUTED_VALUE"""),"Positive")</f>
        <v>Positive</v>
      </c>
      <c r="I52" s="26" t="str">
        <f>IFERROR(__xludf.DUMMYFUNCTION("""COMPUTED_VALUE"""),"Positive")</f>
        <v>Positive</v>
      </c>
      <c r="J52" s="185">
        <f>IFERROR(__xludf.DUMMYFUNCTION("""COMPUTED_VALUE"""),44683.0)</f>
        <v>44683</v>
      </c>
      <c r="K52" s="186">
        <f>IFERROR(__xludf.DUMMYFUNCTION("""COMPUTED_VALUE"""),0.5833333333333334)</f>
        <v>0.5833333333</v>
      </c>
      <c r="L52" s="26"/>
      <c r="M52" s="191"/>
      <c r="N52" s="191"/>
      <c r="O52" s="26">
        <f>IFERROR(__xludf.DUMMYFUNCTION("""COMPUTED_VALUE"""),1.0)</f>
        <v>1</v>
      </c>
      <c r="P52" s="26">
        <f>IFERROR(__xludf.DUMMYFUNCTION("""COMPUTED_VALUE"""),2732.0)</f>
        <v>2732</v>
      </c>
      <c r="Q52" s="26" t="str">
        <f>IFERROR(__xludf.DUMMYFUNCTION("""COMPUTED_VALUE"""),"FLMP687722")</f>
        <v>FLMP687722</v>
      </c>
      <c r="R52" s="26"/>
      <c r="S52" s="26"/>
      <c r="T52" s="26"/>
      <c r="U52" s="25" t="str">
        <f t="shared" si="1"/>
        <v>INDIV</v>
      </c>
    </row>
    <row r="53">
      <c r="B53" s="26" t="str">
        <f>IFERROR(__xludf.DUMMYFUNCTION("""COMPUTED_VALUE"""),"AJ8958")</f>
        <v>AJ8958</v>
      </c>
      <c r="C53" s="185">
        <f>IFERROR(__xludf.DUMMYFUNCTION("""COMPUTED_VALUE"""),44690.0)</f>
        <v>44690</v>
      </c>
      <c r="D53" s="186">
        <f>IFERROR(__xludf.DUMMYFUNCTION("""COMPUTED_VALUE"""),0.331712962962963)</f>
        <v>0.331712963</v>
      </c>
      <c r="E53" s="26" t="str">
        <f>IFERROR(__xludf.DUMMYFUNCTION("""COMPUTED_VALUE"""),"SpFLMP965392")</f>
        <v>SpFLMP965392</v>
      </c>
      <c r="F53" s="26"/>
      <c r="G53" s="26"/>
      <c r="H53" s="26" t="str">
        <f>IFERROR(__xludf.DUMMYFUNCTION("""COMPUTED_VALUE"""),"Positive")</f>
        <v>Positive</v>
      </c>
      <c r="I53" s="26" t="str">
        <f>IFERROR(__xludf.DUMMYFUNCTION("""COMPUTED_VALUE"""),"Positive")</f>
        <v>Positive</v>
      </c>
      <c r="J53" s="185">
        <f>IFERROR(__xludf.DUMMYFUNCTION("""COMPUTED_VALUE"""),44690.0)</f>
        <v>44690</v>
      </c>
      <c r="K53" s="186">
        <f>IFERROR(__xludf.DUMMYFUNCTION("""COMPUTED_VALUE"""),0.495787037037037)</f>
        <v>0.495787037</v>
      </c>
      <c r="L53" s="26"/>
      <c r="M53" s="191"/>
      <c r="N53" s="191"/>
      <c r="O53" s="26">
        <f>IFERROR(__xludf.DUMMYFUNCTION("""COMPUTED_VALUE"""),4.0)</f>
        <v>4</v>
      </c>
      <c r="P53" s="26">
        <f>IFERROR(__xludf.DUMMYFUNCTION("""COMPUTED_VALUE"""),2814.0)</f>
        <v>2814</v>
      </c>
      <c r="Q53" s="26" t="str">
        <f>IFERROR(__xludf.DUMMYFUNCTION("""COMPUTED_VALUE"""),"FLMP608363")</f>
        <v>FLMP608363</v>
      </c>
      <c r="R53" s="26" t="str">
        <f>IFERROR(__xludf.DUMMYFUNCTION("""COMPUTED_VALUE"""),"FLMP325595")</f>
        <v>FLMP325595</v>
      </c>
      <c r="S53" s="26" t="str">
        <f>IFERROR(__xludf.DUMMYFUNCTION("""COMPUTED_VALUE"""),"FLMP322473")</f>
        <v>FLMP322473</v>
      </c>
      <c r="T53" s="26" t="str">
        <f>IFERROR(__xludf.DUMMYFUNCTION("""COMPUTED_VALUE"""),"FLMP779627")</f>
        <v>FLMP779627</v>
      </c>
      <c r="U53" s="25" t="str">
        <f t="shared" si="1"/>
        <v>POOL</v>
      </c>
    </row>
    <row r="54">
      <c r="B54" s="26" t="str">
        <f>IFERROR(__xludf.DUMMYFUNCTION("""COMPUTED_VALUE"""),"AH365")</f>
        <v>AH365</v>
      </c>
      <c r="C54" s="185">
        <f>IFERROR(__xludf.DUMMYFUNCTION("""COMPUTED_VALUE"""),44690.0)</f>
        <v>44690</v>
      </c>
      <c r="D54" s="186">
        <f>IFERROR(__xludf.DUMMYFUNCTION("""COMPUTED_VALUE"""),0.5359490740740741)</f>
        <v>0.5359490741</v>
      </c>
      <c r="E54" s="26" t="str">
        <f>IFERROR(__xludf.DUMMYFUNCTION("""COMPUTED_VALUE"""),"SpFLMP965392")</f>
        <v>SpFLMP965392</v>
      </c>
      <c r="F54" s="26"/>
      <c r="G54" s="26"/>
      <c r="H54" s="26" t="str">
        <f>IFERROR(__xludf.DUMMYFUNCTION("""COMPUTED_VALUE"""),"Positive")</f>
        <v>Positive</v>
      </c>
      <c r="I54" s="26" t="str">
        <f>IFERROR(__xludf.DUMMYFUNCTION("""COMPUTED_VALUE"""),"Positive")</f>
        <v>Positive</v>
      </c>
      <c r="J54" s="185">
        <f>IFERROR(__xludf.DUMMYFUNCTION("""COMPUTED_VALUE"""),44690.0)</f>
        <v>44690</v>
      </c>
      <c r="K54" s="186">
        <f>IFERROR(__xludf.DUMMYFUNCTION("""COMPUTED_VALUE"""),0.6208796296296296)</f>
        <v>0.6208796296</v>
      </c>
      <c r="L54" s="26"/>
      <c r="M54" s="191"/>
      <c r="N54" s="191"/>
      <c r="O54" s="26">
        <f>IFERROR(__xludf.DUMMYFUNCTION("""COMPUTED_VALUE"""),1.0)</f>
        <v>1</v>
      </c>
      <c r="P54" s="26">
        <f>IFERROR(__xludf.DUMMYFUNCTION("""COMPUTED_VALUE"""),2846.0)</f>
        <v>2846</v>
      </c>
      <c r="Q54" s="26" t="str">
        <f>IFERROR(__xludf.DUMMYFUNCTION("""COMPUTED_VALUE"""),"FLMP608363")</f>
        <v>FLMP608363</v>
      </c>
      <c r="R54" s="26"/>
      <c r="S54" s="26"/>
      <c r="T54" s="26"/>
      <c r="U54" s="25" t="str">
        <f t="shared" si="1"/>
        <v>INDIV</v>
      </c>
    </row>
    <row r="55">
      <c r="B55" s="26" t="str">
        <f>IFERROR(__xludf.DUMMYFUNCTION("""COMPUTED_VALUE"""),"FLE821")</f>
        <v>FLE821</v>
      </c>
      <c r="C55" s="185">
        <f>IFERROR(__xludf.DUMMYFUNCTION("""COMPUTED_VALUE"""),44690.0)</f>
        <v>44690</v>
      </c>
      <c r="D55" s="186">
        <f>IFERROR(__xludf.DUMMYFUNCTION("""COMPUTED_VALUE"""),0.37625)</f>
        <v>0.37625</v>
      </c>
      <c r="E55" s="26" t="str">
        <f>IFERROR(__xludf.DUMMYFUNCTION("""COMPUTED_VALUE"""),"SpFLMP170622")</f>
        <v>SpFLMP170622</v>
      </c>
      <c r="F55" s="26"/>
      <c r="G55" s="26"/>
      <c r="H55" s="26" t="str">
        <f>IFERROR(__xludf.DUMMYFUNCTION("""COMPUTED_VALUE"""),"Positive")</f>
        <v>Positive</v>
      </c>
      <c r="I55" s="26" t="str">
        <f>IFERROR(__xludf.DUMMYFUNCTION("""COMPUTED_VALUE"""),"Positive")</f>
        <v>Positive</v>
      </c>
      <c r="J55" s="185">
        <f>IFERROR(__xludf.DUMMYFUNCTION("""COMPUTED_VALUE"""),44690.0)</f>
        <v>44690</v>
      </c>
      <c r="K55" s="186">
        <f>IFERROR(__xludf.DUMMYFUNCTION("""COMPUTED_VALUE"""),0.4957986111111111)</f>
        <v>0.4957986111</v>
      </c>
      <c r="L55" s="26"/>
      <c r="M55" s="191"/>
      <c r="N55" s="191"/>
      <c r="O55" s="26">
        <f>IFERROR(__xludf.DUMMYFUNCTION("""COMPUTED_VALUE"""),2.0)</f>
        <v>2</v>
      </c>
      <c r="P55" s="26">
        <f>IFERROR(__xludf.DUMMYFUNCTION("""COMPUTED_VALUE"""),2836.0)</f>
        <v>2836</v>
      </c>
      <c r="Q55" s="26" t="str">
        <f>IFERROR(__xludf.DUMMYFUNCTION("""COMPUTED_VALUE"""),"FLMP634528")</f>
        <v>FLMP634528</v>
      </c>
      <c r="R55" s="26" t="str">
        <f>IFERROR(__xludf.DUMMYFUNCTION("""COMPUTED_VALUE"""),"FLMP997508")</f>
        <v>FLMP997508</v>
      </c>
      <c r="S55" s="26"/>
      <c r="T55" s="26"/>
      <c r="U55" s="25" t="str">
        <f t="shared" si="1"/>
        <v>POOL</v>
      </c>
    </row>
    <row r="56">
      <c r="B56" s="26" t="str">
        <f>IFERROR(__xludf.DUMMYFUNCTION("""COMPUTED_VALUE"""),"AJ6912")</f>
        <v>AJ6912</v>
      </c>
      <c r="C56" s="185">
        <f>IFERROR(__xludf.DUMMYFUNCTION("""COMPUTED_VALUE"""),44689.0)</f>
        <v>44689</v>
      </c>
      <c r="D56" s="186">
        <f>IFERROR(__xludf.DUMMYFUNCTION("""COMPUTED_VALUE"""),0.7787152777777778)</f>
        <v>0.7787152778</v>
      </c>
      <c r="E56" s="26" t="str">
        <f>IFERROR(__xludf.DUMMYFUNCTION("""COMPUTED_VALUE"""),"SpFLMP596479")</f>
        <v>SpFLMP596479</v>
      </c>
      <c r="F56" s="26"/>
      <c r="G56" s="26"/>
      <c r="H56" s="26" t="str">
        <f>IFERROR(__xludf.DUMMYFUNCTION("""COMPUTED_VALUE"""),"Inconclusive")</f>
        <v>Inconclusive</v>
      </c>
      <c r="I56" s="26" t="str">
        <f>IFERROR(__xludf.DUMMYFUNCTION("""COMPUTED_VALUE"""),"Inconclusive")</f>
        <v>Inconclusive</v>
      </c>
      <c r="J56" s="185">
        <f>IFERROR(__xludf.DUMMYFUNCTION("""COMPUTED_VALUE"""),44690.0)</f>
        <v>44690</v>
      </c>
      <c r="K56" s="186">
        <f>IFERROR(__xludf.DUMMYFUNCTION("""COMPUTED_VALUE"""),0.49635416666666665)</f>
        <v>0.4963541667</v>
      </c>
      <c r="L56" s="26"/>
      <c r="M56" s="191"/>
      <c r="N56" s="191"/>
      <c r="O56" s="26">
        <f>IFERROR(__xludf.DUMMYFUNCTION("""COMPUTED_VALUE"""),3.0)</f>
        <v>3</v>
      </c>
      <c r="P56" s="26">
        <f>IFERROR(__xludf.DUMMYFUNCTION("""COMPUTED_VALUE"""),2787.0)</f>
        <v>2787</v>
      </c>
      <c r="Q56" s="26" t="str">
        <f>IFERROR(__xludf.DUMMYFUNCTION("""COMPUTED_VALUE"""),"FLMP552537")</f>
        <v>FLMP552537</v>
      </c>
      <c r="R56" s="26" t="str">
        <f>IFERROR(__xludf.DUMMYFUNCTION("""COMPUTED_VALUE"""),"FLMP254321")</f>
        <v>FLMP254321</v>
      </c>
      <c r="S56" s="26" t="str">
        <f>IFERROR(__xludf.DUMMYFUNCTION("""COMPUTED_VALUE"""),"FLMP705416")</f>
        <v>FLMP705416</v>
      </c>
      <c r="T56" s="26"/>
      <c r="U56" s="25" t="str">
        <f t="shared" si="1"/>
        <v>POOL</v>
      </c>
    </row>
    <row r="57">
      <c r="B57" s="26" t="str">
        <f>IFERROR(__xludf.DUMMYFUNCTION("""COMPUTED_VALUE"""),"FLE202")</f>
        <v>FLE202</v>
      </c>
      <c r="C57" s="185">
        <f>IFERROR(__xludf.DUMMYFUNCTION("""COMPUTED_VALUE"""),44690.0)</f>
        <v>44690</v>
      </c>
      <c r="D57" s="186">
        <f>IFERROR(__xludf.DUMMYFUNCTION("""COMPUTED_VALUE"""),0.5220833333333333)</f>
        <v>0.5220833333</v>
      </c>
      <c r="E57" s="26" t="str">
        <f>IFERROR(__xludf.DUMMYFUNCTION("""COMPUTED_VALUE"""),"SpFLMP596479")</f>
        <v>SpFLMP596479</v>
      </c>
      <c r="F57" s="26"/>
      <c r="G57" s="26"/>
      <c r="H57" s="26" t="str">
        <f>IFERROR(__xludf.DUMMYFUNCTION("""COMPUTED_VALUE"""),"Positive")</f>
        <v>Positive</v>
      </c>
      <c r="I57" s="26" t="str">
        <f>IFERROR(__xludf.DUMMYFUNCTION("""COMPUTED_VALUE"""),"Positive")</f>
        <v>Positive</v>
      </c>
      <c r="J57" s="185">
        <f>IFERROR(__xludf.DUMMYFUNCTION("""COMPUTED_VALUE"""),44690.0)</f>
        <v>44690</v>
      </c>
      <c r="K57" s="186">
        <f>IFERROR(__xludf.DUMMYFUNCTION("""COMPUTED_VALUE"""),0.6208796296296296)</f>
        <v>0.6208796296</v>
      </c>
      <c r="L57" s="26"/>
      <c r="M57" s="191"/>
      <c r="N57" s="191"/>
      <c r="O57" s="26">
        <f>IFERROR(__xludf.DUMMYFUNCTION("""COMPUTED_VALUE"""),1.0)</f>
        <v>1</v>
      </c>
      <c r="P57" s="26">
        <f>IFERROR(__xludf.DUMMYFUNCTION("""COMPUTED_VALUE"""),2841.0)</f>
        <v>2841</v>
      </c>
      <c r="Q57" s="26" t="str">
        <f>IFERROR(__xludf.DUMMYFUNCTION("""COMPUTED_VALUE"""),"FLMP552537")</f>
        <v>FLMP552537</v>
      </c>
      <c r="R57" s="26"/>
      <c r="S57" s="26"/>
      <c r="T57" s="26"/>
      <c r="U57" s="25" t="str">
        <f t="shared" si="1"/>
        <v>INDIV</v>
      </c>
    </row>
    <row r="58">
      <c r="B58" s="26" t="str">
        <f>IFERROR(__xludf.DUMMYFUNCTION("""COMPUTED_VALUE"""),"FLB5792")</f>
        <v>FLB5792</v>
      </c>
      <c r="C58" s="185">
        <f>IFERROR(__xludf.DUMMYFUNCTION("""COMPUTED_VALUE"""),44606.0)</f>
        <v>44606</v>
      </c>
      <c r="D58" s="186">
        <f>IFERROR(__xludf.DUMMYFUNCTION("""COMPUTED_VALUE"""),0.3314699074074074)</f>
        <v>0.3314699074</v>
      </c>
      <c r="E58" s="26" t="str">
        <f>IFERROR(__xludf.DUMMYFUNCTION("""COMPUTED_VALUE"""),"SpFLMP939619")</f>
        <v>SpFLMP939619</v>
      </c>
      <c r="F58" s="26"/>
      <c r="G58" s="26"/>
      <c r="H58" s="26" t="str">
        <f>IFERROR(__xludf.DUMMYFUNCTION("""COMPUTED_VALUE"""),"Inconclusive")</f>
        <v>Inconclusive</v>
      </c>
      <c r="I58" s="26" t="str">
        <f>IFERROR(__xludf.DUMMYFUNCTION("""COMPUTED_VALUE"""),"Inconclusive")</f>
        <v>Inconclusive</v>
      </c>
      <c r="J58" s="185">
        <f>IFERROR(__xludf.DUMMYFUNCTION("""COMPUTED_VALUE"""),44606.0)</f>
        <v>44606</v>
      </c>
      <c r="K58" s="186">
        <f>IFERROR(__xludf.DUMMYFUNCTION("""COMPUTED_VALUE"""),0.47122685185185187)</f>
        <v>0.4712268519</v>
      </c>
      <c r="L58" s="26"/>
      <c r="M58" s="191"/>
      <c r="N58" s="191"/>
      <c r="O58" s="26">
        <f>IFERROR(__xludf.DUMMYFUNCTION("""COMPUTED_VALUE"""),1.0)</f>
        <v>1</v>
      </c>
      <c r="P58" s="26">
        <f>IFERROR(__xludf.DUMMYFUNCTION("""COMPUTED_VALUE"""),1678.0)</f>
        <v>1678</v>
      </c>
      <c r="Q58" s="26" t="str">
        <f>IFERROR(__xludf.DUMMYFUNCTION("""COMPUTED_VALUE"""),"FLMP987142")</f>
        <v>FLMP987142</v>
      </c>
      <c r="R58" s="26"/>
      <c r="S58" s="26"/>
      <c r="T58" s="26"/>
      <c r="U58" s="25" t="str">
        <f t="shared" si="1"/>
        <v>INDIV</v>
      </c>
    </row>
    <row r="59">
      <c r="B59" s="26" t="str">
        <f>IFERROR(__xludf.DUMMYFUNCTION("""COMPUTED_VALUE"""),"FLB6807")</f>
        <v>FLB6807</v>
      </c>
      <c r="C59" s="185">
        <f>IFERROR(__xludf.DUMMYFUNCTION("""COMPUTED_VALUE"""),44700.0)</f>
        <v>44700</v>
      </c>
      <c r="D59" s="186">
        <f>IFERROR(__xludf.DUMMYFUNCTION("""COMPUTED_VALUE"""),0.3284375)</f>
        <v>0.3284375</v>
      </c>
      <c r="E59" s="26" t="str">
        <f>IFERROR(__xludf.DUMMYFUNCTION("""COMPUTED_VALUE"""),"SpFLMP939619")</f>
        <v>SpFLMP939619</v>
      </c>
      <c r="F59" s="26"/>
      <c r="G59" s="26"/>
      <c r="H59" s="26" t="str">
        <f>IFERROR(__xludf.DUMMYFUNCTION("""COMPUTED_VALUE"""),"Positive")</f>
        <v>Positive</v>
      </c>
      <c r="I59" s="26" t="str">
        <f>IFERROR(__xludf.DUMMYFUNCTION("""COMPUTED_VALUE"""),"Positive")</f>
        <v>Positive</v>
      </c>
      <c r="J59" s="185">
        <f>IFERROR(__xludf.DUMMYFUNCTION("""COMPUTED_VALUE"""),44704.0)</f>
        <v>44704</v>
      </c>
      <c r="K59" s="186">
        <f>IFERROR(__xludf.DUMMYFUNCTION("""COMPUTED_VALUE"""),0.5592013888888889)</f>
        <v>0.5592013889</v>
      </c>
      <c r="L59" s="26"/>
      <c r="M59" s="191"/>
      <c r="N59" s="191"/>
      <c r="O59" s="26">
        <f>IFERROR(__xludf.DUMMYFUNCTION("""COMPUTED_VALUE"""),1.0)</f>
        <v>1</v>
      </c>
      <c r="P59" s="26">
        <f>IFERROR(__xludf.DUMMYFUNCTION("""COMPUTED_VALUE"""),2966.0)</f>
        <v>2966</v>
      </c>
      <c r="Q59" s="26" t="str">
        <f>IFERROR(__xludf.DUMMYFUNCTION("""COMPUTED_VALUE"""),"FLMP987142")</f>
        <v>FLMP987142</v>
      </c>
      <c r="R59" s="26"/>
      <c r="S59" s="26"/>
      <c r="T59" s="26"/>
      <c r="U59" s="25" t="str">
        <f t="shared" si="1"/>
        <v>INDIV</v>
      </c>
    </row>
    <row r="60">
      <c r="B60" s="26" t="str">
        <f>IFERROR(__xludf.DUMMYFUNCTION("""COMPUTED_VALUE"""),"AH408")</f>
        <v>AH408</v>
      </c>
      <c r="C60" s="185">
        <f>IFERROR(__xludf.DUMMYFUNCTION("""COMPUTED_VALUE"""),44703.0)</f>
        <v>44703</v>
      </c>
      <c r="D60" s="186">
        <f>IFERROR(__xludf.DUMMYFUNCTION("""COMPUTED_VALUE"""),0.6963194444444445)</f>
        <v>0.6963194444</v>
      </c>
      <c r="E60" s="26" t="str">
        <f>IFERROR(__xludf.DUMMYFUNCTION("""COMPUTED_VALUE"""),"SpFLMP572444")</f>
        <v>SpFLMP572444</v>
      </c>
      <c r="F60" s="26"/>
      <c r="G60" s="26"/>
      <c r="H60" s="26" t="str">
        <f>IFERROR(__xludf.DUMMYFUNCTION("""COMPUTED_VALUE"""),"Positive")</f>
        <v>Positive</v>
      </c>
      <c r="I60" s="26" t="str">
        <f>IFERROR(__xludf.DUMMYFUNCTION("""COMPUTED_VALUE"""),"Positive")</f>
        <v>Positive</v>
      </c>
      <c r="J60" s="185">
        <f>IFERROR(__xludf.DUMMYFUNCTION("""COMPUTED_VALUE"""),44704.0)</f>
        <v>44704</v>
      </c>
      <c r="K60" s="186">
        <f>IFERROR(__xludf.DUMMYFUNCTION("""COMPUTED_VALUE"""),0.559212962962963)</f>
        <v>0.559212963</v>
      </c>
      <c r="L60" s="26"/>
      <c r="M60" s="191"/>
      <c r="N60" s="191"/>
      <c r="O60" s="26">
        <f>IFERROR(__xludf.DUMMYFUNCTION("""COMPUTED_VALUE"""),3.0)</f>
        <v>3</v>
      </c>
      <c r="P60" s="26">
        <f>IFERROR(__xludf.DUMMYFUNCTION("""COMPUTED_VALUE"""),3006.0)</f>
        <v>3006</v>
      </c>
      <c r="Q60" s="26" t="str">
        <f>IFERROR(__xludf.DUMMYFUNCTION("""COMPUTED_VALUE"""),"FLMP502901")</f>
        <v>FLMP502901</v>
      </c>
      <c r="R60" s="26" t="str">
        <f>IFERROR(__xludf.DUMMYFUNCTION("""COMPUTED_VALUE"""),"FLMP458975")</f>
        <v>FLMP458975</v>
      </c>
      <c r="S60" s="26" t="str">
        <f>IFERROR(__xludf.DUMMYFUNCTION("""COMPUTED_VALUE"""),"FLMP787024")</f>
        <v>FLMP787024</v>
      </c>
      <c r="T60" s="26"/>
      <c r="U60" s="25" t="str">
        <f t="shared" si="1"/>
        <v>POOL</v>
      </c>
    </row>
    <row r="61">
      <c r="B61" s="26" t="str">
        <f>IFERROR(__xludf.DUMMYFUNCTION("""COMPUTED_VALUE"""),"AH7754")</f>
        <v>AH7754</v>
      </c>
      <c r="C61" s="185">
        <f>IFERROR(__xludf.DUMMYFUNCTION("""COMPUTED_VALUE"""),44910.0)</f>
        <v>44910</v>
      </c>
      <c r="D61" s="186">
        <f>IFERROR(__xludf.DUMMYFUNCTION("""COMPUTED_VALUE"""),0.35001157407407407)</f>
        <v>0.3500115741</v>
      </c>
      <c r="E61" s="26" t="str">
        <f>IFERROR(__xludf.DUMMYFUNCTION("""COMPUTED_VALUE"""),"SpFLMP870846")</f>
        <v>SpFLMP870846</v>
      </c>
      <c r="F61" s="26"/>
      <c r="G61" s="26"/>
      <c r="H61" s="26" t="str">
        <f>IFERROR(__xludf.DUMMYFUNCTION("""COMPUTED_VALUE"""),"Null")</f>
        <v>Null</v>
      </c>
      <c r="I61" s="26" t="str">
        <f>IFERROR(__xludf.DUMMYFUNCTION("""COMPUTED_VALUE"""),"Positive")</f>
        <v>Positive</v>
      </c>
      <c r="J61" s="26"/>
      <c r="K61" s="26"/>
      <c r="L61" s="26">
        <f>IFERROR(__xludf.DUMMYFUNCTION("""COMPUTED_VALUE"""),3.0)</f>
        <v>3</v>
      </c>
      <c r="M61" s="191" t="str">
        <f>IFERROR(__xludf.DUMMYFUNCTION("""COMPUTED_VALUE"""),"RT Dec25 - from memory that they had a positive pool which led to the Lucira and Antigen referral test right after at 10am (see RTR)")</f>
        <v>RT Dec25 - from memory that they had a positive pool which led to the Lucira and Antigen referral test right after at 10am (see RTR)</v>
      </c>
      <c r="N61" s="191"/>
      <c r="O61" s="26">
        <f>IFERROR(__xludf.DUMMYFUNCTION("""COMPUTED_VALUE"""),2.0)</f>
        <v>2</v>
      </c>
      <c r="P61" s="26">
        <f>IFERROR(__xludf.DUMMYFUNCTION("""COMPUTED_VALUE"""),3363.0)</f>
        <v>3363</v>
      </c>
      <c r="Q61" s="26" t="str">
        <f>IFERROR(__xludf.DUMMYFUNCTION("""COMPUTED_VALUE"""),"FLMP183184")</f>
        <v>FLMP183184</v>
      </c>
      <c r="R61" s="26" t="str">
        <f>IFERROR(__xludf.DUMMYFUNCTION("""COMPUTED_VALUE"""),"FLMP618864")</f>
        <v>FLMP618864</v>
      </c>
      <c r="S61" s="26"/>
      <c r="T61" s="26"/>
      <c r="U61" s="25" t="str">
        <f t="shared" si="1"/>
        <v>POOL</v>
      </c>
    </row>
    <row r="62">
      <c r="B62" s="26" t="str">
        <f>IFERROR(__xludf.DUMMYFUNCTION("""COMPUTED_VALUE"""),"AJ6664")</f>
        <v>AJ6664</v>
      </c>
      <c r="C62" s="185">
        <f>IFERROR(__xludf.DUMMYFUNCTION("""COMPUTED_VALUE"""),44692.0)</f>
        <v>44692</v>
      </c>
      <c r="D62" s="186">
        <f>IFERROR(__xludf.DUMMYFUNCTION("""COMPUTED_VALUE"""),0.3509375)</f>
        <v>0.3509375</v>
      </c>
      <c r="E62" s="26" t="str">
        <f>IFERROR(__xludf.DUMMYFUNCTION("""COMPUTED_VALUE"""),"SpFLMP604497")</f>
        <v>SpFLMP604497</v>
      </c>
      <c r="F62" s="26"/>
      <c r="G62" s="26"/>
      <c r="H62" s="26" t="str">
        <f>IFERROR(__xludf.DUMMYFUNCTION("""COMPUTED_VALUE"""),"Null")</f>
        <v>Null</v>
      </c>
      <c r="I62" s="26" t="str">
        <f>IFERROR(__xludf.DUMMYFUNCTION("""COMPUTED_VALUE"""),"Inconclusive")</f>
        <v>Inconclusive</v>
      </c>
      <c r="J62" s="185">
        <f>IFERROR(__xludf.DUMMYFUNCTION("""COMPUTED_VALUE"""),44692.0)</f>
        <v>44692</v>
      </c>
      <c r="K62" s="186">
        <f>IFERROR(__xludf.DUMMYFUNCTION("""COMPUTED_VALUE"""),0.4197916666666667)</f>
        <v>0.4197916667</v>
      </c>
      <c r="L62" s="26">
        <f>IFERROR(__xludf.DUMMYFUNCTION("""COMPUTED_VALUE"""),4.0)</f>
        <v>4</v>
      </c>
      <c r="M62" s="191" t="str">
        <f>IFERROR(__xludf.DUMMYFUNCTION("""COMPUTED_VALUE"""),"Null called Inconclusive")</f>
        <v>Null called Inconclusive</v>
      </c>
      <c r="N62" s="191"/>
      <c r="O62" s="26">
        <f>IFERROR(__xludf.DUMMYFUNCTION("""COMPUTED_VALUE"""),1.0)</f>
        <v>1</v>
      </c>
      <c r="P62" s="26">
        <f>IFERROR(__xludf.DUMMYFUNCTION("""COMPUTED_VALUE"""),2849.0)</f>
        <v>2849</v>
      </c>
      <c r="Q62" s="26" t="str">
        <f>IFERROR(__xludf.DUMMYFUNCTION("""COMPUTED_VALUE"""),"FLMP477732")</f>
        <v>FLMP477732</v>
      </c>
      <c r="R62" s="26"/>
      <c r="S62" s="26"/>
      <c r="T62" s="26"/>
      <c r="U62" s="25" t="str">
        <f t="shared" si="1"/>
        <v>INDIV</v>
      </c>
    </row>
    <row r="63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193"/>
      <c r="N63" s="193"/>
      <c r="O63" s="21"/>
      <c r="P63" s="21"/>
      <c r="Q63" s="21"/>
      <c r="R63" s="21"/>
      <c r="S63" s="21"/>
      <c r="T63" s="21"/>
    </row>
    <row r="64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193"/>
      <c r="N64" s="193"/>
      <c r="O64" s="21"/>
      <c r="P64" s="21"/>
      <c r="Q64" s="21"/>
      <c r="R64" s="21" t="str">
        <f>IFERROR(__xludf.DUMMYFUNCTION("""COMPUTED_VALUE"""),"FLSP")</f>
        <v>FLSP</v>
      </c>
      <c r="S64" s="21"/>
      <c r="T64" s="21"/>
    </row>
    <row r="6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193"/>
      <c r="N65" s="193"/>
      <c r="O65" s="21"/>
      <c r="P65" s="21"/>
      <c r="Q65" s="21">
        <f>IFERROR(__xludf.DUMMYFUNCTION("""COMPUTED_VALUE"""),9.0)</f>
        <v>9</v>
      </c>
      <c r="R65" s="21" t="str">
        <f>IFERROR(__xludf.DUMMYFUNCTION("""COMPUTED_VALUE"""),"Unique Names in Manual Selection for Pos no Pooled")</f>
        <v>Unique Names in Manual Selection for Pos no Pooled</v>
      </c>
      <c r="S65" s="21"/>
      <c r="T65" s="21"/>
    </row>
    <row r="66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193"/>
      <c r="N66" s="193"/>
      <c r="O66" s="21"/>
      <c r="P66" s="21"/>
      <c r="Q66" s="21"/>
      <c r="R66" s="21"/>
      <c r="S66" s="21"/>
      <c r="T66" s="21"/>
    </row>
    <row r="67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193"/>
      <c r="N67" s="193"/>
      <c r="O67" s="21"/>
      <c r="P67" s="21"/>
      <c r="Q67" s="21"/>
      <c r="R67" s="21" t="str">
        <f>IFERROR(__xludf.DUMMYFUNCTION("""COMPUTED_VALUE"""),"CRLN")</f>
        <v>CRLN</v>
      </c>
      <c r="S67" s="21"/>
      <c r="T67" s="21"/>
    </row>
    <row r="68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193"/>
      <c r="N68" s="193"/>
      <c r="O68" s="21"/>
      <c r="P68" s="21"/>
      <c r="Q68" s="21">
        <f>IFERROR(__xludf.DUMMYFUNCTION("""COMPUTED_VALUE"""),17.0)</f>
        <v>17</v>
      </c>
      <c r="R68" s="21" t="str">
        <f>IFERROR(__xludf.DUMMYFUNCTION("""COMPUTED_VALUE"""),"Unique Names in Manual Selection for Pos no Pooled")</f>
        <v>Unique Names in Manual Selection for Pos no Pooled</v>
      </c>
      <c r="S68" s="21"/>
      <c r="T68" s="21"/>
    </row>
    <row r="6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193"/>
      <c r="N69" s="193"/>
      <c r="O69" s="21"/>
      <c r="P69" s="21"/>
      <c r="Q69" s="21"/>
      <c r="R69" s="21"/>
      <c r="S69" s="21"/>
      <c r="T69" s="21"/>
    </row>
    <row r="70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193"/>
      <c r="N70" s="193"/>
      <c r="O70" s="21"/>
      <c r="P70" s="21"/>
      <c r="Q70" s="21"/>
      <c r="R70" s="21" t="str">
        <f>IFERROR(__xludf.DUMMYFUNCTION("""COMPUTED_VALUE"""),"FLSP - Pool")</f>
        <v>FLSP - Pool</v>
      </c>
      <c r="S70" s="21"/>
      <c r="T70" s="21"/>
    </row>
    <row r="7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193"/>
      <c r="N71" s="193"/>
      <c r="O71" s="21"/>
      <c r="P71" s="21"/>
      <c r="Q71" s="21">
        <f>IFERROR(__xludf.DUMMYFUNCTION("""COMPUTED_VALUE"""),12.0)</f>
        <v>12</v>
      </c>
      <c r="R71" s="21" t="str">
        <f>IFERROR(__xludf.DUMMYFUNCTION("""COMPUTED_VALUE"""),"Unique Names in Manual Selection for Pos with Pooled")</f>
        <v>Unique Names in Manual Selection for Pos with Pooled</v>
      </c>
      <c r="S71" s="21"/>
      <c r="T71" s="21"/>
    </row>
    <row r="72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193"/>
      <c r="N72" s="193"/>
      <c r="O72" s="21"/>
      <c r="P72" s="21"/>
      <c r="Q72" s="21"/>
      <c r="R72" s="21"/>
      <c r="S72" s="21"/>
      <c r="T72" s="21"/>
    </row>
    <row r="73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193"/>
      <c r="N73" s="193"/>
      <c r="O73" s="21"/>
      <c r="P73" s="21"/>
      <c r="Q73" s="21"/>
      <c r="R73" s="21" t="str">
        <f>IFERROR(__xludf.DUMMYFUNCTION("""COMPUTED_VALUE"""),"CRLN - Pool")</f>
        <v>CRLN - Pool</v>
      </c>
      <c r="S73" s="21"/>
      <c r="T73" s="21"/>
    </row>
    <row r="74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193"/>
      <c r="N74" s="193"/>
      <c r="O74" s="21"/>
      <c r="P74" s="21"/>
      <c r="Q74" s="21">
        <f>IFERROR(__xludf.DUMMYFUNCTION("""COMPUTED_VALUE"""),41.0)</f>
        <v>41</v>
      </c>
      <c r="R74" s="21" t="str">
        <f>IFERROR(__xludf.DUMMYFUNCTION("""COMPUTED_VALUE"""),"Unique Names in Manual Selection for Pos with Pooled")</f>
        <v>Unique Names in Manual Selection for Pos with Pooled</v>
      </c>
      <c r="S74" s="21"/>
      <c r="T74" s="21"/>
    </row>
    <row r="7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193"/>
      <c r="N75" s="193"/>
      <c r="O75" s="21"/>
      <c r="P75" s="21"/>
      <c r="Q75" s="21">
        <f>IFERROR(__xludf.DUMMYFUNCTION("""COMPUTED_VALUE"""),1.0)</f>
        <v>1</v>
      </c>
      <c r="R75" s="21" t="str">
        <f>IFERROR(__xludf.DUMMYFUNCTION("""COMPUTED_VALUE"""),"Subtract Unresolved Inconclusive")</f>
        <v>Subtract Unresolved Inconclusive</v>
      </c>
      <c r="S75" s="21"/>
      <c r="T75" s="21"/>
    </row>
    <row r="76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193"/>
      <c r="N76" s="193"/>
      <c r="O76" s="21"/>
      <c r="P76" s="21"/>
      <c r="Q76" s="21">
        <f>IFERROR(__xludf.DUMMYFUNCTION("""COMPUTED_VALUE"""),40.0)</f>
        <v>40</v>
      </c>
      <c r="R76" s="21" t="str">
        <f>IFERROR(__xludf.DUMMYFUNCTION("""COMPUTED_VALUE"""),"Unique Positives w Pooled")</f>
        <v>Unique Positives w Pooled</v>
      </c>
      <c r="S76" s="21"/>
      <c r="T76" s="21"/>
    </row>
    <row r="77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193"/>
      <c r="N77" s="193"/>
      <c r="O77" s="21"/>
      <c r="P77" s="21"/>
      <c r="Q77" s="21"/>
      <c r="R77" s="21"/>
      <c r="S77" s="21"/>
      <c r="T77" s="21"/>
    </row>
    <row r="78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193"/>
      <c r="N78" s="193"/>
      <c r="O78" s="21"/>
      <c r="P78" s="21"/>
      <c r="Q78" s="21"/>
      <c r="R78" s="21"/>
      <c r="S78" s="21"/>
      <c r="T78" s="21"/>
    </row>
    <row r="79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193"/>
      <c r="N79" s="193"/>
      <c r="O79" s="21"/>
      <c r="P79" s="21"/>
      <c r="Q79" s="21"/>
      <c r="R79" s="21"/>
      <c r="S79" s="21"/>
      <c r="T79" s="21"/>
    </row>
    <row r="80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193"/>
      <c r="N80" s="193"/>
      <c r="O80" s="21"/>
      <c r="P80" s="21"/>
      <c r="Q80" s="21"/>
      <c r="R80" s="21"/>
      <c r="S80" s="21"/>
      <c r="T80" s="21"/>
    </row>
    <row r="8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193"/>
      <c r="N81" s="193"/>
      <c r="O81" s="21"/>
      <c r="P81" s="21"/>
      <c r="Q81" s="21"/>
      <c r="R81" s="21"/>
      <c r="S81" s="21"/>
      <c r="T81" s="21"/>
    </row>
    <row r="82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193"/>
      <c r="N82" s="193"/>
      <c r="O82" s="21"/>
      <c r="P82" s="21"/>
      <c r="Q82" s="21"/>
      <c r="R82" s="21"/>
      <c r="S82" s="21"/>
      <c r="T82" s="21"/>
    </row>
    <row r="83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193"/>
      <c r="N83" s="193"/>
      <c r="O83" s="21"/>
      <c r="P83" s="21"/>
      <c r="Q83" s="21"/>
      <c r="R83" s="21"/>
      <c r="S83" s="21"/>
      <c r="T83" s="21"/>
    </row>
    <row r="84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193"/>
      <c r="N84" s="193"/>
      <c r="O84" s="21"/>
      <c r="P84" s="21"/>
      <c r="Q84" s="21"/>
      <c r="R84" s="21"/>
      <c r="S84" s="21"/>
      <c r="T84" s="21"/>
    </row>
    <row r="8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193"/>
      <c r="N85" s="193"/>
      <c r="O85" s="21"/>
      <c r="P85" s="21"/>
      <c r="Q85" s="21"/>
      <c r="R85" s="21"/>
      <c r="S85" s="21"/>
      <c r="T85" s="21"/>
    </row>
    <row r="86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193"/>
      <c r="N86" s="193"/>
      <c r="O86" s="21"/>
      <c r="P86" s="21"/>
      <c r="Q86" s="21"/>
      <c r="R86" s="21"/>
      <c r="S86" s="21"/>
      <c r="T86" s="21"/>
    </row>
    <row r="87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193"/>
      <c r="N87" s="193"/>
      <c r="O87" s="21"/>
      <c r="P87" s="21"/>
      <c r="Q87" s="21"/>
      <c r="R87" s="21"/>
      <c r="S87" s="21"/>
      <c r="T87" s="21"/>
    </row>
    <row r="88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193"/>
      <c r="N88" s="193"/>
      <c r="O88" s="21"/>
      <c r="P88" s="21"/>
      <c r="Q88" s="21"/>
      <c r="R88" s="21"/>
      <c r="S88" s="21"/>
      <c r="T88" s="21"/>
    </row>
    <row r="8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193"/>
      <c r="N89" s="193"/>
      <c r="O89" s="21"/>
      <c r="P89" s="21"/>
      <c r="Q89" s="21"/>
      <c r="R89" s="21"/>
      <c r="S89" s="21"/>
      <c r="T89" s="21"/>
    </row>
    <row r="90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193"/>
      <c r="N90" s="193"/>
      <c r="O90" s="21"/>
      <c r="P90" s="21"/>
      <c r="Q90" s="21"/>
      <c r="R90" s="21"/>
      <c r="S90" s="21"/>
      <c r="T90" s="21"/>
    </row>
    <row r="9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193"/>
      <c r="N91" s="193"/>
      <c r="O91" s="21"/>
      <c r="P91" s="21"/>
      <c r="Q91" s="21"/>
      <c r="R91" s="21"/>
      <c r="S91" s="21"/>
      <c r="T91" s="21"/>
    </row>
    <row r="92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193"/>
      <c r="N92" s="193"/>
      <c r="O92" s="21"/>
      <c r="P92" s="21"/>
      <c r="Q92" s="21"/>
      <c r="R92" s="21"/>
      <c r="S92" s="21"/>
      <c r="T92" s="21"/>
    </row>
    <row r="93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193"/>
      <c r="N93" s="193"/>
      <c r="O93" s="21"/>
      <c r="P93" s="21"/>
      <c r="Q93" s="21"/>
      <c r="R93" s="21"/>
      <c r="S93" s="21"/>
      <c r="T93" s="21"/>
    </row>
    <row r="94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193"/>
      <c r="N94" s="193"/>
      <c r="O94" s="21"/>
      <c r="P94" s="21"/>
      <c r="Q94" s="21"/>
      <c r="R94" s="21"/>
      <c r="S94" s="21"/>
      <c r="T94" s="21"/>
    </row>
    <row r="9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193"/>
      <c r="N95" s="193"/>
      <c r="O95" s="21"/>
      <c r="P95" s="21"/>
      <c r="Q95" s="21"/>
      <c r="R95" s="21"/>
      <c r="S95" s="21"/>
      <c r="T95" s="21"/>
    </row>
    <row r="96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93"/>
      <c r="N96" s="193"/>
      <c r="O96" s="21"/>
      <c r="P96" s="21"/>
      <c r="Q96" s="21"/>
      <c r="R96" s="21"/>
      <c r="S96" s="21"/>
      <c r="T96" s="21"/>
    </row>
    <row r="97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193"/>
      <c r="N97" s="193"/>
      <c r="O97" s="21"/>
      <c r="P97" s="21"/>
      <c r="Q97" s="21"/>
      <c r="R97" s="21"/>
      <c r="S97" s="21"/>
      <c r="T97" s="21"/>
    </row>
    <row r="98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193"/>
      <c r="N98" s="193"/>
      <c r="O98" s="21"/>
      <c r="P98" s="21"/>
      <c r="Q98" s="21"/>
      <c r="R98" s="21"/>
      <c r="S98" s="21"/>
      <c r="T98" s="21"/>
    </row>
    <row r="9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193"/>
      <c r="N99" s="193"/>
      <c r="O99" s="21"/>
      <c r="P99" s="21"/>
      <c r="Q99" s="21"/>
      <c r="R99" s="21"/>
      <c r="S99" s="21"/>
      <c r="T99" s="21"/>
    </row>
    <row r="100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193"/>
      <c r="N100" s="193"/>
      <c r="O100" s="21"/>
      <c r="P100" s="21"/>
      <c r="Q100" s="21"/>
      <c r="R100" s="21"/>
      <c r="S100" s="21"/>
      <c r="T100" s="21"/>
    </row>
    <row r="10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93"/>
      <c r="N101" s="193"/>
      <c r="O101" s="21"/>
      <c r="P101" s="21"/>
      <c r="Q101" s="21"/>
      <c r="R101" s="21"/>
      <c r="S101" s="21"/>
      <c r="T101" s="21"/>
    </row>
    <row r="102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193"/>
      <c r="N102" s="193"/>
      <c r="O102" s="21"/>
      <c r="P102" s="21"/>
      <c r="Q102" s="21"/>
      <c r="R102" s="21"/>
      <c r="S102" s="21"/>
      <c r="T102" s="21"/>
    </row>
    <row r="103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193"/>
      <c r="N103" s="193"/>
      <c r="O103" s="21"/>
      <c r="P103" s="21"/>
      <c r="Q103" s="21"/>
      <c r="R103" s="21"/>
      <c r="S103" s="21"/>
      <c r="T103" s="21"/>
    </row>
    <row r="104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193"/>
      <c r="N104" s="193"/>
      <c r="O104" s="21"/>
      <c r="P104" s="21"/>
      <c r="Q104" s="21"/>
      <c r="R104" s="21"/>
      <c r="S104" s="21"/>
      <c r="T104" s="21"/>
    </row>
    <row r="105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193"/>
      <c r="N105" s="193"/>
      <c r="O105" s="21"/>
      <c r="P105" s="21"/>
      <c r="Q105" s="21"/>
      <c r="R105" s="21"/>
      <c r="S105" s="21"/>
      <c r="T105" s="21"/>
    </row>
    <row r="106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193"/>
      <c r="N106" s="193"/>
      <c r="O106" s="21"/>
      <c r="P106" s="21"/>
      <c r="Q106" s="21"/>
      <c r="R106" s="21"/>
      <c r="S106" s="21"/>
      <c r="T106" s="21"/>
    </row>
    <row r="107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193"/>
      <c r="N107" s="193"/>
      <c r="O107" s="21"/>
      <c r="P107" s="21"/>
      <c r="Q107" s="21"/>
      <c r="R107" s="21"/>
      <c r="S107" s="21"/>
      <c r="T107" s="21"/>
    </row>
    <row r="108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193"/>
      <c r="N108" s="193"/>
      <c r="O108" s="21"/>
      <c r="P108" s="21"/>
      <c r="Q108" s="21"/>
      <c r="R108" s="21"/>
      <c r="S108" s="21"/>
      <c r="T108" s="21"/>
    </row>
    <row r="10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193"/>
      <c r="N109" s="193"/>
      <c r="O109" s="21"/>
      <c r="P109" s="21"/>
      <c r="Q109" s="21"/>
      <c r="R109" s="21"/>
      <c r="S109" s="21"/>
      <c r="T109" s="21"/>
    </row>
    <row r="110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193"/>
      <c r="N110" s="193"/>
      <c r="O110" s="21"/>
      <c r="P110" s="21"/>
      <c r="Q110" s="21"/>
      <c r="R110" s="21"/>
      <c r="S110" s="21"/>
      <c r="T110" s="21"/>
    </row>
    <row r="111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193"/>
      <c r="N111" s="193"/>
      <c r="O111" s="21"/>
      <c r="P111" s="21"/>
      <c r="Q111" s="21"/>
      <c r="R111" s="21"/>
      <c r="S111" s="21"/>
      <c r="T111" s="21"/>
    </row>
    <row r="112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193"/>
      <c r="N112" s="193"/>
      <c r="O112" s="21"/>
      <c r="P112" s="21"/>
      <c r="Q112" s="21"/>
      <c r="R112" s="21"/>
      <c r="S112" s="21"/>
      <c r="T112" s="21"/>
    </row>
    <row r="113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193"/>
      <c r="N113" s="193"/>
      <c r="O113" s="21"/>
      <c r="P113" s="21"/>
      <c r="Q113" s="21"/>
      <c r="R113" s="21"/>
      <c r="S113" s="21"/>
      <c r="T113" s="21"/>
    </row>
    <row r="114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193"/>
      <c r="N114" s="193"/>
      <c r="O114" s="21"/>
      <c r="P114" s="21"/>
      <c r="Q114" s="21"/>
      <c r="R114" s="21"/>
      <c r="S114" s="21"/>
      <c r="T114" s="21"/>
    </row>
    <row r="115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193"/>
      <c r="N115" s="193"/>
      <c r="O115" s="21"/>
      <c r="P115" s="21"/>
      <c r="Q115" s="21"/>
      <c r="R115" s="21"/>
      <c r="S115" s="21"/>
      <c r="T115" s="21"/>
    </row>
    <row r="116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193"/>
      <c r="N116" s="193"/>
      <c r="O116" s="21"/>
      <c r="P116" s="21"/>
      <c r="Q116" s="21"/>
      <c r="R116" s="21"/>
      <c r="S116" s="21"/>
      <c r="T116" s="21"/>
    </row>
    <row r="117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193"/>
      <c r="N117" s="193"/>
      <c r="O117" s="21"/>
      <c r="P117" s="21"/>
      <c r="Q117" s="21"/>
      <c r="R117" s="21"/>
      <c r="S117" s="21"/>
      <c r="T117" s="21"/>
    </row>
    <row r="118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193"/>
      <c r="N118" s="193"/>
      <c r="O118" s="21"/>
      <c r="P118" s="21"/>
      <c r="Q118" s="21"/>
      <c r="R118" s="21"/>
      <c r="S118" s="21"/>
      <c r="T118" s="21"/>
    </row>
    <row r="1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193"/>
      <c r="N119" s="193"/>
      <c r="O119" s="21"/>
      <c r="P119" s="21"/>
      <c r="Q119" s="21"/>
      <c r="R119" s="21"/>
      <c r="S119" s="21"/>
      <c r="T119" s="21"/>
    </row>
    <row r="120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193"/>
      <c r="N120" s="193"/>
      <c r="O120" s="21"/>
      <c r="P120" s="21"/>
      <c r="Q120" s="21"/>
      <c r="R120" s="21"/>
      <c r="S120" s="21"/>
      <c r="T120" s="21"/>
    </row>
    <row r="121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193"/>
      <c r="N121" s="193"/>
      <c r="O121" s="21"/>
      <c r="P121" s="21"/>
      <c r="Q121" s="21"/>
      <c r="R121" s="21"/>
      <c r="S121" s="21"/>
      <c r="T121" s="21"/>
    </row>
    <row r="122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193"/>
      <c r="N122" s="193"/>
      <c r="O122" s="21"/>
      <c r="P122" s="21"/>
      <c r="Q122" s="21"/>
      <c r="R122" s="21"/>
      <c r="S122" s="21"/>
      <c r="T122" s="21"/>
    </row>
    <row r="123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193"/>
      <c r="N123" s="193"/>
      <c r="O123" s="21"/>
      <c r="P123" s="21"/>
      <c r="Q123" s="21"/>
      <c r="R123" s="21"/>
      <c r="S123" s="21"/>
      <c r="T123" s="21"/>
    </row>
    <row r="124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193"/>
      <c r="N124" s="193"/>
      <c r="O124" s="21"/>
      <c r="P124" s="21"/>
      <c r="Q124" s="21"/>
      <c r="R124" s="21"/>
      <c r="S124" s="21"/>
      <c r="T124" s="21"/>
    </row>
    <row r="12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193"/>
      <c r="N125" s="193"/>
      <c r="O125" s="21"/>
      <c r="P125" s="21"/>
      <c r="Q125" s="21"/>
      <c r="R125" s="21"/>
      <c r="S125" s="21"/>
      <c r="T125" s="21"/>
    </row>
    <row r="126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193"/>
      <c r="N126" s="193"/>
      <c r="O126" s="21"/>
      <c r="P126" s="21"/>
      <c r="Q126" s="21"/>
      <c r="R126" s="21"/>
      <c r="S126" s="21"/>
      <c r="T126" s="21"/>
    </row>
    <row r="127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193"/>
      <c r="N127" s="193"/>
      <c r="O127" s="21"/>
      <c r="P127" s="21"/>
      <c r="Q127" s="21"/>
      <c r="R127" s="21"/>
      <c r="S127" s="21"/>
      <c r="T127" s="21"/>
    </row>
    <row r="128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193"/>
      <c r="N128" s="193"/>
      <c r="O128" s="21"/>
      <c r="P128" s="21"/>
      <c r="Q128" s="21"/>
      <c r="R128" s="21"/>
      <c r="S128" s="21"/>
      <c r="T128" s="21"/>
    </row>
    <row r="12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193"/>
      <c r="N129" s="193"/>
      <c r="O129" s="21"/>
      <c r="P129" s="21"/>
      <c r="Q129" s="21"/>
      <c r="R129" s="21"/>
      <c r="S129" s="21"/>
      <c r="T129" s="21"/>
    </row>
    <row r="13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193"/>
      <c r="N130" s="193"/>
      <c r="O130" s="21"/>
      <c r="P130" s="21"/>
      <c r="Q130" s="21"/>
      <c r="R130" s="21"/>
      <c r="S130" s="21"/>
      <c r="T130" s="21"/>
    </row>
    <row r="131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193"/>
      <c r="N131" s="193"/>
      <c r="O131" s="21"/>
      <c r="P131" s="21"/>
      <c r="Q131" s="21"/>
      <c r="R131" s="21"/>
      <c r="S131" s="21"/>
      <c r="T131" s="21"/>
    </row>
    <row r="132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193"/>
      <c r="N132" s="193"/>
      <c r="O132" s="21"/>
      <c r="P132" s="21"/>
      <c r="Q132" s="21"/>
      <c r="R132" s="21"/>
      <c r="S132" s="21"/>
      <c r="T132" s="21"/>
    </row>
    <row r="133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193"/>
      <c r="N133" s="193"/>
      <c r="O133" s="21"/>
      <c r="P133" s="21"/>
      <c r="Q133" s="21"/>
      <c r="R133" s="21"/>
      <c r="S133" s="21"/>
      <c r="T133" s="21"/>
    </row>
    <row r="134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193"/>
      <c r="N134" s="193"/>
      <c r="O134" s="21"/>
      <c r="P134" s="21"/>
      <c r="Q134" s="21"/>
      <c r="R134" s="21"/>
      <c r="S134" s="21"/>
      <c r="T134" s="21"/>
    </row>
    <row r="13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193"/>
      <c r="N135" s="193"/>
      <c r="O135" s="21"/>
      <c r="P135" s="21"/>
      <c r="Q135" s="21"/>
      <c r="R135" s="21"/>
      <c r="S135" s="21"/>
      <c r="T135" s="21"/>
    </row>
    <row r="136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193"/>
      <c r="N136" s="193"/>
      <c r="O136" s="21"/>
      <c r="P136" s="21"/>
      <c r="Q136" s="21"/>
      <c r="R136" s="21"/>
      <c r="S136" s="21"/>
      <c r="T136" s="21"/>
    </row>
    <row r="137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193"/>
      <c r="N137" s="193"/>
      <c r="O137" s="21"/>
      <c r="P137" s="21"/>
      <c r="Q137" s="21"/>
      <c r="R137" s="21"/>
      <c r="S137" s="21"/>
      <c r="T137" s="21"/>
    </row>
    <row r="138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193"/>
      <c r="N138" s="193"/>
      <c r="O138" s="21"/>
      <c r="P138" s="21"/>
      <c r="Q138" s="21"/>
      <c r="R138" s="21"/>
      <c r="S138" s="21"/>
      <c r="T138" s="21"/>
    </row>
    <row r="13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193"/>
      <c r="N139" s="193"/>
      <c r="O139" s="21"/>
      <c r="P139" s="21"/>
      <c r="Q139" s="21"/>
      <c r="R139" s="21"/>
      <c r="S139" s="21"/>
      <c r="T139" s="21"/>
    </row>
    <row r="140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193"/>
      <c r="N140" s="193"/>
      <c r="O140" s="21"/>
      <c r="P140" s="21"/>
      <c r="Q140" s="21"/>
      <c r="R140" s="21"/>
      <c r="S140" s="21"/>
      <c r="T140" s="21"/>
    </row>
    <row r="14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193"/>
      <c r="N141" s="193"/>
      <c r="O141" s="21"/>
      <c r="P141" s="21"/>
      <c r="Q141" s="21"/>
      <c r="R141" s="21"/>
      <c r="S141" s="21"/>
      <c r="T141" s="21"/>
    </row>
    <row r="142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193"/>
      <c r="N142" s="193"/>
      <c r="O142" s="21"/>
      <c r="P142" s="21"/>
      <c r="Q142" s="21"/>
      <c r="R142" s="21"/>
      <c r="S142" s="21"/>
      <c r="T142" s="21"/>
    </row>
    <row r="143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193"/>
      <c r="N143" s="193"/>
      <c r="O143" s="21"/>
      <c r="P143" s="21"/>
      <c r="Q143" s="21"/>
      <c r="R143" s="21"/>
      <c r="S143" s="21"/>
      <c r="T143" s="21"/>
    </row>
    <row r="144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193"/>
      <c r="N144" s="193"/>
      <c r="O144" s="21"/>
      <c r="P144" s="21"/>
      <c r="Q144" s="21"/>
      <c r="R144" s="21"/>
      <c r="S144" s="21"/>
      <c r="T144" s="21"/>
    </row>
    <row r="14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193"/>
      <c r="N145" s="193"/>
      <c r="O145" s="21"/>
      <c r="P145" s="21"/>
      <c r="Q145" s="21"/>
      <c r="R145" s="21"/>
      <c r="S145" s="21"/>
      <c r="T145" s="21"/>
    </row>
    <row r="146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193"/>
      <c r="N146" s="193"/>
      <c r="O146" s="21"/>
      <c r="P146" s="21"/>
      <c r="Q146" s="21"/>
      <c r="R146" s="21"/>
      <c r="S146" s="21"/>
      <c r="T146" s="21"/>
    </row>
    <row r="147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193"/>
      <c r="N147" s="193"/>
      <c r="O147" s="21"/>
      <c r="P147" s="21"/>
      <c r="Q147" s="21"/>
      <c r="R147" s="21"/>
      <c r="S147" s="21"/>
      <c r="T147" s="21"/>
    </row>
    <row r="148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193"/>
      <c r="N148" s="193"/>
      <c r="O148" s="21"/>
      <c r="P148" s="21"/>
      <c r="Q148" s="21"/>
      <c r="R148" s="21"/>
      <c r="S148" s="21"/>
      <c r="T148" s="21"/>
    </row>
    <row r="14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193"/>
      <c r="N149" s="193"/>
      <c r="O149" s="21"/>
      <c r="P149" s="21"/>
      <c r="Q149" s="21"/>
      <c r="R149" s="21"/>
      <c r="S149" s="21"/>
      <c r="T149" s="21"/>
    </row>
    <row r="150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193"/>
      <c r="N150" s="193"/>
      <c r="O150" s="21"/>
      <c r="P150" s="21"/>
      <c r="Q150" s="21"/>
      <c r="R150" s="21"/>
      <c r="S150" s="21"/>
      <c r="T150" s="21"/>
    </row>
    <row r="15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193"/>
      <c r="N151" s="193"/>
      <c r="O151" s="21"/>
      <c r="P151" s="21"/>
      <c r="Q151" s="21"/>
      <c r="R151" s="21"/>
      <c r="S151" s="21"/>
      <c r="T151" s="21"/>
    </row>
    <row r="152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193"/>
      <c r="N152" s="193"/>
      <c r="O152" s="21"/>
      <c r="P152" s="21"/>
      <c r="Q152" s="21"/>
      <c r="R152" s="21"/>
      <c r="S152" s="21"/>
      <c r="T152" s="21"/>
    </row>
    <row r="153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193"/>
      <c r="N153" s="193"/>
      <c r="O153" s="21"/>
      <c r="P153" s="21"/>
      <c r="Q153" s="21"/>
      <c r="R153" s="21"/>
      <c r="S153" s="21"/>
      <c r="T153" s="21"/>
    </row>
    <row r="154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193"/>
      <c r="N154" s="193"/>
      <c r="O154" s="21"/>
      <c r="P154" s="21"/>
      <c r="Q154" s="21"/>
      <c r="R154" s="21"/>
      <c r="S154" s="21"/>
      <c r="T154" s="21"/>
    </row>
    <row r="15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193"/>
      <c r="N155" s="193"/>
      <c r="O155" s="21"/>
      <c r="P155" s="21"/>
      <c r="Q155" s="21"/>
      <c r="R155" s="21"/>
      <c r="S155" s="21"/>
      <c r="T155" s="21"/>
    </row>
    <row r="156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193"/>
      <c r="N156" s="193"/>
      <c r="O156" s="21"/>
      <c r="P156" s="21"/>
      <c r="Q156" s="21"/>
      <c r="R156" s="21"/>
      <c r="S156" s="21"/>
      <c r="T156" s="21"/>
    </row>
    <row r="157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193"/>
      <c r="N157" s="193"/>
      <c r="O157" s="21"/>
      <c r="P157" s="21"/>
      <c r="Q157" s="21"/>
      <c r="R157" s="21"/>
      <c r="S157" s="21"/>
      <c r="T157" s="21"/>
    </row>
    <row r="158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193"/>
      <c r="N158" s="193"/>
      <c r="O158" s="21"/>
      <c r="P158" s="21"/>
      <c r="Q158" s="21"/>
      <c r="R158" s="21"/>
      <c r="S158" s="21"/>
      <c r="T158" s="21"/>
    </row>
    <row r="15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193"/>
      <c r="N159" s="193"/>
      <c r="O159" s="21"/>
      <c r="P159" s="21"/>
      <c r="Q159" s="21"/>
      <c r="R159" s="21"/>
      <c r="S159" s="21"/>
      <c r="T159" s="21"/>
    </row>
    <row r="160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193"/>
      <c r="N160" s="193"/>
      <c r="O160" s="21"/>
      <c r="P160" s="21"/>
      <c r="Q160" s="21"/>
      <c r="R160" s="21"/>
      <c r="S160" s="21"/>
      <c r="T160" s="21"/>
    </row>
    <row r="16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193"/>
      <c r="N161" s="193"/>
      <c r="O161" s="21"/>
      <c r="P161" s="21"/>
      <c r="Q161" s="21"/>
      <c r="R161" s="21"/>
      <c r="S161" s="21"/>
      <c r="T161" s="21"/>
    </row>
    <row r="162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193"/>
      <c r="N162" s="193"/>
      <c r="O162" s="21"/>
      <c r="P162" s="21"/>
      <c r="Q162" s="21"/>
      <c r="R162" s="21"/>
      <c r="S162" s="21"/>
      <c r="T162" s="21"/>
    </row>
    <row r="163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193"/>
      <c r="N163" s="193"/>
      <c r="O163" s="21"/>
      <c r="P163" s="21"/>
      <c r="Q163" s="21"/>
      <c r="R163" s="21"/>
      <c r="S163" s="21"/>
      <c r="T163" s="21"/>
    </row>
    <row r="164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193"/>
      <c r="N164" s="193"/>
      <c r="O164" s="21"/>
      <c r="P164" s="21"/>
      <c r="Q164" s="21"/>
      <c r="R164" s="21"/>
      <c r="S164" s="21"/>
      <c r="T164" s="21"/>
    </row>
    <row r="16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193"/>
      <c r="N165" s="193"/>
      <c r="O165" s="21"/>
      <c r="P165" s="21"/>
      <c r="Q165" s="21"/>
      <c r="R165" s="21"/>
      <c r="S165" s="21"/>
      <c r="T165" s="21"/>
    </row>
    <row r="166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193"/>
      <c r="N166" s="193"/>
      <c r="O166" s="21"/>
      <c r="P166" s="21"/>
      <c r="Q166" s="21"/>
      <c r="R166" s="21"/>
      <c r="S166" s="21"/>
      <c r="T166" s="21"/>
    </row>
    <row r="167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193"/>
      <c r="N167" s="193"/>
      <c r="O167" s="21"/>
      <c r="P167" s="21"/>
      <c r="Q167" s="21"/>
      <c r="R167" s="21"/>
      <c r="S167" s="21"/>
      <c r="T167" s="21"/>
    </row>
    <row r="168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193"/>
      <c r="N168" s="193"/>
      <c r="O168" s="21"/>
      <c r="P168" s="21"/>
      <c r="Q168" s="21"/>
      <c r="R168" s="21"/>
      <c r="S168" s="21"/>
      <c r="T168" s="21"/>
    </row>
    <row r="169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193"/>
      <c r="N169" s="193"/>
      <c r="O169" s="21"/>
      <c r="P169" s="21"/>
      <c r="Q169" s="21"/>
      <c r="R169" s="21"/>
      <c r="S169" s="21"/>
      <c r="T169" s="21"/>
    </row>
    <row r="17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193"/>
      <c r="N170" s="193"/>
      <c r="O170" s="21"/>
      <c r="P170" s="21"/>
      <c r="Q170" s="21"/>
      <c r="R170" s="21"/>
      <c r="S170" s="21"/>
      <c r="T170" s="21"/>
    </row>
    <row r="17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193"/>
      <c r="N171" s="193"/>
      <c r="O171" s="21"/>
      <c r="P171" s="21"/>
      <c r="Q171" s="21"/>
      <c r="R171" s="21"/>
      <c r="S171" s="21"/>
      <c r="T171" s="21"/>
    </row>
    <row r="172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193"/>
      <c r="N172" s="193"/>
      <c r="O172" s="21"/>
      <c r="P172" s="21"/>
      <c r="Q172" s="21"/>
      <c r="R172" s="21"/>
      <c r="S172" s="21"/>
      <c r="T172" s="21"/>
    </row>
    <row r="173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193"/>
      <c r="N173" s="193"/>
      <c r="O173" s="21"/>
      <c r="P173" s="21"/>
      <c r="Q173" s="21"/>
      <c r="R173" s="21"/>
      <c r="S173" s="21"/>
      <c r="T173" s="21"/>
    </row>
    <row r="174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193"/>
      <c r="N174" s="193"/>
      <c r="O174" s="21"/>
      <c r="P174" s="21"/>
      <c r="Q174" s="21"/>
      <c r="R174" s="21"/>
      <c r="S174" s="21"/>
      <c r="T174" s="21"/>
    </row>
    <row r="17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193"/>
      <c r="N175" s="193"/>
      <c r="O175" s="21"/>
      <c r="P175" s="21"/>
      <c r="Q175" s="21"/>
      <c r="R175" s="21"/>
      <c r="S175" s="21"/>
      <c r="T175" s="21"/>
    </row>
    <row r="176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193"/>
      <c r="N176" s="193"/>
      <c r="O176" s="21"/>
      <c r="P176" s="21"/>
      <c r="Q176" s="21"/>
      <c r="R176" s="21"/>
      <c r="S176" s="21"/>
      <c r="T176" s="21"/>
    </row>
    <row r="177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193"/>
      <c r="N177" s="193"/>
      <c r="O177" s="21"/>
      <c r="P177" s="21"/>
      <c r="Q177" s="21"/>
      <c r="R177" s="21"/>
      <c r="S177" s="21"/>
      <c r="T177" s="21"/>
    </row>
    <row r="178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193"/>
      <c r="N178" s="193"/>
      <c r="O178" s="21"/>
      <c r="P178" s="21"/>
      <c r="Q178" s="21"/>
      <c r="R178" s="21"/>
      <c r="S178" s="21"/>
      <c r="T178" s="21"/>
    </row>
    <row r="179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193"/>
      <c r="N179" s="193"/>
      <c r="O179" s="21"/>
      <c r="P179" s="21"/>
      <c r="Q179" s="21"/>
      <c r="R179" s="21"/>
      <c r="S179" s="21"/>
      <c r="T179" s="21"/>
    </row>
    <row r="180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193"/>
      <c r="N180" s="193"/>
      <c r="O180" s="21"/>
      <c r="P180" s="21"/>
      <c r="Q180" s="21"/>
      <c r="R180" s="21"/>
      <c r="S180" s="21"/>
      <c r="T180" s="21"/>
    </row>
    <row r="18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193"/>
      <c r="N181" s="193"/>
      <c r="O181" s="21"/>
      <c r="P181" s="21"/>
      <c r="Q181" s="21"/>
      <c r="R181" s="21"/>
      <c r="S181" s="21"/>
      <c r="T181" s="21"/>
    </row>
    <row r="182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193"/>
      <c r="N182" s="193"/>
      <c r="O182" s="21"/>
      <c r="P182" s="21"/>
      <c r="Q182" s="21"/>
      <c r="R182" s="21"/>
      <c r="S182" s="21"/>
      <c r="T182" s="21"/>
    </row>
    <row r="183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193"/>
      <c r="N183" s="193"/>
      <c r="O183" s="21"/>
      <c r="P183" s="21"/>
      <c r="Q183" s="21"/>
      <c r="R183" s="21"/>
      <c r="S183" s="21"/>
      <c r="T183" s="21"/>
    </row>
    <row r="184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193"/>
      <c r="N184" s="193"/>
      <c r="O184" s="21"/>
      <c r="P184" s="21"/>
      <c r="Q184" s="21"/>
      <c r="R184" s="21"/>
      <c r="S184" s="21"/>
      <c r="T184" s="21"/>
    </row>
    <row r="185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193"/>
      <c r="N185" s="193"/>
      <c r="O185" s="21"/>
      <c r="P185" s="21"/>
      <c r="Q185" s="21"/>
      <c r="R185" s="21"/>
      <c r="S185" s="21"/>
      <c r="T185" s="21"/>
    </row>
    <row r="186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193"/>
      <c r="N186" s="193"/>
      <c r="O186" s="21"/>
      <c r="P186" s="21"/>
      <c r="Q186" s="21"/>
      <c r="R186" s="21"/>
      <c r="S186" s="21"/>
      <c r="T186" s="21"/>
    </row>
    <row r="187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193"/>
      <c r="N187" s="193"/>
      <c r="O187" s="21"/>
      <c r="P187" s="21"/>
      <c r="Q187" s="21"/>
      <c r="R187" s="21"/>
      <c r="S187" s="21"/>
      <c r="T187" s="21"/>
    </row>
    <row r="188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193"/>
      <c r="N188" s="193"/>
      <c r="O188" s="21"/>
      <c r="P188" s="21"/>
      <c r="Q188" s="21"/>
      <c r="R188" s="21"/>
      <c r="S188" s="21"/>
      <c r="T188" s="21"/>
    </row>
    <row r="189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193"/>
      <c r="N189" s="193"/>
      <c r="O189" s="21"/>
      <c r="P189" s="21"/>
      <c r="Q189" s="21"/>
      <c r="R189" s="21"/>
      <c r="S189" s="21"/>
      <c r="T189" s="21"/>
    </row>
    <row r="190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193"/>
      <c r="N190" s="193"/>
      <c r="O190" s="21"/>
      <c r="P190" s="21"/>
      <c r="Q190" s="21"/>
      <c r="R190" s="21"/>
      <c r="S190" s="21"/>
      <c r="T190" s="21"/>
    </row>
    <row r="19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193"/>
      <c r="N191" s="193"/>
      <c r="O191" s="21"/>
      <c r="P191" s="21"/>
      <c r="Q191" s="21"/>
      <c r="R191" s="21"/>
      <c r="S191" s="21"/>
      <c r="T191" s="21"/>
    </row>
    <row r="192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193"/>
      <c r="N192" s="193"/>
      <c r="O192" s="21"/>
      <c r="P192" s="21"/>
      <c r="Q192" s="21"/>
      <c r="R192" s="21"/>
      <c r="S192" s="21"/>
      <c r="T192" s="21"/>
    </row>
    <row r="193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193"/>
      <c r="N193" s="193"/>
      <c r="O193" s="21"/>
      <c r="P193" s="21"/>
      <c r="Q193" s="21"/>
      <c r="R193" s="21"/>
      <c r="S193" s="21"/>
      <c r="T193" s="21"/>
    </row>
    <row r="194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193"/>
      <c r="N194" s="193"/>
      <c r="O194" s="21"/>
      <c r="P194" s="21"/>
      <c r="Q194" s="21"/>
      <c r="R194" s="21"/>
      <c r="S194" s="21"/>
      <c r="T194" s="21"/>
    </row>
    <row r="195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193"/>
      <c r="N195" s="193"/>
      <c r="O195" s="21"/>
      <c r="P195" s="21"/>
      <c r="Q195" s="21"/>
      <c r="R195" s="21"/>
      <c r="S195" s="21"/>
      <c r="T195" s="21"/>
    </row>
    <row r="196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193"/>
      <c r="N196" s="193"/>
      <c r="O196" s="21"/>
      <c r="P196" s="21"/>
      <c r="Q196" s="21"/>
      <c r="R196" s="21"/>
      <c r="S196" s="21"/>
      <c r="T196" s="21"/>
    </row>
    <row r="197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193"/>
      <c r="N197" s="193"/>
      <c r="O197" s="21"/>
      <c r="P197" s="21"/>
      <c r="Q197" s="21"/>
      <c r="R197" s="21"/>
      <c r="S197" s="21"/>
      <c r="T197" s="21"/>
    </row>
    <row r="198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193"/>
      <c r="N198" s="193"/>
      <c r="O198" s="21"/>
      <c r="P198" s="21"/>
      <c r="Q198" s="21"/>
      <c r="R198" s="21"/>
      <c r="S198" s="21"/>
      <c r="T198" s="21"/>
    </row>
    <row r="199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193"/>
      <c r="N199" s="193"/>
      <c r="O199" s="21"/>
      <c r="P199" s="21"/>
      <c r="Q199" s="21"/>
      <c r="R199" s="21"/>
      <c r="S199" s="21"/>
      <c r="T199" s="21"/>
    </row>
    <row r="200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193"/>
      <c r="N200" s="193"/>
      <c r="O200" s="21"/>
      <c r="P200" s="21"/>
      <c r="Q200" s="21"/>
      <c r="R200" s="21"/>
      <c r="S200" s="21"/>
      <c r="T200" s="21"/>
    </row>
  </sheetData>
  <hyperlinks>
    <hyperlink r:id="rId2" ref="A2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2">
      <c r="B2" s="20" t="s">
        <v>206</v>
      </c>
      <c r="E2" s="194" t="s">
        <v>207</v>
      </c>
    </row>
    <row r="7">
      <c r="G7" s="14"/>
      <c r="H7" s="14"/>
      <c r="I7" s="14"/>
    </row>
    <row r="8">
      <c r="G8" s="14"/>
    </row>
    <row r="9">
      <c r="G9" s="14"/>
    </row>
    <row r="12">
      <c r="C12" s="14"/>
      <c r="D12" s="14"/>
    </row>
    <row r="13">
      <c r="C13" s="14"/>
      <c r="D13" s="14"/>
    </row>
    <row r="14">
      <c r="C14" s="14"/>
      <c r="D1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14"/>
      <c r="C1" s="195" t="s">
        <v>208</v>
      </c>
      <c r="D1" s="14"/>
      <c r="E1" s="14"/>
    </row>
    <row r="2">
      <c r="A2" s="66" t="s">
        <v>209</v>
      </c>
      <c r="B2" s="66" t="s">
        <v>210</v>
      </c>
      <c r="C2" s="14"/>
      <c r="D2" s="14"/>
      <c r="E2" s="14"/>
    </row>
    <row r="3">
      <c r="A3" s="196" t="b">
        <v>0</v>
      </c>
      <c r="B3" s="197" t="b">
        <v>1</v>
      </c>
      <c r="C3" s="198" t="s">
        <v>211</v>
      </c>
      <c r="D3" s="14"/>
      <c r="E3" s="14"/>
    </row>
    <row r="4">
      <c r="A4" s="196" t="b">
        <v>0</v>
      </c>
      <c r="B4" s="197" t="b">
        <v>1</v>
      </c>
      <c r="C4" s="198" t="s">
        <v>212</v>
      </c>
      <c r="D4" s="14"/>
      <c r="E4" s="14"/>
    </row>
    <row r="5">
      <c r="A5" s="196" t="b">
        <v>0</v>
      </c>
      <c r="B5" s="197" t="b">
        <v>1</v>
      </c>
      <c r="C5" s="198" t="s">
        <v>213</v>
      </c>
      <c r="D5" s="14"/>
      <c r="E5" s="14"/>
    </row>
    <row r="6">
      <c r="A6" s="196" t="b">
        <v>0</v>
      </c>
      <c r="B6" s="197" t="b">
        <v>1</v>
      </c>
      <c r="C6" s="198" t="s">
        <v>214</v>
      </c>
      <c r="D6" s="14"/>
      <c r="E6" s="14"/>
    </row>
    <row r="7">
      <c r="A7" s="196" t="b">
        <v>0</v>
      </c>
      <c r="B7" s="197" t="b">
        <v>1</v>
      </c>
      <c r="C7" s="14"/>
      <c r="D7" s="198" t="s">
        <v>215</v>
      </c>
      <c r="E7" s="14"/>
    </row>
    <row r="8">
      <c r="A8" s="196" t="b">
        <v>0</v>
      </c>
      <c r="B8" s="197" t="b">
        <v>1</v>
      </c>
      <c r="C8" s="14"/>
      <c r="D8" s="198" t="s">
        <v>216</v>
      </c>
      <c r="E8" s="14"/>
    </row>
    <row r="9">
      <c r="A9" s="196" t="b">
        <v>0</v>
      </c>
      <c r="B9" s="197" t="b">
        <v>1</v>
      </c>
      <c r="C9" s="198" t="s">
        <v>217</v>
      </c>
      <c r="D9" s="14"/>
      <c r="E9" s="14"/>
    </row>
    <row r="10">
      <c r="A10" s="196" t="b">
        <v>0</v>
      </c>
      <c r="B10" s="197" t="b">
        <v>1</v>
      </c>
      <c r="C10" s="198" t="s">
        <v>218</v>
      </c>
      <c r="D10" s="14"/>
      <c r="E10" s="14"/>
    </row>
    <row r="11">
      <c r="A11" s="196" t="b">
        <v>0</v>
      </c>
      <c r="B11" s="197" t="b">
        <v>1</v>
      </c>
      <c r="C11" s="198" t="s">
        <v>219</v>
      </c>
      <c r="D11" s="14"/>
      <c r="E11" s="14"/>
    </row>
    <row r="12">
      <c r="A12" s="196" t="b">
        <v>0</v>
      </c>
      <c r="B12" s="196" t="b">
        <v>1</v>
      </c>
      <c r="C12" s="198" t="s">
        <v>220</v>
      </c>
      <c r="D12" s="14"/>
      <c r="E12" s="14"/>
    </row>
    <row r="13">
      <c r="A13" s="14"/>
      <c r="B13" s="14"/>
      <c r="C13" s="14"/>
      <c r="D13" s="14"/>
      <c r="E13" s="14"/>
    </row>
    <row r="14">
      <c r="A14" s="14"/>
      <c r="B14" s="14"/>
      <c r="C14" s="14"/>
      <c r="D14" s="14"/>
      <c r="E14" s="14"/>
    </row>
    <row r="15">
      <c r="A15" s="14"/>
      <c r="B15" s="14"/>
      <c r="C15" s="199" t="s">
        <v>221</v>
      </c>
      <c r="D15" s="14"/>
      <c r="E15" s="14"/>
    </row>
    <row r="16">
      <c r="A16" s="14"/>
      <c r="B16" s="14"/>
      <c r="C16" s="14"/>
      <c r="D16" s="14"/>
      <c r="E16" s="14"/>
    </row>
    <row r="17">
      <c r="A17" s="196" t="b">
        <v>0</v>
      </c>
      <c r="B17" s="197" t="b">
        <v>1</v>
      </c>
      <c r="C17" s="200" t="s">
        <v>222</v>
      </c>
      <c r="D17" s="14"/>
      <c r="E17" s="14"/>
    </row>
  </sheetData>
  <drawing r:id="rId1"/>
</worksheet>
</file>