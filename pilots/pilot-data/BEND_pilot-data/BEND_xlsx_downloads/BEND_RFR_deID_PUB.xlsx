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ube Results" sheetId="1" r:id="rId4"/>
    <sheet state="visible" name="Weekly" sheetId="2" r:id="rId5"/>
    <sheet state="visible" name="Runs Compare" sheetId="3" r:id="rId6"/>
    <sheet state="visible" name="Run Reconcile" sheetId="4" r:id="rId7"/>
    <sheet state="visible" name="RFR Data - preExcl" sheetId="5" r:id="rId8"/>
    <sheet state="visible" name="APS Tubes Import" sheetId="6" r:id="rId9"/>
    <sheet state="visible" name="APS Tubes by Date Import" sheetId="7" r:id="rId10"/>
    <sheet state="visible" name="ARF Tubes" sheetId="8" r:id="rId11"/>
    <sheet state="visible" name="Tube Reactions" sheetId="9" r:id="rId12"/>
    <sheet state="visible" name="Process Ref" sheetId="10" r:id="rId13"/>
  </sheets>
  <definedNames>
    <definedName hidden="1" localSheetId="4" name="Z_C63CB2F6_5844_4B26_B7E0_7F113F665B65_.wvu.FilterData">'RFR Data - preExcl'!$AL$2:$AL$53</definedName>
    <definedName hidden="1" localSheetId="4" name="Z_B6222228_69F0_46E0_8A0F_655A0CE0D24D_.wvu.FilterData">'RFR Data - preExcl'!$A$2:$AZ$53</definedName>
  </definedNames>
  <calcPr/>
  <customWorkbookViews>
    <customWorkbookView activeSheetId="0" maximized="1" windowHeight="0" windowWidth="0" guid="{C63CB2F6-5844-4B26-B7E0-7F113F665B65}" name="Filter 2"/>
    <customWorkbookView activeSheetId="0" maximized="1" windowHeight="0" windowWidth="0" guid="{B6222228-69F0-46E0-8A0F-655A0CE0D24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num means Inconclusive in ALL Results (Appivo Final + ARF) but not RFR Audit (preExcl) 
- num means Inconclusive in RFR Audit (preExcl) but not ALL Results (Appivo Final + ARF)
</t>
      </text>
    </comment>
    <comment authorId="0" ref="AE2">
      <text>
        <t xml:space="preserve">used for lookup in column A (RUN ID INTERNAL)
FORMULA:
=IFNA(MATCH(A9,'RFR Data - preExcl'!A$2:A,0))</t>
      </text>
    </comment>
    <comment authorId="0" ref="M6">
      <text>
        <t xml:space="preserve">OK - no RFR, APS only run
</t>
      </text>
    </comment>
    <comment authorId="0" ref="M15">
      <text>
        <t xml:space="preserve">Extra pos in RFR audit compared to results in Appivo - no explanation (RT Jan26)</t>
      </text>
    </comment>
    <comment authorId="0" ref="N15">
      <text>
        <t xml:space="preserve">2 inconclusives in RFR audit but no inconclusives in Appivo - no explanation (RT Jan26)</t>
      </text>
    </comment>
    <comment authorId="0" ref="M20">
      <text>
        <t xml:space="preserve">Unexplained extra positive in Appivo compared to RFR (RT Jan26)
</t>
      </text>
    </comment>
    <comment authorId="0" ref="N21">
      <text>
        <t xml:space="preserve">1 inconclusive in RFR audit but no inconclusives in Appivo - no explanation (RT Jan26)</t>
      </text>
    </comment>
    <comment authorId="0" ref="S47">
      <text>
        <t xml:space="preserve">collection dates without runs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=SORT(UNIQUE(R2:S),2,TRUE)</t>
      </text>
    </comment>
    <comment authorId="0" ref="D1">
      <text>
        <t xml:space="preserve">If see #REF!, then check that run needs to be removed from APS by manually deleting the APS Run Number in col W
</t>
      </text>
    </comment>
    <comment authorId="0" ref="H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I1">
      <text>
        <t xml:space="preserve">Borders around cells mean these tubes were run together and therefore assigned the same RUN ID</t>
      </text>
    </comment>
    <comment authorId="0" ref="L1">
      <text>
        <t xml:space="preserve">=IF(ISBLANK(BN2),IFERROR(0/0),BG2)
final starts as RFR Audit Num Collect Tubes
changes in yellow, usually when 2 initial runs in one day</t>
      </text>
    </comment>
    <comment authorId="0" ref="N1">
      <text>
        <t xml:space="preserve">see Process Ref tab - bottom portion</t>
      </text>
    </comment>
    <comment authorId="0" ref="O1">
      <text>
        <t xml:space="preserve">=IF(ISBLANK(BO2),IFERROR(0/0),IF($BN2&lt;=3,TRUE,IFERROR(0/0)))</t>
      </text>
    </comment>
    <comment authorId="0" ref="P1">
      <text>
        <t xml:space="preserve">FORMULA:
=IF(ISBLANK(N2),IFERROR(0/0),IFERROR(VLOOKUP(N2, 'Process Ref'!$A$76:$D$120, 2, FALSE), IFERROR(0/0)))
Adjust, process, ref tab, absolute, row numbers to match</t>
      </text>
    </comment>
    <comment authorId="0" ref="R1">
      <text>
        <t xml:space="preserve">used for lookup in column A (RUN ID INTERNAL)
FORMULA:
=IFNA(MATCH(A9,'RFR Data - preExcl'!A$2:A,0))</t>
      </text>
    </comment>
    <comment authorId="0" ref="U1">
      <text>
        <t xml:space="preserve">TOP PORTION FORMULA:
=IF(EXACT('RFR Data - preExcl'!W1,"Initial"),'RFR Data - preExcl'!U1,IFERROR(0/0))
BOTTOM PORTION FORMULA:
</t>
      </text>
    </comment>
    <comment authorId="0" ref="W1">
      <text>
        <t xml:space="preserve">Starts with hardcoded 1 in blue cell and increments below</t>
      </text>
    </comment>
    <comment authorId="0" ref="L2">
      <text>
        <t xml:space="preserve">CYAN FILL
pulls from column I which is APS Collect</t>
      </text>
    </comment>
    <comment authorId="0" ref="L3">
      <text>
        <t xml:space="preserve">BRIGHT GREEN FILL
pulls from column G (RFR)
good situation where RFR = APS Collect</t>
      </text>
    </comment>
    <comment authorId="0" ref="L6">
      <text>
        <t xml:space="preserve">GRAY FILL
can leave as pulling from column G (RFR) because it's empty (0)
</t>
      </text>
    </comment>
    <comment authorId="0" ref="I25">
      <text>
        <t xml:space="preserve">Manually set to zero because all tubes for this run were collected the day before
This is a very strange case where it looks like two runs were done in one day and in one run was 33 tubes, all of which were collected the previous day and the other run was 15 tubes, 14 of which were collected the same day and then one tube that was collected two days before.</t>
      </text>
    </comment>
    <comment authorId="0" ref="D32">
      <text>
        <t xml:space="preserve">Conclude this as an error because all three other counts match, but this site often has the G-form or a number of samples one less than the audit number of reactions. For example, see the next three. That may be due to just leaving some reaction tubes empty and choosing the reaction strips that are available.</t>
      </text>
    </comment>
    <comment authorId="0" ref="T57">
      <text>
        <t xml:space="preserve">Only populate this cell with an APS run ID if there is not a corresponding initial RFR run, meaning if there's a date in column U and if the APS run number hasn't been manually blanked out during the run reconciliation process.
FORMULA:
=IF(AND(NOT(ISBLANK(U53)),NOT(ISBLANK(V53)),NOT(ISBLANK(W53))),CONCATENATE("RUN_",TEXT(V53,"YYYY-MM-DD"),"_APS-",TEXT(W53,"000")),IFERROR(0/0))</t>
      </text>
    </comment>
    <comment authorId="0" ref="U57">
      <text>
        <t xml:space="preserve">Propagate APS Collection Date from right if that date is not present above in the RFR run dates
FORMULA:
=IF(COUNTIF(U$2:U$52,V53)=0,V53,IFERROR(0/0))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FORMULA:
=CONCATENATE("RUN_",TEXT(U2,"YYYY-MM-DD"),"_RFR-",TEXT(AR2,"000"),IF(EXACT(W2,"Initial"),"",CONCATENATE("_",W2)))</t>
      </text>
    </comment>
    <comment authorId="0" ref="B1">
      <text>
        <t xml:space="preserve">Highlighted are dates to get RUN ID assignment on Pass2</t>
      </text>
    </comment>
    <comment authorId="0" ref="E1">
      <text>
        <t xml:space="preserve">"Samples" should be Collection Tubes but the form was made a long time ago</t>
      </text>
    </comment>
    <comment authorId="0" ref="G1">
      <text>
        <t xml:space="preserve">Duplicate link to photo of run form for re-runs. Conditional formatting light blue if duplicated link (= cell above), but fix if there are delete rows.</t>
      </text>
    </comment>
    <comment authorId="0" ref="I1">
      <text>
        <t xml:space="preserve">Results photos must correspond to the run. Don't duplicate initial run results photos for rerun if they don't apply. If it's one photo of both initial and rerun, then duplicate it and indicate which conclude are which in notes. Or screenshot and separate.
Conditional formatting light blue if duplicated link (= cell above)</t>
      </text>
    </comment>
    <comment authorId="0" ref="J1">
      <text>
        <t xml:space="preserve">don't duplicate for added rerun</t>
      </text>
    </comment>
    <comment authorId="0" ref="K1">
      <text>
        <t xml:space="preserve">duplicate for added rerun if applies</t>
      </text>
    </comment>
    <comment authorId="0" ref="L1">
      <text>
        <t xml:space="preserve">1	Date Not In Range
2	Note Indicates Test
3	Email Indicates Test
4	Duplicate Entry
5	Development Run
6	Contrived Positive / Validation Run
7	Non standard run (add note)
8	Invalid run from control fail (add note)
9      Other (add note)</t>
      </text>
    </comment>
    <comment authorId="0" ref="M1">
      <text>
        <t xml:space="preserve">1     Added Entry
1.1	Gform - Num Samples incorrect or missing
1.2	RunForm - Num Rxns incl cntrl incorrect or missing
1.3	Gform - Incorrect Date or missing
1.4	RunForm - Incorrect Date or missing
1.5	Extra pink rxn in image, conclude empty
1.6	Tubes from GForm or RunForm not in Appivo
1.7	Number of control rxns not definitive
1.8	Combination of multiple, use RFR Correct Notes
1.9	No Run Form Photo or no Result Photo</t>
      </text>
    </comment>
    <comment authorId="0" ref="N1">
      <text>
        <t xml:space="preserve">2.1	GForm InitIncl I -&gt; N
2.2	GForm InitIncl I -&gt; P
2.3	GForm InitIncl N -&gt; I
2.4	GForm InitIncl P -&gt; I
2.5	GForm InitIncl N -&gt; P
2.6	GForm InitIncl P -&gt; N
3.1	Notes ...
4.1	Both ...
6	Other - enter notes</t>
      </text>
    </comment>
    <comment authorId="0" ref="P1">
      <text>
        <t xml:space="preserve">N2&gt;=2</t>
      </text>
    </comment>
    <comment authorId="0" ref="Q1">
      <text>
        <t xml:space="preserve">Use when either the run is invalid (if it was logged separately) or if this is the valid run but it had an invalid run associated with it. If the run itself is invalid, mark for deletion so it does not corrupt the stats. Summarizing invalid runs needs to be done with the pre delete version.</t>
      </text>
    </comment>
    <comment authorId="0" ref="S1">
      <text>
        <t xml:space="preserve">Only mark daughter (can be rerun or initial)</t>
      </text>
    </comment>
    <comment authorId="0" ref="V1">
      <text>
        <t xml:space="preserve">don't leave blank, estimate based on when gform is logged if no time on run form</t>
      </text>
    </comment>
    <comment authorId="0" ref="W1">
      <text>
        <t xml:space="preserve">Initial = first time tubes are run
Re-run = subsequent times tubes are run
Xclude = remove for CD (use Xclude instead of Exclude so it shows up at end on sort)
Use the term "repeat" for when an initial run is repeated because of a problem and the first run is rejected</t>
      </text>
    </comment>
    <comment authorId="0" ref="Y1">
      <text>
        <t xml:space="preserve">Only TRUE if explicit indication of inconclusive or positive. It can still be resulted  Incl/Pos in Appivo though FALSE here</t>
      </text>
    </comment>
    <comment authorId="0" ref="AA1">
      <text>
        <t xml:space="preserve">=IF(ISBLANK(Z2),IFERROR(0/0),Z2-E2)</t>
      </text>
    </comment>
    <comment authorId="0" ref="AB1">
      <text>
        <t xml:space="preserve">=IF(AA2 = 2,FALSE,TRUE)</t>
      </text>
    </comment>
    <comment authorId="0" ref="AF1">
      <text>
        <t xml:space="preserve">Resulting Decision Chart v1.2 https://docs.google.com/spreadsheets/d/1hSqrQPAmpFeEcgxNxtFhQyBI904lUhvz1yx7GcAbefo</t>
      </text>
    </comment>
    <comment authorId="0" ref="AI1">
      <text>
        <t xml:space="preserve">put same entry for initial and all reruns</t>
      </text>
    </comment>
    <comment authorId="0" ref="AJ1">
      <text>
        <t xml:space="preserve">this is a rerun that is not in triplicate</t>
      </text>
    </comment>
    <comment authorId="0" ref="AL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AM1">
      <text>
        <t xml:space="preserve">=IF(EXACT(W2,"Initial"),"Audit","")
Only for Initial runs</t>
      </text>
    </comment>
    <comment authorId="0" ref="AN1">
      <text>
        <t xml:space="preserve">=IFNA(VLOOKUP($A2,'Tube Result Table Draft'!$I$2:$J,2,FALSE))</t>
      </text>
    </comment>
    <comment authorId="0" ref="AO1">
      <text>
        <t xml:space="preserve">=IF(AND(AN2&gt;0,AN2&lt;&gt;AO2),"NOT EQUAL","")</t>
      </text>
    </comment>
    <comment authorId="0" ref="AR1">
      <text>
        <t xml:space="preserve">=ROW(AR2)-1</t>
      </text>
    </comment>
    <comment authorId="0" ref="AT1">
      <text>
        <t xml:space="preserve">replace PII with initials, names, firstname, lastname</t>
      </text>
    </comment>
    <comment authorId="0" ref="AX1">
      <text>
        <t xml:space="preserve">=IF(OR(AND(AL2=0,AW2),AND(AL2&lt;&gt;0,NOT(AW2))),TRUE,FALSE)</t>
      </text>
    </comment>
    <comment authorId="0" ref="BA1">
      <text>
        <t xml:space="preserve">=IF(AND(U2&lt;&gt;U3,U2&lt;&gt;U1),TRUE,FALSE)
MUST BE SORTED BY Run Date
PASTE AS VALUES after so can sort again</t>
      </text>
    </comment>
    <comment authorId="0" ref="BK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BP1">
      <text>
        <t xml:space="preserve">=IF(ISBLANK(BN2),IFERROR(0/0),BG2)
final starts as RFR Audit Num Collect Tubes
changes in yellow, usually when 2 initial runs in one day</t>
      </text>
    </comment>
    <comment authorId="0" ref="BR1">
      <text>
        <t xml:space="preserve">0   Same Audit RFR: APS Collect = APS Result = RFR
0.1 same as above except Null &gt; Neg
1 Same Audit RFR: APS Collect = RFR (disregard Result Count)
1.1 same as above except Null &gt; Neg
2 Same Audit RFR - Extra tubes in RFR not in Appivo
2.1 same as above except Null &gt; Neg
3 Same Audit RFR - Delete Null Tube
4 Same Audit RFR - extra tube in Appivo not in LUM marked for delete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highlighting shows which rows need entries in delta col
blue gets + num
red gets - num
green gets +/- num depending</t>
      </text>
    </comment>
    <comment authorId="0" ref="BS1">
      <text>
        <t xml:space="preserve">=IF(ISBLANK(BO2),IFERROR(0/0),IF($BN2&lt;=3,TRUE,IFERROR(0/0)))</t>
      </text>
    </comment>
    <comment authorId="0" ref="BL2">
      <text>
        <t xml:space="preserve">1st row is different formula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
      <text>
        <t xml:space="preserve">FORMULA:
=IF(COUNTIF(U$2:U, $A2) &gt; 0,TRUE,IFERROR(0/0))
This way you can paste the tubes as values into column U and then even if you delete ones later, they won't line up anymore but the boolean values in this column Q will be correct.</t>
      </text>
    </comment>
    <comment authorId="0" ref="T1">
      <text>
        <t xml:space="preserve">FORMULA:
=IF(COUNTIF(V$2:V, $A2) &gt; 0,TRUE,IFERROR(0/0))
This way you can paste the tubes as values into column U and then even if you delete ones later, they won't line up anymore but the boolean values in this column Q will be correct.</t>
      </text>
    </comment>
    <comment authorId="0" ref="V1">
      <text>
        <t xml:space="preserve">=CONCATENATE(P2,Q2)</t>
      </text>
    </comment>
    <comment authorId="0" ref="W1">
      <text>
        <t xml:space="preserve">paste as values for tubes run next day, see note in col Q - SO ITS OK IF THESE TUBE IDS DON'T LINE UP WITH THEIR MATCHES IN COLUMN A - that's because after they were pasted in as values, additional tubes were deleted or undeleted in APS preDel
</t>
      </text>
    </comment>
    <comment authorId="0" ref="X1">
      <text>
        <t xml:space="preserve">paste as values for tubes run next day, see note in col Q - SO ITS OK IF THESE TUBE IDS DON'T LINE UP WITH THEIR MATCHES IN COLUMN A - that's because after they were pasted in as values, additional tubes were deleted or undeleted in APS preDel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The difference of 770 APS COLLECT - 766 APS RESULT tubes is 4 that are Null called Neg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Manually paste TRUE
</t>
      </text>
    </comment>
    <comment authorId="0" ref="A2">
      <text>
        <t xml:space="preserve">paste entire list as values from Run Reconcile tab
then sort by Final Num - APS Num Tubes with high at top
Positive numbers mean ARF tubes (in RFR but not APS) need to be added
Delete all rows with 0 and neg numbers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=CONCATENATE("TUNKPROG",TEXT(G2,"000"))
Replace PROG above with 4CHAR</t>
      </text>
    </comment>
    <comment authorId="0" ref="C1">
      <text>
        <t xml:space="preserve">Has to be a reference
Use $ for the row so the cell can be cut and pasted
='RFR Data - preExcl'!A$5</t>
      </text>
    </comment>
    <comment authorId="0" ref="D1">
      <text>
        <t xml:space="preserve">1	APS
2.1	RForm LUM
2.2	RForm Notes
2.3	GForm Notes
3	RTR
4	Unknown - assigned</t>
      </text>
    </comment>
    <comment authorId="0" ref="E1">
      <text>
        <t xml:space="preserve">Tube Result Codes	Initial	Session	Rerun 1			Rerun 2		
  Initial Session  Rerun 1 Rerun 2								
1	N	N	no rerun					
1.1	N	N	N	N	N	initially call I but corrected to N		
1.2	N	N	I/N/P	N	N	rerun even though initial N		
2	I	N	N	N	N			
2.1	I	N	I	N	N			
2.2	I	N	I/N/P	I/N/P	I/N/P	N	N	N
2.3	INN	N	no rerun					
2.4	I	N	non-triplicate I/N/P rerun					
3	I	I	no rerun					
3.1	I	I	I/N	I/N	I/N			
3.2	I	I	I/N/P	I/N/P	I/N/P			
3.3	I	I	I/N/P	I/N/P	I/N/P	I/N/P	I/N/P	I/N/P
4	I	P	I/N/P	I/N/P	I/N/P			
4.1	I	P	I/N/P	I/N/P	I/N/P	I/N/P	I/N/P	I/N/P
5	P	N	N	N	N			
5.1	P	N	N	rerun singlet				
5.2	P	N	N	N	N	N	N	N
5.3  P      N     contam run
6.1	P	I	I/N/P	I/N/P	I/N/P	I/N/P	I/N/P	I/N/P
7	P	P	no rerun					
7.1	P	P	P	P	P			
7.2	P	P	P	P	I			
7.3	P	P	P	P	N			
7.4	P	P	I/N/P	I/N/P	I/N/P			
7.5	PPP	P	no rerun					
7.7	P	P	non-3 replicates all P					
7.8	P	P	P	Rerun Singlet				
8	P	N	non-triplicate I/N/P rerun					
9	specify in Tube Result Notes</t>
      </text>
    </comment>
    <comment authorId="0" ref="H1">
      <text>
        <t xml:space="preserve">=IF(MAX(G2:G)=COUNTUNIQUE(G2:G),MAX(G2:G)+1,"ERROR")
TUNK Index (for Unknown Tubes)
insert new rows
numbers must be consecutive and values (not formulas)
If ERROR - past all nums as vals in new col and sort to find error</t>
      </text>
    </comment>
    <comment authorId="0" ref="I1">
      <text>
        <t xml:space="preserve">=VALUE(MID(B2,8,3))</t>
      </text>
    </comment>
    <comment authorId="0" ref="J1">
      <text>
        <t xml:space="preserve">=IF(B2&lt;&gt;B1,B2,"")</t>
      </text>
    </comment>
    <comment authorId="0" ref="K1">
      <text>
        <t xml:space="preserve">=COUNTIF($B$2:$B,$I2)</t>
      </text>
    </comment>
    <comment authorId="0" ref="E34">
      <text>
        <t xml:space="preserve">unsure - see note</t>
      </text>
    </comment>
    <comment authorId="0" ref="E35">
      <text>
        <t xml:space="preserve">unsure - see note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8">
      <text>
        <t xml:space="preserve">Only apply to initial run and classifies the whole sequence (session for tube)</t>
      </text>
    </comment>
  </commentList>
</comments>
</file>

<file path=xl/sharedStrings.xml><?xml version="1.0" encoding="utf-8"?>
<sst xmlns="http://schemas.openxmlformats.org/spreadsheetml/2006/main" count="2234" uniqueCount="820">
  <si>
    <t>Week Start Date</t>
  </si>
  <si>
    <t>Week End Date</t>
  </si>
  <si>
    <t>% Positive</t>
  </si>
  <si>
    <t>ALL Tube RESULTS by Run ID</t>
  </si>
  <si>
    <t>Run Reconciled RESULTS</t>
  </si>
  <si>
    <t>RFR Data - PreExcl RESULTS</t>
  </si>
  <si>
    <t>APS Final RESULTS by Reconciled Run ID</t>
  </si>
  <si>
    <t>APS Final RESULTS by Collect Date</t>
  </si>
  <si>
    <t>Run ID</t>
  </si>
  <si>
    <t>Run Date</t>
  </si>
  <si>
    <t>Number of Tubes</t>
  </si>
  <si>
    <t>Negative</t>
  </si>
  <si>
    <t>Positive</t>
  </si>
  <si>
    <t>Inconclusive</t>
  </si>
  <si>
    <t>Delta to Run Reconciled Results</t>
  </si>
  <si>
    <t>T</t>
  </si>
  <si>
    <t>P</t>
  </si>
  <si>
    <t>I</t>
  </si>
  <si>
    <t>Delta to RFR preExcl Audit Num Run Tubes</t>
  </si>
  <si>
    <t>Delta to RFR preExcl Audit Num Positives</t>
  </si>
  <si>
    <t>Delta to RFR preExcl Audit Num Inconclusives</t>
  </si>
  <si>
    <t>Delta to APS</t>
  </si>
  <si>
    <t>Reconciled Tube Run Count</t>
  </si>
  <si>
    <t>Exact Run ID Match to ALL Tube Results (Col A)</t>
  </si>
  <si>
    <t>Run ID - RFR Initial Only</t>
  </si>
  <si>
    <t>Calculated Negs</t>
  </si>
  <si>
    <t>preExcl Match Row</t>
  </si>
  <si>
    <t>Final Assigned Run ID</t>
  </si>
  <si>
    <t>Null</t>
  </si>
  <si>
    <t>RUN-BEND_2021-12-13_RFR-002</t>
  </si>
  <si>
    <t>RUN-BEND_2021-12-15_APS-002</t>
  </si>
  <si>
    <t>RUN-BEND_2021-12-17_APS-003</t>
  </si>
  <si>
    <t>RUN-BEND_2021-12-20_RFR-003</t>
  </si>
  <si>
    <t>RUN-BEND_2021-12-22_RFR-004</t>
  </si>
  <si>
    <t>RUN-BEND_2021-12-27_RFR-005</t>
  </si>
  <si>
    <t>RUN-BEND_2021-12-29_RFR-006</t>
  </si>
  <si>
    <t>RUN-BEND_2021-12-31_RFR-007</t>
  </si>
  <si>
    <t>RUN-BEND_2022-01-03_RFR-009</t>
  </si>
  <si>
    <t>RUN-BEND_2022-01-05_RFR-010</t>
  </si>
  <si>
    <t>RUN-BEND_2022-01-07_RFR-011</t>
  </si>
  <si>
    <t>RUN-BEND_2022-01-10_RFR-012</t>
  </si>
  <si>
    <t>RUN-BEND_2022-01-12_RFR-013</t>
  </si>
  <si>
    <t>RUN-BEND_2022-01-14_RFR-014</t>
  </si>
  <si>
    <t>RUN-BEND_2022-01-19_RFR-015</t>
  </si>
  <si>
    <t>RUN-BEND_2022-01-19_RFR-016</t>
  </si>
  <si>
    <t>RUN-BEND_2022-01-21_RFR-017</t>
  </si>
  <si>
    <t>RUN-BEND_2022-01-24_RFR-019</t>
  </si>
  <si>
    <t>RUN-BEND_2022-01-26_RFR-020</t>
  </si>
  <si>
    <t>RUN-BEND_2022-01-28_RFR-022</t>
  </si>
  <si>
    <t>RUN-BEND_2022-01-31_RFR-024</t>
  </si>
  <si>
    <t>RUN-BEND_2022-02-02_RFR-025</t>
  </si>
  <si>
    <t>RUN-BEND_2022-02-04_RFR-026</t>
  </si>
  <si>
    <t>RUN-BEND_2022-02-07_RFR-027</t>
  </si>
  <si>
    <t>RUN-BEND_2022-02-09_RFR-028</t>
  </si>
  <si>
    <t>RUN-BEND_2022-02-11_RFR-030</t>
  </si>
  <si>
    <t>RUN-BEND_2022-02-12_RFR-031</t>
  </si>
  <si>
    <t>RUN-BEND_2022-02-15_RFR-032</t>
  </si>
  <si>
    <t>RUN-BEND_2022-02-17_RFR-035</t>
  </si>
  <si>
    <t>RUN-BEND_2022-02-19_RFR-036</t>
  </si>
  <si>
    <t>RUN-BEND_2022-02-21_RFR-037</t>
  </si>
  <si>
    <t>RUN-BEND_2022-02-22_RFR-038</t>
  </si>
  <si>
    <t>RUN-BEND_2022-02-23_RFR-039</t>
  </si>
  <si>
    <t>RUN-BEND_2022-02-25_RFR-040</t>
  </si>
  <si>
    <t>RUN-BEND_2022-02-27_RFR-042</t>
  </si>
  <si>
    <t>RUN-BEND_2022-03-01_RFR-043</t>
  </si>
  <si>
    <t>RUN-BEND_2022-03-03_RFR-044</t>
  </si>
  <si>
    <t>RUN-BEND_2022-03-05_RFR-045</t>
  </si>
  <si>
    <t>RUN-BEND_2022-03-07_RFR-047</t>
  </si>
  <si>
    <t>RUN-BEND_2022-03-09_RFR-049</t>
  </si>
  <si>
    <t>RUN-BEND_2022-03-11_RFR-050</t>
  </si>
  <si>
    <t>RUN-BEND_2022-04-14_RFR-051</t>
  </si>
  <si>
    <t>RUN-BEND_2022-05-11_RFR-052</t>
  </si>
  <si>
    <t>RUN ID INTERNAL</t>
  </si>
  <si>
    <t>RUN DATE</t>
  </si>
  <si>
    <t>Run with No RFR?</t>
  </si>
  <si>
    <t>PHOTO RESULTS Num rxn  
(excl ctrls)</t>
  </si>
  <si>
    <t>Run Code</t>
  </si>
  <si>
    <t>APS
NUM COLLECT
TUBES</t>
  </si>
  <si>
    <t>Final Num - APS Num Tubes</t>
  </si>
  <si>
    <t>Tube Run Count Reconcile Code</t>
  </si>
  <si>
    <t>Assign Run ID by Collect Date</t>
  </si>
  <si>
    <t>RUN COUNT RECONCILE CODE REASON - Process Ref tab</t>
  </si>
  <si>
    <t>Count Reconcile Notes</t>
  </si>
  <si>
    <t>Stacked Run ID Internal</t>
  </si>
  <si>
    <t xml:space="preserve">Stacked Date: 
RFR (Top)
APS Tubes Collection (Bottom) </t>
  </si>
  <si>
    <t>APS Tubes Collection Date</t>
  </si>
  <si>
    <t>APS Run Number</t>
  </si>
  <si>
    <t>Run ID - Reruns</t>
  </si>
  <si>
    <t>Num rxn  
(excl ctrls)</t>
  </si>
  <si>
    <t>RFR Audit
Num
Run Tubes</t>
  </si>
  <si>
    <t>APS Only Runs</t>
  </si>
  <si>
    <t>Run resulted in Appivo 3 days later</t>
  </si>
  <si>
    <t>Run next day, also 2 NULL tubes deleted</t>
  </si>
  <si>
    <t>Run next day</t>
  </si>
  <si>
    <t>Extra tubes in RFR not in Appivo</t>
  </si>
  <si>
    <t>Extra tube in Appivo not in RFR</t>
  </si>
  <si>
    <t>reconcile both runs this day together</t>
  </si>
  <si>
    <t>either run as separate run and resulted at same time as run next day, or next day RFR count is missing this one</t>
  </si>
  <si>
    <t>Conclude this as an error because all three other counts match, but this site often has the G-form or a number of samples one less than the audit number of reactions. For example, see the next three. That may be due to just leaving some reaction tubes empty and choosing the reaction strips that are available.</t>
  </si>
  <si>
    <t>Delete 4 NULLs, 1 NULL &gt; Neg based on LUM</t>
  </si>
  <si>
    <t>Extra 2 tubes in Appivo not in RFR</t>
  </si>
  <si>
    <t>Extra 2 tubes in RFR not in Appivo</t>
  </si>
  <si>
    <t>Nets out with 2 days earlier wrt Collect</t>
  </si>
  <si>
    <t>Delete Nulls but suspect were run without resulting in Appivo or RFR</t>
  </si>
  <si>
    <t>Manually copy blank white cells over numbers to remove APS run</t>
  </si>
  <si>
    <t>Timestamp</t>
  </si>
  <si>
    <t>Email Address</t>
  </si>
  <si>
    <t>Location</t>
  </si>
  <si>
    <t>RAW Num of Samples (Gform)</t>
  </si>
  <si>
    <t>Sample Batch ID (from App)</t>
  </si>
  <si>
    <t>Photo of Run Sheet Printout</t>
  </si>
  <si>
    <t>Photo of Run Look Up</t>
  </si>
  <si>
    <t>Photo of Results</t>
  </si>
  <si>
    <t>RAW Number of Initial Inconclusives (if any)</t>
  </si>
  <si>
    <t>Response Notes</t>
  </si>
  <si>
    <t>OVERALL SECTION
Exclude Code</t>
  </si>
  <si>
    <t>RFR Misc Audit Code</t>
  </si>
  <si>
    <t>RFR Results Audit Code</t>
  </si>
  <si>
    <t>RFR Audit Code Notes</t>
  </si>
  <si>
    <t>Audit Corrected Call?</t>
  </si>
  <si>
    <t>Control Fail Invalid Run?</t>
  </si>
  <si>
    <t>Invalid Notes</t>
  </si>
  <si>
    <t>Daughter Row?</t>
  </si>
  <si>
    <t>Is/Has Re Run?</t>
  </si>
  <si>
    <t>RUN FORM SECTION
Audit
Run Date</t>
  </si>
  <si>
    <t>Audit
Run Time</t>
  </si>
  <si>
    <t>Run Type</t>
  </si>
  <si>
    <t>Run Form Photo Note</t>
  </si>
  <si>
    <t>Inc/Pos in Note?</t>
  </si>
  <si>
    <t>Num Rxn Including Controls (from paper form)</t>
  </si>
  <si>
    <t>Audit Num Rxns - Run Form Num Samples</t>
  </si>
  <si>
    <t>Discrepant Num Rxns or Samples?</t>
  </si>
  <si>
    <t>RESULTS PHOTO SECTION
Num rxn  
(excl ctrls)</t>
  </si>
  <si>
    <t>Audit
Inc Rxns
(excl ctrls)</t>
  </si>
  <si>
    <t>Audit
Inc Run Calls</t>
  </si>
  <si>
    <t>Audit
Inc Session Calls</t>
  </si>
  <si>
    <t>Audit
Pos Rxns
(excl ctrls)</t>
  </si>
  <si>
    <t xml:space="preserve">Audit
Pos Run
Calls </t>
  </si>
  <si>
    <t>Audit
Pos Session
Calls</t>
  </si>
  <si>
    <t>Non Triplicate Re-Run Flag</t>
  </si>
  <si>
    <t>RUN CODE SECTION
Run Code</t>
  </si>
  <si>
    <t># of Tube Result Table Rows created</t>
  </si>
  <si>
    <t>TRT # Tubes</t>
  </si>
  <si>
    <t>Lookup Map Status</t>
  </si>
  <si>
    <t>Enter Tube ID from LUM?</t>
  </si>
  <si>
    <t>Index (For Run ID Creation)</t>
  </si>
  <si>
    <t>NOTES</t>
  </si>
  <si>
    <t>NOTES w PHI</t>
  </si>
  <si>
    <t>Initials &amp; Date</t>
  </si>
  <si>
    <t>Num PCR Tubes in Results Photo</t>
  </si>
  <si>
    <t>Only Upper Left Yellow?</t>
  </si>
  <si>
    <t>Run Code=0 Check</t>
  </si>
  <si>
    <t>Diff PCR Tube Check</t>
  </si>
  <si>
    <t>Diff Check Notes</t>
  </si>
  <si>
    <t>Unique Run Date?</t>
  </si>
  <si>
    <t>Unique Run Date is Initial?</t>
  </si>
  <si>
    <t>Run Code 0?</t>
  </si>
  <si>
    <t xml:space="preserve">RECONCILE
&gt;&gt;
</t>
  </si>
  <si>
    <t>INITIAL ONLY 
&gt;&gt;&gt;&gt;&gt;&gt;
AUDIT
RUN DATE</t>
  </si>
  <si>
    <t>RUN ID</t>
  </si>
  <si>
    <t>APS
COLLECT DATE</t>
  </si>
  <si>
    <t>APS Collect Num = Result Num?</t>
  </si>
  <si>
    <t>Final Tube Run Count</t>
  </si>
  <si>
    <t>Final Num - APS Collect Num Tubes</t>
  </si>
  <si>
    <t>Assign Run ID by Collection Date</t>
  </si>
  <si>
    <t>Bend</t>
  </si>
  <si>
    <t>test</t>
  </si>
  <si>
    <t>Exclude</t>
  </si>
  <si>
    <t>BS 12/20</t>
  </si>
  <si>
    <t>BendFR</t>
  </si>
  <si>
    <t>12-13-21 A shift</t>
  </si>
  <si>
    <t>https://drive.google.com/open?id=1nslEu1iWfH972EbjbxBv04zfK889jx31</t>
  </si>
  <si>
    <t>1.2, 1.9</t>
  </si>
  <si>
    <t>Initial</t>
  </si>
  <si>
    <t>Conclude replicate reactions, no run form, 7 is same as app collected</t>
  </si>
  <si>
    <t>211220-1</t>
  </si>
  <si>
    <t>https://drive.google.com/open?id=1v7DSDbTS25zXp-uekO6N7VjPW1azYLvs</t>
  </si>
  <si>
    <t>https://drive.google.com/open?id=1IHUONDhJPxbpYmRVsHOv_VCYqqdA6Le1</t>
  </si>
  <si>
    <t>https://drive.google.com/open?id=1ecuuvdzS334EMgB08tXzavt8X0xtO2KS</t>
  </si>
  <si>
    <t>All Negatives</t>
  </si>
  <si>
    <t>12222-1</t>
  </si>
  <si>
    <t>https://drive.google.com/open?id=14ekBypfrfrOHFHChhuxWrlMjPZXvjqrL</t>
  </si>
  <si>
    <t>https://drive.google.com/open?id=1mwZtvgnkHGvNJXB-oVj3tbiNs13I_Fsp</t>
  </si>
  <si>
    <t>All negative</t>
  </si>
  <si>
    <t>Conclude 5 samples wre run from Appivo</t>
  </si>
  <si>
    <t>211227-1</t>
  </si>
  <si>
    <t>https://drive.google.com/open?id=1b9kw_iwiGh2aX7ORJZUBaA1cTER5F6_c</t>
  </si>
  <si>
    <t>https://drive.google.com/open?id=1rNh4rzX2lotXCTBA5QWuzQ9Deo6PVqxb</t>
  </si>
  <si>
    <t>4 tubes no id</t>
  </si>
  <si>
    <t>1229-1</t>
  </si>
  <si>
    <t>https://drive.google.com/open?id=16tG_fnOZ3b2XSWbV1pjuv2kGjbxxaE-7</t>
  </si>
  <si>
    <t>https://drive.google.com/open?id=1UytkTE4PPGuEMA4UjRR7pxbSfk_fvPGF</t>
  </si>
  <si>
    <t>211231-1</t>
  </si>
  <si>
    <t>https://drive.google.com/open?id=1bTWN9TNrO9oBVPNiu4menWQJSD6UIz3F</t>
  </si>
  <si>
    <t>https://drive.google.com/open?id=1eiGbj2A4cpVyKdkdc-57B0779Yz5OdDP</t>
  </si>
  <si>
    <t>2 positives</t>
  </si>
  <si>
    <t>211231-2</t>
  </si>
  <si>
    <t>https://drive.google.com/open?id=1_ajOqtyvD4qiO2czExXvO0AkIBNHhfL1</t>
  </si>
  <si>
    <t>inital image repeated</t>
  </si>
  <si>
    <t>2 positives (pulled from 211231-1)</t>
  </si>
  <si>
    <t>Re-run</t>
  </si>
  <si>
    <t>2 Positives</t>
  </si>
  <si>
    <t>Results image is for Initial, not Rerun. Bend  tends to rerun in singlets with no  controls</t>
  </si>
  <si>
    <t>220103-1</t>
  </si>
  <si>
    <t>https://drive.google.com/open?id=1ZL-BBzv1z6zrTenKtHnZL3Rnnxy758Nh</t>
  </si>
  <si>
    <t>https://drive.google.com/open?id=1h7QuFzscwWocL8hCZuvJTqnZBhx_OYZm</t>
  </si>
  <si>
    <t>Heater failure run 1</t>
  </si>
  <si>
    <t>Heater failure - rerun lot</t>
  </si>
  <si>
    <t>220105-1</t>
  </si>
  <si>
    <t>https://drive.google.com/open?id=1xyQIoK4BG-hkQSVz8LylhlmrQ-obbQeY</t>
  </si>
  <si>
    <t>https://drive.google.com/open?id=1QYYdahjp4mWvpS2tmbXSOyezMXn7j29J</t>
  </si>
  <si>
    <t>3 positives</t>
  </si>
  <si>
    <t>3 Positives</t>
  </si>
  <si>
    <t>220107-1</t>
  </si>
  <si>
    <t>https://drive.google.com/open?id=1JPCRg8UvI788bSf3wQAylkHBdCO7tW7L</t>
  </si>
  <si>
    <t>https://drive.google.com/open?id=1KrJkfyWBvelmusfs1DNHgGwP0rSlbqeJ</t>
  </si>
  <si>
    <t>Send inconclusive for confirm tube 258 no owner</t>
  </si>
  <si>
    <t>210110-1</t>
  </si>
  <si>
    <t>https://drive.google.com/open?id=1KnilMGU40kwtXRxatYwD8Qmwak2Xir5A</t>
  </si>
  <si>
    <t>https://drive.google.com/open?id=1uPHYAhNtnfAK5yAUVq6NT9XRwdlArO3v</t>
  </si>
  <si>
    <t>7 positives</t>
  </si>
  <si>
    <t>No rerun, 1 inc to pos to make 8, and 2 incs not in appivo</t>
  </si>
  <si>
    <t>220112-1</t>
  </si>
  <si>
    <t>https://drive.google.com/open?id=19uDRTZMhHf4GaO-jdahnbbp-fYVJlqiu</t>
  </si>
  <si>
    <t>https://drive.google.com/open?id=1HjjL2gDsIkP_Dm3a1JbRV3R7jJE2u_Rt</t>
  </si>
  <si>
    <t>1132 duplicate did not run</t>
  </si>
  <si>
    <t>220114-1</t>
  </si>
  <si>
    <t>https://drive.google.com/open?id=1fbwSXj9_UhULFhW8MPARIfbbE85TYP1q</t>
  </si>
  <si>
    <t>https://drive.google.com/open?id=1u2MCPxubr5KVUDcA6BOq4X6x_xJ-PFFX</t>
  </si>
  <si>
    <t>220118-1</t>
  </si>
  <si>
    <t>https://drive.google.com/open?id=1OFNeEpacJQUY5ISu3v4_1_FIcvkig0FM</t>
  </si>
  <si>
    <t>https://drive.google.com/open?id=19X7L64afEhV6lV0RTJcTat4xwdF3kQJB</t>
  </si>
  <si>
    <t>Image of yesterday's Run Form</t>
  </si>
  <si>
    <t>RT 1/2</t>
  </si>
  <si>
    <t>220119-1</t>
  </si>
  <si>
    <t>https://drive.google.com/open?id=1Owte6_tMC_XjrVY0oJEOo4BtXLO1kjaK</t>
  </si>
  <si>
    <t>https://drive.google.com/open?id=1nLJhcoqOFeNnH4OXkQtTPZJJ0_Co8EBr</t>
  </si>
  <si>
    <t xml:space="preserve">This looks like it's actually from the 14th, explaining the weird runs. </t>
  </si>
  <si>
    <t>220121-1</t>
  </si>
  <si>
    <t>https://drive.google.com/open?id=1PsP9dN8MYhGBrret19OLzZfqYcdjYyTE</t>
  </si>
  <si>
    <r>
      <rPr>
        <rFont val="Arial"/>
        <color rgb="FF1155CC"/>
        <sz val="10.0"/>
        <u/>
      </rPr>
      <t xml:space="preserve">https://drive.google.com/open?id=12RG-YjLCQzMcxs9CkssICwgJs9SG4Yg-, </t>
    </r>
    <r>
      <rPr>
        <rFont val="Arial"/>
        <color rgb="FF1155CC"/>
        <sz val="10.0"/>
        <u/>
      </rPr>
      <t>https://drive.google.com/open?id=1TTX3Dmn1N00wyaa3I4UNlk0I3YKOt2qC</t>
    </r>
  </si>
  <si>
    <t>Retest strip one for possible contamination</t>
  </si>
  <si>
    <t>See retest run</t>
  </si>
  <si>
    <t>no results photo</t>
  </si>
  <si>
    <t xml:space="preserve">Six of the initial seven positives appear to have been re-run, individually and with no controls. This count is  reached through inferring from the appivo logs. </t>
  </si>
  <si>
    <t>220124-1</t>
  </si>
  <si>
    <t>https://drive.google.com/open?id=1kAItMOJ7fHCaQBPaZZwLVCDj9lUsCqM4</t>
  </si>
  <si>
    <t>https://drive.google.com/open?id=1I8FVhdTMbp_97oHHwaTfeAv-mqNwvHPr</t>
  </si>
  <si>
    <t>220126-1</t>
  </si>
  <si>
    <t>https://drive.google.com/open?id=1gr8uSS2itQThvCvMGtefABIJ7l9Ht6yM</t>
  </si>
  <si>
    <t>https://drive.google.com/open?id=1VuF2lkS5qLJuzg7qbpVghAyoc1EnWHFD</t>
  </si>
  <si>
    <t>Negative rerun</t>
  </si>
  <si>
    <t>Assuming bottom strip is rerun, in duplicate.</t>
  </si>
  <si>
    <t>k</t>
  </si>
  <si>
    <t>see initial above</t>
  </si>
  <si>
    <t>220128-1</t>
  </si>
  <si>
    <t>https://drive.google.com/open?id=1uZYqQ4VzNJUVZqM4nQnoj2oZ0_IEwkh-</t>
  </si>
  <si>
    <t>https://drive.google.com/open?id=12oj-vojFF4cYD7YRh17PPJ88eoKhL4nh</t>
  </si>
  <si>
    <t>Rerun 276</t>
  </si>
  <si>
    <t>Assumed single rxn rerun (no image)</t>
  </si>
  <si>
    <t>220131-1</t>
  </si>
  <si>
    <t>https://drive.google.com/open?id=1_5Bw5d49NRE7TnrgGVdvb9zgfBXSDB-B</t>
  </si>
  <si>
    <t>https://drive.google.com/open?id=11h1fGahA6VYp80jqqxc2gISbYg2NDDAD</t>
  </si>
  <si>
    <t>220203-1</t>
  </si>
  <si>
    <t>https://drive.google.com/open?id=1JI4lNUajK6VifepV5hdRmN_skdd79Dnc</t>
  </si>
  <si>
    <t>https://drive.google.com/open?id=1YJDV_PB7ykW_cQb9NZ5yAvPeiP3JnkBg</t>
  </si>
  <si>
    <t>220294-1</t>
  </si>
  <si>
    <t>https://drive.google.com/open?id=1xCF87FSud1pEptekm5jwzZhZ9qC0TSx6</t>
  </si>
  <si>
    <t>https://drive.google.com/open?id=1ff4shxFdkFWyR_I6CYa8ITK8IgaSoFtN</t>
  </si>
  <si>
    <t>220207-01</t>
  </si>
  <si>
    <t>https://drive.google.com/open?id=14U56TMPiTNzAcGa0AhVpEvjENvaiTUGl</t>
  </si>
  <si>
    <t>https://drive.google.com/open?id=1SpI3PvPbD_NJxm5dx-ULhhbRjTbNvRAU</t>
  </si>
  <si>
    <t>220209-1</t>
  </si>
  <si>
    <t>https://drive.google.com/open?id=10MFeWwyI0Uck8uHWvmM9mDAxDC09wut5</t>
  </si>
  <si>
    <t>https://drive.google.com/open?id=1Z3cgpe5GIRwsKwcIACbL2JuYuu21sd7y</t>
  </si>
  <si>
    <t>Most likely did not rerun positive, but did rerun (original) inconclusive, with a final negative.</t>
  </si>
  <si>
    <t>k singlet</t>
  </si>
  <si>
    <t>Looks like rerun was a singlet</t>
  </si>
  <si>
    <t>220211-1</t>
  </si>
  <si>
    <t>https://drive.google.com/open?id=1L8vsp0hVXHgCMuPNMYpqD6vdrWCE2RK8</t>
  </si>
  <si>
    <t>https://drive.google.com/open?id=1ziDpC9dKZz6p_2whq2A7f7I0JPGe9iKN</t>
  </si>
  <si>
    <t>Late Sample MA1032</t>
  </si>
  <si>
    <t>220212-1</t>
  </si>
  <si>
    <t>https://drive.google.com/open?id=18FCjYWcl7b67UADOtSlhjQ7-Vp478lVz</t>
  </si>
  <si>
    <t>https://drive.google.com/open?id=1m20IzDru3lngoTCVc9HabyQtHjpDURvx</t>
  </si>
  <si>
    <t>220215-1</t>
  </si>
  <si>
    <t>https://drive.google.com/open?id=1D02UH38RzSDhAaf7oCYGrOHuBgm4dn6e</t>
  </si>
  <si>
    <t>https://drive.google.com/open?id=1ifj5EoM0PEd2YLxCXMzv2Cs7GKO1YIz8</t>
  </si>
  <si>
    <t>https://drive.google.com/open?id=1a6epGI9s7j3Luspgb5oKr0Bt4__v4qpt</t>
  </si>
  <si>
    <t>Negative retest</t>
  </si>
  <si>
    <t>1 inc rerun</t>
  </si>
  <si>
    <t>comments in photos, conclude FM50 neg after 2 reruns</t>
  </si>
  <si>
    <t>35+2+7=44</t>
  </si>
  <si>
    <t>conclude FM50 neg after 2 reruns</t>
  </si>
  <si>
    <t>220217-1</t>
  </si>
  <si>
    <t>https://drive.google.com/open?id=12og_KYMdPdQZGECcaAzzV-IkA0Ak8S8q</t>
  </si>
  <si>
    <t>https://drive.google.com/open?id=1NTvFQVcBRBqQYoBB3Ts0ffmBRCgLA17e</t>
  </si>
  <si>
    <t>https://drive.google.com/open?id=1oQiPdbrlqUycDgGA3jBXzsZmSlRIFzMa</t>
  </si>
  <si>
    <t>1 inc</t>
  </si>
  <si>
    <t>220219-1</t>
  </si>
  <si>
    <t>https://drive.google.com/open?id=1fGzXn2gQ8_mMl4jyvcbR0ADEDGmTQ7vw</t>
  </si>
  <si>
    <t>https://drive.google.com/open?id=1r1atvXh9uOwfMPtyLqSDmxzytjSXv77d</t>
  </si>
  <si>
    <t>https://drive.google.com/open?id=1Fd1xZHqFdtdNvUE9J0p3Vj4xKd5IOoDs</t>
  </si>
  <si>
    <t>220221-1</t>
  </si>
  <si>
    <t>https://drive.google.com/open?id=1Pnb-h7TCqWznOpeFg9pHbC-N9pCMzJX9</t>
  </si>
  <si>
    <t>https://drive.google.com/open?id=1sNOgW7tVwQilelLvcgd_uWOTXuid35qT</t>
  </si>
  <si>
    <t>https://drive.google.com/open?id=1j21ydbMDq6rKvN5ctCjiSwcLsfsWj4db</t>
  </si>
  <si>
    <t>220222-1</t>
  </si>
  <si>
    <t>https://drive.google.com/open?id=1IhUBvh4AP7iYjbspx9aDva3D3dtknsh1</t>
  </si>
  <si>
    <t>https://drive.google.com/open?id=1_1L6zxfGLU4JAua94Ht-OrwVVOcJ-Yaw</t>
  </si>
  <si>
    <t>220223-1</t>
  </si>
  <si>
    <t>https://drive.google.com/open?id=1veQ2KvVAyiqCeqlgOOHvaCDBro2ddke6</t>
  </si>
  <si>
    <t>https://drive.google.com/open?id=1fdUqHRGC7QjG1dSP8tCbCX7GfvBEPC0c</t>
  </si>
  <si>
    <t>https://drive.google.com/open?id=1fPSwHo_aiTTMlzkhlfesAvUK0s4VZ3h9</t>
  </si>
  <si>
    <t>220225-1</t>
  </si>
  <si>
    <t>https://drive.google.com/open?id=1UwHoQCX_GBdTRv14Kkh6V5ZoV3YDqZlX</t>
  </si>
  <si>
    <t>https://drive.google.com/open?id=1uM4DCrRLmkiTUzbDvVQ6epzI-hc9TdHg</t>
  </si>
  <si>
    <t>https://drive.google.com/open?id=1zJhdhz5ImodIJxXSqo2uS3R5nHyedIoe</t>
  </si>
  <si>
    <t>220227-1</t>
  </si>
  <si>
    <t>https://drive.google.com/open?id=17WciAPXhdEkWbmCoO8Il3I9K3rjRmd42</t>
  </si>
  <si>
    <t>https://drive.google.com/open?id=1gxSoUoeV4aCxY0MsgIdgmaQLClWhzHYq</t>
  </si>
  <si>
    <t>https://drive.google.com/open?id=1FYXN2KWA0NbmLxXSDYz57f-oqiNiJOWL</t>
  </si>
  <si>
    <t>2 positives- expected</t>
  </si>
  <si>
    <t>ma315 + FM51-no ID</t>
  </si>
  <si>
    <t>220301-1</t>
  </si>
  <si>
    <t>https://drive.google.com/open?id=1pvWJFHVuMoMZkfcyuNsStVuaebcZYa8J</t>
  </si>
  <si>
    <t>https://drive.google.com/open?id=1ItuKCTUGQhlku-USou0IN48gYVqXmUcm</t>
  </si>
  <si>
    <t>220303-1</t>
  </si>
  <si>
    <t>https://drive.google.com/open?id=1iFh8jvIoeH6vJQEWiB_ZCamHU2u48Nww</t>
  </si>
  <si>
    <t>https://drive.google.com/open?id=17cvAhOziZhikmIUuJQwqgRhrNRJFXcxU</t>
  </si>
  <si>
    <t>220305-1</t>
  </si>
  <si>
    <t>https://drive.google.com/open?id=1TPKQycvsj_LFRV5RnbJs4eAzAzoN27xv</t>
  </si>
  <si>
    <t>https://drive.google.com/open?id=1_LTZO9OtSK2XngYRlSLqM27K1IYjuLn2</t>
  </si>
  <si>
    <t>https://drive.google.com/open?id=1UQlgcd7MrJX2yQcFBGxHddxnnhiscTif</t>
  </si>
  <si>
    <t>1 positive, 3 initial inconclusives tested negative with rerun</t>
  </si>
  <si>
    <t>RT 12-25-2025 conclude the initial positive was not rerun, only 3 inconclusives, which were all neg in rerun (PREV reconcile comment: the 3 may have been a typo, don't see the 3rd inconclusive)</t>
  </si>
  <si>
    <t>rerun RM = RM0303_1 Initial Positive</t>
  </si>
  <si>
    <t>https://drive.google.com/open?id=1cSQzFs6fyHG15FRyzvVJZ3PxrT418J1Y</t>
  </si>
  <si>
    <t>220307-1</t>
  </si>
  <si>
    <t>https://drive.google.com/open?id=1MTcLnXT7lGrAu8oNx9mSYUGd1Nh6pbtE</t>
  </si>
  <si>
    <t>https://drive.google.com/open?id=1icrUH8MU0_JZNwx1zMEgfkKP4RUkd2wc</t>
  </si>
  <si>
    <t>https://drive.google.com/open?id=1K1UzUzP05Bb6SxO1eCq39dNYpZJrZsoE</t>
  </si>
  <si>
    <t>3 tubes on right are rerun</t>
  </si>
  <si>
    <t>220309-1</t>
  </si>
  <si>
    <t>https://drive.google.com/open?id=1aHVk8kvjNyiimrMAJIE0CPMK02Z7bTHA</t>
  </si>
  <si>
    <t>https://drive.google.com/open?id=1fQ1BhJ1CC2gqxvWxobcGuw0vvzrCKhOP</t>
  </si>
  <si>
    <t>https://drive.google.com/open?id=1brK1n6zqBjLM36i2J23SdYxLqmNRvTJy</t>
  </si>
  <si>
    <t>220311-1</t>
  </si>
  <si>
    <t>https://drive.google.com/open?id=1oCKFNDU-XPuHPgIinoUjr3i6tH3jC82O</t>
  </si>
  <si>
    <t>https://drive.google.com/open?id=1ybSBOsNJ_kOC4XMzfgwN_MUn1d9ia1D8</t>
  </si>
  <si>
    <t>https://drive.google.com/open?id=1WVX_Rkfmj2NLaPiaZ26NkK8RqGfvpg60</t>
  </si>
  <si>
    <t>220414-1</t>
  </si>
  <si>
    <t>https://drive.google.com/open?id=1VIxKsv2XbphW1CSPBbXSV2t1Fi8BZMq-</t>
  </si>
  <si>
    <t>https://drive.google.com/open?id=1mxekSaDpBQSiLXkitZr-LC-zSCKyIW1m</t>
  </si>
  <si>
    <t>https://drive.google.com/open?id=1E8Zo-UnUuaHakZxG8aAJLWCkSxfhBMt3</t>
  </si>
  <si>
    <t>220511-1</t>
  </si>
  <si>
    <t>https://drive.google.com/open?id=1UjelxZywKPPg9oa0Qn_XGDnEdHXQuB6D</t>
  </si>
  <si>
    <t>https://drive.google.com/open?id=1Y1eG5mxDFokWmZoNMUwbdy61HyVi6M6O</t>
  </si>
  <si>
    <t>https://drive.google.com/open?id=1zNY3XaMONQAKLc36Fss3aKTfrYZSXAFn</t>
  </si>
  <si>
    <t>First Row of Collection Date</t>
  </si>
  <si>
    <t>AUTO ASSIGN RUN ID?</t>
  </si>
  <si>
    <t>PASS1 ASSIGNED
RUN ID</t>
  </si>
  <si>
    <t>TUBE RUN DAY AFTER COLLECT?</t>
  </si>
  <si>
    <t>TUBE RUN IN 2ND RUN OF SAME DAY?</t>
  </si>
  <si>
    <t>PASS2 ASSIGNED
RUN ID</t>
  </si>
  <si>
    <t>FINAL
ASSIGNED RUN ID</t>
  </si>
  <si>
    <t>TUBE ID RUN DAY AFTER COLLECT</t>
  </si>
  <si>
    <t>TUBE ID RUN IN 2ND RUN OF SAME DAY</t>
  </si>
  <si>
    <t>RUN INDEX DELTA</t>
  </si>
  <si>
    <t>COMBINED VLOOKUP</t>
  </si>
  <si>
    <t>DAY AFTER VLOOKUP</t>
  </si>
  <si>
    <t>2ND RUN VLOOKUP</t>
  </si>
  <si>
    <t>PREV PASTED VALUES 
FINAL
ASSIGNED RUN ID</t>
  </si>
  <si>
    <t>RUN-BEND_2021-12-10_APS-001</t>
  </si>
  <si>
    <t>MA705</t>
  </si>
  <si>
    <t>MA1030</t>
  </si>
  <si>
    <t>MA1315</t>
  </si>
  <si>
    <t>MA447</t>
  </si>
  <si>
    <t>MA660</t>
  </si>
  <si>
    <t>MA651</t>
  </si>
  <si>
    <t>MA457</t>
  </si>
  <si>
    <t>MA438</t>
  </si>
  <si>
    <t>MA556</t>
  </si>
  <si>
    <t>MA427</t>
  </si>
  <si>
    <t>MA1062</t>
  </si>
  <si>
    <t>MA1092</t>
  </si>
  <si>
    <t>MA1042</t>
  </si>
  <si>
    <t>MA1112</t>
  </si>
  <si>
    <t>MA1056</t>
  </si>
  <si>
    <t>MA355</t>
  </si>
  <si>
    <t>MA638</t>
  </si>
  <si>
    <t>MA1109</t>
  </si>
  <si>
    <t>MA1274</t>
  </si>
  <si>
    <t>MA1100</t>
  </si>
  <si>
    <t>MA1145</t>
  </si>
  <si>
    <t>MA655</t>
  </si>
  <si>
    <t>MA645</t>
  </si>
  <si>
    <t>MA627</t>
  </si>
  <si>
    <t>MA295</t>
  </si>
  <si>
    <t>MA302</t>
  </si>
  <si>
    <t>MAX68</t>
  </si>
  <si>
    <t>MA657</t>
  </si>
  <si>
    <t>MA431</t>
  </si>
  <si>
    <t>MA458</t>
  </si>
  <si>
    <t>MA629</t>
  </si>
  <si>
    <t>MA652</t>
  </si>
  <si>
    <t>MA650</t>
  </si>
  <si>
    <t>MA656</t>
  </si>
  <si>
    <t>MA1124</t>
  </si>
  <si>
    <t>MA386</t>
  </si>
  <si>
    <t>MA1165</t>
  </si>
  <si>
    <t>MA262</t>
  </si>
  <si>
    <t>MA1184</t>
  </si>
  <si>
    <t>MA1150</t>
  </si>
  <si>
    <t>MA1253</t>
  </si>
  <si>
    <t>MAX44</t>
  </si>
  <si>
    <t>MA1248</t>
  </si>
  <si>
    <t>MA422</t>
  </si>
  <si>
    <t>MA1146</t>
  </si>
  <si>
    <t>MA1162</t>
  </si>
  <si>
    <t>MA547</t>
  </si>
  <si>
    <t>MA1037</t>
  </si>
  <si>
    <t>MA446</t>
  </si>
  <si>
    <t>MA278</t>
  </si>
  <si>
    <t>FM991</t>
  </si>
  <si>
    <t>IMPORTS &gt;&gt;
URL link below</t>
  </si>
  <si>
    <t>Manually Reassign Result Date</t>
  </si>
  <si>
    <t>APS DATE</t>
  </si>
  <si>
    <t>RFR DATE</t>
  </si>
  <si>
    <t>COMBINED APS RFR DATE</t>
  </si>
  <si>
    <t>ADD NEW RUN NOT IN RFR AND DELTAS</t>
  </si>
  <si>
    <t>COUNT 3WAY RECONCILE NOTE</t>
  </si>
  <si>
    <t>BEND_APS_deID_PUB</t>
  </si>
  <si>
    <t>Run done this day but no RFR but Run resulted in Appivo 3 days later</t>
  </si>
  <si>
    <t>This extra tube resulted on the 20th, so conclude that it was ran same day just not resulted until five days later in the app</t>
  </si>
  <si>
    <t>extra tube in APS RESULT is from 2021-12-15</t>
  </si>
  <si>
    <t>Null called Neg so not in RESULT column</t>
  </si>
  <si>
    <t>looks like resulted later</t>
  </si>
  <si>
    <t>RESULT includes tubes from previous run</t>
  </si>
  <si>
    <t xml:space="preserve">onclude run on </t>
  </si>
  <si>
    <t>XXX</t>
  </si>
  <si>
    <t>2 RUNS ON 19th - LOOK @ RUN RECONCILE TAB</t>
  </si>
  <si>
    <t>MA1139 colled 45min later and resulted 2.3 hrs later so treat as if it was in early run but it was probably run sep after</t>
  </si>
  <si>
    <t>2-17 Resulted on this day</t>
  </si>
  <si>
    <t>30 negs resulted on 3-1 and 2 pos resulted on 3-7</t>
  </si>
  <si>
    <t>2 resulted on 3-3 other 31 on 3-7 so conclude batch of 31 was run this day</t>
  </si>
  <si>
    <t>Run not in Appivo at All?</t>
  </si>
  <si>
    <t>RFR Audit
Pos Session
Calls</t>
  </si>
  <si>
    <t>RFR Audit
Inc Session
Calls</t>
  </si>
  <si>
    <t>APS Final Results Positives</t>
  </si>
  <si>
    <t>APS Final Results Inconclusives</t>
  </si>
  <si>
    <t>Delta Positives</t>
  </si>
  <si>
    <t>Delta Inconclusives</t>
  </si>
  <si>
    <t>Both Deltas Zero</t>
  </si>
  <si>
    <t>ARF Suffix</t>
  </si>
  <si>
    <t>ARF Tube ID</t>
  </si>
  <si>
    <t>APS Run ID</t>
  </si>
  <si>
    <t>Determined from RFR Audit RESULT</t>
  </si>
  <si>
    <t>ARF Result Call Comment</t>
  </si>
  <si>
    <t>ARFBEND002</t>
  </si>
  <si>
    <t>ARFBEND003</t>
  </si>
  <si>
    <t>ARFBEND004</t>
  </si>
  <si>
    <t>ARFBEND005</t>
  </si>
  <si>
    <t>This tab creates the number of tubes that would need to be created of the previously called TUNK but now called ARF.</t>
  </si>
  <si>
    <t>These are tubes that are present in the RFR but are not in the APIVO data. So they don't have tube IDs and are not currently in the APS data.</t>
  </si>
  <si>
    <t>So new Tube IDs could be created such as ARFBEND001 and these added to the Final Tubes Data table which is just the APS Tubes data plus these newly created ones.</t>
  </si>
  <si>
    <t>The what needs to be done here is the results in Appivo compared to the results for RFR, compared to see if there are any positive or inconclusives in the RFR that aren't accounted for in the Appivo results.</t>
  </si>
  <si>
    <t>TUBE ID</t>
  </si>
  <si>
    <t>NEW RUN ID</t>
  </si>
  <si>
    <t>OLD INITIAL RUN ID</t>
  </si>
  <si>
    <t>TUBE ID SOURCE CODE</t>
  </si>
  <si>
    <t>TUBE RESULT CODE</t>
  </si>
  <si>
    <t>NUM RXNS (for tube in complete session)</t>
  </si>
  <si>
    <t>TUBE RESULT NOTES</t>
  </si>
  <si>
    <t>RUN INDEX</t>
  </si>
  <si>
    <t>UNIQUE RUN ID</t>
  </si>
  <si>
    <t>COUNT CHECK</t>
  </si>
  <si>
    <t>WHOLE TAB MUST BE SORTED BY INITIAL RUN ID FOR THIS TO WORK</t>
  </si>
  <si>
    <t>MA1084</t>
  </si>
  <si>
    <t>R_BEND-007</t>
  </si>
  <si>
    <t>duplicate rerun, P - PP</t>
  </si>
  <si>
    <t>MA316</t>
  </si>
  <si>
    <t>MA287</t>
  </si>
  <si>
    <t>R_BEND-009</t>
  </si>
  <si>
    <t>MA448</t>
  </si>
  <si>
    <t>MA473</t>
  </si>
  <si>
    <t>MA639</t>
  </si>
  <si>
    <t>MA218</t>
  </si>
  <si>
    <t>R_BEND-010</t>
  </si>
  <si>
    <t>MA263</t>
  </si>
  <si>
    <t>MA605</t>
  </si>
  <si>
    <t>MA1078</t>
  </si>
  <si>
    <t>R_BEND-011</t>
  </si>
  <si>
    <t>MA1188</t>
  </si>
  <si>
    <t>MA347</t>
  </si>
  <si>
    <t>MAX74</t>
  </si>
  <si>
    <t>MA1024</t>
  </si>
  <si>
    <t>R_BEND-012</t>
  </si>
  <si>
    <t>MA341</t>
  </si>
  <si>
    <t>MA435</t>
  </si>
  <si>
    <t>MA463</t>
  </si>
  <si>
    <t>MAX51</t>
  </si>
  <si>
    <t>MAX69</t>
  </si>
  <si>
    <t>MAX95</t>
  </si>
  <si>
    <t>In appivo, not sure which one since not logged (corrected inc to pos)</t>
  </si>
  <si>
    <t>In appivo, not sure which one since not logged (inc in run, but neg in appivo)</t>
  </si>
  <si>
    <t>MA1156</t>
  </si>
  <si>
    <t>R_BEND-013</t>
  </si>
  <si>
    <t>MAX20</t>
  </si>
  <si>
    <t>MAX36</t>
  </si>
  <si>
    <t>MAX72</t>
  </si>
  <si>
    <t>MA1058</t>
  </si>
  <si>
    <t>R_BEND-014</t>
  </si>
  <si>
    <t>MA1186</t>
  </si>
  <si>
    <t>MA1243</t>
  </si>
  <si>
    <t>MAX110</t>
  </si>
  <si>
    <t>MAX84</t>
  </si>
  <si>
    <t>Missing positives in Appivo. All positives re resulted on the 18th for some reason. Were some lost??</t>
  </si>
  <si>
    <t>MA1115</t>
  </si>
  <si>
    <t>R_BEND-015</t>
  </si>
  <si>
    <t>MA1252</t>
  </si>
  <si>
    <t>MA303</t>
  </si>
  <si>
    <t>MA372</t>
  </si>
  <si>
    <t>MA383</t>
  </si>
  <si>
    <t>MAX76</t>
  </si>
  <si>
    <t>Unable to locate in appivo,  likely logged but difficult to determine when</t>
  </si>
  <si>
    <t>R_BEND-016</t>
  </si>
  <si>
    <t>Pos Tube ID from APS</t>
  </si>
  <si>
    <t>MA1047</t>
  </si>
  <si>
    <t>R_BEND-017</t>
  </si>
  <si>
    <t>P -&gt; P singlet rerun</t>
  </si>
  <si>
    <t>MA305</t>
  </si>
  <si>
    <t>MA337</t>
  </si>
  <si>
    <t>MAX141</t>
  </si>
  <si>
    <t>MAX80</t>
  </si>
  <si>
    <t>MAX89</t>
  </si>
  <si>
    <t>MA1011</t>
  </si>
  <si>
    <t>R_BEND-019</t>
  </si>
  <si>
    <t>MA1068</t>
  </si>
  <si>
    <t>MA545</t>
  </si>
  <si>
    <t>MA598</t>
  </si>
  <si>
    <t>Incs rarely reported in appivo</t>
  </si>
  <si>
    <t>R_BEND-020</t>
  </si>
  <si>
    <t>I -&gt; NN Duplicate re run</t>
  </si>
  <si>
    <t>R_BEND-022</t>
  </si>
  <si>
    <t>I -&gt; N singlet Rerun</t>
  </si>
  <si>
    <t>MA310</t>
  </si>
  <si>
    <t>R_BEND-025</t>
  </si>
  <si>
    <t>MA253</t>
  </si>
  <si>
    <t>R_BEND-027</t>
  </si>
  <si>
    <t>FM431</t>
  </si>
  <si>
    <t>R_BEND-028</t>
  </si>
  <si>
    <t>Initial Pos reran Neg as singlet</t>
  </si>
  <si>
    <t>MA620</t>
  </si>
  <si>
    <t>R_BEND-030</t>
  </si>
  <si>
    <t>MA632</t>
  </si>
  <si>
    <t>MA1079</t>
  </si>
  <si>
    <t>R_BEND-031</t>
  </si>
  <si>
    <t>MA1111</t>
  </si>
  <si>
    <t>FM50</t>
  </si>
  <si>
    <t>R_BEND-032</t>
  </si>
  <si>
    <t>Corrected from I to N then NN</t>
  </si>
  <si>
    <t>MA391</t>
  </si>
  <si>
    <t>Initial N then I I then NNN</t>
  </si>
  <si>
    <t>R_BEND-035</t>
  </si>
  <si>
    <t>R_BEND-036</t>
  </si>
  <si>
    <t>Corrected I to N</t>
  </si>
  <si>
    <t>MA1045</t>
  </si>
  <si>
    <t>R_BEND-038</t>
  </si>
  <si>
    <t>R_BEND-040</t>
  </si>
  <si>
    <t>MA1095</t>
  </si>
  <si>
    <t>R_BEND-042</t>
  </si>
  <si>
    <t>MAX40</t>
  </si>
  <si>
    <t>MA1202</t>
  </si>
  <si>
    <t>R_BEND-044</t>
  </si>
  <si>
    <t>MA1305</t>
  </si>
  <si>
    <t>R_BEND-045</t>
  </si>
  <si>
    <t>singlet rerun</t>
  </si>
  <si>
    <t>Inc to neg singlet</t>
  </si>
  <si>
    <t>Pos to neg singlet</t>
  </si>
  <si>
    <t>R_BEND-047</t>
  </si>
  <si>
    <t>BEND</t>
  </si>
  <si>
    <t>SETUP</t>
  </si>
  <si>
    <t>Loom video link</t>
  </si>
  <si>
    <t>Run Types</t>
  </si>
  <si>
    <t>Results</t>
  </si>
  <si>
    <t>Tube Result Codes</t>
  </si>
  <si>
    <t>Session</t>
  </si>
  <si>
    <t>Rerun 1</t>
  </si>
  <si>
    <t>Rerun 2</t>
  </si>
  <si>
    <t>Make a copy of the RFR audit Template and name it the appropriate file name in the deployment folder: &lt;PRGMCODE&gt;_RFR_&lt;YYYY_MM_DD&gt;_CDwPHI_WIP</t>
  </si>
  <si>
    <t>Absent</t>
  </si>
  <si>
    <t>Pos</t>
  </si>
  <si>
    <t>N</t>
  </si>
  <si>
    <t>no rerun</t>
  </si>
  <si>
    <t>N N - no rerun</t>
  </si>
  <si>
    <t xml:space="preserve">Copy and paste the raw data into the template. </t>
  </si>
  <si>
    <t>Initials/First Letters</t>
  </si>
  <si>
    <t>Neg</t>
  </si>
  <si>
    <t>N - all reruns N (initial miscalled I, audited to N)</t>
  </si>
  <si>
    <t>Only paste the from the first entry down, preserving the headers in the template</t>
  </si>
  <si>
    <t>First Names</t>
  </si>
  <si>
    <t>Inc</t>
  </si>
  <si>
    <t>I N - all reruns N</t>
  </si>
  <si>
    <t>Update below with the 4 character program label (for run ID generation)</t>
  </si>
  <si>
    <t>Full Names</t>
  </si>
  <si>
    <t>Invalid</t>
  </si>
  <si>
    <t>I N - one I</t>
  </si>
  <si>
    <t>Tube ID's</t>
  </si>
  <si>
    <t>I/N/P</t>
  </si>
  <si>
    <t>I N -1st rerun any, 2nd rerun all N</t>
  </si>
  <si>
    <t>Results Included</t>
  </si>
  <si>
    <t>I N N</t>
  </si>
  <si>
    <t>FOR EACH ROW</t>
  </si>
  <si>
    <t>Tube ID's and Results</t>
  </si>
  <si>
    <t>non-triplicate I/N/P rerun</t>
  </si>
  <si>
    <t>Open the Run Form Image and eval for combined entries needing splitting</t>
  </si>
  <si>
    <t>I I - no rerun</t>
  </si>
  <si>
    <t>If rerun is mentioned in notes but subsequent runs are not logged, split the run</t>
  </si>
  <si>
    <t>no interact w new tube code</t>
  </si>
  <si>
    <t>I/N</t>
  </si>
  <si>
    <t>I I -  any mix of I/N</t>
  </si>
  <si>
    <t>Eval for any apparent required flags (Invalid Run, Split Run, Is/Has Rerun)</t>
  </si>
  <si>
    <t>Previous</t>
  </si>
  <si>
    <t>RFR Exclude Code</t>
  </si>
  <si>
    <t>Reason</t>
  </si>
  <si>
    <t>Gform - Num Samples incorrect or missing</t>
  </si>
  <si>
    <t>I I - any P</t>
  </si>
  <si>
    <t>Complete Run Form section with information from the image</t>
  </si>
  <si>
    <t>Date Not In Range</t>
  </si>
  <si>
    <t>RunForm - Num Rxns incl cntrl incorrect or missing</t>
  </si>
  <si>
    <t>I I - any 2 reruns</t>
  </si>
  <si>
    <t>If Tube IDs written in RForm Notes, then check to see if it exists in APS and matches date</t>
  </si>
  <si>
    <t>Note Indicates Test</t>
  </si>
  <si>
    <t>Gform - Incorrect Date or missing</t>
  </si>
  <si>
    <t>I P - any</t>
  </si>
  <si>
    <t>If it's not then enter it in Tube Result Table Draft and assign Tube ID Source Code 2.2</t>
  </si>
  <si>
    <t>Email Indicates Test</t>
  </si>
  <si>
    <t>RunForm - Incorrect Date or missing</t>
  </si>
  <si>
    <t>I P - any 2 reruns</t>
  </si>
  <si>
    <t xml:space="preserve">Open the Results Image and fill in the Results section </t>
  </si>
  <si>
    <t>Duplicate Entry</t>
  </si>
  <si>
    <t>Extra pink rxn in image, conclude empty</t>
  </si>
  <si>
    <t>P N - all N</t>
  </si>
  <si>
    <t>If the calculated results from the inc run calls is a non integer, or is marked as needing correction, rectify using results image</t>
  </si>
  <si>
    <t>Development Run</t>
  </si>
  <si>
    <t>Tubes from GForm or RunForm not in Appivo</t>
  </si>
  <si>
    <t>P I - any</t>
  </si>
  <si>
    <t>Eval for any apparent required flags (RFR Misc Correct Code, RFR Results Correct Code, RFR Correct Notes)</t>
  </si>
  <si>
    <t>Contrived Positive / Validation Run</t>
  </si>
  <si>
    <t>Number of control rxns not definitive</t>
  </si>
  <si>
    <t>P I - any 2 reruns</t>
  </si>
  <si>
    <t>Eval for needed splits</t>
  </si>
  <si>
    <t>Non standard run (add note)</t>
  </si>
  <si>
    <t>Combination of multiple, use RFR Correct Notes</t>
  </si>
  <si>
    <t>P P - no rerun</t>
  </si>
  <si>
    <t>Extra reactions off to side are a red flag for a combined entry</t>
  </si>
  <si>
    <t>Invalid run from control fail (add note)</t>
  </si>
  <si>
    <t>No Run Form Photo or no Result Photo</t>
  </si>
  <si>
    <t>P P - all P</t>
  </si>
  <si>
    <t>Situations with improper reruns are common, use best judgement to asess what took place</t>
  </si>
  <si>
    <t>Other (add note)</t>
  </si>
  <si>
    <t>1.X</t>
  </si>
  <si>
    <t>add for any others</t>
  </si>
  <si>
    <t>non-3 replicates all P</t>
  </si>
  <si>
    <t>Assign Run Code based on info from Run Form Image and Results Image (and accompanying initial/rerun, if applicable)</t>
  </si>
  <si>
    <t>P P - one I</t>
  </si>
  <si>
    <t>Open the Lookup map if not absent, mark as "Complete" if completely filled in with tube ID's, otherwise mark as "Incomplete"</t>
  </si>
  <si>
    <t>GForm InitIncl I -&gt; N</t>
  </si>
  <si>
    <t>P P - one N</t>
  </si>
  <si>
    <t>Refer below for Data Table creation instructions</t>
  </si>
  <si>
    <t>GForm InitIncl I -&gt; P</t>
  </si>
  <si>
    <t>P P - any other</t>
  </si>
  <si>
    <t>GForm InitIncl N -&gt; I</t>
  </si>
  <si>
    <t>Trip P</t>
  </si>
  <si>
    <t>SPLITTING A RUN</t>
  </si>
  <si>
    <t>GForm InitIncl P -&gt; I</t>
  </si>
  <si>
    <t>Insert a row below and copy/paste its parent row</t>
  </si>
  <si>
    <t>RFR Run Code</t>
  </si>
  <si>
    <t>Definition (Auditied unless says otherwise)</t>
  </si>
  <si>
    <t>GForm InitIncl N -&gt; P</t>
  </si>
  <si>
    <t>OTHER</t>
  </si>
  <si>
    <t xml:space="preserve">Fix Images, Note, Initial inconclusives, and Number of Samples </t>
  </si>
  <si>
    <t>All Neg</t>
  </si>
  <si>
    <t>GForm InitIncl P -&gt; N</t>
  </si>
  <si>
    <t>Mark as a split run, select Run Type = Re-run (if case)</t>
  </si>
  <si>
    <t>Initial Inconcl, No rerun</t>
  </si>
  <si>
    <t>Notes ...</t>
  </si>
  <si>
    <t>Audit each row as a separate run, splitting according to the available information and your best judgement
(Increment rerun time by 1 hour)</t>
  </si>
  <si>
    <t>Initial Inconcl, All rerun rxn are neg</t>
  </si>
  <si>
    <t>Both ...</t>
  </si>
  <si>
    <t>Verify that parent and child rows have independent, correct data</t>
  </si>
  <si>
    <t>Initial Inconcl, one or more rerun rxn inconcl but no pos</t>
  </si>
  <si>
    <t xml:space="preserve">Invalid - Control Fail </t>
  </si>
  <si>
    <t>Initial Inconcl, one or more rerun rxn pos</t>
  </si>
  <si>
    <t>Invalid - specify in RFR Audit Notes</t>
  </si>
  <si>
    <t>TUBE RESULT TABLE DRAFT CREATION (add to table with each row in RFR audit)</t>
  </si>
  <si>
    <t>Only initial run in triplicate, 1 I 2N</t>
  </si>
  <si>
    <t>Other - enter notes</t>
  </si>
  <si>
    <t>Tube ID Source Code</t>
  </si>
  <si>
    <t>Add one entry for each tube that matches the criteria for inclusion in the Reaction Table Draft (for more detailed criteria see Data Notes)</t>
  </si>
  <si>
    <t>Inconclusive session call</t>
  </si>
  <si>
    <r>
      <rPr>
        <rFont val="Arial"/>
        <b/>
        <color theme="1"/>
        <sz val="11.0"/>
      </rPr>
      <t xml:space="preserve">RFR Audit Code Notes </t>
    </r>
    <r>
      <rPr>
        <rFont val="Arial"/>
        <b val="0"/>
        <color theme="1"/>
        <sz val="11.0"/>
      </rPr>
      <t>(a col used for both)</t>
    </r>
  </si>
  <si>
    <t>APS</t>
  </si>
  <si>
    <r>
      <rPr>
        <rFont val="Arial"/>
        <color theme="1"/>
      </rPr>
      <t xml:space="preserve">Enter </t>
    </r>
    <r>
      <rPr>
        <rFont val="Arial"/>
        <b/>
        <color theme="1"/>
      </rPr>
      <t>Tube ID, Initial Run ID, Tube ID Source Code, Tube Result Code, Num Rxns (for that tube in that session), Tube Result Notes</t>
    </r>
  </si>
  <si>
    <t>Positive run call (anywhere in session)</t>
  </si>
  <si>
    <t>RForm LUM</t>
  </si>
  <si>
    <t xml:space="preserve">Invalid </t>
  </si>
  <si>
    <t>RForm Notes</t>
  </si>
  <si>
    <t>REACTION TABLE DRAFT CREATION (either with each row or after RFR audit is complete)</t>
  </si>
  <si>
    <t>Highest non 5 (invalid) code is assigned</t>
  </si>
  <si>
    <t>GForm Notes</t>
  </si>
  <si>
    <t>Add one entry for each reaction for which anywhere in the re-run chain exists a valid positive or inconclusive result by the original call or audit call (for more detailed criteria see Data Notes)</t>
  </si>
  <si>
    <t>Give all Code Types unique names</t>
  </si>
  <si>
    <t>RTR</t>
  </si>
  <si>
    <t>PREVIOUS</t>
  </si>
  <si>
    <t>Unknown - assigned</t>
  </si>
  <si>
    <r>
      <rPr>
        <rFont val="Arial"/>
        <color theme="1"/>
        <sz val="11.0"/>
      </rPr>
      <t xml:space="preserve">Copy and paste the </t>
    </r>
    <r>
      <rPr>
        <rFont val="Arial"/>
        <b/>
        <color theme="1"/>
        <sz val="11.0"/>
      </rPr>
      <t>Run ID</t>
    </r>
  </si>
  <si>
    <t>Run Code (only assign for initial run) all audited</t>
  </si>
  <si>
    <t>Rxn Table Code</t>
  </si>
  <si>
    <t>Definition</t>
  </si>
  <si>
    <r>
      <rPr>
        <rFont val="Arial"/>
        <b/>
        <color theme="1"/>
        <sz val="11.0"/>
      </rPr>
      <t>Reaction ID</t>
    </r>
    <r>
      <rPr>
        <rFont val="Arial"/>
        <b/>
        <color theme="1"/>
        <sz val="11.0"/>
      </rPr>
      <t xml:space="preserve"> is generated automatically, </t>
    </r>
    <r>
      <rPr>
        <rFont val="Arial"/>
        <b/>
        <color theme="1"/>
        <sz val="11.0"/>
      </rPr>
      <t>Run Type</t>
    </r>
    <r>
      <rPr>
        <rFont val="Arial"/>
        <b/>
        <color theme="1"/>
        <sz val="11.0"/>
      </rPr>
      <t xml:space="preserve"> is matched from RFR</t>
    </r>
  </si>
  <si>
    <t>All Negative</t>
  </si>
  <si>
    <t>no rxns added to rxn table for that run</t>
  </si>
  <si>
    <r>
      <rPr>
        <rFont val="Arial"/>
        <color theme="1"/>
        <sz val="11.0"/>
      </rPr>
      <t>Enter or verify the</t>
    </r>
    <r>
      <rPr>
        <rFont val="Arial"/>
        <b/>
        <color theme="1"/>
        <sz val="11.0"/>
      </rPr>
      <t xml:space="preserve"> Audit Reaction Result</t>
    </r>
    <r>
      <rPr>
        <rFont val="Arial"/>
        <color theme="1"/>
        <sz val="11.0"/>
      </rPr>
      <t xml:space="preserve">, </t>
    </r>
    <r>
      <rPr>
        <rFont val="Arial"/>
        <b/>
        <color theme="1"/>
        <sz val="11.0"/>
      </rPr>
      <t>Audit Run Call Result</t>
    </r>
    <r>
      <rPr>
        <rFont val="Arial"/>
        <color theme="1"/>
        <sz val="11.0"/>
      </rPr>
      <t xml:space="preserve">, and </t>
    </r>
    <r>
      <rPr>
        <rFont val="Arial"/>
        <b/>
        <color theme="1"/>
        <sz val="11.0"/>
      </rPr>
      <t>Audit Session Call Result</t>
    </r>
    <r>
      <rPr>
        <rFont val="Arial"/>
        <color theme="1"/>
        <sz val="11.0"/>
      </rPr>
      <t xml:space="preserve"> as follows: </t>
    </r>
  </si>
  <si>
    <t>Initial Inconclusive, Negative after rerun(s)</t>
  </si>
  <si>
    <t>is/has rerun, no corrected call</t>
  </si>
  <si>
    <t>Reaction Result is made on the individual-tube basis and is judged from the final color of the reaction in that tube</t>
  </si>
  <si>
    <t>one or more rerun rxn inconcl but no pos</t>
  </si>
  <si>
    <r>
      <rPr>
        <rFont val="Arial"/>
        <b/>
        <color theme="1"/>
        <sz val="11.0"/>
      </rPr>
      <t>Run Call Result</t>
    </r>
    <r>
      <rPr>
        <rFont val="Arial"/>
        <b/>
        <color theme="1"/>
        <sz val="11.0"/>
      </rPr>
      <t xml:space="preserve"> for a reaction = </t>
    </r>
    <r>
      <rPr>
        <rFont val="Arial"/>
        <b/>
        <color theme="1"/>
        <sz val="11.0"/>
      </rPr>
      <t xml:space="preserve">Run Call Result </t>
    </r>
    <r>
      <rPr>
        <rFont val="Arial"/>
        <b/>
        <color theme="1"/>
        <sz val="11.0"/>
      </rPr>
      <t>for its respective tube in that run - This value is auto-generated and should be verified</t>
    </r>
  </si>
  <si>
    <t>Incorrect date</t>
  </si>
  <si>
    <t>initial run (with no rerun) call that is pos, inconcl, invalid (not corrected)</t>
  </si>
  <si>
    <r>
      <rPr>
        <rFont val="Arial"/>
        <b/>
        <color theme="1"/>
        <sz val="11.0"/>
      </rPr>
      <t>Session Call Result</t>
    </r>
    <r>
      <rPr>
        <rFont val="Arial"/>
        <b/>
        <color theme="1"/>
        <sz val="11.0"/>
      </rPr>
      <t xml:space="preserve"> for a reaction  = </t>
    </r>
    <r>
      <rPr>
        <rFont val="Arial"/>
        <b/>
        <color theme="1"/>
        <sz val="11.0"/>
      </rPr>
      <t>Session Call Result</t>
    </r>
    <r>
      <rPr>
        <rFont val="Arial"/>
        <b/>
        <color theme="1"/>
        <sz val="11.0"/>
      </rPr>
      <t xml:space="preserve"> for its respective tube in that session</t>
    </r>
  </si>
  <si>
    <t>Inconclusive run call</t>
  </si>
  <si>
    <t>has corrected call - have corrected code</t>
  </si>
  <si>
    <r>
      <rPr>
        <rFont val="Arial"/>
        <color theme="1"/>
        <sz val="11.0"/>
      </rPr>
      <t xml:space="preserve">For any runs with </t>
    </r>
    <r>
      <rPr>
        <rFont val="Arial"/>
        <b/>
        <color theme="1"/>
        <sz val="11.0"/>
      </rPr>
      <t>Enter Tube ID from LUM?</t>
    </r>
    <r>
      <rPr>
        <rFont val="Arial"/>
        <color theme="1"/>
        <sz val="11.0"/>
      </rPr>
      <t xml:space="preserve"> = TRUE, read the file and add the </t>
    </r>
    <r>
      <rPr>
        <rFont val="Arial"/>
        <b/>
        <color theme="1"/>
        <sz val="11.0"/>
      </rPr>
      <t>Tube IDs</t>
    </r>
    <r>
      <rPr>
        <rFont val="Arial"/>
        <color theme="1"/>
        <sz val="11.0"/>
      </rPr>
      <t xml:space="preserve"> to their respective reactions</t>
    </r>
  </si>
  <si>
    <r>
      <rPr>
        <rFont val="Arial"/>
        <color theme="1"/>
        <sz val="11.0"/>
      </rPr>
      <t xml:space="preserve">Positive call in any individual reaction </t>
    </r>
    <r>
      <rPr>
        <rFont val="Arial"/>
        <color rgb="FF980000"/>
        <sz val="11.0"/>
      </rPr>
      <t>but no positive run call</t>
    </r>
  </si>
  <si>
    <r>
      <rPr>
        <rFont val="Arial"/>
        <color theme="1"/>
        <sz val="11.0"/>
      </rPr>
      <t xml:space="preserve">If LUM is incomplete, use </t>
    </r>
    <r>
      <rPr>
        <rFont val="Arial"/>
        <b/>
        <color theme="1"/>
        <sz val="11.0"/>
      </rPr>
      <t>Note</t>
    </r>
    <r>
      <rPr>
        <rFont val="Arial"/>
        <color theme="1"/>
        <sz val="11.0"/>
      </rPr>
      <t xml:space="preserve"> field to add whatever identifying information is avalible </t>
    </r>
  </si>
  <si>
    <t>Positive run call, audited</t>
  </si>
  <si>
    <t>For Unknown Tube IDs w reruns, apply the same Unknown Tube ID to rerun rxns as initial rxns by referencing the rerun rxn cells in “Index Unknown Tube ID”</t>
  </si>
  <si>
    <t>OLD VERSION _ KEEP FOR BIT FOR REF</t>
  </si>
  <si>
    <t>CREATE CD RFR, MOVE COPY TO MAIN &gt; DATA</t>
  </si>
  <si>
    <t>Duplicate the "Corrected RFR Data - preDel" tab, name as "Corrected RFR Data - postDel", delete marked rows</t>
  </si>
  <si>
    <t>Copy/paste column data AS VALUES from the "Corrected RFR Data - postDel" tab to the respective columns of the "CD RFR" tab</t>
  </si>
  <si>
    <t>De-identify any PHI from the Notes columns using the DeID Key from the APS/APT CD files from the same deployment</t>
  </si>
  <si>
    <r>
      <rPr>
        <rFont val="Arial"/>
        <color theme="1"/>
        <sz val="11.0"/>
      </rPr>
      <t xml:space="preserve">Check Notes Collumns for PII, Replace with </t>
    </r>
    <r>
      <rPr>
        <rFont val="Arial"/>
        <b/>
        <color theme="1"/>
        <sz val="11.0"/>
      </rPr>
      <t xml:space="preserve">Person ID </t>
    </r>
    <r>
      <rPr>
        <rFont val="Arial"/>
        <color theme="1"/>
        <sz val="11.0"/>
      </rPr>
      <t>from the APS DEID key. For "Johns family", us "Person ID Family"</t>
    </r>
  </si>
  <si>
    <t>Move a copy of the CD RFR tab to a new Gsheet in the deployment's deidentified Data folder</t>
  </si>
  <si>
    <r>
      <rPr>
        <rFont val="Arial"/>
        <color theme="1"/>
        <sz val="11.0"/>
      </rPr>
      <t xml:space="preserve">Copy/paste the Reaction Table Draft into a second tab of the CD RFR file in the Data folder - paste </t>
    </r>
    <r>
      <rPr>
        <rFont val="Arial"/>
        <i/>
        <color theme="1"/>
        <sz val="11.0"/>
      </rPr>
      <t>AS VALUES</t>
    </r>
  </si>
  <si>
    <t>RFR Back Propogation v2 from v1</t>
  </si>
  <si>
    <t>Setup</t>
  </si>
  <si>
    <t>Make a new copy of the template and add “-V2” at the end of the copy as you move it next to the old version.</t>
  </si>
  <si>
    <t>Copy and paste the only data in segments that are unseperated by new or deleted columns</t>
  </si>
  <si>
    <t>Paste the run code into the run code header (Even though it’s ben redefined)</t>
  </si>
  <si>
    <t>Paste the old correction codes into the correction notes, where you can extract and re assign them later.</t>
  </si>
  <si>
    <t>Set the timestamps of all the rows as pale blue</t>
  </si>
  <si>
    <t>Per Row</t>
  </si>
  <si>
    <t>Assign new correction codes and notes from old codes located in the notes field</t>
  </si>
  <si>
    <t>Assign the new run code according to the updated definitions</t>
  </si>
  <si>
    <t>Determine and assign the # of Tubes added to Tube Result Table for each row with “Audit” in that column</t>
  </si>
  <si>
    <t>Create the required Tube Result Table rows</t>
  </si>
  <si>
    <t>Mark the row as pale green once complete.</t>
  </si>
  <si>
    <t>Add initials and date to far right column</t>
  </si>
  <si>
    <t>RUN COUNT RECONCILE CODES:</t>
  </si>
  <si>
    <t>OLD Codes (copied from Combate)</t>
  </si>
  <si>
    <t>ALL 3 COUNTS SAME meaning APS Collect = APS Result = RFR</t>
  </si>
  <si>
    <t>0   Same Audit RFR: APS Collect = APS Result = RFR</t>
  </si>
  <si>
    <t>ALL 3 COUNTS SAME after Null called Neg</t>
  </si>
  <si>
    <t>0.1 same as above except Null &gt; Neg</t>
  </si>
  <si>
    <t>ALL 3 COUNTS SAME with APS Collect on previous days</t>
  </si>
  <si>
    <t>0.2 All same with APS Collect on previous days</t>
  </si>
  <si>
    <t>ALL 3 COUNTS SAME after Null called Neg with APS Collect on previous days</t>
  </si>
  <si>
    <t>0.3 same as above except Null &gt; Neg and Pos</t>
  </si>
  <si>
    <t>ALL 3 COUNTS SAME but GFORM Num of Samples is different</t>
  </si>
  <si>
    <t>1 Same Audit RFR: APS Collect = RFR (disregard Result Count)</t>
  </si>
  <si>
    <t>Use APS Collect = RFR (diff APS Result count but nets out)</t>
  </si>
  <si>
    <t>1.1 same as above except Null &gt; Neg</t>
  </si>
  <si>
    <t>Use APS Collect = RFR (diff APS Result count but nets out) after Null called Neg</t>
  </si>
  <si>
    <t>2 Same Audit RFR: Extra tubes in RFR not in Appivo</t>
  </si>
  <si>
    <t>Use APS Collect = RFR Audit (ignore APS Result and GFORM Num samples is different)</t>
  </si>
  <si>
    <t>Use Audit RFR count (extra tubes in RFR not in Appivo)</t>
  </si>
  <si>
    <t>2.1 same as above except Null &gt; Neg</t>
  </si>
  <si>
    <t>Use Audit RFR count (extra tubes in RFR not in Appivo) after Null called Neg</t>
  </si>
  <si>
    <t>3 Same Audit RFR : Delete Null Tube</t>
  </si>
  <si>
    <t>ALL 3 COUNTS SAME after Null deleted</t>
  </si>
  <si>
    <t>4 Same Audit RFR: extra tube in Appivo not in LUM marked for delete</t>
  </si>
  <si>
    <t>Use APS Collect = RFR (diff APS Result count but nets out) after Null deleted</t>
  </si>
  <si>
    <t>4.5 Run with No RFR</t>
  </si>
  <si>
    <t>Add Run from APS with no RFR (assume run on same day as Collect, ignore Result day)</t>
  </si>
  <si>
    <t>4.6 RFR Raw Num Samples Gform = APS Collect</t>
  </si>
  <si>
    <t>Add Run from APS with no RFR (extra APS tube and conclude done in sep run with no RFR)</t>
  </si>
  <si>
    <t>RFR Raw Num Samples Gform = APS Collect</t>
  </si>
  <si>
    <t>4.9 Tube(s) in RFR not in Appivo - Run ID assignment Auto</t>
  </si>
  <si>
    <t>Same Audit RFR: extra tube in Appivo not in LUM marked for delete</t>
  </si>
  <si>
    <t>BELOW CODES HAVE MANUAL RUN ASSIGNMENT IN PASS2</t>
  </si>
  <si>
    <t>RFR Raw Num Samples Gform = APS Collect sum of different days so need Manual Run assign</t>
  </si>
  <si>
    <t>5 Multiple Initial runs on same day - final count is sum of RFR Audit = APS Collect</t>
  </si>
  <si>
    <t>Use GFORM Raw Num of Samples because nets out with surrounding days</t>
  </si>
  <si>
    <t>5.1 same as above except NULL is deleted</t>
  </si>
  <si>
    <t>Multiple Initial runs on same day - final count is sum of RFR Audit = APS Collect</t>
  </si>
  <si>
    <t>6 Same Audit RFR - nets out with next or prev day</t>
  </si>
  <si>
    <t>Multiple Initial runs on same day - final count is sum of RFR Audit = APS Collect (NULL is deleted)</t>
  </si>
  <si>
    <t>7 Same Audit RFR - all tubes assigned to 2nd initial run of day</t>
  </si>
  <si>
    <t>Use Audit RFR - nets out with next or prev day</t>
  </si>
  <si>
    <t>7.1 same as above but with Extra tubes in RFR not in Appivo</t>
  </si>
  <si>
    <t>No Run - APS Collect run next day</t>
  </si>
  <si>
    <t>8 Tube(s) in Appivo not in RFR</t>
  </si>
  <si>
    <t>No Run - APS Collect run 2 or more days later</t>
  </si>
  <si>
    <t>9 Tube(s) in RFR not in Appivo</t>
  </si>
  <si>
    <t>Use Audit RFR - all tubes assigned to 2nd initial run of day</t>
  </si>
  <si>
    <t>Use Audit RFR - all tubes assigned to 2nd initial run of day but with Extra tubes in RFR not in Appivo</t>
  </si>
  <si>
    <t>highlighting shows which rows need entries in delta col</t>
  </si>
  <si>
    <t>Use Audit RFR count (tube in Appivo not in RFR)</t>
  </si>
  <si>
    <t>blue gets + num</t>
  </si>
  <si>
    <t>Use APS Collect count != RFR Audit</t>
  </si>
  <si>
    <t>red gets - num</t>
  </si>
  <si>
    <t>Use APS Collect count != RFR Audit (with different Collect days)</t>
  </si>
  <si>
    <t>green gets +/- num depending</t>
  </si>
  <si>
    <t>Entire run in RFR not in Appivo</t>
  </si>
  <si>
    <t>Tube was in Appivo but not RFR and concluded never run so delete in APS preDel with code 9.4</t>
  </si>
  <si>
    <t>see Notes for reason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</si>
</sst>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0.0%"/>
    <numFmt numFmtId="166" formatCode="h:mm am/pm"/>
    <numFmt numFmtId="167" formatCode="m/d/yyyy h:mm:ss"/>
    <numFmt numFmtId="168" formatCode="0.0"/>
    <numFmt numFmtId="169" formatCode="yyyy-m"/>
  </numFmts>
  <fonts count="33">
    <font>
      <sz val="10.0"/>
      <color rgb="FF000000"/>
      <name val="Arial"/>
      <scheme val="minor"/>
    </font>
    <font>
      <b/>
      <color theme="1"/>
      <name val="Arial"/>
      <scheme val="minor"/>
    </font>
    <font>
      <b/>
      <color theme="1"/>
      <name val="Arial"/>
    </font>
    <font>
      <color theme="1"/>
      <name val="Arial"/>
      <scheme val="minor"/>
    </font>
    <font>
      <color theme="1"/>
      <name val="Arial"/>
    </font>
    <font>
      <b/>
      <sz val="10.0"/>
      <color theme="1"/>
      <name val="Arial"/>
    </font>
    <font>
      <b/>
      <color rgb="FFFFFFFF"/>
      <name val="Arial"/>
    </font>
    <font>
      <sz val="10.0"/>
      <color theme="1"/>
      <name val="Arial"/>
    </font>
    <font>
      <u/>
      <sz val="10.0"/>
      <color rgb="FF1155CC"/>
      <name val="Arial"/>
    </font>
    <font>
      <u/>
      <sz val="10.0"/>
      <color rgb="FF1155CC"/>
      <name val="Arial"/>
    </font>
    <font>
      <sz val="10.0"/>
      <color rgb="FF000000"/>
      <name val="Arial"/>
    </font>
    <font>
      <u/>
      <sz val="10.0"/>
      <color rgb="FF1155CC"/>
      <name val="Arial"/>
    </font>
    <font>
      <u/>
      <sz val="10.0"/>
      <color rgb="FF1155CC"/>
      <name val="Arial"/>
    </font>
    <font>
      <u/>
      <sz val="10.0"/>
      <color rgb="FF1155CC"/>
      <name val="Arial"/>
    </font>
    <font>
      <u/>
      <sz val="10.0"/>
      <color rgb="FF1155CC"/>
      <name val="Arial"/>
    </font>
    <font>
      <u/>
      <sz val="10.0"/>
      <color rgb="FF0000FF"/>
      <name val="Arial"/>
    </font>
    <font>
      <color rgb="FF000000"/>
      <name val="Arial"/>
    </font>
    <font>
      <i/>
      <color theme="1"/>
      <name val="Arial"/>
      <scheme val="minor"/>
    </font>
    <font>
      <u/>
      <color rgb="FF1155CC"/>
      <name val="Arial"/>
    </font>
    <font>
      <sz val="14.0"/>
      <color theme="1"/>
      <name val="Arial"/>
    </font>
    <font>
      <b/>
      <sz val="14.0"/>
      <color rgb="FFFFFFFF"/>
      <name val="Arial"/>
    </font>
    <font>
      <b/>
      <color rgb="FFFF0000"/>
      <name val="Arial"/>
    </font>
    <font>
      <b/>
      <sz val="14.0"/>
      <color theme="1"/>
      <name val="Arial"/>
    </font>
    <font>
      <b/>
      <sz val="11.0"/>
      <color theme="1"/>
      <name val="Arial"/>
    </font>
    <font/>
    <font>
      <sz val="11.0"/>
      <color theme="1"/>
      <name val="Arial"/>
    </font>
    <font>
      <sz val="11.0"/>
      <color theme="1"/>
      <name val="Arial"/>
      <scheme val="minor"/>
    </font>
    <font>
      <i/>
      <sz val="11.0"/>
      <color theme="1"/>
      <name val="Arial"/>
    </font>
    <font>
      <sz val="11.0"/>
      <color rgb="FF000000"/>
      <name val="Arial"/>
    </font>
    <font>
      <color rgb="FFFF0000"/>
      <name val="Arial"/>
    </font>
    <font>
      <b/>
      <sz val="14.0"/>
      <color rgb="FFFF0000"/>
      <name val="Arial"/>
    </font>
    <font>
      <b/>
      <u/>
      <sz val="12.0"/>
      <color rgb="FF000000"/>
      <name val="Arial"/>
    </font>
    <font>
      <b/>
      <sz val="11.0"/>
      <color rgb="FF000000"/>
      <name val="Arial"/>
    </font>
  </fonts>
  <fills count="36">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
      <patternFill patternType="solid">
        <fgColor rgb="FF434343"/>
        <bgColor rgb="FF434343"/>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C27BA0"/>
        <bgColor rgb="FFC27BA0"/>
      </patternFill>
    </fill>
    <fill>
      <patternFill patternType="solid">
        <fgColor rgb="FFFF0000"/>
        <bgColor rgb="FFFF0000"/>
      </patternFill>
    </fill>
    <fill>
      <patternFill patternType="solid">
        <fgColor rgb="FFFFFF00"/>
        <bgColor rgb="FFFFFF00"/>
      </patternFill>
    </fill>
    <fill>
      <patternFill patternType="solid">
        <fgColor rgb="FFCCCCCC"/>
        <bgColor rgb="FFCCCCCC"/>
      </patternFill>
    </fill>
    <fill>
      <patternFill patternType="solid">
        <fgColor rgb="FF00FFFF"/>
        <bgColor rgb="FF00FFFF"/>
      </patternFill>
    </fill>
    <fill>
      <patternFill patternType="solid">
        <fgColor rgb="FFFF9900"/>
        <bgColor rgb="FFFF9900"/>
      </patternFill>
    </fill>
    <fill>
      <patternFill patternType="solid">
        <fgColor rgb="FF4A86E8"/>
        <bgColor rgb="FF4A86E8"/>
      </patternFill>
    </fill>
    <fill>
      <patternFill patternType="solid">
        <fgColor rgb="FFCC0000"/>
        <bgColor rgb="FFCC0000"/>
      </patternFill>
    </fill>
    <fill>
      <patternFill patternType="solid">
        <fgColor rgb="FF9900FF"/>
        <bgColor rgb="FF9900FF"/>
      </patternFill>
    </fill>
    <fill>
      <patternFill patternType="solid">
        <fgColor rgb="FF45818E"/>
        <bgColor rgb="FF45818E"/>
      </patternFill>
    </fill>
    <fill>
      <patternFill patternType="solid">
        <fgColor rgb="FFBF9000"/>
        <bgColor rgb="FFBF9000"/>
      </patternFill>
    </fill>
    <fill>
      <patternFill patternType="solid">
        <fgColor rgb="FFFF00FF"/>
        <bgColor rgb="FFFF00FF"/>
      </patternFill>
    </fill>
    <fill>
      <patternFill patternType="solid">
        <fgColor rgb="FFFCE5CD"/>
        <bgColor rgb="FFFCE5CD"/>
      </patternFill>
    </fill>
    <fill>
      <patternFill patternType="solid">
        <fgColor rgb="FFEA9999"/>
        <bgColor rgb="FFEA9999"/>
      </patternFill>
    </fill>
    <fill>
      <patternFill patternType="solid">
        <fgColor rgb="FFA2C4C9"/>
        <bgColor rgb="FFA2C4C9"/>
      </patternFill>
    </fill>
    <fill>
      <patternFill patternType="solid">
        <fgColor rgb="FF6D9EEB"/>
        <bgColor rgb="FF6D9EEB"/>
      </patternFill>
    </fill>
    <fill>
      <patternFill patternType="solid">
        <fgColor rgb="FFFFFFFF"/>
        <bgColor rgb="FFFFFFFF"/>
      </patternFill>
    </fill>
    <fill>
      <patternFill patternType="solid">
        <fgColor rgb="FFB7E1CD"/>
        <bgColor rgb="FFB7E1CD"/>
      </patternFill>
    </fill>
    <fill>
      <patternFill patternType="solid">
        <fgColor rgb="FFFFF2CC"/>
        <bgColor rgb="FFFFF2CC"/>
      </patternFill>
    </fill>
    <fill>
      <patternFill patternType="solid">
        <fgColor rgb="FFD9D9D9"/>
        <bgColor rgb="FFD9D9D9"/>
      </patternFill>
    </fill>
    <fill>
      <patternFill patternType="solid">
        <fgColor rgb="FF34A853"/>
        <bgColor rgb="FF34A853"/>
      </patternFill>
    </fill>
    <fill>
      <patternFill patternType="solid">
        <fgColor rgb="FFAD4467"/>
        <bgColor rgb="FFAD4467"/>
      </patternFill>
    </fill>
  </fills>
  <borders count="32">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rder>
    <border>
      <bottom style="thick">
        <color rgb="FF000000"/>
      </bottom>
    </border>
    <border>
      <top style="thick">
        <color rgb="FF000000"/>
      </top>
    </border>
    <border>
      <right style="medium">
        <color rgb="FF000000"/>
      </right>
    </border>
    <border>
      <right style="thick">
        <color rgb="FF000000"/>
      </right>
    </border>
    <border>
      <left style="thick">
        <color rgb="FF000000"/>
      </left>
    </border>
    <border>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thick">
        <color rgb="FFFF0000"/>
      </left>
      <right style="thick">
        <color rgb="FFFF0000"/>
      </right>
      <top style="thick">
        <color rgb="FFFF0000"/>
      </top>
      <bottom style="thick">
        <color rgb="FFFF0000"/>
      </bottom>
    </border>
    <border>
      <bottom style="thin">
        <color rgb="FF000000"/>
      </bottom>
    </border>
    <border>
      <right style="thin">
        <color rgb="FF000000"/>
      </right>
    </border>
    <border>
      <right style="thin">
        <color rgb="FF000000"/>
      </right>
      <bottom style="thin">
        <color rgb="FF000000"/>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right style="thin">
        <color rgb="FF999999"/>
      </right>
    </border>
    <border>
      <right style="thin">
        <color rgb="FF999999"/>
      </right>
      <bottom style="thin">
        <color rgb="FF999999"/>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93">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shrinkToFit="0" vertical="bottom" wrapText="1"/>
    </xf>
    <xf borderId="0" fillId="4" fontId="1" numFmtId="0" xfId="0" applyAlignment="1" applyFill="1" applyFont="1">
      <alignment shrinkToFit="0" wrapText="1"/>
    </xf>
    <xf borderId="0" fillId="4" fontId="2" numFmtId="0" xfId="0" applyAlignment="1" applyFont="1">
      <alignment shrinkToFit="0" vertical="bottom" wrapText="1"/>
    </xf>
    <xf borderId="0" fillId="0" fontId="1" numFmtId="0" xfId="0" applyAlignment="1" applyFont="1">
      <alignment shrinkToFit="0" wrapText="1"/>
    </xf>
    <xf borderId="0" fillId="0" fontId="3" numFmtId="0" xfId="0" applyFont="1"/>
    <xf borderId="0" fillId="3" fontId="4" numFmtId="164" xfId="0" applyAlignment="1" applyFont="1" applyNumberFormat="1">
      <alignment horizontal="right" vertical="bottom"/>
    </xf>
    <xf borderId="0" fillId="2" fontId="3" numFmtId="164" xfId="0" applyFont="1" applyNumberFormat="1"/>
    <xf borderId="0" fillId="2" fontId="4" numFmtId="21" xfId="0" applyAlignment="1" applyFont="1" applyNumberFormat="1">
      <alignment horizontal="right" vertical="bottom"/>
    </xf>
    <xf borderId="0" fillId="5" fontId="3" numFmtId="0" xfId="0" applyFill="1" applyFont="1"/>
    <xf borderId="0" fillId="2" fontId="4" numFmtId="0" xfId="0" applyAlignment="1" applyFont="1">
      <alignment horizontal="right" vertical="bottom"/>
    </xf>
    <xf borderId="0" fillId="5" fontId="3" numFmtId="164" xfId="0" applyFont="1" applyNumberFormat="1"/>
    <xf borderId="0" fillId="5" fontId="3" numFmtId="21" xfId="0" applyFont="1" applyNumberFormat="1"/>
    <xf borderId="0" fillId="0" fontId="4" numFmtId="164" xfId="0" applyAlignment="1" applyFont="1" applyNumberFormat="1">
      <alignment horizontal="right" vertical="bottom"/>
    </xf>
    <xf borderId="0" fillId="0" fontId="1" numFmtId="0" xfId="0" applyAlignment="1" applyFont="1">
      <alignment readingOrder="0" shrinkToFit="0" wrapText="1"/>
    </xf>
    <xf borderId="0" fillId="0" fontId="2" numFmtId="0" xfId="0" applyAlignment="1" applyFont="1">
      <alignment shrinkToFit="0" vertical="bottom" wrapText="1"/>
    </xf>
    <xf borderId="0" fillId="6" fontId="3" numFmtId="164" xfId="0" applyFill="1" applyFont="1" applyNumberFormat="1"/>
    <xf borderId="0" fillId="7" fontId="3" numFmtId="164" xfId="0" applyFill="1" applyFont="1" applyNumberFormat="1"/>
    <xf borderId="0" fillId="3" fontId="4" numFmtId="0" xfId="0" applyAlignment="1" applyFont="1">
      <alignment horizontal="right" vertical="bottom"/>
    </xf>
    <xf borderId="0" fillId="3" fontId="3" numFmtId="0" xfId="0" applyFont="1"/>
    <xf borderId="0" fillId="3" fontId="3" numFmtId="165" xfId="0" applyFont="1" applyNumberFormat="1"/>
    <xf borderId="0" fillId="4" fontId="3" numFmtId="164" xfId="0" applyFont="1" applyNumberFormat="1"/>
    <xf borderId="0" fillId="8" fontId="1" numFmtId="0" xfId="0" applyAlignment="1" applyFill="1" applyFont="1">
      <alignment readingOrder="0" shrinkToFit="0" wrapText="1"/>
    </xf>
    <xf borderId="0" fillId="8" fontId="1" numFmtId="0" xfId="0" applyAlignment="1" applyFont="1">
      <alignment horizontal="center"/>
    </xf>
    <xf borderId="0" fillId="8" fontId="4" numFmtId="0" xfId="0" applyAlignment="1" applyFont="1">
      <alignment vertical="bottom"/>
    </xf>
    <xf borderId="0" fillId="8" fontId="2" numFmtId="0" xfId="0" applyAlignment="1" applyFont="1">
      <alignment horizontal="center" vertical="bottom"/>
    </xf>
    <xf borderId="0" fillId="9" fontId="1" numFmtId="0" xfId="0" applyAlignment="1" applyFill="1" applyFont="1">
      <alignment readingOrder="0"/>
    </xf>
    <xf borderId="0" fillId="10" fontId="1" numFmtId="0" xfId="0" applyAlignment="1" applyFill="1" applyFont="1">
      <alignment readingOrder="0"/>
    </xf>
    <xf borderId="0" fillId="10" fontId="1" numFmtId="0" xfId="0" applyAlignment="1" applyFont="1">
      <alignment readingOrder="0" shrinkToFit="0" wrapText="1"/>
    </xf>
    <xf borderId="0" fillId="10" fontId="1" numFmtId="0" xfId="0" applyAlignment="1" applyFont="1">
      <alignment horizontal="center"/>
    </xf>
    <xf borderId="0" fillId="10" fontId="2" numFmtId="0" xfId="0" applyAlignment="1" applyFont="1">
      <alignment horizontal="center" vertical="bottom"/>
    </xf>
    <xf borderId="0" fillId="9" fontId="5" numFmtId="0" xfId="0" applyAlignment="1" applyFont="1">
      <alignment horizontal="left" readingOrder="0" shrinkToFit="0" vertical="bottom" wrapText="1"/>
    </xf>
    <xf borderId="0" fillId="11" fontId="1" numFmtId="0" xfId="0" applyAlignment="1" applyFill="1" applyFont="1">
      <alignment readingOrder="0"/>
    </xf>
    <xf borderId="0" fillId="11" fontId="1" numFmtId="0" xfId="0" applyAlignment="1" applyFont="1">
      <alignment horizontal="center"/>
    </xf>
    <xf borderId="0" fillId="4" fontId="1" numFmtId="0" xfId="0" applyAlignment="1" applyFont="1">
      <alignment readingOrder="0" shrinkToFit="0" wrapText="1"/>
    </xf>
    <xf borderId="0" fillId="4" fontId="1" numFmtId="0" xfId="0" applyAlignment="1" applyFont="1">
      <alignment horizontal="center" readingOrder="0" shrinkToFit="0" wrapText="1"/>
    </xf>
    <xf borderId="0" fillId="12" fontId="1" numFmtId="0" xfId="0" applyAlignment="1" applyFill="1" applyFont="1">
      <alignment readingOrder="0" shrinkToFit="0" wrapText="1"/>
    </xf>
    <xf borderId="0" fillId="12" fontId="1" numFmtId="0" xfId="0" applyAlignment="1" applyFont="1">
      <alignment horizontal="center"/>
    </xf>
    <xf borderId="0" fillId="0" fontId="2" numFmtId="0" xfId="0" applyAlignment="1" applyFont="1">
      <alignment readingOrder="0" shrinkToFit="0" vertical="bottom" wrapText="1"/>
    </xf>
    <xf borderId="0" fillId="8" fontId="2" numFmtId="0" xfId="0" applyAlignment="1" applyFont="1">
      <alignment readingOrder="0" shrinkToFit="0" vertical="bottom" wrapText="1"/>
    </xf>
    <xf borderId="0" fillId="11" fontId="2" numFmtId="0" xfId="0" applyAlignment="1" applyFont="1">
      <alignment shrinkToFit="0" vertical="bottom" wrapText="1"/>
    </xf>
    <xf borderId="0" fillId="9" fontId="1" numFmtId="0" xfId="0" applyAlignment="1" applyFont="1">
      <alignment readingOrder="0" shrinkToFit="0" wrapText="1"/>
    </xf>
    <xf borderId="0" fillId="9" fontId="3" numFmtId="0" xfId="0" applyFont="1"/>
    <xf borderId="0" fillId="11" fontId="1" numFmtId="0" xfId="0" applyAlignment="1" applyFont="1">
      <alignment readingOrder="0" shrinkToFit="0" wrapText="1"/>
    </xf>
    <xf borderId="0" fillId="13" fontId="1" numFmtId="0" xfId="0" applyAlignment="1" applyFill="1" applyFont="1">
      <alignment readingOrder="0" shrinkToFit="0" wrapText="1"/>
    </xf>
    <xf borderId="0" fillId="2" fontId="3" numFmtId="0" xfId="0" applyFont="1"/>
    <xf borderId="0" fillId="3" fontId="3" numFmtId="164" xfId="0" applyAlignment="1" applyFont="1" applyNumberFormat="1">
      <alignment horizontal="center"/>
    </xf>
    <xf borderId="0" fillId="8" fontId="3" numFmtId="0" xfId="0" applyAlignment="1" applyFont="1">
      <alignment horizontal="center"/>
    </xf>
    <xf borderId="0" fillId="3" fontId="3" numFmtId="0" xfId="0" applyAlignment="1" applyFont="1">
      <alignment horizontal="center"/>
    </xf>
    <xf borderId="0" fillId="10" fontId="3" numFmtId="0" xfId="0" applyAlignment="1" applyFont="1">
      <alignment horizontal="center"/>
    </xf>
    <xf borderId="0" fillId="11" fontId="3" numFmtId="0" xfId="0" applyAlignment="1" applyFont="1">
      <alignment horizontal="center"/>
    </xf>
    <xf borderId="0" fillId="11" fontId="4" numFmtId="0" xfId="0" applyAlignment="1" applyFont="1">
      <alignment horizontal="center" vertical="bottom"/>
    </xf>
    <xf borderId="0" fillId="4" fontId="3" numFmtId="0" xfId="0" applyAlignment="1" applyFont="1">
      <alignment horizontal="center" readingOrder="0" shrinkToFit="0" wrapText="1"/>
    </xf>
    <xf borderId="0" fillId="14" fontId="3" numFmtId="0" xfId="0" applyFill="1" applyFont="1"/>
    <xf borderId="0" fillId="0" fontId="3" numFmtId="164" xfId="0" applyFont="1" applyNumberFormat="1"/>
    <xf borderId="0" fillId="0" fontId="3" numFmtId="0" xfId="0" applyAlignment="1" applyFont="1">
      <alignment horizontal="center"/>
    </xf>
    <xf borderId="0" fillId="0" fontId="4" numFmtId="0" xfId="0" applyAlignment="1" applyFont="1">
      <alignment vertical="bottom"/>
    </xf>
    <xf borderId="0" fillId="13" fontId="0" numFmtId="0" xfId="0" applyAlignment="1" applyFont="1">
      <alignment horizontal="center" readingOrder="0"/>
    </xf>
    <xf borderId="0" fillId="14" fontId="4" numFmtId="166" xfId="0" applyAlignment="1" applyFont="1" applyNumberFormat="1">
      <alignment vertical="bottom"/>
    </xf>
    <xf borderId="0" fillId="0" fontId="4" numFmtId="164" xfId="0" applyAlignment="1" applyFont="1" applyNumberFormat="1">
      <alignment horizontal="center" vertical="bottom"/>
    </xf>
    <xf borderId="0" fillId="0" fontId="4" numFmtId="0" xfId="0" applyAlignment="1" applyFont="1">
      <alignment horizontal="center" vertical="bottom"/>
    </xf>
    <xf borderId="0" fillId="0" fontId="3" numFmtId="166" xfId="0" applyFont="1" applyNumberFormat="1"/>
    <xf borderId="0" fillId="8" fontId="4" numFmtId="0" xfId="0" applyAlignment="1" applyFont="1">
      <alignment horizontal="center" vertical="bottom"/>
    </xf>
    <xf borderId="0" fillId="15" fontId="4" numFmtId="0" xfId="0" applyAlignment="1" applyFill="1" applyFont="1">
      <alignment horizontal="center" vertical="bottom"/>
    </xf>
    <xf borderId="0" fillId="16" fontId="4" numFmtId="0" xfId="0" applyAlignment="1" applyFill="1" applyFont="1">
      <alignment horizontal="center" vertical="bottom"/>
    </xf>
    <xf borderId="0" fillId="0" fontId="3" numFmtId="0" xfId="0" applyAlignment="1" applyFont="1">
      <alignment horizontal="center" readingOrder="0" shrinkToFit="0" wrapText="1"/>
    </xf>
    <xf borderId="0" fillId="17" fontId="3" numFmtId="164" xfId="0" applyFill="1" applyFont="1" applyNumberFormat="1"/>
    <xf borderId="0" fillId="3" fontId="5" numFmtId="0" xfId="0" applyAlignment="1" applyFont="1">
      <alignment horizontal="left" readingOrder="0" shrinkToFit="0" vertical="bottom" wrapText="1"/>
    </xf>
    <xf borderId="0" fillId="3" fontId="2" numFmtId="0" xfId="0" applyAlignment="1" applyFont="1">
      <alignment readingOrder="0" shrinkToFit="0" vertical="bottom" wrapText="1"/>
    </xf>
    <xf borderId="0" fillId="3" fontId="2" numFmtId="0" xfId="0" applyAlignment="1" applyFont="1">
      <alignment shrinkToFit="0" vertical="bottom" wrapText="1"/>
    </xf>
    <xf borderId="0" fillId="0" fontId="5" numFmtId="0" xfId="0" applyAlignment="1" applyFont="1">
      <alignment horizontal="left" readingOrder="0" shrinkToFit="0" vertical="bottom" wrapText="1"/>
    </xf>
    <xf borderId="0" fillId="6" fontId="5" numFmtId="0" xfId="0" applyAlignment="1" applyFont="1">
      <alignment horizontal="left" readingOrder="0" shrinkToFit="0" vertical="bottom" wrapText="1"/>
    </xf>
    <xf borderId="0" fillId="0" fontId="1" numFmtId="0" xfId="0" applyAlignment="1" applyFont="1">
      <alignment readingOrder="0"/>
    </xf>
    <xf borderId="0" fillId="3" fontId="1" numFmtId="0" xfId="0" applyAlignment="1" applyFont="1">
      <alignment readingOrder="0" shrinkToFit="0" wrapText="1"/>
    </xf>
    <xf borderId="0" fillId="14" fontId="1" numFmtId="0" xfId="0" applyAlignment="1" applyFont="1">
      <alignment readingOrder="0" shrinkToFit="0" wrapText="1"/>
    </xf>
    <xf borderId="0" fillId="6" fontId="1" numFmtId="0" xfId="0" applyAlignment="1" applyFont="1">
      <alignment readingOrder="0" shrinkToFit="0" wrapText="1"/>
    </xf>
    <xf borderId="0" fillId="9" fontId="4" numFmtId="0" xfId="0" applyAlignment="1" applyFont="1">
      <alignment vertical="bottom"/>
    </xf>
    <xf borderId="0" fillId="0" fontId="2" numFmtId="0" xfId="0" applyAlignment="1" applyFont="1">
      <alignment vertical="bottom"/>
    </xf>
    <xf borderId="0" fillId="0" fontId="1" numFmtId="0" xfId="0" applyAlignment="1" applyFont="1">
      <alignment horizontal="center" readingOrder="0" shrinkToFit="0" wrapText="1"/>
    </xf>
    <xf borderId="0" fillId="0" fontId="2" numFmtId="0" xfId="0" applyAlignment="1" applyFont="1">
      <alignment shrinkToFit="0" vertical="bottom" wrapText="1"/>
    </xf>
    <xf borderId="0" fillId="9" fontId="4" numFmtId="0" xfId="0" applyAlignment="1" applyFont="1">
      <alignment vertical="bottom"/>
    </xf>
    <xf borderId="0" fillId="3" fontId="2" numFmtId="0" xfId="0" applyAlignment="1" applyFont="1">
      <alignment horizontal="center" shrinkToFit="0" vertical="bottom" wrapText="1"/>
    </xf>
    <xf borderId="0" fillId="3" fontId="3" numFmtId="0" xfId="0" applyAlignment="1" applyFont="1">
      <alignment horizontal="center" readingOrder="0"/>
    </xf>
    <xf borderId="0" fillId="18" fontId="3" numFmtId="0" xfId="0" applyAlignment="1" applyFill="1" applyFont="1">
      <alignment horizontal="center"/>
    </xf>
    <xf borderId="0" fillId="18" fontId="3" numFmtId="0" xfId="0" applyAlignment="1" applyFont="1">
      <alignment horizontal="center" readingOrder="0"/>
    </xf>
    <xf borderId="0" fillId="0" fontId="3" numFmtId="0" xfId="0" applyAlignment="1" applyFont="1">
      <alignment readingOrder="0"/>
    </xf>
    <xf borderId="0" fillId="3" fontId="0" numFmtId="0" xfId="0" applyAlignment="1" applyFont="1">
      <alignment horizontal="center" readingOrder="0"/>
    </xf>
    <xf borderId="0" fillId="14" fontId="4" numFmtId="0" xfId="0" applyAlignment="1" applyFont="1">
      <alignment vertical="bottom"/>
    </xf>
    <xf borderId="0" fillId="5" fontId="4" numFmtId="167" xfId="0" applyAlignment="1" applyFont="1" applyNumberFormat="1">
      <alignment horizontal="left" vertical="bottom"/>
    </xf>
    <xf borderId="0" fillId="3" fontId="4" numFmtId="0" xfId="0" applyAlignment="1" applyFont="1">
      <alignment horizontal="center" vertical="bottom"/>
    </xf>
    <xf borderId="0" fillId="8" fontId="3" numFmtId="0" xfId="0" applyAlignment="1" applyFont="1">
      <alignment horizontal="center" readingOrder="0"/>
    </xf>
    <xf borderId="0" fillId="3" fontId="3" numFmtId="164" xfId="0" applyFont="1" applyNumberFormat="1"/>
    <xf borderId="0" fillId="5" fontId="4" numFmtId="0" xfId="0" applyAlignment="1" applyFont="1">
      <alignment vertical="bottom"/>
    </xf>
    <xf borderId="0" fillId="18" fontId="3" numFmtId="0" xfId="0" applyFont="1"/>
    <xf borderId="0" fillId="18" fontId="3" numFmtId="164" xfId="0" applyFont="1" applyNumberFormat="1"/>
    <xf borderId="0" fillId="5" fontId="4" numFmtId="0" xfId="0" applyFont="1"/>
    <xf borderId="0" fillId="17" fontId="3" numFmtId="0" xfId="0" applyFont="1"/>
    <xf borderId="0" fillId="17" fontId="3" numFmtId="0" xfId="0" applyAlignment="1" applyFont="1">
      <alignment horizontal="center" readingOrder="0"/>
    </xf>
    <xf borderId="0" fillId="17" fontId="3" numFmtId="0" xfId="0" applyAlignment="1" applyFont="1">
      <alignment horizontal="center"/>
    </xf>
    <xf borderId="1" fillId="8" fontId="3" numFmtId="0" xfId="0" applyAlignment="1" applyBorder="1" applyFont="1">
      <alignment horizontal="center"/>
    </xf>
    <xf borderId="2" fillId="8" fontId="3" numFmtId="0" xfId="0" applyAlignment="1" applyBorder="1" applyFont="1">
      <alignment horizontal="center"/>
    </xf>
    <xf borderId="0" fillId="6" fontId="3" numFmtId="0" xfId="0" applyFont="1"/>
    <xf borderId="0" fillId="19" fontId="3" numFmtId="0" xfId="0" applyAlignment="1" applyFill="1" applyFont="1">
      <alignment horizontal="center"/>
    </xf>
    <xf borderId="0" fillId="19" fontId="3" numFmtId="0" xfId="0" applyAlignment="1" applyFont="1">
      <alignment horizontal="center" readingOrder="0"/>
    </xf>
    <xf borderId="0" fillId="0" fontId="4" numFmtId="0" xfId="0" applyFont="1"/>
    <xf borderId="1" fillId="15" fontId="3" numFmtId="0" xfId="0" applyAlignment="1" applyBorder="1" applyFont="1">
      <alignment horizontal="center"/>
    </xf>
    <xf borderId="0" fillId="20" fontId="3" numFmtId="0" xfId="0" applyAlignment="1" applyFill="1" applyFont="1">
      <alignment horizontal="center"/>
    </xf>
    <xf borderId="2" fillId="15" fontId="3" numFmtId="0" xfId="0" applyAlignment="1" applyBorder="1" applyFont="1">
      <alignment horizontal="center"/>
    </xf>
    <xf borderId="3" fillId="20" fontId="3" numFmtId="0" xfId="0" applyAlignment="1" applyBorder="1" applyFont="1">
      <alignment horizontal="center"/>
    </xf>
    <xf borderId="0" fillId="16" fontId="3" numFmtId="0" xfId="0" applyAlignment="1" applyFont="1">
      <alignment horizontal="center"/>
    </xf>
    <xf borderId="0" fillId="21" fontId="3" numFmtId="0" xfId="0" applyAlignment="1" applyFill="1" applyFont="1">
      <alignment horizontal="center"/>
    </xf>
    <xf borderId="0" fillId="21" fontId="3" numFmtId="0" xfId="0" applyAlignment="1" applyFont="1">
      <alignment horizontal="center" readingOrder="0"/>
    </xf>
    <xf borderId="1" fillId="0" fontId="3" numFmtId="0" xfId="0" applyAlignment="1" applyBorder="1" applyFont="1">
      <alignment horizontal="center"/>
    </xf>
    <xf borderId="2" fillId="0" fontId="3" numFmtId="0" xfId="0" applyAlignment="1" applyBorder="1" applyFont="1">
      <alignment horizontal="center"/>
    </xf>
    <xf borderId="3" fillId="0" fontId="3" numFmtId="0" xfId="0" applyAlignment="1" applyBorder="1" applyFont="1">
      <alignment horizontal="center"/>
    </xf>
    <xf borderId="0" fillId="22" fontId="3" numFmtId="164" xfId="0" applyFill="1" applyFont="1" applyNumberFormat="1"/>
    <xf borderId="4" fillId="22" fontId="3" numFmtId="0" xfId="0" applyAlignment="1" applyBorder="1" applyFont="1">
      <alignment horizontal="center"/>
    </xf>
    <xf borderId="0" fillId="8" fontId="3" numFmtId="164" xfId="0" applyAlignment="1" applyFont="1" applyNumberFormat="1">
      <alignment horizontal="right" readingOrder="0"/>
    </xf>
    <xf borderId="0" fillId="22" fontId="3" numFmtId="0" xfId="0" applyFont="1"/>
    <xf borderId="0" fillId="0" fontId="3" numFmtId="0" xfId="0" applyAlignment="1" applyFont="1">
      <alignment horizontal="center" readingOrder="0"/>
    </xf>
    <xf borderId="0" fillId="22" fontId="3" numFmtId="0" xfId="0" applyAlignment="1" applyFont="1">
      <alignment horizontal="center" readingOrder="0"/>
    </xf>
    <xf borderId="0" fillId="8" fontId="3" numFmtId="0" xfId="0" applyFont="1"/>
    <xf borderId="0" fillId="8" fontId="3" numFmtId="164" xfId="0" applyFont="1" applyNumberFormat="1"/>
    <xf borderId="0" fillId="17" fontId="3" numFmtId="164" xfId="0" applyAlignment="1" applyFont="1" applyNumberFormat="1">
      <alignment horizontal="right" readingOrder="0"/>
    </xf>
    <xf borderId="1" fillId="16" fontId="3" numFmtId="0" xfId="0" applyAlignment="1" applyBorder="1" applyFont="1">
      <alignment horizontal="center" readingOrder="0"/>
    </xf>
    <xf borderId="2" fillId="16" fontId="3" numFmtId="0" xfId="0" applyAlignment="1" applyBorder="1" applyFont="1">
      <alignment horizontal="center"/>
    </xf>
    <xf borderId="3" fillId="16" fontId="3" numFmtId="0" xfId="0" applyAlignment="1" applyBorder="1" applyFont="1">
      <alignment horizontal="center"/>
    </xf>
    <xf borderId="0" fillId="23" fontId="3" numFmtId="0" xfId="0" applyAlignment="1" applyFill="1" applyFont="1">
      <alignment horizontal="center" readingOrder="0"/>
    </xf>
    <xf borderId="0" fillId="15" fontId="3" numFmtId="0" xfId="0" applyAlignment="1" applyFont="1">
      <alignment horizontal="center"/>
    </xf>
    <xf borderId="0" fillId="6" fontId="3" numFmtId="0" xfId="0" applyAlignment="1" applyFont="1">
      <alignment horizontal="center"/>
    </xf>
    <xf borderId="0" fillId="6" fontId="3" numFmtId="0" xfId="0" applyAlignment="1" applyFont="1">
      <alignment horizontal="center" readingOrder="0"/>
    </xf>
    <xf borderId="0" fillId="20" fontId="3" numFmtId="0" xfId="0" applyAlignment="1" applyFont="1">
      <alignment horizontal="center" readingOrder="0"/>
    </xf>
    <xf borderId="0" fillId="24" fontId="3" numFmtId="0" xfId="0" applyAlignment="1" applyFill="1" applyFont="1">
      <alignment horizontal="center" readingOrder="0"/>
    </xf>
    <xf borderId="0" fillId="25" fontId="3" numFmtId="0" xfId="0" applyAlignment="1" applyFill="1" applyFont="1">
      <alignment horizontal="center"/>
    </xf>
    <xf borderId="0" fillId="25" fontId="3" numFmtId="0" xfId="0" applyAlignment="1" applyFont="1">
      <alignment horizontal="center" readingOrder="0"/>
    </xf>
    <xf borderId="0" fillId="3" fontId="3" numFmtId="0" xfId="0" applyAlignment="1" applyFont="1">
      <alignment readingOrder="0"/>
    </xf>
    <xf borderId="5" fillId="0" fontId="3" numFmtId="0" xfId="0" applyBorder="1" applyFont="1"/>
    <xf borderId="6" fillId="3" fontId="3" numFmtId="0" xfId="0" applyBorder="1" applyFont="1"/>
    <xf borderId="6" fillId="3" fontId="3" numFmtId="164" xfId="0" applyBorder="1" applyFont="1" applyNumberFormat="1"/>
    <xf borderId="6" fillId="14" fontId="3" numFmtId="164" xfId="0" applyBorder="1" applyFont="1" applyNumberFormat="1"/>
    <xf borderId="6" fillId="6" fontId="4" numFmtId="0" xfId="0" applyAlignment="1" applyBorder="1" applyFont="1">
      <alignment horizontal="center"/>
    </xf>
    <xf borderId="0" fillId="6" fontId="4" numFmtId="0" xfId="0" applyAlignment="1" applyFont="1">
      <alignment horizontal="center"/>
    </xf>
    <xf borderId="0" fillId="0" fontId="4" numFmtId="0" xfId="0" applyAlignment="1" applyFont="1">
      <alignment horizontal="center"/>
    </xf>
    <xf borderId="7" fillId="0" fontId="2" numFmtId="0" xfId="0" applyAlignment="1" applyBorder="1" applyFont="1">
      <alignment vertical="bottom"/>
    </xf>
    <xf borderId="0" fillId="6" fontId="2" numFmtId="0" xfId="0" applyAlignment="1" applyFont="1">
      <alignment shrinkToFit="0" vertical="bottom" wrapText="1"/>
    </xf>
    <xf borderId="7" fillId="0" fontId="2" numFmtId="0" xfId="0" applyAlignment="1" applyBorder="1" applyFont="1">
      <alignment shrinkToFit="0" vertical="bottom" wrapText="1"/>
    </xf>
    <xf borderId="7" fillId="3" fontId="2" numFmtId="0" xfId="0" applyAlignment="1" applyBorder="1" applyFont="1">
      <alignment shrinkToFit="0" vertical="bottom" wrapText="1"/>
    </xf>
    <xf borderId="0" fillId="26" fontId="2" numFmtId="0" xfId="0" applyAlignment="1" applyFill="1" applyFont="1">
      <alignment shrinkToFit="0" vertical="bottom" wrapText="1"/>
    </xf>
    <xf borderId="0" fillId="12" fontId="2" numFmtId="0" xfId="0" applyAlignment="1" applyFont="1">
      <alignment shrinkToFit="0" vertical="bottom" wrapText="1"/>
    </xf>
    <xf borderId="0" fillId="7" fontId="2" numFmtId="0" xfId="0" applyAlignment="1" applyFont="1">
      <alignment shrinkToFit="0" vertical="bottom" wrapText="1"/>
    </xf>
    <xf borderId="0" fillId="27" fontId="2" numFmtId="0" xfId="0" applyAlignment="1" applyFill="1" applyFont="1">
      <alignment shrinkToFit="0" vertical="bottom" wrapText="1"/>
    </xf>
    <xf borderId="7" fillId="0" fontId="5" numFmtId="0" xfId="0" applyAlignment="1" applyBorder="1" applyFont="1">
      <alignment readingOrder="0" shrinkToFit="0" vertical="bottom" wrapText="1"/>
    </xf>
    <xf borderId="0" fillId="28" fontId="2" numFmtId="0" xfId="0" applyAlignment="1" applyFill="1" applyFont="1">
      <alignment shrinkToFit="0" vertical="bottom" wrapText="1"/>
    </xf>
    <xf borderId="0" fillId="11" fontId="2" numFmtId="0" xfId="0" applyAlignment="1" applyFont="1">
      <alignment shrinkToFit="0" vertical="bottom" wrapText="0"/>
    </xf>
    <xf borderId="8" fillId="0" fontId="2" numFmtId="0" xfId="0" applyAlignment="1" applyBorder="1" applyFont="1">
      <alignment shrinkToFit="0" vertical="bottom" wrapText="1"/>
    </xf>
    <xf borderId="0" fillId="19" fontId="2" numFmtId="0" xfId="0" applyAlignment="1" applyFont="1">
      <alignment shrinkToFit="0" vertical="bottom" wrapText="1"/>
    </xf>
    <xf borderId="0" fillId="22" fontId="6" numFmtId="0" xfId="0" applyAlignment="1" applyFont="1">
      <alignment shrinkToFit="0" vertical="bottom" wrapText="1"/>
    </xf>
    <xf borderId="0" fillId="8" fontId="2" numFmtId="0" xfId="0" applyAlignment="1" applyFont="1">
      <alignment shrinkToFit="0" vertical="bottom" wrapText="1"/>
    </xf>
    <xf borderId="0" fillId="17" fontId="7" numFmtId="0" xfId="0" applyAlignment="1" applyFont="1">
      <alignment vertical="bottom"/>
    </xf>
    <xf borderId="0" fillId="17" fontId="7" numFmtId="167" xfId="0" applyAlignment="1" applyFont="1" applyNumberFormat="1">
      <alignment horizontal="right" vertical="bottom"/>
    </xf>
    <xf borderId="0" fillId="17" fontId="7" numFmtId="0" xfId="0" applyAlignment="1" applyFont="1">
      <alignment vertical="bottom"/>
    </xf>
    <xf borderId="0" fillId="17" fontId="7" numFmtId="0" xfId="0" applyAlignment="1" applyFont="1">
      <alignment horizontal="center" vertical="bottom"/>
    </xf>
    <xf borderId="0" fillId="17" fontId="7" numFmtId="0" xfId="0" applyAlignment="1" applyFont="1">
      <alignment horizontal="left" vertical="bottom"/>
    </xf>
    <xf borderId="0" fillId="17" fontId="8" numFmtId="0" xfId="0" applyAlignment="1" applyFont="1">
      <alignment horizontal="right" shrinkToFit="0" vertical="bottom" wrapText="0"/>
    </xf>
    <xf borderId="0" fillId="17" fontId="9" numFmtId="0" xfId="0" applyAlignment="1" applyFont="1">
      <alignment shrinkToFit="0" vertical="bottom" wrapText="0"/>
    </xf>
    <xf borderId="0" fillId="17" fontId="7" numFmtId="0" xfId="0" applyAlignment="1" applyFont="1">
      <alignment horizontal="center" vertical="bottom"/>
    </xf>
    <xf borderId="8" fillId="17" fontId="7" numFmtId="0" xfId="0" applyAlignment="1" applyBorder="1" applyFont="1">
      <alignment shrinkToFit="0" vertical="bottom" wrapText="0"/>
    </xf>
    <xf borderId="0" fillId="17" fontId="7" numFmtId="168" xfId="0" applyAlignment="1" applyFont="1" applyNumberFormat="1">
      <alignment horizontal="center" vertical="bottom"/>
    </xf>
    <xf borderId="0" fillId="17" fontId="7" numFmtId="0" xfId="0" applyFont="1"/>
    <xf borderId="7" fillId="17" fontId="7" numFmtId="0" xfId="0" applyBorder="1" applyFont="1"/>
    <xf borderId="0" fillId="17" fontId="3" numFmtId="164" xfId="0" applyAlignment="1" applyFont="1" applyNumberFormat="1">
      <alignment horizontal="right"/>
    </xf>
    <xf borderId="0" fillId="17" fontId="7" numFmtId="166" xfId="0" applyAlignment="1" applyFont="1" applyNumberFormat="1">
      <alignment horizontal="right" vertical="bottom"/>
    </xf>
    <xf borderId="0" fillId="17" fontId="7" numFmtId="0" xfId="0" applyAlignment="1" applyFont="1">
      <alignment readingOrder="0" vertical="bottom"/>
    </xf>
    <xf borderId="0" fillId="17" fontId="7" numFmtId="0" xfId="0" applyAlignment="1" applyFont="1">
      <alignment horizontal="center" readingOrder="0" vertical="bottom"/>
    </xf>
    <xf borderId="7" fillId="17" fontId="7" numFmtId="0" xfId="0" applyAlignment="1" applyBorder="1" applyFont="1">
      <alignment horizontal="center" vertical="bottom"/>
    </xf>
    <xf borderId="0" fillId="17" fontId="7" numFmtId="0" xfId="0" applyAlignment="1" applyFont="1">
      <alignment shrinkToFit="0" vertical="bottom" wrapText="0"/>
    </xf>
    <xf borderId="0" fillId="17" fontId="7" numFmtId="0" xfId="0" applyAlignment="1" applyFont="1">
      <alignment horizontal="center"/>
    </xf>
    <xf borderId="0" fillId="17" fontId="10" numFmtId="0" xfId="0" applyFont="1"/>
    <xf borderId="8" fillId="17" fontId="7" numFmtId="0" xfId="0" applyAlignment="1" applyBorder="1" applyFont="1">
      <alignment vertical="bottom"/>
    </xf>
    <xf borderId="9" fillId="17" fontId="7" numFmtId="0" xfId="0" applyAlignment="1" applyBorder="1" applyFont="1">
      <alignment vertical="bottom"/>
    </xf>
    <xf borderId="0" fillId="22" fontId="7" numFmtId="0" xfId="0" applyAlignment="1" applyFont="1">
      <alignment readingOrder="0" vertical="bottom"/>
    </xf>
    <xf borderId="0" fillId="3" fontId="7" numFmtId="164" xfId="0" applyAlignment="1" applyFont="1" applyNumberFormat="1">
      <alignment horizontal="center" vertical="bottom"/>
    </xf>
    <xf borderId="0" fillId="3" fontId="7" numFmtId="0" xfId="0" applyAlignment="1" applyFont="1">
      <alignment vertical="bottom"/>
    </xf>
    <xf borderId="0" fillId="3" fontId="7" numFmtId="0" xfId="0" applyAlignment="1" applyFont="1">
      <alignment horizontal="center" vertical="bottom"/>
    </xf>
    <xf borderId="0" fillId="3" fontId="4" numFmtId="164" xfId="0" applyAlignment="1" applyFont="1" applyNumberFormat="1">
      <alignment vertical="bottom"/>
    </xf>
    <xf borderId="0" fillId="3" fontId="3" numFmtId="0" xfId="0" applyAlignment="1" applyFont="1">
      <alignment horizontal="center"/>
    </xf>
    <xf borderId="0" fillId="3" fontId="7" numFmtId="0" xfId="0" applyAlignment="1" applyFont="1">
      <alignment horizontal="center" readingOrder="0" vertical="bottom"/>
    </xf>
    <xf borderId="0" fillId="29" fontId="7" numFmtId="0" xfId="0" applyAlignment="1" applyFill="1" applyFont="1">
      <alignment horizontal="center" vertical="bottom"/>
    </xf>
    <xf borderId="0" fillId="0" fontId="7" numFmtId="0" xfId="0" applyAlignment="1" applyFont="1">
      <alignment horizontal="center" readingOrder="0" vertical="bottom"/>
    </xf>
    <xf borderId="0" fillId="3" fontId="7" numFmtId="164" xfId="0" applyAlignment="1" applyFont="1" applyNumberFormat="1">
      <alignment vertical="bottom"/>
    </xf>
    <xf borderId="0" fillId="6" fontId="7" numFmtId="164" xfId="0" applyAlignment="1" applyFont="1" applyNumberFormat="1">
      <alignment vertical="bottom"/>
    </xf>
    <xf borderId="0" fillId="0" fontId="7" numFmtId="164" xfId="0" applyAlignment="1" applyFont="1" applyNumberFormat="1">
      <alignment vertical="bottom"/>
    </xf>
    <xf borderId="0" fillId="0" fontId="7" numFmtId="167" xfId="0" applyAlignment="1" applyFont="1" applyNumberFormat="1">
      <alignment horizontal="right" vertical="bottom"/>
    </xf>
    <xf borderId="0" fillId="0" fontId="7" numFmtId="0" xfId="0" applyAlignment="1" applyFont="1">
      <alignment vertical="bottom"/>
    </xf>
    <xf borderId="0" fillId="0" fontId="7" numFmtId="0" xfId="0" applyAlignment="1" applyFont="1">
      <alignment horizontal="center" vertical="bottom"/>
    </xf>
    <xf borderId="0" fillId="0" fontId="7" numFmtId="0" xfId="0" applyAlignment="1" applyFont="1">
      <alignment horizontal="left" vertical="bottom"/>
    </xf>
    <xf borderId="0" fillId="0" fontId="11" numFmtId="0" xfId="0" applyAlignment="1" applyFont="1">
      <alignment horizontal="right" shrinkToFit="0" vertical="bottom" wrapText="0"/>
    </xf>
    <xf borderId="0" fillId="0" fontId="12" numFmtId="0" xfId="0" applyAlignment="1" applyFont="1">
      <alignment shrinkToFit="0" vertical="bottom" wrapText="0"/>
    </xf>
    <xf borderId="8" fillId="0" fontId="7" numFmtId="0" xfId="0" applyAlignment="1" applyBorder="1" applyFont="1">
      <alignment shrinkToFit="0" vertical="bottom" wrapText="0"/>
    </xf>
    <xf borderId="0" fillId="0" fontId="7" numFmtId="168" xfId="0" applyAlignment="1" applyFont="1" applyNumberFormat="1">
      <alignment horizontal="center" vertical="bottom"/>
    </xf>
    <xf borderId="0" fillId="0" fontId="7" numFmtId="0" xfId="0" applyFont="1"/>
    <xf borderId="0" fillId="0" fontId="7" numFmtId="0" xfId="0" applyAlignment="1" applyFont="1">
      <alignment vertical="bottom"/>
    </xf>
    <xf borderId="7" fillId="0" fontId="7" numFmtId="0" xfId="0" applyBorder="1" applyFont="1"/>
    <xf borderId="0" fillId="0" fontId="3" numFmtId="164" xfId="0" applyAlignment="1" applyFont="1" applyNumberFormat="1">
      <alignment horizontal="right"/>
    </xf>
    <xf borderId="0" fillId="0" fontId="7" numFmtId="166" xfId="0" applyAlignment="1" applyFont="1" applyNumberFormat="1">
      <alignment horizontal="right" vertical="bottom"/>
    </xf>
    <xf borderId="0" fillId="0" fontId="7" numFmtId="0" xfId="0" applyAlignment="1" applyFont="1">
      <alignment horizontal="center" vertical="bottom"/>
    </xf>
    <xf borderId="0" fillId="3" fontId="7" numFmtId="0" xfId="0" applyAlignment="1" applyFont="1">
      <alignment horizontal="center" vertical="bottom"/>
    </xf>
    <xf borderId="7" fillId="3" fontId="7" numFmtId="0" xfId="0" applyAlignment="1" applyBorder="1" applyFont="1">
      <alignment horizontal="center" vertical="bottom"/>
    </xf>
    <xf borderId="0" fillId="12" fontId="7" numFmtId="0" xfId="0" applyAlignment="1" applyFont="1">
      <alignment horizontal="center" vertical="bottom"/>
    </xf>
    <xf borderId="0" fillId="7" fontId="7" numFmtId="0" xfId="0" applyAlignment="1" applyFont="1">
      <alignment horizontal="center" vertical="bottom"/>
    </xf>
    <xf borderId="0" fillId="27" fontId="7" numFmtId="0" xfId="0" applyAlignment="1" applyFont="1">
      <alignment horizontal="center" vertical="bottom"/>
    </xf>
    <xf borderId="7" fillId="0" fontId="7" numFmtId="0" xfId="0" applyAlignment="1" applyBorder="1" applyFont="1">
      <alignment horizontal="center" readingOrder="0" vertical="bottom"/>
    </xf>
    <xf borderId="0" fillId="3" fontId="7" numFmtId="0" xfId="0" applyAlignment="1" applyFont="1">
      <alignment vertical="bottom"/>
    </xf>
    <xf borderId="0" fillId="6" fontId="7" numFmtId="0" xfId="0" applyAlignment="1" applyFont="1">
      <alignment vertical="bottom"/>
    </xf>
    <xf borderId="0" fillId="28" fontId="7" numFmtId="0" xfId="0" applyAlignment="1" applyFont="1">
      <alignment horizontal="center" vertical="bottom"/>
    </xf>
    <xf borderId="0" fillId="11" fontId="7" numFmtId="0" xfId="0" applyAlignment="1" applyFont="1">
      <alignment readingOrder="0" shrinkToFit="0" vertical="bottom" wrapText="0"/>
    </xf>
    <xf borderId="0" fillId="0" fontId="7" numFmtId="0" xfId="0" applyAlignment="1" applyFont="1">
      <alignment horizontal="center"/>
    </xf>
    <xf borderId="0" fillId="30" fontId="10" numFmtId="0" xfId="0" applyFill="1" applyFont="1"/>
    <xf borderId="8" fillId="0" fontId="7" numFmtId="0" xfId="0" applyAlignment="1" applyBorder="1" applyFont="1">
      <alignment vertical="bottom"/>
    </xf>
    <xf borderId="9" fillId="19" fontId="7" numFmtId="0" xfId="0" applyAlignment="1" applyBorder="1" applyFont="1">
      <alignment vertical="bottom"/>
    </xf>
    <xf borderId="0" fillId="0" fontId="13" numFmtId="0" xfId="0" applyAlignment="1" applyFont="1">
      <alignment horizontal="right" shrinkToFit="0" vertical="bottom" wrapText="0"/>
    </xf>
    <xf borderId="8" fillId="0" fontId="7" numFmtId="0" xfId="0" applyAlignment="1" applyBorder="1" applyFont="1">
      <alignment shrinkToFit="0" vertical="bottom" wrapText="0"/>
    </xf>
    <xf borderId="7" fillId="0" fontId="7" numFmtId="0" xfId="0" applyAlignment="1" applyBorder="1" applyFont="1">
      <alignment horizontal="center" vertical="bottom"/>
    </xf>
    <xf borderId="0" fillId="11" fontId="7" numFmtId="0" xfId="0" applyAlignment="1" applyFont="1">
      <alignment shrinkToFit="0" vertical="bottom" wrapText="0"/>
    </xf>
    <xf borderId="0" fillId="15" fontId="14" numFmtId="0" xfId="0" applyAlignment="1" applyFont="1">
      <alignment shrinkToFit="0" vertical="bottom" wrapText="0"/>
    </xf>
    <xf borderId="8" fillId="16" fontId="7" numFmtId="0" xfId="0" applyAlignment="1" applyBorder="1" applyFont="1">
      <alignment shrinkToFit="0" vertical="bottom" wrapText="0"/>
    </xf>
    <xf borderId="0" fillId="31" fontId="7" numFmtId="0" xfId="0" applyAlignment="1" applyFill="1" applyFont="1">
      <alignment horizontal="center" vertical="bottom"/>
    </xf>
    <xf borderId="0" fillId="0" fontId="7" numFmtId="0" xfId="0" applyAlignment="1" applyFont="1">
      <alignment shrinkToFit="0" vertical="bottom" wrapText="0"/>
    </xf>
    <xf borderId="0" fillId="0" fontId="15" numFmtId="0" xfId="0" applyAlignment="1" applyFont="1">
      <alignment shrinkToFit="0" vertical="bottom" wrapText="0"/>
    </xf>
    <xf borderId="0" fillId="0" fontId="7" numFmtId="169" xfId="0" applyAlignment="1" applyFont="1" applyNumberFormat="1">
      <alignment horizontal="left" vertical="bottom"/>
    </xf>
    <xf borderId="0" fillId="0" fontId="3" numFmtId="164" xfId="0" applyAlignment="1" applyFont="1" applyNumberFormat="1">
      <alignment horizontal="right" readingOrder="0"/>
    </xf>
    <xf borderId="0" fillId="0" fontId="7" numFmtId="0" xfId="0" applyAlignment="1" applyFont="1">
      <alignment horizontal="left" vertical="bottom"/>
    </xf>
    <xf borderId="0" fillId="0" fontId="7" numFmtId="0" xfId="0" applyAlignment="1" applyFont="1">
      <alignment horizontal="center"/>
    </xf>
    <xf borderId="8" fillId="0" fontId="7" numFmtId="0" xfId="0" applyAlignment="1" applyBorder="1" applyFont="1">
      <alignment vertical="bottom"/>
    </xf>
    <xf borderId="0" fillId="32" fontId="7" numFmtId="0" xfId="0" applyAlignment="1" applyFill="1" applyFont="1">
      <alignment horizontal="center" vertical="bottom"/>
    </xf>
    <xf borderId="0" fillId="11" fontId="16" numFmtId="0" xfId="0" applyAlignment="1" applyFont="1">
      <alignment horizontal="left" readingOrder="0"/>
    </xf>
    <xf borderId="0" fillId="17" fontId="7" numFmtId="164" xfId="0" applyAlignment="1" applyFont="1" applyNumberFormat="1">
      <alignment horizontal="center" vertical="bottom"/>
    </xf>
    <xf borderId="0" fillId="17" fontId="3" numFmtId="0" xfId="0" applyAlignment="1" applyFont="1">
      <alignment horizontal="center"/>
    </xf>
    <xf borderId="0" fillId="17" fontId="7" numFmtId="164" xfId="0" applyAlignment="1" applyFont="1" applyNumberFormat="1">
      <alignment vertical="bottom"/>
    </xf>
    <xf borderId="0" fillId="0" fontId="7" numFmtId="168" xfId="0" applyAlignment="1" applyFont="1" applyNumberFormat="1">
      <alignment horizontal="left" readingOrder="0" vertical="bottom"/>
    </xf>
    <xf borderId="0" fillId="27" fontId="7" numFmtId="0" xfId="0" applyAlignment="1" applyFont="1">
      <alignment horizontal="center" readingOrder="0" vertical="bottom"/>
    </xf>
    <xf borderId="0" fillId="11" fontId="7" numFmtId="168" xfId="0" applyAlignment="1" applyFont="1" applyNumberFormat="1">
      <alignment shrinkToFit="0" vertical="bottom" wrapText="0"/>
    </xf>
    <xf borderId="0" fillId="14" fontId="2" numFmtId="0" xfId="0" applyAlignment="1" applyFont="1">
      <alignment readingOrder="0" shrinkToFit="0" vertical="bottom" wrapText="1"/>
    </xf>
    <xf borderId="0" fillId="14" fontId="2" numFmtId="0" xfId="0" applyAlignment="1" applyFont="1">
      <alignment horizontal="left" readingOrder="0" shrinkToFit="0" vertical="bottom" wrapText="1"/>
    </xf>
    <xf borderId="0" fillId="0" fontId="2" numFmtId="0" xfId="0" applyAlignment="1" applyFont="1">
      <alignment horizontal="left" shrinkToFit="0" vertical="bottom" wrapText="1"/>
    </xf>
    <xf borderId="0" fillId="14" fontId="2" numFmtId="0" xfId="0" applyAlignment="1" applyFont="1">
      <alignment shrinkToFit="0" vertical="bottom" wrapText="1"/>
    </xf>
    <xf borderId="0" fillId="0" fontId="17" numFmtId="0" xfId="0" applyAlignment="1" applyFont="1">
      <alignment horizontal="center" shrinkToFit="0" vertical="center" wrapText="1"/>
    </xf>
    <xf borderId="0" fillId="0" fontId="2" numFmtId="0" xfId="0" applyAlignment="1" applyFont="1">
      <alignment horizontal="center" shrinkToFit="0" vertical="bottom" wrapText="1"/>
    </xf>
    <xf borderId="0" fillId="0" fontId="4" numFmtId="164" xfId="0" applyAlignment="1" applyFont="1" applyNumberFormat="1">
      <alignment horizontal="left" vertical="bottom"/>
    </xf>
    <xf borderId="0" fillId="0" fontId="3" numFmtId="21" xfId="0" applyAlignment="1" applyFont="1" applyNumberFormat="1">
      <alignment horizontal="right"/>
    </xf>
    <xf borderId="0" fillId="0" fontId="3" numFmtId="0" xfId="0" applyAlignment="1" applyFont="1">
      <alignment horizontal="left"/>
    </xf>
    <xf borderId="0" fillId="0" fontId="3" numFmtId="21" xfId="0" applyAlignment="1" applyFont="1" applyNumberFormat="1">
      <alignment horizontal="center"/>
    </xf>
    <xf borderId="0" fillId="5" fontId="4" numFmtId="3" xfId="0" applyAlignment="1" applyFont="1" applyNumberFormat="1">
      <alignment horizontal="center" vertical="bottom"/>
    </xf>
    <xf borderId="0" fillId="3" fontId="4" numFmtId="164" xfId="0" applyAlignment="1" applyFont="1" applyNumberFormat="1">
      <alignment horizontal="center" vertical="bottom"/>
    </xf>
    <xf borderId="0" fillId="3" fontId="4" numFmtId="3" xfId="0" applyAlignment="1" applyFont="1" applyNumberFormat="1">
      <alignment horizontal="left" vertical="bottom"/>
    </xf>
    <xf borderId="0" fillId="3" fontId="4" numFmtId="0" xfId="0" applyAlignment="1" applyFont="1">
      <alignment vertical="bottom"/>
    </xf>
    <xf borderId="0" fillId="3" fontId="4" numFmtId="0" xfId="0" applyAlignment="1" applyFont="1">
      <alignment vertical="bottom"/>
    </xf>
    <xf borderId="0" fillId="3" fontId="4" numFmtId="166" xfId="0" applyAlignment="1" applyFont="1" applyNumberFormat="1">
      <alignment vertical="bottom"/>
    </xf>
    <xf borderId="0" fillId="6" fontId="4" numFmtId="0" xfId="0" applyAlignment="1" applyFont="1">
      <alignment horizontal="center" vertical="bottom"/>
    </xf>
    <xf borderId="0" fillId="0" fontId="4" numFmtId="166" xfId="0" applyAlignment="1" applyFont="1" applyNumberFormat="1">
      <alignment vertical="bottom"/>
    </xf>
    <xf borderId="0" fillId="3" fontId="4" numFmtId="0" xfId="0" applyAlignment="1" applyFont="1">
      <alignment readingOrder="0" vertical="bottom"/>
    </xf>
    <xf borderId="0" fillId="0" fontId="3" numFmtId="0" xfId="0" applyAlignment="1" applyFont="1">
      <alignment horizontal="right"/>
    </xf>
    <xf borderId="0" fillId="16" fontId="3" numFmtId="164" xfId="0" applyAlignment="1" applyFont="1" applyNumberFormat="1">
      <alignment horizontal="right"/>
    </xf>
    <xf borderId="0" fillId="16" fontId="3" numFmtId="0" xfId="0" applyAlignment="1" applyFont="1">
      <alignment horizontal="right"/>
    </xf>
    <xf borderId="0" fillId="8" fontId="4" numFmtId="0" xfId="0" applyAlignment="1" applyFont="1">
      <alignment readingOrder="0" vertical="bottom"/>
    </xf>
    <xf borderId="0" fillId="22" fontId="4" numFmtId="0" xfId="0" applyAlignment="1" applyFont="1">
      <alignment readingOrder="0" vertical="bottom"/>
    </xf>
    <xf borderId="0" fillId="19" fontId="3" numFmtId="0" xfId="0" applyAlignment="1" applyFont="1">
      <alignment horizontal="right"/>
    </xf>
    <xf borderId="0" fillId="19" fontId="3" numFmtId="164" xfId="0" applyAlignment="1" applyFont="1" applyNumberFormat="1">
      <alignment horizontal="right"/>
    </xf>
    <xf borderId="10" fillId="0" fontId="3" numFmtId="0" xfId="0" applyBorder="1" applyFont="1"/>
    <xf borderId="10" fillId="0" fontId="3" numFmtId="164" xfId="0" applyAlignment="1" applyBorder="1" applyFont="1" applyNumberFormat="1">
      <alignment horizontal="right"/>
    </xf>
    <xf borderId="10" fillId="0" fontId="3" numFmtId="21" xfId="0" applyAlignment="1" applyBorder="1" applyFont="1" applyNumberFormat="1">
      <alignment horizontal="right"/>
    </xf>
    <xf borderId="10" fillId="0" fontId="3" numFmtId="0" xfId="0" applyAlignment="1" applyBorder="1" applyFont="1">
      <alignment horizontal="left"/>
    </xf>
    <xf borderId="10" fillId="0" fontId="3" numFmtId="0" xfId="0" applyAlignment="1" applyBorder="1" applyFont="1">
      <alignment horizontal="right"/>
    </xf>
    <xf borderId="10" fillId="0" fontId="3" numFmtId="21" xfId="0" applyAlignment="1" applyBorder="1" applyFont="1" applyNumberFormat="1">
      <alignment horizontal="center"/>
    </xf>
    <xf borderId="10" fillId="0" fontId="3" numFmtId="0" xfId="0" applyAlignment="1" applyBorder="1" applyFont="1">
      <alignment horizontal="center"/>
    </xf>
    <xf borderId="10" fillId="0" fontId="4" numFmtId="0" xfId="0" applyAlignment="1" applyBorder="1" applyFont="1">
      <alignment horizontal="center" vertical="bottom"/>
    </xf>
    <xf borderId="10" fillId="5" fontId="4" numFmtId="3" xfId="0" applyAlignment="1" applyBorder="1" applyFont="1" applyNumberFormat="1">
      <alignment horizontal="center" vertical="bottom"/>
    </xf>
    <xf borderId="10" fillId="3" fontId="4" numFmtId="164" xfId="0" applyAlignment="1" applyBorder="1" applyFont="1" applyNumberFormat="1">
      <alignment horizontal="center" vertical="bottom"/>
    </xf>
    <xf borderId="10" fillId="3" fontId="4" numFmtId="3" xfId="0" applyAlignment="1" applyBorder="1" applyFont="1" applyNumberFormat="1">
      <alignment horizontal="left" vertical="bottom"/>
    </xf>
    <xf borderId="10" fillId="3" fontId="4" numFmtId="0" xfId="0" applyAlignment="1" applyBorder="1" applyFont="1">
      <alignment readingOrder="0" vertical="bottom"/>
    </xf>
    <xf borderId="10" fillId="3" fontId="4" numFmtId="0" xfId="0" applyAlignment="1" applyBorder="1" applyFont="1">
      <alignment vertical="bottom"/>
    </xf>
    <xf borderId="10" fillId="3" fontId="4" numFmtId="166" xfId="0" applyAlignment="1" applyBorder="1" applyFont="1" applyNumberFormat="1">
      <alignment vertical="bottom"/>
    </xf>
    <xf borderId="10" fillId="6" fontId="3" numFmtId="0" xfId="0" applyAlignment="1" applyBorder="1" applyFont="1">
      <alignment horizontal="center"/>
    </xf>
    <xf borderId="10" fillId="3" fontId="3" numFmtId="0" xfId="0" applyAlignment="1" applyBorder="1" applyFont="1">
      <alignment horizontal="center"/>
    </xf>
    <xf borderId="10" fillId="3" fontId="3" numFmtId="0" xfId="0" applyBorder="1" applyFont="1"/>
    <xf borderId="10" fillId="9" fontId="3" numFmtId="0" xfId="0" applyBorder="1" applyFont="1"/>
    <xf borderId="10" fillId="0" fontId="3" numFmtId="166" xfId="0" applyBorder="1" applyFont="1" applyNumberFormat="1"/>
    <xf borderId="0" fillId="16" fontId="3" numFmtId="0" xfId="0" applyFont="1"/>
    <xf borderId="0" fillId="16" fontId="3" numFmtId="21" xfId="0" applyAlignment="1" applyFont="1" applyNumberFormat="1">
      <alignment horizontal="right"/>
    </xf>
    <xf borderId="0" fillId="16" fontId="3" numFmtId="0" xfId="0" applyAlignment="1" applyFont="1">
      <alignment horizontal="left"/>
    </xf>
    <xf borderId="0" fillId="16" fontId="4" numFmtId="0" xfId="0" applyAlignment="1" applyFont="1">
      <alignment vertical="bottom"/>
    </xf>
    <xf borderId="0" fillId="3" fontId="4" numFmtId="3" xfId="0" applyAlignment="1" applyFont="1" applyNumberFormat="1">
      <alignment horizontal="center" vertical="bottom"/>
    </xf>
    <xf borderId="0" fillId="0" fontId="4" numFmtId="3" xfId="0" applyAlignment="1" applyFont="1" applyNumberFormat="1">
      <alignment horizontal="center" vertical="bottom"/>
    </xf>
    <xf borderId="0" fillId="0" fontId="4" numFmtId="3" xfId="0" applyAlignment="1" applyFont="1" applyNumberFormat="1">
      <alignment horizontal="left" vertical="bottom"/>
    </xf>
    <xf borderId="0" fillId="26" fontId="2" numFmtId="0" xfId="0" applyAlignment="1" applyFont="1">
      <alignment vertical="bottom"/>
    </xf>
    <xf borderId="0" fillId="2" fontId="2" numFmtId="0" xfId="0" applyAlignment="1" applyFont="1">
      <alignment readingOrder="0" shrinkToFit="0" vertical="bottom" wrapText="1"/>
    </xf>
    <xf borderId="0" fillId="18" fontId="2" numFmtId="0" xfId="0" applyAlignment="1" applyFont="1">
      <alignment readingOrder="0" shrinkToFit="0" vertical="bottom" wrapText="1"/>
    </xf>
    <xf borderId="0" fillId="9" fontId="2" numFmtId="0" xfId="0" applyAlignment="1" applyFont="1">
      <alignment shrinkToFit="0" vertical="bottom" wrapText="1"/>
    </xf>
    <xf borderId="0" fillId="25" fontId="2" numFmtId="0" xfId="0" applyAlignment="1" applyFont="1">
      <alignment shrinkToFit="0" vertical="bottom" wrapText="1"/>
    </xf>
    <xf borderId="0" fillId="16" fontId="1" numFmtId="0" xfId="0" applyAlignment="1" applyFont="1">
      <alignment readingOrder="0" shrinkToFit="0" wrapText="1"/>
    </xf>
    <xf borderId="0" fillId="9" fontId="1" numFmtId="0" xfId="0" applyAlignment="1" applyFont="1">
      <alignment shrinkToFit="0" wrapText="1"/>
    </xf>
    <xf borderId="0" fillId="25" fontId="1" numFmtId="0" xfId="0" applyAlignment="1" applyFont="1">
      <alignment shrinkToFit="0" wrapText="1"/>
    </xf>
    <xf borderId="0" fillId="18" fontId="1" numFmtId="0" xfId="0" applyAlignment="1" applyFont="1">
      <alignment horizontal="left" shrinkToFit="0" wrapText="1"/>
    </xf>
    <xf borderId="0" fillId="25" fontId="1" numFmtId="0" xfId="0" applyAlignment="1" applyFont="1">
      <alignment horizontal="left" shrinkToFit="0" wrapText="1"/>
    </xf>
    <xf borderId="0" fillId="19" fontId="1" numFmtId="0" xfId="0" applyAlignment="1" applyFont="1">
      <alignment horizontal="left" shrinkToFit="0" wrapText="1"/>
    </xf>
    <xf borderId="0" fillId="0" fontId="1" numFmtId="0" xfId="0" applyAlignment="1" applyFont="1">
      <alignment horizontal="left" shrinkToFit="0" wrapText="1"/>
    </xf>
    <xf borderId="0" fillId="0" fontId="1" numFmtId="0" xfId="0" applyAlignment="1" applyFont="1">
      <alignment horizontal="center" readingOrder="0"/>
    </xf>
    <xf borderId="0" fillId="18" fontId="18" numFmtId="0" xfId="0" applyAlignment="1" applyFont="1">
      <alignment readingOrder="0" vertical="bottom"/>
    </xf>
    <xf borderId="0" fillId="9" fontId="3" numFmtId="0" xfId="0" applyAlignment="1" applyFont="1">
      <alignment horizontal="center"/>
    </xf>
    <xf borderId="0" fillId="14" fontId="3" numFmtId="164" xfId="0" applyFont="1" applyNumberFormat="1"/>
    <xf borderId="11" fillId="18" fontId="3" numFmtId="0" xfId="0" applyAlignment="1" applyBorder="1" applyFont="1">
      <alignment horizontal="center"/>
    </xf>
    <xf borderId="12" fillId="18" fontId="3" numFmtId="0" xfId="0" applyAlignment="1" applyBorder="1" applyFont="1">
      <alignment horizontal="center"/>
    </xf>
    <xf borderId="13" fillId="18" fontId="3" numFmtId="0" xfId="0" applyAlignment="1" applyBorder="1" applyFont="1">
      <alignment horizontal="center"/>
    </xf>
    <xf borderId="0" fillId="0" fontId="3" numFmtId="0" xfId="0" applyAlignment="1" applyFont="1">
      <alignment horizontal="center"/>
    </xf>
    <xf borderId="0" fillId="19" fontId="4" numFmtId="0" xfId="0" applyAlignment="1" applyFont="1">
      <alignment horizontal="center" vertical="bottom"/>
    </xf>
    <xf borderId="0" fillId="16" fontId="3" numFmtId="0" xfId="0" applyAlignment="1" applyFont="1">
      <alignment horizontal="center" readingOrder="0"/>
    </xf>
    <xf borderId="0" fillId="16" fontId="3" numFmtId="0" xfId="0" applyAlignment="1" applyFont="1">
      <alignment readingOrder="0"/>
    </xf>
    <xf borderId="0" fillId="8" fontId="4" numFmtId="0" xfId="0" applyAlignment="1" applyFont="1">
      <alignment horizontal="center" vertical="bottom"/>
    </xf>
    <xf borderId="0" fillId="16" fontId="3" numFmtId="164" xfId="0" applyFont="1" applyNumberFormat="1"/>
    <xf borderId="14" fillId="15" fontId="3" numFmtId="0" xfId="0" applyAlignment="1" applyBorder="1" applyFont="1">
      <alignment horizontal="center"/>
    </xf>
    <xf borderId="0" fillId="19" fontId="3" numFmtId="0" xfId="0" applyFont="1"/>
    <xf borderId="0" fillId="0" fontId="4" numFmtId="0" xfId="0" applyAlignment="1" applyFont="1">
      <alignment readingOrder="0" vertical="bottom"/>
    </xf>
    <xf borderId="0" fillId="20" fontId="4" numFmtId="0" xfId="0" applyAlignment="1" applyFont="1">
      <alignment horizontal="center" vertical="bottom"/>
    </xf>
    <xf borderId="0" fillId="10" fontId="3" numFmtId="0" xfId="0" applyFont="1"/>
    <xf borderId="0" fillId="10" fontId="4" numFmtId="164" xfId="0" applyAlignment="1" applyFont="1" applyNumberFormat="1">
      <alignment horizontal="right" vertical="bottom"/>
    </xf>
    <xf borderId="0" fillId="0" fontId="4" numFmtId="0" xfId="0" applyAlignment="1" applyFont="1">
      <alignment horizontal="center" vertical="bottom"/>
    </xf>
    <xf borderId="0" fillId="0" fontId="4" numFmtId="0" xfId="0" applyAlignment="1" applyFont="1">
      <alignment vertical="bottom"/>
    </xf>
    <xf borderId="0" fillId="0" fontId="19" numFmtId="0" xfId="0" applyAlignment="1" applyFont="1">
      <alignment readingOrder="0" vertical="bottom"/>
    </xf>
    <xf borderId="0" fillId="0" fontId="4" numFmtId="164" xfId="0" applyAlignment="1" applyFont="1" applyNumberFormat="1">
      <alignment vertical="bottom"/>
    </xf>
    <xf borderId="0" fillId="22" fontId="20" numFmtId="0" xfId="0" applyAlignment="1" applyFont="1">
      <alignment horizontal="center" vertical="bottom"/>
    </xf>
    <xf borderId="0" fillId="0" fontId="21" numFmtId="0" xfId="0" applyAlignment="1" applyFont="1">
      <alignment shrinkToFit="0" vertical="bottom" wrapText="0"/>
    </xf>
    <xf borderId="0" fillId="0" fontId="4" numFmtId="0" xfId="0" applyAlignment="1" applyFont="1">
      <alignment readingOrder="0" shrinkToFit="0" vertical="bottom" wrapText="0"/>
    </xf>
    <xf borderId="0" fillId="5" fontId="3" numFmtId="0" xfId="0" applyAlignment="1" applyFont="1">
      <alignment horizontal="center" readingOrder="0"/>
    </xf>
    <xf borderId="0" fillId="32" fontId="3" numFmtId="0" xfId="0" applyAlignment="1" applyFont="1">
      <alignment horizontal="center" readingOrder="0"/>
    </xf>
    <xf borderId="0" fillId="3" fontId="4" numFmtId="0" xfId="0" applyAlignment="1" applyFont="1">
      <alignment horizontal="center" vertical="bottom"/>
    </xf>
    <xf borderId="0" fillId="0" fontId="4" numFmtId="0" xfId="0" applyAlignment="1" applyFont="1">
      <alignment horizontal="right" vertical="bottom"/>
    </xf>
    <xf borderId="0" fillId="0" fontId="16" numFmtId="0" xfId="0" applyAlignment="1" applyFont="1">
      <alignment horizontal="left" readingOrder="0"/>
    </xf>
    <xf borderId="0" fillId="6" fontId="4" numFmtId="0" xfId="0" applyAlignment="1" applyFont="1">
      <alignment horizontal="center" readingOrder="0" vertical="bottom"/>
    </xf>
    <xf borderId="0" fillId="7" fontId="3" numFmtId="0" xfId="0" applyAlignment="1" applyFont="1">
      <alignment horizontal="center" readingOrder="0"/>
    </xf>
    <xf borderId="0" fillId="0" fontId="4" numFmtId="0" xfId="0" applyAlignment="1" applyFont="1">
      <alignment horizontal="left" readingOrder="0" vertical="bottom"/>
    </xf>
    <xf borderId="0" fillId="26" fontId="3" numFmtId="0" xfId="0" applyFont="1"/>
    <xf borderId="0" fillId="10" fontId="3" numFmtId="0" xfId="0" applyAlignment="1" applyFont="1">
      <alignment horizontal="center" readingOrder="0"/>
    </xf>
    <xf borderId="15" fillId="0" fontId="4" numFmtId="0" xfId="0" applyAlignment="1" applyBorder="1" applyFont="1">
      <alignment vertical="bottom"/>
    </xf>
    <xf borderId="0" fillId="0" fontId="22" numFmtId="0" xfId="0" applyAlignment="1" applyFont="1">
      <alignment vertical="bottom"/>
    </xf>
    <xf borderId="0" fillId="0" fontId="4" numFmtId="0" xfId="0" applyAlignment="1" applyFont="1">
      <alignment readingOrder="0" vertical="bottom"/>
    </xf>
    <xf borderId="16" fillId="0" fontId="4" numFmtId="0" xfId="0" applyAlignment="1" applyBorder="1" applyFont="1">
      <alignment vertical="bottom"/>
    </xf>
    <xf borderId="17" fillId="33" fontId="23" numFmtId="0" xfId="0" applyAlignment="1" applyBorder="1" applyFill="1" applyFont="1">
      <alignment vertical="bottom"/>
    </xf>
    <xf borderId="17" fillId="33" fontId="23" numFmtId="0" xfId="0" applyAlignment="1" applyBorder="1" applyFont="1">
      <alignment shrinkToFit="0" vertical="bottom" wrapText="1"/>
    </xf>
    <xf borderId="18" fillId="0" fontId="23" numFmtId="0" xfId="0" applyAlignment="1" applyBorder="1" applyFont="1">
      <alignment horizontal="center" readingOrder="0" shrinkToFit="0" vertical="bottom" wrapText="0"/>
    </xf>
    <xf borderId="19" fillId="33" fontId="23" numFmtId="0" xfId="0" applyAlignment="1" applyBorder="1" applyFont="1">
      <alignment vertical="bottom"/>
    </xf>
    <xf borderId="20" fillId="33" fontId="23" numFmtId="0" xfId="0" applyAlignment="1" applyBorder="1" applyFont="1">
      <alignment vertical="bottom"/>
    </xf>
    <xf borderId="20" fillId="0" fontId="24" numFmtId="0" xfId="0" applyBorder="1" applyFont="1"/>
    <xf borderId="19" fillId="0" fontId="24" numFmtId="0" xfId="0" applyBorder="1" applyFont="1"/>
    <xf borderId="0" fillId="0" fontId="4" numFmtId="0" xfId="0" applyFont="1"/>
    <xf borderId="0" fillId="0" fontId="25" numFmtId="0" xfId="0" applyAlignment="1" applyFont="1">
      <alignment readingOrder="0" shrinkToFit="0" vertical="bottom" wrapText="0"/>
    </xf>
    <xf borderId="0" fillId="0" fontId="25" numFmtId="0" xfId="0" applyAlignment="1" applyFont="1">
      <alignment vertical="bottom"/>
    </xf>
    <xf borderId="16" fillId="0" fontId="25" numFmtId="0" xfId="0" applyAlignment="1" applyBorder="1" applyFont="1">
      <alignment vertical="bottom"/>
    </xf>
    <xf borderId="16" fillId="0" fontId="25" numFmtId="0" xfId="0" applyAlignment="1" applyBorder="1" applyFont="1">
      <alignment shrinkToFit="0" vertical="bottom" wrapText="1"/>
    </xf>
    <xf borderId="21" fillId="0" fontId="25" numFmtId="0" xfId="0" applyAlignment="1" applyBorder="1" applyFont="1">
      <alignment horizontal="right" vertical="bottom"/>
    </xf>
    <xf borderId="22" fillId="0" fontId="25" numFmtId="0" xfId="0" applyAlignment="1" applyBorder="1" applyFont="1">
      <alignment horizontal="center" vertical="bottom"/>
    </xf>
    <xf borderId="22" fillId="0" fontId="4" numFmtId="0" xfId="0" applyAlignment="1" applyBorder="1" applyFont="1">
      <alignment vertical="bottom"/>
    </xf>
    <xf borderId="0" fillId="0" fontId="25" numFmtId="0" xfId="0" applyAlignment="1" applyFont="1">
      <alignment shrinkToFit="0" vertical="bottom" wrapText="0"/>
    </xf>
    <xf borderId="0" fillId="0" fontId="25" numFmtId="0" xfId="0" applyAlignment="1" applyFont="1">
      <alignment shrinkToFit="0" vertical="bottom" wrapText="0"/>
    </xf>
    <xf borderId="21" fillId="0" fontId="25" numFmtId="0" xfId="0" applyAlignment="1" applyBorder="1" applyFont="1">
      <alignment horizontal="right" readingOrder="0" vertical="bottom"/>
    </xf>
    <xf borderId="22" fillId="0" fontId="25" numFmtId="0" xfId="0" applyAlignment="1" applyBorder="1" applyFont="1">
      <alignment horizontal="center" readingOrder="0" vertical="bottom"/>
    </xf>
    <xf borderId="0" fillId="0" fontId="25" numFmtId="0" xfId="0" applyAlignment="1" applyFont="1">
      <alignment vertical="bottom"/>
    </xf>
    <xf borderId="16" fillId="0" fontId="25" numFmtId="0" xfId="0" applyAlignment="1" applyBorder="1" applyFont="1">
      <alignment vertical="bottom"/>
    </xf>
    <xf borderId="16" fillId="0" fontId="25" numFmtId="0" xfId="0" applyAlignment="1" applyBorder="1" applyFont="1">
      <alignment shrinkToFit="0" vertical="bottom" wrapText="1"/>
    </xf>
    <xf borderId="0" fillId="0" fontId="25" numFmtId="0" xfId="0" applyAlignment="1" applyFont="1">
      <alignment readingOrder="0" vertical="bottom"/>
    </xf>
    <xf borderId="22" fillId="0" fontId="4" numFmtId="0" xfId="0" applyAlignment="1" applyBorder="1" applyFont="1">
      <alignment horizontal="center" vertical="bottom"/>
    </xf>
    <xf borderId="17" fillId="0" fontId="4" numFmtId="0" xfId="0" applyAlignment="1" applyBorder="1" applyFont="1">
      <alignment vertical="bottom"/>
    </xf>
    <xf borderId="17" fillId="0" fontId="25" numFmtId="0" xfId="0" applyAlignment="1" applyBorder="1" applyFont="1">
      <alignment shrinkToFit="0" vertical="bottom" wrapText="1"/>
    </xf>
    <xf borderId="0" fillId="0" fontId="22" numFmtId="0" xfId="0" applyAlignment="1" applyFont="1">
      <alignment shrinkToFit="0" vertical="bottom" wrapText="0"/>
    </xf>
    <xf borderId="22" fillId="0" fontId="25" numFmtId="0" xfId="0" applyAlignment="1" applyBorder="1" applyFont="1">
      <alignment horizontal="left" readingOrder="0" vertical="bottom"/>
    </xf>
    <xf borderId="0" fillId="0" fontId="4" numFmtId="0" xfId="0" applyAlignment="1" applyFont="1">
      <alignment readingOrder="0"/>
    </xf>
    <xf borderId="15" fillId="0" fontId="4" numFmtId="0" xfId="0" applyAlignment="1" applyBorder="1" applyFont="1">
      <alignment readingOrder="0" vertical="bottom"/>
    </xf>
    <xf borderId="23" fillId="33" fontId="23" numFmtId="168" xfId="0" applyAlignment="1" applyBorder="1" applyFont="1" applyNumberFormat="1">
      <alignment horizontal="left" readingOrder="0" shrinkToFit="0" vertical="bottom" wrapText="1"/>
    </xf>
    <xf borderId="24" fillId="0" fontId="24" numFmtId="0" xfId="0" applyBorder="1" applyFont="1"/>
    <xf borderId="16" fillId="0" fontId="4" numFmtId="0" xfId="0" applyAlignment="1" applyBorder="1" applyFont="1">
      <alignment readingOrder="0" vertical="bottom"/>
    </xf>
    <xf borderId="25" fillId="33" fontId="23" numFmtId="0" xfId="0" applyAlignment="1" applyBorder="1" applyFont="1">
      <alignment readingOrder="0"/>
    </xf>
    <xf borderId="26" fillId="33" fontId="23" numFmtId="0" xfId="0" applyBorder="1" applyFont="1"/>
    <xf borderId="27" fillId="0" fontId="25" numFmtId="168" xfId="0" applyAlignment="1" applyBorder="1" applyFont="1" applyNumberFormat="1">
      <alignment horizontal="center" readingOrder="0" shrinkToFit="0" vertical="bottom" wrapText="1"/>
    </xf>
    <xf borderId="27" fillId="0" fontId="25" numFmtId="0" xfId="0" applyAlignment="1" applyBorder="1" applyFont="1">
      <alignment readingOrder="0" shrinkToFit="0" vertical="bottom" wrapText="0"/>
    </xf>
    <xf borderId="16" fillId="0" fontId="25" numFmtId="168" xfId="0" applyAlignment="1" applyBorder="1" applyFont="1" applyNumberFormat="1">
      <alignment horizontal="center"/>
    </xf>
    <xf borderId="28" fillId="0" fontId="4" numFmtId="0" xfId="0" applyAlignment="1" applyBorder="1" applyFont="1">
      <alignment vertical="bottom"/>
    </xf>
    <xf borderId="0" fillId="0" fontId="26" numFmtId="0" xfId="0" applyAlignment="1" applyFont="1">
      <alignment horizontal="right" readingOrder="0"/>
    </xf>
    <xf borderId="27" fillId="0" fontId="25" numFmtId="0" xfId="0" applyAlignment="1" applyBorder="1" applyFont="1">
      <alignment readingOrder="0" shrinkToFit="0" vertical="bottom" wrapText="0"/>
    </xf>
    <xf borderId="0" fillId="0" fontId="4" numFmtId="168" xfId="0" applyAlignment="1" applyFont="1" applyNumberFormat="1">
      <alignment vertical="bottom"/>
    </xf>
    <xf borderId="27" fillId="0" fontId="27" numFmtId="0" xfId="0" applyAlignment="1" applyBorder="1" applyFont="1">
      <alignment readingOrder="0" shrinkToFit="0" vertical="bottom" wrapText="0"/>
    </xf>
    <xf borderId="4" fillId="0" fontId="25" numFmtId="168" xfId="0" applyAlignment="1" applyBorder="1" applyFont="1" applyNumberFormat="1">
      <alignment horizontal="center"/>
    </xf>
    <xf borderId="29" fillId="0" fontId="25" numFmtId="168" xfId="0" applyAlignment="1" applyBorder="1" applyFont="1" applyNumberFormat="1">
      <alignment horizontal="center"/>
    </xf>
    <xf borderId="0" fillId="0" fontId="4" numFmtId="168" xfId="0" applyFont="1" applyNumberFormat="1"/>
    <xf borderId="15" fillId="0" fontId="4" numFmtId="168" xfId="0" applyBorder="1" applyFont="1" applyNumberFormat="1"/>
    <xf borderId="25" fillId="33" fontId="23" numFmtId="168" xfId="0" applyAlignment="1" applyBorder="1" applyFont="1" applyNumberFormat="1">
      <alignment horizontal="center" readingOrder="0"/>
    </xf>
    <xf borderId="15" fillId="33" fontId="23" numFmtId="0" xfId="0" applyAlignment="1" applyBorder="1" applyFont="1">
      <alignment readingOrder="0"/>
    </xf>
    <xf borderId="0" fillId="0" fontId="28" numFmtId="0" xfId="0" applyAlignment="1" applyFont="1">
      <alignment readingOrder="0" shrinkToFit="0" vertical="bottom" wrapText="0"/>
    </xf>
    <xf borderId="4" fillId="0" fontId="25" numFmtId="1" xfId="0" applyAlignment="1" applyBorder="1" applyFont="1" applyNumberFormat="1">
      <alignment horizontal="center"/>
    </xf>
    <xf borderId="23" fillId="0" fontId="25" numFmtId="0" xfId="0" applyAlignment="1" applyBorder="1" applyFont="1">
      <alignment readingOrder="0" shrinkToFit="0" vertical="bottom" wrapText="1"/>
    </xf>
    <xf borderId="28" fillId="0" fontId="25" numFmtId="0" xfId="0" applyAlignment="1" applyBorder="1" applyFont="1">
      <alignment shrinkToFit="0" vertical="bottom" wrapText="1"/>
    </xf>
    <xf borderId="4" fillId="0" fontId="25" numFmtId="0" xfId="0" applyAlignment="1" applyBorder="1" applyFont="1">
      <alignment horizontal="center"/>
    </xf>
    <xf borderId="28" fillId="0" fontId="25" numFmtId="0" xfId="0" applyAlignment="1" applyBorder="1" applyFont="1">
      <alignment readingOrder="0" shrinkToFit="0" vertical="bottom" wrapText="1"/>
    </xf>
    <xf borderId="4" fillId="0" fontId="26" numFmtId="0" xfId="0" applyAlignment="1" applyBorder="1" applyFont="1">
      <alignment horizontal="center" readingOrder="0"/>
    </xf>
    <xf borderId="4" fillId="0" fontId="25" numFmtId="0" xfId="0" applyAlignment="1" applyBorder="1" applyFont="1">
      <alignment readingOrder="0" shrinkToFit="0" vertical="bottom" wrapText="1"/>
    </xf>
    <xf borderId="0" fillId="0" fontId="25" numFmtId="0" xfId="0" applyAlignment="1" applyFont="1">
      <alignment shrinkToFit="0" vertical="bottom" wrapText="1"/>
    </xf>
    <xf borderId="25" fillId="0" fontId="25" numFmtId="1" xfId="0" applyAlignment="1" applyBorder="1" applyFont="1" applyNumberFormat="1">
      <alignment horizontal="center" readingOrder="0" shrinkToFit="0" vertical="bottom" wrapText="1"/>
    </xf>
    <xf borderId="25" fillId="0" fontId="25" numFmtId="0" xfId="0" applyAlignment="1" applyBorder="1" applyFont="1">
      <alignment readingOrder="0" shrinkToFit="0" vertical="bottom" wrapText="0"/>
    </xf>
    <xf borderId="4" fillId="16" fontId="25" numFmtId="0" xfId="0" applyAlignment="1" applyBorder="1" applyFont="1">
      <alignment horizontal="center" readingOrder="0"/>
    </xf>
    <xf borderId="4" fillId="16" fontId="25" numFmtId="0" xfId="0" applyAlignment="1" applyBorder="1" applyFont="1">
      <alignment readingOrder="0" shrinkToFit="0" vertical="bottom" wrapText="1"/>
    </xf>
    <xf borderId="0" fillId="0" fontId="22" numFmtId="0" xfId="0" applyAlignment="1" applyFont="1">
      <alignment readingOrder="0" shrinkToFit="0" vertical="bottom" wrapText="0"/>
    </xf>
    <xf borderId="4" fillId="0" fontId="25" numFmtId="0" xfId="0" applyAlignment="1" applyBorder="1" applyFont="1">
      <alignment horizontal="center" readingOrder="0"/>
    </xf>
    <xf borderId="30" fillId="33" fontId="23" numFmtId="0" xfId="0" applyAlignment="1" applyBorder="1" applyFont="1">
      <alignment vertical="bottom"/>
    </xf>
    <xf borderId="31" fillId="0" fontId="24" numFmtId="0" xfId="0" applyBorder="1" applyFont="1"/>
    <xf borderId="26" fillId="0" fontId="24" numFmtId="0" xfId="0" applyBorder="1" applyFont="1"/>
    <xf borderId="0" fillId="0" fontId="28" numFmtId="0" xfId="0" applyAlignment="1" applyFont="1">
      <alignment readingOrder="0"/>
    </xf>
    <xf borderId="30" fillId="33" fontId="23" numFmtId="168" xfId="0" applyAlignment="1" applyBorder="1" applyFont="1" applyNumberFormat="1">
      <alignment horizontal="left" readingOrder="0" shrinkToFit="0" vertical="bottom" wrapText="1"/>
    </xf>
    <xf borderId="25" fillId="0" fontId="25" numFmtId="0" xfId="0" applyAlignment="1" applyBorder="1" applyFont="1">
      <alignment horizontal="right" vertical="bottom"/>
    </xf>
    <xf borderId="30" fillId="0" fontId="25" numFmtId="0" xfId="0" applyAlignment="1" applyBorder="1" applyFont="1">
      <alignment vertical="bottom"/>
    </xf>
    <xf borderId="0" fillId="0" fontId="4" numFmtId="168" xfId="0" applyAlignment="1" applyFont="1" applyNumberFormat="1">
      <alignment horizontal="center" vertical="bottom"/>
    </xf>
    <xf borderId="25" fillId="0" fontId="25" numFmtId="0" xfId="0" applyAlignment="1" applyBorder="1" applyFont="1">
      <alignment horizontal="right" readingOrder="0" vertical="bottom"/>
    </xf>
    <xf borderId="4" fillId="0" fontId="25" numFmtId="0" xfId="0" applyAlignment="1" applyBorder="1" applyFont="1">
      <alignment shrinkToFit="0" vertical="bottom" wrapText="1"/>
    </xf>
    <xf borderId="25" fillId="0" fontId="25" numFmtId="0" xfId="0" applyAlignment="1" applyBorder="1" applyFont="1">
      <alignment readingOrder="0" vertical="bottom"/>
    </xf>
    <xf borderId="29" fillId="0" fontId="25" numFmtId="0" xfId="0" applyAlignment="1" applyBorder="1" applyFont="1">
      <alignment readingOrder="0" vertical="bottom"/>
    </xf>
    <xf borderId="29" fillId="0" fontId="4" numFmtId="0" xfId="0" applyAlignment="1" applyBorder="1" applyFont="1">
      <alignment vertical="bottom"/>
    </xf>
    <xf borderId="0" fillId="0" fontId="25" numFmtId="0" xfId="0" applyAlignment="1" applyFont="1">
      <alignment readingOrder="0" shrinkToFit="0" vertical="bottom" wrapText="1"/>
    </xf>
    <xf borderId="0" fillId="0" fontId="29" numFmtId="0" xfId="0" applyAlignment="1" applyFont="1">
      <alignment readingOrder="0" vertical="bottom"/>
    </xf>
    <xf borderId="0" fillId="0" fontId="26" numFmtId="0" xfId="0" applyFont="1"/>
    <xf borderId="25" fillId="0" fontId="25" numFmtId="0" xfId="0" applyAlignment="1" applyBorder="1" applyFont="1">
      <alignment vertical="bottom"/>
    </xf>
    <xf borderId="0" fillId="13" fontId="4" numFmtId="0" xfId="0" applyAlignment="1" applyFont="1">
      <alignment readingOrder="0" vertical="bottom"/>
    </xf>
    <xf borderId="0" fillId="13" fontId="4" numFmtId="0" xfId="0" applyAlignment="1" applyFont="1">
      <alignment vertical="bottom"/>
    </xf>
    <xf borderId="25" fillId="13" fontId="23" numFmtId="168" xfId="0" applyAlignment="1" applyBorder="1" applyFont="1" applyNumberFormat="1">
      <alignment horizontal="left" readingOrder="0" vertical="bottom"/>
    </xf>
    <xf borderId="26" fillId="13" fontId="23" numFmtId="0" xfId="0" applyAlignment="1" applyBorder="1" applyFont="1">
      <alignment horizontal="left" vertical="bottom"/>
    </xf>
    <xf borderId="25" fillId="33" fontId="23" numFmtId="0" xfId="0" applyAlignment="1" applyBorder="1" applyFont="1">
      <alignment shrinkToFit="0" vertical="bottom" wrapText="1"/>
    </xf>
    <xf borderId="26" fillId="33" fontId="23" numFmtId="0" xfId="0" applyAlignment="1" applyBorder="1" applyFont="1">
      <alignment vertical="bottom"/>
    </xf>
    <xf borderId="0" fillId="0" fontId="25" numFmtId="0" xfId="0" applyAlignment="1" applyFont="1">
      <alignment horizontal="right" vertical="bottom"/>
    </xf>
    <xf borderId="0" fillId="0" fontId="23" numFmtId="0" xfId="0" applyAlignment="1" applyFont="1">
      <alignment shrinkToFit="0" vertical="bottom" wrapText="0"/>
    </xf>
    <xf borderId="4" fillId="13" fontId="25" numFmtId="1" xfId="0" applyAlignment="1" applyBorder="1" applyFont="1" applyNumberFormat="1">
      <alignment horizontal="center" vertical="bottom"/>
    </xf>
    <xf borderId="16" fillId="13" fontId="25" numFmtId="0" xfId="0" applyAlignment="1" applyBorder="1" applyFont="1">
      <alignment readingOrder="0" shrinkToFit="0" vertical="bottom" wrapText="1"/>
    </xf>
    <xf borderId="4" fillId="0" fontId="4" numFmtId="1" xfId="0" applyAlignment="1" applyBorder="1" applyFont="1" applyNumberFormat="1">
      <alignment horizontal="center" shrinkToFit="0" vertical="bottom" wrapText="1"/>
    </xf>
    <xf borderId="4" fillId="13" fontId="25" numFmtId="0" xfId="0" applyAlignment="1" applyBorder="1" applyFont="1">
      <alignment horizontal="center" vertical="bottom"/>
    </xf>
    <xf borderId="16" fillId="0" fontId="25" numFmtId="0" xfId="0" applyAlignment="1" applyBorder="1" applyFont="1">
      <alignment readingOrder="0" shrinkToFit="0" vertical="bottom" wrapText="1"/>
    </xf>
    <xf borderId="0" fillId="0" fontId="23" numFmtId="0" xfId="0" applyAlignment="1" applyFont="1">
      <alignment readingOrder="0" shrinkToFit="0" vertical="bottom" wrapText="0"/>
    </xf>
    <xf borderId="4" fillId="13" fontId="4" numFmtId="0" xfId="0" applyAlignment="1" applyBorder="1" applyFont="1">
      <alignment horizontal="center" vertical="bottom"/>
    </xf>
    <xf borderId="16" fillId="13" fontId="25" numFmtId="0" xfId="0" applyAlignment="1" applyBorder="1" applyFont="1">
      <alignment vertical="bottom"/>
    </xf>
    <xf borderId="4" fillId="0" fontId="4" numFmtId="0" xfId="0" applyAlignment="1" applyBorder="1" applyFont="1">
      <alignment horizontal="center" shrinkToFit="0" vertical="bottom" wrapText="1"/>
    </xf>
    <xf borderId="0" fillId="13" fontId="3" numFmtId="0" xfId="0" applyAlignment="1" applyFont="1">
      <alignment readingOrder="0"/>
    </xf>
    <xf borderId="29" fillId="0" fontId="4" numFmtId="0" xfId="0" applyAlignment="1" applyBorder="1" applyFont="1">
      <alignment horizontal="center" shrinkToFit="0" vertical="bottom" wrapText="1"/>
    </xf>
    <xf borderId="17" fillId="0" fontId="25" numFmtId="0" xfId="0" applyAlignment="1" applyBorder="1" applyFont="1">
      <alignment readingOrder="0" shrinkToFit="0" vertical="bottom" wrapText="1"/>
    </xf>
    <xf borderId="16" fillId="13" fontId="25" numFmtId="0" xfId="0" applyAlignment="1" applyBorder="1" applyFont="1">
      <alignment shrinkToFit="0" vertical="bottom" wrapText="1"/>
    </xf>
    <xf borderId="0" fillId="0" fontId="23" numFmtId="168" xfId="0" applyAlignment="1" applyFont="1" applyNumberFormat="1">
      <alignment horizontal="left" readingOrder="0" shrinkToFit="0" vertical="bottom" wrapText="1"/>
    </xf>
    <xf borderId="0" fillId="0" fontId="25" numFmtId="168" xfId="0" applyAlignment="1" applyFont="1" applyNumberFormat="1">
      <alignment horizontal="center" readingOrder="0" shrinkToFit="0" vertical="bottom" wrapText="1"/>
    </xf>
    <xf borderId="29" fillId="13" fontId="25" numFmtId="0" xfId="0" applyAlignment="1" applyBorder="1" applyFont="1">
      <alignment horizontal="center" vertical="bottom"/>
    </xf>
    <xf borderId="17" fillId="13" fontId="25" numFmtId="0" xfId="0" applyAlignment="1" applyBorder="1" applyFont="1">
      <alignment shrinkToFit="0" vertical="bottom" wrapText="1"/>
    </xf>
    <xf borderId="0" fillId="0" fontId="25" numFmtId="1" xfId="0" applyAlignment="1" applyFont="1" applyNumberFormat="1">
      <alignment horizontal="center" shrinkToFit="0" vertical="bottom" wrapText="1"/>
    </xf>
    <xf borderId="0" fillId="0" fontId="25" numFmtId="168" xfId="0" applyAlignment="1" applyFont="1" applyNumberFormat="1">
      <alignment horizontal="center" shrinkToFit="0" vertical="bottom" wrapText="1"/>
    </xf>
    <xf borderId="0" fillId="0" fontId="27" numFmtId="0" xfId="0" applyAlignment="1" applyFont="1">
      <alignment readingOrder="0" shrinkToFit="0" vertical="bottom" wrapText="0"/>
    </xf>
    <xf borderId="0" fillId="0" fontId="4" numFmtId="0" xfId="0" applyAlignment="1" applyFont="1">
      <alignment shrinkToFit="0" vertical="bottom" wrapText="0"/>
    </xf>
    <xf borderId="0" fillId="0" fontId="4" numFmtId="168" xfId="0" applyAlignment="1" applyFont="1" applyNumberFormat="1">
      <alignment horizontal="center" readingOrder="0" vertical="bottom"/>
    </xf>
    <xf borderId="0" fillId="0" fontId="30" numFmtId="168" xfId="0" applyAlignment="1" applyFont="1" applyNumberFormat="1">
      <alignment horizontal="left" readingOrder="0" vertical="bottom"/>
    </xf>
    <xf borderId="0" fillId="0" fontId="30" numFmtId="0" xfId="0" applyAlignment="1" applyFont="1">
      <alignment vertical="bottom"/>
    </xf>
    <xf borderId="0" fillId="0" fontId="31" numFmtId="0" xfId="0" applyAlignment="1" applyFont="1">
      <alignment readingOrder="0"/>
    </xf>
    <xf borderId="0" fillId="0" fontId="32" numFmtId="0" xfId="0" applyAlignment="1" applyFont="1">
      <alignment readingOrder="0"/>
    </xf>
    <xf borderId="0" fillId="0" fontId="25" numFmtId="1" xfId="0" applyAlignment="1" applyFont="1" applyNumberFormat="1">
      <alignment horizontal="center" readingOrder="0" shrinkToFit="0" vertical="bottom" wrapText="1"/>
    </xf>
    <xf borderId="0" fillId="0" fontId="28" numFmtId="0" xfId="0" applyFont="1"/>
    <xf borderId="0" fillId="0" fontId="2" numFmtId="0" xfId="0" applyAlignment="1" applyFont="1">
      <alignment vertical="bottom"/>
    </xf>
    <xf borderId="0" fillId="0" fontId="2" numFmtId="0" xfId="0" applyAlignment="1" applyFont="1">
      <alignment readingOrder="0" vertical="bottom"/>
    </xf>
    <xf borderId="0" fillId="8" fontId="4" numFmtId="0" xfId="0" applyAlignment="1" applyFont="1">
      <alignment vertical="bottom"/>
    </xf>
    <xf borderId="0" fillId="10" fontId="4" numFmtId="0" xfId="0" applyAlignment="1" applyFont="1">
      <alignment horizontal="center" vertical="bottom"/>
    </xf>
    <xf borderId="0" fillId="10" fontId="4" numFmtId="0" xfId="0" applyAlignment="1" applyFont="1">
      <alignment vertical="bottom"/>
    </xf>
    <xf borderId="0" fillId="20" fontId="4" numFmtId="0" xfId="0" applyAlignment="1" applyFont="1">
      <alignment vertical="bottom"/>
    </xf>
    <xf borderId="0" fillId="18" fontId="4" numFmtId="0" xfId="0" applyAlignment="1" applyFont="1">
      <alignment horizontal="center" vertical="bottom"/>
    </xf>
    <xf borderId="0" fillId="18" fontId="4" numFmtId="0" xfId="0" applyAlignment="1" applyFont="1">
      <alignment vertical="bottom"/>
    </xf>
    <xf borderId="0" fillId="18" fontId="4" numFmtId="0" xfId="0" applyAlignment="1" applyFont="1">
      <alignment horizontal="center" readingOrder="0" vertical="bottom"/>
    </xf>
    <xf borderId="0" fillId="18" fontId="4" numFmtId="0" xfId="0" applyAlignment="1" applyFont="1">
      <alignment readingOrder="0" vertical="bottom"/>
    </xf>
    <xf borderId="0" fillId="19" fontId="4" numFmtId="0" xfId="0" applyAlignment="1" applyFont="1">
      <alignment vertical="bottom"/>
    </xf>
    <xf borderId="0" fillId="34" fontId="4" numFmtId="0" xfId="0" applyAlignment="1" applyFill="1" applyFont="1">
      <alignment horizontal="center" vertical="bottom"/>
    </xf>
    <xf borderId="0" fillId="34" fontId="4" numFmtId="0" xfId="0" applyAlignment="1" applyFont="1">
      <alignment vertical="bottom"/>
    </xf>
    <xf borderId="0" fillId="22" fontId="4" numFmtId="0" xfId="0" applyAlignment="1" applyFont="1">
      <alignment horizontal="center" vertical="bottom"/>
    </xf>
    <xf borderId="0" fillId="22" fontId="4" numFmtId="0" xfId="0" applyAlignment="1" applyFont="1">
      <alignment vertical="bottom"/>
    </xf>
    <xf borderId="0" fillId="25" fontId="4" numFmtId="0" xfId="0" applyAlignment="1" applyFont="1">
      <alignment horizontal="center" vertical="bottom"/>
    </xf>
    <xf borderId="0" fillId="25" fontId="4" numFmtId="0" xfId="0" applyAlignment="1" applyFont="1">
      <alignment vertical="bottom"/>
    </xf>
    <xf borderId="0" fillId="35" fontId="4" numFmtId="0" xfId="0" applyAlignment="1" applyFill="1" applyFont="1">
      <alignment horizontal="center" vertical="bottom"/>
    </xf>
    <xf borderId="0" fillId="35" fontId="4" numFmtId="0" xfId="0" applyAlignment="1" applyFont="1">
      <alignment vertical="bottom"/>
    </xf>
    <xf borderId="0" fillId="24" fontId="4" numFmtId="0" xfId="0" applyAlignment="1" applyFont="1">
      <alignment horizontal="center" vertical="bottom"/>
    </xf>
    <xf borderId="0" fillId="24" fontId="4" numFmtId="0" xfId="0" applyAlignment="1" applyFont="1">
      <alignment vertical="bottom"/>
    </xf>
    <xf borderId="0" fillId="17" fontId="4" numFmtId="0" xfId="0" applyAlignment="1" applyFont="1">
      <alignment horizontal="center" vertical="bottom"/>
    </xf>
    <xf borderId="0" fillId="17" fontId="4" numFmtId="0" xfId="0" applyAlignment="1" applyFont="1">
      <alignment vertical="bottom"/>
    </xf>
    <xf borderId="0" fillId="21" fontId="4" numFmtId="0" xfId="0" applyAlignment="1" applyFont="1">
      <alignment horizontal="center" vertical="bottom"/>
    </xf>
    <xf borderId="0" fillId="21" fontId="4" numFmtId="0" xfId="0" applyAlignment="1" applyFont="1">
      <alignment vertical="bottom"/>
    </xf>
    <xf borderId="0" fillId="23" fontId="4" numFmtId="0" xfId="0" applyAlignment="1" applyFont="1">
      <alignment horizontal="center" vertical="bottom"/>
    </xf>
    <xf borderId="0" fillId="23" fontId="4" numFmtId="0" xfId="0" applyAlignment="1" applyFont="1">
      <alignment vertical="bottom"/>
    </xf>
    <xf borderId="0" fillId="16" fontId="4" numFmtId="0" xfId="0" applyAlignment="1" applyFont="1">
      <alignment horizontal="center" vertical="bottom"/>
    </xf>
    <xf borderId="0" fillId="16" fontId="4" numFmtId="0" xfId="0" applyAlignment="1" applyFont="1">
      <alignment vertical="bottom"/>
    </xf>
  </cellXfs>
  <cellStyles count="1">
    <cellStyle xfId="0" name="Normal" builtinId="0"/>
  </cellStyles>
  <dxfs count="19">
    <dxf>
      <font/>
      <fill>
        <patternFill patternType="solid">
          <fgColor rgb="FFFF0000"/>
          <bgColor rgb="FFFF0000"/>
        </patternFill>
      </fill>
      <border/>
    </dxf>
    <dxf>
      <font/>
      <fill>
        <patternFill patternType="solid">
          <fgColor rgb="FF00FF00"/>
          <bgColor rgb="FF00FF00"/>
        </patternFill>
      </fill>
      <border/>
    </dxf>
    <dxf>
      <font/>
      <fill>
        <patternFill patternType="solid">
          <fgColor rgb="FFA4C2F4"/>
          <bgColor rgb="FFA4C2F4"/>
        </patternFill>
      </fill>
      <border/>
    </dxf>
    <dxf>
      <font>
        <color rgb="FF000000"/>
      </font>
      <fill>
        <patternFill patternType="solid">
          <fgColor rgb="FF00FFFF"/>
          <bgColor rgb="FF00FFFF"/>
        </patternFill>
      </fill>
      <border/>
    </dxf>
    <dxf>
      <font/>
      <fill>
        <patternFill patternType="solid">
          <fgColor rgb="FFEAD1DC"/>
          <bgColor rgb="FFEAD1DC"/>
        </patternFill>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9CB9C"/>
          <bgColor rgb="FFF9CB9C"/>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9FC5E8"/>
          <bgColor rgb="FF9FC5E8"/>
        </patternFill>
      </fill>
      <border/>
    </dxf>
    <dxf>
      <font/>
      <fill>
        <patternFill patternType="solid">
          <fgColor rgb="FFE06666"/>
          <bgColor rgb="FFE06666"/>
        </patternFill>
      </fill>
      <border/>
    </dxf>
    <dxf>
      <font/>
      <fill>
        <patternFill patternType="solid">
          <fgColor rgb="FFCFE2F3"/>
          <bgColor rgb="FFCFE2F3"/>
        </patternFill>
      </fill>
      <border/>
    </dxf>
    <dxf>
      <font/>
      <fill>
        <patternFill patternType="solid">
          <fgColor rgb="FFEA9999"/>
          <bgColor rgb="FFEA9999"/>
        </patternFill>
      </fill>
      <border/>
    </dxf>
    <dxf>
      <font/>
      <fill>
        <patternFill patternType="solid">
          <fgColor rgb="FFC9DAF8"/>
          <bgColor rgb="FFC9DAF8"/>
        </patternFill>
      </fill>
      <border/>
    </dxf>
    <dxf>
      <font>
        <b/>
      </font>
      <fill>
        <patternFill patternType="solid">
          <fgColor rgb="FF00FF00"/>
          <bgColor rgb="FF00FF00"/>
        </patternFill>
      </fill>
      <border/>
    </dxf>
    <dxf>
      <font/>
      <fill>
        <patternFill patternType="solid">
          <fgColor rgb="FFB7B7B7"/>
          <bgColor rgb="FFB7B7B7"/>
        </patternFill>
      </fill>
      <border/>
    </dxf>
    <dxf>
      <font/>
      <fill>
        <patternFill patternType="solid">
          <fgColor rgb="FFB4A7D6"/>
          <bgColor rgb="FFB4A7D6"/>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847725</xdr:colOff>
      <xdr:row>46</xdr:row>
      <xdr:rowOff>38100</xdr:rowOff>
    </xdr:from>
    <xdr:ext cx="4953000" cy="5467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1h1fGahA6VYp80jqqxc2gISbYg2NDDAD" TargetMode="External"/><Relationship Id="rId42" Type="http://schemas.openxmlformats.org/officeDocument/2006/relationships/hyperlink" Target="https://drive.google.com/open?id=1YJDV_PB7ykW_cQb9NZ5yAvPeiP3JnkBg" TargetMode="External"/><Relationship Id="rId41" Type="http://schemas.openxmlformats.org/officeDocument/2006/relationships/hyperlink" Target="https://drive.google.com/open?id=1JI4lNUajK6VifepV5hdRmN_skdd79Dnc" TargetMode="External"/><Relationship Id="rId44" Type="http://schemas.openxmlformats.org/officeDocument/2006/relationships/hyperlink" Target="https://drive.google.com/open?id=1ff4shxFdkFWyR_I6CYa8ITK8IgaSoFtN" TargetMode="External"/><Relationship Id="rId43" Type="http://schemas.openxmlformats.org/officeDocument/2006/relationships/hyperlink" Target="https://drive.google.com/open?id=1xCF87FSud1pEptekm5jwzZhZ9qC0TSx6" TargetMode="External"/><Relationship Id="rId46" Type="http://schemas.openxmlformats.org/officeDocument/2006/relationships/hyperlink" Target="https://drive.google.com/open?id=1SpI3PvPbD_NJxm5dx-ULhhbRjTbNvRAU" TargetMode="External"/><Relationship Id="rId45" Type="http://schemas.openxmlformats.org/officeDocument/2006/relationships/hyperlink" Target="https://drive.google.com/open?id=14U56TMPiTNzAcGa0AhVpEvjENvaiTUGl" TargetMode="External"/><Relationship Id="rId48" Type="http://schemas.openxmlformats.org/officeDocument/2006/relationships/hyperlink" Target="https://drive.google.com/open?id=1Z3cgpe5GIRwsKwcIACbL2JuYuu21sd7y" TargetMode="External"/><Relationship Id="rId47" Type="http://schemas.openxmlformats.org/officeDocument/2006/relationships/hyperlink" Target="https://drive.google.com/open?id=10MFeWwyI0Uck8uHWvmM9mDAxDC09wut5" TargetMode="External"/><Relationship Id="rId49" Type="http://schemas.openxmlformats.org/officeDocument/2006/relationships/hyperlink" Target="https://drive.google.com/open?id=1L8vsp0hVXHgCMuPNMYpqD6vdrWCE2RK8" TargetMode="External"/><Relationship Id="rId100" Type="http://schemas.openxmlformats.org/officeDocument/2006/relationships/vmlDrawing" Target="../drawings/vmlDrawing3.vml"/><Relationship Id="rId31" Type="http://schemas.openxmlformats.org/officeDocument/2006/relationships/hyperlink" Target="https://drive.google.com/open?id=1PsP9dN8MYhGBrret19OLzZfqYcdjYyTE" TargetMode="External"/><Relationship Id="rId30" Type="http://schemas.openxmlformats.org/officeDocument/2006/relationships/hyperlink" Target="https://drive.google.com/open?id=1nLJhcoqOFeNnH4OXkQtTPZJJ0_Co8EBr" TargetMode="External"/><Relationship Id="rId33" Type="http://schemas.openxmlformats.org/officeDocument/2006/relationships/hyperlink" Target="https://drive.google.com/open?id=1kAItMOJ7fHCaQBPaZZwLVCDj9lUsCqM4" TargetMode="External"/><Relationship Id="rId32" Type="http://schemas.openxmlformats.org/officeDocument/2006/relationships/hyperlink" Target="https://drive.google.com/open?id=1TTX3Dmn1N00wyaa3I4UNlk0I3YKOt2qC" TargetMode="External"/><Relationship Id="rId35" Type="http://schemas.openxmlformats.org/officeDocument/2006/relationships/hyperlink" Target="https://drive.google.com/open?id=1gr8uSS2itQThvCvMGtefABIJ7l9Ht6yM" TargetMode="External"/><Relationship Id="rId34" Type="http://schemas.openxmlformats.org/officeDocument/2006/relationships/hyperlink" Target="https://drive.google.com/open?id=1I8FVhdTMbp_97oHHwaTfeAv-mqNwvHPr" TargetMode="External"/><Relationship Id="rId37" Type="http://schemas.openxmlformats.org/officeDocument/2006/relationships/hyperlink" Target="https://drive.google.com/open?id=1uZYqQ4VzNJUVZqM4nQnoj2oZ0_IEwkh-" TargetMode="External"/><Relationship Id="rId36" Type="http://schemas.openxmlformats.org/officeDocument/2006/relationships/hyperlink" Target="https://drive.google.com/open?id=1VuF2lkS5qLJuzg7qbpVghAyoc1EnWHFD" TargetMode="External"/><Relationship Id="rId39" Type="http://schemas.openxmlformats.org/officeDocument/2006/relationships/hyperlink" Target="https://drive.google.com/open?id=1_5Bw5d49NRE7TnrgGVdvb9zgfBXSDB-B" TargetMode="External"/><Relationship Id="rId38" Type="http://schemas.openxmlformats.org/officeDocument/2006/relationships/hyperlink" Target="https://drive.google.com/open?id=12oj-vojFF4cYD7YRh17PPJ88eoKhL4nh" TargetMode="External"/><Relationship Id="rId20" Type="http://schemas.openxmlformats.org/officeDocument/2006/relationships/hyperlink" Target="https://drive.google.com/open?id=1KrJkfyWBvelmusfs1DNHgGwP0rSlbqeJ" TargetMode="External"/><Relationship Id="rId22" Type="http://schemas.openxmlformats.org/officeDocument/2006/relationships/hyperlink" Target="https://drive.google.com/open?id=1uPHYAhNtnfAK5yAUVq6NT9XRwdlArO3v" TargetMode="External"/><Relationship Id="rId21" Type="http://schemas.openxmlformats.org/officeDocument/2006/relationships/hyperlink" Target="https://drive.google.com/open?id=1KnilMGU40kwtXRxatYwD8Qmwak2Xir5A" TargetMode="External"/><Relationship Id="rId24" Type="http://schemas.openxmlformats.org/officeDocument/2006/relationships/hyperlink" Target="https://drive.google.com/open?id=1HjjL2gDsIkP_Dm3a1JbRV3R7jJE2u_Rt" TargetMode="External"/><Relationship Id="rId23" Type="http://schemas.openxmlformats.org/officeDocument/2006/relationships/hyperlink" Target="https://drive.google.com/open?id=19uDRTZMhHf4GaO-jdahnbbp-fYVJlqiu" TargetMode="External"/><Relationship Id="rId26" Type="http://schemas.openxmlformats.org/officeDocument/2006/relationships/hyperlink" Target="https://drive.google.com/open?id=1u2MCPxubr5KVUDcA6BOq4X6x_xJ-PFFX" TargetMode="External"/><Relationship Id="rId25" Type="http://schemas.openxmlformats.org/officeDocument/2006/relationships/hyperlink" Target="https://drive.google.com/open?id=1fbwSXj9_UhULFhW8MPARIfbbE85TYP1q" TargetMode="External"/><Relationship Id="rId28" Type="http://schemas.openxmlformats.org/officeDocument/2006/relationships/hyperlink" Target="https://drive.google.com/open?id=19X7L64afEhV6lV0RTJcTat4xwdF3kQJB" TargetMode="External"/><Relationship Id="rId27" Type="http://schemas.openxmlformats.org/officeDocument/2006/relationships/hyperlink" Target="https://drive.google.com/open?id=1OFNeEpacJQUY5ISu3v4_1_FIcvkig0FM" TargetMode="External"/><Relationship Id="rId29" Type="http://schemas.openxmlformats.org/officeDocument/2006/relationships/hyperlink" Target="https://drive.google.com/open?id=1Owte6_tMC_XjrVY0oJEOo4BtXLO1kjaK" TargetMode="External"/><Relationship Id="rId95" Type="http://schemas.openxmlformats.org/officeDocument/2006/relationships/hyperlink" Target="https://drive.google.com/open?id=1E8Zo-UnUuaHakZxG8aAJLWCkSxfhBMt3" TargetMode="External"/><Relationship Id="rId94" Type="http://schemas.openxmlformats.org/officeDocument/2006/relationships/hyperlink" Target="https://drive.google.com/open?id=1mxekSaDpBQSiLXkitZr-LC-zSCKyIW1m" TargetMode="External"/><Relationship Id="rId97" Type="http://schemas.openxmlformats.org/officeDocument/2006/relationships/hyperlink" Target="https://drive.google.com/open?id=1Y1eG5mxDFokWmZoNMUwbdy61HyVi6M6O" TargetMode="External"/><Relationship Id="rId96" Type="http://schemas.openxmlformats.org/officeDocument/2006/relationships/hyperlink" Target="https://drive.google.com/open?id=1UjelxZywKPPg9oa0Qn_XGDnEdHXQuB6D" TargetMode="External"/><Relationship Id="rId11" Type="http://schemas.openxmlformats.org/officeDocument/2006/relationships/hyperlink" Target="https://drive.google.com/open?id=1UytkTE4PPGuEMA4UjRR7pxbSfk_fvPGF" TargetMode="External"/><Relationship Id="rId99" Type="http://schemas.openxmlformats.org/officeDocument/2006/relationships/drawing" Target="../drawings/drawing5.xml"/><Relationship Id="rId10" Type="http://schemas.openxmlformats.org/officeDocument/2006/relationships/hyperlink" Target="https://drive.google.com/open?id=16tG_fnOZ3b2XSWbV1pjuv2kGjbxxaE-7" TargetMode="External"/><Relationship Id="rId98" Type="http://schemas.openxmlformats.org/officeDocument/2006/relationships/hyperlink" Target="https://drive.google.com/open?id=1zNY3XaMONQAKLc36Fss3aKTfrYZSXAFn" TargetMode="External"/><Relationship Id="rId13" Type="http://schemas.openxmlformats.org/officeDocument/2006/relationships/hyperlink" Target="https://drive.google.com/open?id=1eiGbj2A4cpVyKdkdc-57B0779Yz5OdDP" TargetMode="External"/><Relationship Id="rId12" Type="http://schemas.openxmlformats.org/officeDocument/2006/relationships/hyperlink" Target="https://drive.google.com/open?id=1bTWN9TNrO9oBVPNiu4menWQJSD6UIz3F" TargetMode="External"/><Relationship Id="rId91" Type="http://schemas.openxmlformats.org/officeDocument/2006/relationships/hyperlink" Target="https://drive.google.com/open?id=1ybSBOsNJ_kOC4XMzfgwN_MUn1d9ia1D8" TargetMode="External"/><Relationship Id="rId90" Type="http://schemas.openxmlformats.org/officeDocument/2006/relationships/hyperlink" Target="https://drive.google.com/open?id=1oCKFNDU-XPuHPgIinoUjr3i6tH3jC82O" TargetMode="External"/><Relationship Id="rId93" Type="http://schemas.openxmlformats.org/officeDocument/2006/relationships/hyperlink" Target="https://drive.google.com/open?id=1VIxKsv2XbphW1CSPBbXSV2t1Fi8BZMq-" TargetMode="External"/><Relationship Id="rId92" Type="http://schemas.openxmlformats.org/officeDocument/2006/relationships/hyperlink" Target="https://drive.google.com/open?id=1WVX_Rkfmj2NLaPiaZ26NkK8RqGfvpg60" TargetMode="External"/><Relationship Id="rId15" Type="http://schemas.openxmlformats.org/officeDocument/2006/relationships/hyperlink" Target="https://drive.google.com/open?id=1ZL-BBzv1z6zrTenKtHnZL3Rnnxy758Nh" TargetMode="External"/><Relationship Id="rId14" Type="http://schemas.openxmlformats.org/officeDocument/2006/relationships/hyperlink" Target="https://drive.google.com/open?id=1_ajOqtyvD4qiO2czExXvO0AkIBNHhfL1" TargetMode="External"/><Relationship Id="rId17" Type="http://schemas.openxmlformats.org/officeDocument/2006/relationships/hyperlink" Target="https://drive.google.com/open?id=1xyQIoK4BG-hkQSVz8LylhlmrQ-obbQeY" TargetMode="External"/><Relationship Id="rId16" Type="http://schemas.openxmlformats.org/officeDocument/2006/relationships/hyperlink" Target="https://drive.google.com/open?id=1h7QuFzscwWocL8hCZuvJTqnZBhx_OYZm" TargetMode="External"/><Relationship Id="rId19" Type="http://schemas.openxmlformats.org/officeDocument/2006/relationships/hyperlink" Target="https://drive.google.com/open?id=1JPCRg8UvI788bSf3wQAylkHBdCO7tW7L" TargetMode="External"/><Relationship Id="rId18" Type="http://schemas.openxmlformats.org/officeDocument/2006/relationships/hyperlink" Target="https://drive.google.com/open?id=1QYYdahjp4mWvpS2tmbXSOyezMXn7j29J" TargetMode="External"/><Relationship Id="rId84" Type="http://schemas.openxmlformats.org/officeDocument/2006/relationships/hyperlink" Target="https://drive.google.com/open?id=1MTcLnXT7lGrAu8oNx9mSYUGd1Nh6pbtE" TargetMode="External"/><Relationship Id="rId83" Type="http://schemas.openxmlformats.org/officeDocument/2006/relationships/hyperlink" Target="https://drive.google.com/open?id=1cSQzFs6fyHG15FRyzvVJZ3PxrT418J1Y" TargetMode="External"/><Relationship Id="rId86" Type="http://schemas.openxmlformats.org/officeDocument/2006/relationships/hyperlink" Target="https://drive.google.com/open?id=1K1UzUzP05Bb6SxO1eCq39dNYpZJrZsoE" TargetMode="External"/><Relationship Id="rId85" Type="http://schemas.openxmlformats.org/officeDocument/2006/relationships/hyperlink" Target="https://drive.google.com/open?id=1icrUH8MU0_JZNwx1zMEgfkKP4RUkd2wc" TargetMode="External"/><Relationship Id="rId88" Type="http://schemas.openxmlformats.org/officeDocument/2006/relationships/hyperlink" Target="https://drive.google.com/open?id=1fQ1BhJ1CC2gqxvWxobcGuw0vvzrCKhOP" TargetMode="External"/><Relationship Id="rId87" Type="http://schemas.openxmlformats.org/officeDocument/2006/relationships/hyperlink" Target="https://drive.google.com/open?id=1aHVk8kvjNyiimrMAJIE0CPMK02Z7bTHA" TargetMode="External"/><Relationship Id="rId89" Type="http://schemas.openxmlformats.org/officeDocument/2006/relationships/hyperlink" Target="https://drive.google.com/open?id=1brK1n6zqBjLM36i2J23SdYxLqmNRvTJy" TargetMode="External"/><Relationship Id="rId80" Type="http://schemas.openxmlformats.org/officeDocument/2006/relationships/hyperlink" Target="https://drive.google.com/open?id=1TPKQycvsj_LFRV5RnbJs4eAzAzoN27xv" TargetMode="External"/><Relationship Id="rId82" Type="http://schemas.openxmlformats.org/officeDocument/2006/relationships/hyperlink" Target="https://drive.google.com/open?id=1UQlgcd7MrJX2yQcFBGxHddxnnhiscTif" TargetMode="External"/><Relationship Id="rId81" Type="http://schemas.openxmlformats.org/officeDocument/2006/relationships/hyperlink" Target="https://drive.google.com/open?id=1_LTZO9OtSK2XngYRlSLqM27K1IYjuLn2" TargetMode="External"/><Relationship Id="rId1" Type="http://schemas.openxmlformats.org/officeDocument/2006/relationships/comments" Target="../comments3.xml"/><Relationship Id="rId2" Type="http://schemas.openxmlformats.org/officeDocument/2006/relationships/hyperlink" Target="https://drive.google.com/open?id=1nslEu1iWfH972EbjbxBv04zfK889jx31" TargetMode="External"/><Relationship Id="rId3" Type="http://schemas.openxmlformats.org/officeDocument/2006/relationships/hyperlink" Target="https://drive.google.com/open?id=1v7DSDbTS25zXp-uekO6N7VjPW1azYLvs" TargetMode="External"/><Relationship Id="rId4" Type="http://schemas.openxmlformats.org/officeDocument/2006/relationships/hyperlink" Target="https://drive.google.com/open?id=1IHUONDhJPxbpYmRVsHOv_VCYqqdA6Le1" TargetMode="External"/><Relationship Id="rId9" Type="http://schemas.openxmlformats.org/officeDocument/2006/relationships/hyperlink" Target="https://drive.google.com/open?id=1rNh4rzX2lotXCTBA5QWuzQ9Deo6PVqxb" TargetMode="External"/><Relationship Id="rId5" Type="http://schemas.openxmlformats.org/officeDocument/2006/relationships/hyperlink" Target="https://drive.google.com/open?id=1ecuuvdzS334EMgB08tXzavt8X0xtO2KS" TargetMode="External"/><Relationship Id="rId6" Type="http://schemas.openxmlformats.org/officeDocument/2006/relationships/hyperlink" Target="https://drive.google.com/open?id=14ekBypfrfrOHFHChhuxWrlMjPZXvjqrL" TargetMode="External"/><Relationship Id="rId7" Type="http://schemas.openxmlformats.org/officeDocument/2006/relationships/hyperlink" Target="https://drive.google.com/open?id=1mwZtvgnkHGvNJXB-oVj3tbiNs13I_Fsp" TargetMode="External"/><Relationship Id="rId8" Type="http://schemas.openxmlformats.org/officeDocument/2006/relationships/hyperlink" Target="https://drive.google.com/open?id=1b9kw_iwiGh2aX7ORJZUBaA1cTER5F6_c" TargetMode="External"/><Relationship Id="rId73" Type="http://schemas.openxmlformats.org/officeDocument/2006/relationships/hyperlink" Target="https://drive.google.com/open?id=17WciAPXhdEkWbmCoO8Il3I9K3rjRmd42" TargetMode="External"/><Relationship Id="rId72" Type="http://schemas.openxmlformats.org/officeDocument/2006/relationships/hyperlink" Target="https://drive.google.com/open?id=1zJhdhz5ImodIJxXSqo2uS3R5nHyedIoe" TargetMode="External"/><Relationship Id="rId75" Type="http://schemas.openxmlformats.org/officeDocument/2006/relationships/hyperlink" Target="https://drive.google.com/open?id=1FYXN2KWA0NbmLxXSDYz57f-oqiNiJOWL" TargetMode="External"/><Relationship Id="rId74" Type="http://schemas.openxmlformats.org/officeDocument/2006/relationships/hyperlink" Target="https://drive.google.com/open?id=1gxSoUoeV4aCxY0MsgIdgmaQLClWhzHYq" TargetMode="External"/><Relationship Id="rId77" Type="http://schemas.openxmlformats.org/officeDocument/2006/relationships/hyperlink" Target="https://drive.google.com/open?id=1ItuKCTUGQhlku-USou0IN48gYVqXmUcm" TargetMode="External"/><Relationship Id="rId76" Type="http://schemas.openxmlformats.org/officeDocument/2006/relationships/hyperlink" Target="https://drive.google.com/open?id=1pvWJFHVuMoMZkfcyuNsStVuaebcZYa8J" TargetMode="External"/><Relationship Id="rId79" Type="http://schemas.openxmlformats.org/officeDocument/2006/relationships/hyperlink" Target="https://drive.google.com/open?id=17cvAhOziZhikmIUuJQwqgRhrNRJFXcxU" TargetMode="External"/><Relationship Id="rId78" Type="http://schemas.openxmlformats.org/officeDocument/2006/relationships/hyperlink" Target="https://drive.google.com/open?id=1iFh8jvIoeH6vJQEWiB_ZCamHU2u48Nww" TargetMode="External"/><Relationship Id="rId71" Type="http://schemas.openxmlformats.org/officeDocument/2006/relationships/hyperlink" Target="https://drive.google.com/open?id=1uM4DCrRLmkiTUzbDvVQ6epzI-hc9TdHg" TargetMode="External"/><Relationship Id="rId70" Type="http://schemas.openxmlformats.org/officeDocument/2006/relationships/hyperlink" Target="https://drive.google.com/open?id=1UwHoQCX_GBdTRv14Kkh6V5ZoV3YDqZlX" TargetMode="External"/><Relationship Id="rId62" Type="http://schemas.openxmlformats.org/officeDocument/2006/relationships/hyperlink" Target="https://drive.google.com/open?id=1Pnb-h7TCqWznOpeFg9pHbC-N9pCMzJX9" TargetMode="External"/><Relationship Id="rId61" Type="http://schemas.openxmlformats.org/officeDocument/2006/relationships/hyperlink" Target="https://drive.google.com/open?id=1Fd1xZHqFdtdNvUE9J0p3Vj4xKd5IOoDs" TargetMode="External"/><Relationship Id="rId64" Type="http://schemas.openxmlformats.org/officeDocument/2006/relationships/hyperlink" Target="https://drive.google.com/open?id=1j21ydbMDq6rKvN5ctCjiSwcLsfsWj4db" TargetMode="External"/><Relationship Id="rId63" Type="http://schemas.openxmlformats.org/officeDocument/2006/relationships/hyperlink" Target="https://drive.google.com/open?id=1sNOgW7tVwQilelLvcgd_uWOTXuid35qT" TargetMode="External"/><Relationship Id="rId66" Type="http://schemas.openxmlformats.org/officeDocument/2006/relationships/hyperlink" Target="https://drive.google.com/open?id=1_1L6zxfGLU4JAua94Ht-OrwVVOcJ-Yaw" TargetMode="External"/><Relationship Id="rId65" Type="http://schemas.openxmlformats.org/officeDocument/2006/relationships/hyperlink" Target="https://drive.google.com/open?id=1IhUBvh4AP7iYjbspx9aDva3D3dtknsh1" TargetMode="External"/><Relationship Id="rId68" Type="http://schemas.openxmlformats.org/officeDocument/2006/relationships/hyperlink" Target="https://drive.google.com/open?id=1fdUqHRGC7QjG1dSP8tCbCX7GfvBEPC0c" TargetMode="External"/><Relationship Id="rId67" Type="http://schemas.openxmlformats.org/officeDocument/2006/relationships/hyperlink" Target="https://drive.google.com/open?id=1veQ2KvVAyiqCeqlgOOHvaCDBro2ddke6" TargetMode="External"/><Relationship Id="rId60" Type="http://schemas.openxmlformats.org/officeDocument/2006/relationships/hyperlink" Target="https://drive.google.com/open?id=1r1atvXh9uOwfMPtyLqSDmxzytjSXv77d" TargetMode="External"/><Relationship Id="rId69" Type="http://schemas.openxmlformats.org/officeDocument/2006/relationships/hyperlink" Target="https://drive.google.com/open?id=1fPSwHo_aiTTMlzkhlfesAvUK0s4VZ3h9" TargetMode="External"/><Relationship Id="rId51" Type="http://schemas.openxmlformats.org/officeDocument/2006/relationships/hyperlink" Target="https://drive.google.com/open?id=18FCjYWcl7b67UADOtSlhjQ7-Vp478lVz" TargetMode="External"/><Relationship Id="rId50" Type="http://schemas.openxmlformats.org/officeDocument/2006/relationships/hyperlink" Target="https://drive.google.com/open?id=1ziDpC9dKZz6p_2whq2A7f7I0JPGe9iKN" TargetMode="External"/><Relationship Id="rId53" Type="http://schemas.openxmlformats.org/officeDocument/2006/relationships/hyperlink" Target="https://drive.google.com/open?id=1D02UH38RzSDhAaf7oCYGrOHuBgm4dn6e" TargetMode="External"/><Relationship Id="rId52" Type="http://schemas.openxmlformats.org/officeDocument/2006/relationships/hyperlink" Target="https://drive.google.com/open?id=1m20IzDru3lngoTCVc9HabyQtHjpDURvx" TargetMode="External"/><Relationship Id="rId55" Type="http://schemas.openxmlformats.org/officeDocument/2006/relationships/hyperlink" Target="https://drive.google.com/open?id=1a6epGI9s7j3Luspgb5oKr0Bt4__v4qpt" TargetMode="External"/><Relationship Id="rId54" Type="http://schemas.openxmlformats.org/officeDocument/2006/relationships/hyperlink" Target="https://drive.google.com/open?id=1ifj5EoM0PEd2YLxCXMzv2Cs7GKO1YIz8" TargetMode="External"/><Relationship Id="rId57" Type="http://schemas.openxmlformats.org/officeDocument/2006/relationships/hyperlink" Target="https://drive.google.com/open?id=1NTvFQVcBRBqQYoBB3Ts0ffmBRCgLA17e" TargetMode="External"/><Relationship Id="rId56" Type="http://schemas.openxmlformats.org/officeDocument/2006/relationships/hyperlink" Target="https://drive.google.com/open?id=12og_KYMdPdQZGECcaAzzV-IkA0Ak8S8q" TargetMode="External"/><Relationship Id="rId59" Type="http://schemas.openxmlformats.org/officeDocument/2006/relationships/hyperlink" Target="https://drive.google.com/open?id=1fGzXn2gQ8_mMl4jyvcbR0ADEDGmTQ7vw" TargetMode="External"/><Relationship Id="rId58" Type="http://schemas.openxmlformats.org/officeDocument/2006/relationships/hyperlink" Target="https://drive.google.com/open?id=1oQiPdbrlqUycDgGA3jBXzsZmSlRIFzMa"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ff9LyHzhq3Mka_W5dEm7cyYWW7cZmOZxW9bUFWjuqIQ/edit?usp=sharing" TargetMode="External"/><Relationship Id="rId3" Type="http://schemas.openxmlformats.org/officeDocument/2006/relationships/drawing" Target="../drawings/drawing7.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38"/>
  </cols>
  <sheetData>
    <row r="1" ht="41.25" customHeight="1">
      <c r="A1" s="1" t="str">
        <f>IFERROR(__xludf.DUMMYFUNCTION("QUERY({
  'APS Tubes Import'!A1:A809; 
  'ARF Tubes'!M2:M809
}, 
""SELECT Col1 WHERE Col1 IS NOT NULL"", 0)"),"TUBE ID")</f>
        <v>TUBE ID</v>
      </c>
      <c r="B1" s="1" t="str">
        <f>IFERROR(__xludf.DUMMYFUNCTION("QUERY({
  'APS Tubes Import'!V1:V809; 
  'ARF Tubes'!N2:N809
}, 
""SELECT Col1 WHERE Col1 IS NOT NULL"", 0)"),"FINAL
ASSIGNED RUN ID")</f>
        <v>FINAL
ASSIGNED RUN ID</v>
      </c>
      <c r="C1" s="2" t="str">
        <f>'Run Reconcile'!B1</f>
        <v>RUN DATE</v>
      </c>
      <c r="D1" s="3" t="str">
        <f>'APS Tubes Import'!B1</f>
        <v>COLLECTION DATE</v>
      </c>
      <c r="E1" s="4" t="str">
        <f>'APS Tubes Import'!C1</f>
        <v>COLLECTION TIME</v>
      </c>
      <c r="F1" s="1" t="str">
        <f>IFERROR(__xludf.DUMMYFUNCTION("QUERY({
  'APS Tubes Import'!H1:H809; 
  'ARF Tubes'!P2:P809
}, 
""SELECT Col1 WHERE Col1 IS NOT NULL"", 0)"),"FINAL RESULT")</f>
        <v>FINAL RESULT</v>
      </c>
      <c r="G1" s="2" t="str">
        <f>'APS Tubes Import'!N1</f>
        <v>NUM SAMPLES (Pool Level)</v>
      </c>
      <c r="H1" s="5"/>
      <c r="I1" s="5"/>
      <c r="J1" s="5"/>
      <c r="K1" s="5"/>
      <c r="L1" s="5"/>
      <c r="M1" s="5"/>
      <c r="N1" s="5"/>
      <c r="O1" s="5"/>
      <c r="P1" s="5"/>
      <c r="Q1" s="5"/>
      <c r="R1" s="5"/>
      <c r="S1" s="5"/>
      <c r="T1" s="5"/>
      <c r="U1" s="5"/>
      <c r="V1" s="5"/>
      <c r="W1" s="5"/>
      <c r="X1" s="5"/>
      <c r="Y1" s="5"/>
      <c r="Z1" s="5"/>
    </row>
    <row r="2">
      <c r="A2" s="6" t="str">
        <f>IFERROR(__xludf.DUMMYFUNCTION("""COMPUTED_VALUE"""),"MAX88")</f>
        <v>MAX88</v>
      </c>
      <c r="B2" s="6" t="str">
        <f>IFERROR(__xludf.DUMMYFUNCTION("""COMPUTED_VALUE"""),"RUN-BEND_2021-12-10_APS-001")</f>
        <v>RUN-BEND_2021-12-10_APS-001</v>
      </c>
      <c r="C2" s="7">
        <f>VLOOKUP(B2,'Run Reconcile'!A$2:B809,2,FALSE)</f>
        <v>44540</v>
      </c>
      <c r="D2" s="8">
        <f>IFERROR(__xludf.DUMMYFUNCTION("QUERY({
  'APS Tubes Import'!B2:B809
}, 
""SELECT Col1 WHERE Col1 IS NOT NULL"", 0)"),44540.0)</f>
        <v>44540</v>
      </c>
      <c r="E2" s="9">
        <f>IFERROR(__xludf.DUMMYFUNCTION("QUERY({
  'APS Tubes Import'!C2:C809; 
  'ARF Tubes'!P2:P809
}, 
""SELECT Col1 WHERE Col1 IS NOT NULL"", 0)"),0.29401620370481396)</f>
        <v>0.2940162037</v>
      </c>
      <c r="F2" s="10" t="str">
        <f>IFERROR(__xludf.DUMMYFUNCTION("""COMPUTED_VALUE"""),"Negative")</f>
        <v>Negative</v>
      </c>
      <c r="G2" s="11">
        <f>IFERROR(__xludf.DUMMYFUNCTION("QUERY({
  'APS Tubes Import'!N2:N809
}, 
""SELECT Col1 WHERE Col1 IS NOT NULL"", 0)"),1.0)</f>
        <v>1</v>
      </c>
    </row>
    <row r="3">
      <c r="A3" s="6" t="str">
        <f>IFERROR(__xludf.DUMMYFUNCTION("""COMPUTED_VALUE"""),"MAX136")</f>
        <v>MAX136</v>
      </c>
      <c r="B3" s="6" t="str">
        <f>IFERROR(__xludf.DUMMYFUNCTION("""COMPUTED_VALUE"""),"RUN-BEND_2021-12-10_APS-001")</f>
        <v>RUN-BEND_2021-12-10_APS-001</v>
      </c>
      <c r="C3" s="7">
        <f>VLOOKUP(B3,'Run Reconcile'!A$2:B809,2,FALSE)</f>
        <v>44540</v>
      </c>
      <c r="D3" s="12">
        <f>IFERROR(__xludf.DUMMYFUNCTION("""COMPUTED_VALUE"""),44540.0)</f>
        <v>44540</v>
      </c>
      <c r="E3" s="13">
        <f>IFERROR(__xludf.DUMMYFUNCTION("""COMPUTED_VALUE"""),0.2980092592588335)</f>
        <v>0.2980092593</v>
      </c>
      <c r="F3" s="10" t="str">
        <f>IFERROR(__xludf.DUMMYFUNCTION("""COMPUTED_VALUE"""),"Negative")</f>
        <v>Negative</v>
      </c>
      <c r="G3" s="10">
        <f>IFERROR(__xludf.DUMMYFUNCTION("""COMPUTED_VALUE"""),1.0)</f>
        <v>1</v>
      </c>
    </row>
    <row r="4">
      <c r="A4" s="6" t="str">
        <f>IFERROR(__xludf.DUMMYFUNCTION("""COMPUTED_VALUE"""),"MAX79")</f>
        <v>MAX79</v>
      </c>
      <c r="B4" s="6" t="str">
        <f>IFERROR(__xludf.DUMMYFUNCTION("""COMPUTED_VALUE"""),"RUN-BEND_2021-12-10_APS-001")</f>
        <v>RUN-BEND_2021-12-10_APS-001</v>
      </c>
      <c r="C4" s="7">
        <f>VLOOKUP(B4,'Run Reconcile'!A$2:B809,2,FALSE)</f>
        <v>44540</v>
      </c>
      <c r="D4" s="12">
        <f>IFERROR(__xludf.DUMMYFUNCTION("""COMPUTED_VALUE"""),44540.0)</f>
        <v>44540</v>
      </c>
      <c r="E4" s="13">
        <f>IFERROR(__xludf.DUMMYFUNCTION("""COMPUTED_VALUE"""),0.3005439814805868)</f>
        <v>0.3005439815</v>
      </c>
      <c r="F4" s="10" t="str">
        <f>IFERROR(__xludf.DUMMYFUNCTION("""COMPUTED_VALUE"""),"Negative")</f>
        <v>Negative</v>
      </c>
      <c r="G4" s="10">
        <f>IFERROR(__xludf.DUMMYFUNCTION("""COMPUTED_VALUE"""),1.0)</f>
        <v>1</v>
      </c>
    </row>
    <row r="5">
      <c r="A5" s="6" t="str">
        <f>IFERROR(__xludf.DUMMYFUNCTION("""COMPUTED_VALUE"""),"MAX64")</f>
        <v>MAX64</v>
      </c>
      <c r="B5" s="6" t="str">
        <f>IFERROR(__xludf.DUMMYFUNCTION("""COMPUTED_VALUE"""),"RUN-BEND_2021-12-10_APS-001")</f>
        <v>RUN-BEND_2021-12-10_APS-001</v>
      </c>
      <c r="C5" s="7">
        <f>VLOOKUP(B5,'Run Reconcile'!A$2:B809,2,FALSE)</f>
        <v>44540</v>
      </c>
      <c r="D5" s="12">
        <f>IFERROR(__xludf.DUMMYFUNCTION("""COMPUTED_VALUE"""),44540.0)</f>
        <v>44540</v>
      </c>
      <c r="E5" s="13">
        <f>IFERROR(__xludf.DUMMYFUNCTION("""COMPUTED_VALUE"""),0.3010532407424762)</f>
        <v>0.3010532407</v>
      </c>
      <c r="F5" s="10" t="str">
        <f>IFERROR(__xludf.DUMMYFUNCTION("""COMPUTED_VALUE"""),"Negative")</f>
        <v>Negative</v>
      </c>
      <c r="G5" s="10">
        <f>IFERROR(__xludf.DUMMYFUNCTION("""COMPUTED_VALUE"""),1.0)</f>
        <v>1</v>
      </c>
    </row>
    <row r="6">
      <c r="A6" s="6" t="str">
        <f>IFERROR(__xludf.DUMMYFUNCTION("""COMPUTED_VALUE"""),"MA1025")</f>
        <v>MA1025</v>
      </c>
      <c r="B6" s="6" t="str">
        <f>IFERROR(__xludf.DUMMYFUNCTION("""COMPUTED_VALUE"""),"RUN-BEND_2021-12-10_APS-001")</f>
        <v>RUN-BEND_2021-12-10_APS-001</v>
      </c>
      <c r="C6" s="7">
        <f>VLOOKUP(B6,'Run Reconcile'!A$2:B809,2,FALSE)</f>
        <v>44540</v>
      </c>
      <c r="D6" s="12">
        <f>IFERROR(__xludf.DUMMYFUNCTION("""COMPUTED_VALUE"""),44540.0)</f>
        <v>44540</v>
      </c>
      <c r="E6" s="13">
        <f>IFERROR(__xludf.DUMMYFUNCTION("""COMPUTED_VALUE"""),0.31128472222189885)</f>
        <v>0.3112847222</v>
      </c>
      <c r="F6" s="10" t="str">
        <f>IFERROR(__xludf.DUMMYFUNCTION("""COMPUTED_VALUE"""),"Negative")</f>
        <v>Negative</v>
      </c>
      <c r="G6" s="10">
        <f>IFERROR(__xludf.DUMMYFUNCTION("""COMPUTED_VALUE"""),1.0)</f>
        <v>1</v>
      </c>
    </row>
    <row r="7">
      <c r="A7" s="6" t="str">
        <f>IFERROR(__xludf.DUMMYFUNCTION("""COMPUTED_VALUE"""),"MAX70")</f>
        <v>MAX70</v>
      </c>
      <c r="B7" s="6" t="str">
        <f>IFERROR(__xludf.DUMMYFUNCTION("""COMPUTED_VALUE"""),"RUN-BEND_2021-12-13_RFR-002")</f>
        <v>RUN-BEND_2021-12-13_RFR-002</v>
      </c>
      <c r="C7" s="7">
        <f>VLOOKUP(B7,'Run Reconcile'!A$2:B809,2,FALSE)</f>
        <v>44543</v>
      </c>
      <c r="D7" s="12">
        <f>IFERROR(__xludf.DUMMYFUNCTION("""COMPUTED_VALUE"""),44543.0)</f>
        <v>44543</v>
      </c>
      <c r="E7" s="13">
        <f>IFERROR(__xludf.DUMMYFUNCTION("""COMPUTED_VALUE"""),0.4924074074078817)</f>
        <v>0.4924074074</v>
      </c>
      <c r="F7" s="10" t="str">
        <f>IFERROR(__xludf.DUMMYFUNCTION("""COMPUTED_VALUE"""),"Negative")</f>
        <v>Negative</v>
      </c>
      <c r="G7" s="10">
        <f>IFERROR(__xludf.DUMMYFUNCTION("""COMPUTED_VALUE"""),1.0)</f>
        <v>1</v>
      </c>
    </row>
    <row r="8">
      <c r="A8" s="6" t="str">
        <f>IFERROR(__xludf.DUMMYFUNCTION("""COMPUTED_VALUE"""),"MAX111")</f>
        <v>MAX111</v>
      </c>
      <c r="B8" s="6" t="str">
        <f>IFERROR(__xludf.DUMMYFUNCTION("""COMPUTED_VALUE"""),"RUN-BEND_2021-12-13_RFR-002")</f>
        <v>RUN-BEND_2021-12-13_RFR-002</v>
      </c>
      <c r="C8" s="7">
        <f>VLOOKUP(B8,'Run Reconcile'!A$2:B809,2,FALSE)</f>
        <v>44543</v>
      </c>
      <c r="D8" s="12">
        <f>IFERROR(__xludf.DUMMYFUNCTION("""COMPUTED_VALUE"""),44543.0)</f>
        <v>44543</v>
      </c>
      <c r="E8" s="13">
        <f>IFERROR(__xludf.DUMMYFUNCTION("""COMPUTED_VALUE"""),0.5629166666658421)</f>
        <v>0.5629166667</v>
      </c>
      <c r="F8" s="10" t="str">
        <f>IFERROR(__xludf.DUMMYFUNCTION("""COMPUTED_VALUE"""),"Negative")</f>
        <v>Negative</v>
      </c>
      <c r="G8" s="10">
        <f>IFERROR(__xludf.DUMMYFUNCTION("""COMPUTED_VALUE"""),1.0)</f>
        <v>1</v>
      </c>
    </row>
    <row r="9">
      <c r="A9" s="6" t="str">
        <f>IFERROR(__xludf.DUMMYFUNCTION("""COMPUTED_VALUE"""),"MAX113")</f>
        <v>MAX113</v>
      </c>
      <c r="B9" s="6" t="str">
        <f>IFERROR(__xludf.DUMMYFUNCTION("""COMPUTED_VALUE"""),"RUN-BEND_2021-12-13_RFR-002")</f>
        <v>RUN-BEND_2021-12-13_RFR-002</v>
      </c>
      <c r="C9" s="7">
        <f>VLOOKUP(B9,'Run Reconcile'!A$2:B809,2,FALSE)</f>
        <v>44543</v>
      </c>
      <c r="D9" s="12">
        <f>IFERROR(__xludf.DUMMYFUNCTION("""COMPUTED_VALUE"""),44543.0)</f>
        <v>44543</v>
      </c>
      <c r="E9" s="13">
        <f>IFERROR(__xludf.DUMMYFUNCTION("""COMPUTED_VALUE"""),0.5630208333350311)</f>
        <v>0.5630208333</v>
      </c>
      <c r="F9" s="10" t="str">
        <f>IFERROR(__xludf.DUMMYFUNCTION("""COMPUTED_VALUE"""),"Negative")</f>
        <v>Negative</v>
      </c>
      <c r="G9" s="10">
        <f>IFERROR(__xludf.DUMMYFUNCTION("""COMPUTED_VALUE"""),1.0)</f>
        <v>1</v>
      </c>
    </row>
    <row r="10">
      <c r="A10" s="6" t="str">
        <f>IFERROR(__xludf.DUMMYFUNCTION("""COMPUTED_VALUE"""),"MAX122")</f>
        <v>MAX122</v>
      </c>
      <c r="B10" s="6" t="str">
        <f>IFERROR(__xludf.DUMMYFUNCTION("""COMPUTED_VALUE"""),"RUN-BEND_2021-12-13_RFR-002")</f>
        <v>RUN-BEND_2021-12-13_RFR-002</v>
      </c>
      <c r="C10" s="7">
        <f>VLOOKUP(B10,'Run Reconcile'!A$2:B809,2,FALSE)</f>
        <v>44543</v>
      </c>
      <c r="D10" s="12">
        <f>IFERROR(__xludf.DUMMYFUNCTION("""COMPUTED_VALUE"""),44543.0)</f>
        <v>44543</v>
      </c>
      <c r="E10" s="13">
        <f>IFERROR(__xludf.DUMMYFUNCTION("""COMPUTED_VALUE"""),0.5931712962956226)</f>
        <v>0.5931712963</v>
      </c>
      <c r="F10" s="10" t="str">
        <f>IFERROR(__xludf.DUMMYFUNCTION("""COMPUTED_VALUE"""),"Negative")</f>
        <v>Negative</v>
      </c>
      <c r="G10" s="10">
        <f>IFERROR(__xludf.DUMMYFUNCTION("""COMPUTED_VALUE"""),1.0)</f>
        <v>1</v>
      </c>
    </row>
    <row r="11">
      <c r="A11" s="6" t="str">
        <f>IFERROR(__xludf.DUMMYFUNCTION("""COMPUTED_VALUE"""),"MAX94")</f>
        <v>MAX94</v>
      </c>
      <c r="B11" s="6" t="str">
        <f>IFERROR(__xludf.DUMMYFUNCTION("""COMPUTED_VALUE"""),"RUN-BEND_2021-12-13_RFR-002")</f>
        <v>RUN-BEND_2021-12-13_RFR-002</v>
      </c>
      <c r="C11" s="7">
        <f>VLOOKUP(B11,'Run Reconcile'!A$2:B809,2,FALSE)</f>
        <v>44543</v>
      </c>
      <c r="D11" s="12">
        <f>IFERROR(__xludf.DUMMYFUNCTION("""COMPUTED_VALUE"""),44543.0)</f>
        <v>44543</v>
      </c>
      <c r="E11" s="13">
        <f>IFERROR(__xludf.DUMMYFUNCTION("""COMPUTED_VALUE"""),0.5967476851838001)</f>
        <v>0.5967476852</v>
      </c>
      <c r="F11" s="10" t="str">
        <f>IFERROR(__xludf.DUMMYFUNCTION("""COMPUTED_VALUE"""),"Negative")</f>
        <v>Negative</v>
      </c>
      <c r="G11" s="10">
        <f>IFERROR(__xludf.DUMMYFUNCTION("""COMPUTED_VALUE"""),1.0)</f>
        <v>1</v>
      </c>
    </row>
    <row r="12">
      <c r="A12" s="6" t="str">
        <f>IFERROR(__xludf.DUMMYFUNCTION("""COMPUTED_VALUE"""),"MAX28")</f>
        <v>MAX28</v>
      </c>
      <c r="B12" s="6" t="str">
        <f>IFERROR(__xludf.DUMMYFUNCTION("""COMPUTED_VALUE"""),"RUN-BEND_2021-12-13_RFR-002")</f>
        <v>RUN-BEND_2021-12-13_RFR-002</v>
      </c>
      <c r="C12" s="7">
        <f>VLOOKUP(B12,'Run Reconcile'!A$2:B809,2,FALSE)</f>
        <v>44543</v>
      </c>
      <c r="D12" s="12">
        <f>IFERROR(__xludf.DUMMYFUNCTION("""COMPUTED_VALUE"""),44543.0)</f>
        <v>44543</v>
      </c>
      <c r="E12" s="13">
        <f>IFERROR(__xludf.DUMMYFUNCTION("""COMPUTED_VALUE"""),0.5984027777776646)</f>
        <v>0.5984027778</v>
      </c>
      <c r="F12" s="10" t="str">
        <f>IFERROR(__xludf.DUMMYFUNCTION("""COMPUTED_VALUE"""),"Negative")</f>
        <v>Negative</v>
      </c>
      <c r="G12" s="10">
        <f>IFERROR(__xludf.DUMMYFUNCTION("""COMPUTED_VALUE"""),1.0)</f>
        <v>1</v>
      </c>
    </row>
    <row r="13">
      <c r="A13" s="6" t="str">
        <f>IFERROR(__xludf.DUMMYFUNCTION("""COMPUTED_VALUE"""),"MAX63")</f>
        <v>MAX63</v>
      </c>
      <c r="B13" s="6" t="str">
        <f>IFERROR(__xludf.DUMMYFUNCTION("""COMPUTED_VALUE"""),"RUN-BEND_2021-12-13_RFR-002")</f>
        <v>RUN-BEND_2021-12-13_RFR-002</v>
      </c>
      <c r="C13" s="7">
        <f>VLOOKUP(B13,'Run Reconcile'!A$2:B809,2,FALSE)</f>
        <v>44543</v>
      </c>
      <c r="D13" s="12">
        <f>IFERROR(__xludf.DUMMYFUNCTION("""COMPUTED_VALUE"""),44543.0)</f>
        <v>44543</v>
      </c>
      <c r="E13" s="13">
        <f>IFERROR(__xludf.DUMMYFUNCTION("""COMPUTED_VALUE"""),0.60407407407547)</f>
        <v>0.6040740741</v>
      </c>
      <c r="F13" s="10" t="str">
        <f>IFERROR(__xludf.DUMMYFUNCTION("""COMPUTED_VALUE"""),"Negative")</f>
        <v>Negative</v>
      </c>
      <c r="G13" s="10">
        <f>IFERROR(__xludf.DUMMYFUNCTION("""COMPUTED_VALUE"""),1.0)</f>
        <v>1</v>
      </c>
    </row>
    <row r="14">
      <c r="A14" s="6" t="str">
        <f>IFERROR(__xludf.DUMMYFUNCTION("""COMPUTED_VALUE"""),"MA1255")</f>
        <v>MA1255</v>
      </c>
      <c r="B14" s="6" t="str">
        <f>IFERROR(__xludf.DUMMYFUNCTION("""COMPUTED_VALUE"""),"RUN-BEND_2021-12-15_APS-002")</f>
        <v>RUN-BEND_2021-12-15_APS-002</v>
      </c>
      <c r="C14" s="7">
        <f>VLOOKUP(B14,'Run Reconcile'!A$2:B809,2,FALSE)</f>
        <v>44545</v>
      </c>
      <c r="D14" s="12">
        <f>IFERROR(__xludf.DUMMYFUNCTION("""COMPUTED_VALUE"""),44545.0)</f>
        <v>44545</v>
      </c>
      <c r="E14" s="13">
        <f>IFERROR(__xludf.DUMMYFUNCTION("""COMPUTED_VALUE"""),0.5749768518508063)</f>
        <v>0.5749768519</v>
      </c>
      <c r="F14" s="10" t="str">
        <f>IFERROR(__xludf.DUMMYFUNCTION("""COMPUTED_VALUE"""),"Negative")</f>
        <v>Negative</v>
      </c>
      <c r="G14" s="10">
        <f>IFERROR(__xludf.DUMMYFUNCTION("""COMPUTED_VALUE"""),1.0)</f>
        <v>1</v>
      </c>
    </row>
    <row r="15">
      <c r="A15" s="6" t="str">
        <f>IFERROR(__xludf.DUMMYFUNCTION("""COMPUTED_VALUE"""),"MA327")</f>
        <v>MA327</v>
      </c>
      <c r="B15" s="6" t="str">
        <f>IFERROR(__xludf.DUMMYFUNCTION("""COMPUTED_VALUE"""),"RUN-BEND_2021-12-15_APS-002")</f>
        <v>RUN-BEND_2021-12-15_APS-002</v>
      </c>
      <c r="C15" s="7">
        <f>VLOOKUP(B15,'Run Reconcile'!A$2:B809,2,FALSE)</f>
        <v>44545</v>
      </c>
      <c r="D15" s="12">
        <f>IFERROR(__xludf.DUMMYFUNCTION("""COMPUTED_VALUE"""),44545.0)</f>
        <v>44545</v>
      </c>
      <c r="E15" s="13">
        <f>IFERROR(__xludf.DUMMYFUNCTION("""COMPUTED_VALUE"""),0.586215277777228)</f>
        <v>0.5862152778</v>
      </c>
      <c r="F15" s="10" t="str">
        <f>IFERROR(__xludf.DUMMYFUNCTION("""COMPUTED_VALUE"""),"Negative")</f>
        <v>Negative</v>
      </c>
      <c r="G15" s="10">
        <f>IFERROR(__xludf.DUMMYFUNCTION("""COMPUTED_VALUE"""),1.0)</f>
        <v>1</v>
      </c>
    </row>
    <row r="16">
      <c r="A16" s="6" t="str">
        <f>IFERROR(__xludf.DUMMYFUNCTION("""COMPUTED_VALUE"""),"MA460")</f>
        <v>MA460</v>
      </c>
      <c r="B16" s="6" t="str">
        <f>IFERROR(__xludf.DUMMYFUNCTION("""COMPUTED_VALUE"""),"RUN-BEND_2021-12-15_APS-002")</f>
        <v>RUN-BEND_2021-12-15_APS-002</v>
      </c>
      <c r="C16" s="7">
        <f>VLOOKUP(B16,'Run Reconcile'!A$2:B809,2,FALSE)</f>
        <v>44545</v>
      </c>
      <c r="D16" s="12">
        <f>IFERROR(__xludf.DUMMYFUNCTION("""COMPUTED_VALUE"""),44545.0)</f>
        <v>44545</v>
      </c>
      <c r="E16" s="13">
        <f>IFERROR(__xludf.DUMMYFUNCTION("""COMPUTED_VALUE"""),0.6131944444459805)</f>
        <v>0.6131944444</v>
      </c>
      <c r="F16" s="10" t="str">
        <f>IFERROR(__xludf.DUMMYFUNCTION("""COMPUTED_VALUE"""),"Negative")</f>
        <v>Negative</v>
      </c>
      <c r="G16" s="10">
        <f>IFERROR(__xludf.DUMMYFUNCTION("""COMPUTED_VALUE"""),1.0)</f>
        <v>1</v>
      </c>
    </row>
    <row r="17">
      <c r="A17" s="6" t="str">
        <f>IFERROR(__xludf.DUMMYFUNCTION("""COMPUTED_VALUE"""),"MA1155")</f>
        <v>MA1155</v>
      </c>
      <c r="B17" s="6" t="str">
        <f>IFERROR(__xludf.DUMMYFUNCTION("""COMPUTED_VALUE"""),"RUN-BEND_2021-12-15_APS-002")</f>
        <v>RUN-BEND_2021-12-15_APS-002</v>
      </c>
      <c r="C17" s="7">
        <f>VLOOKUP(B17,'Run Reconcile'!A$2:B809,2,FALSE)</f>
        <v>44545</v>
      </c>
      <c r="D17" s="12">
        <f>IFERROR(__xludf.DUMMYFUNCTION("""COMPUTED_VALUE"""),44545.0)</f>
        <v>44545</v>
      </c>
      <c r="E17" s="13">
        <f>IFERROR(__xludf.DUMMYFUNCTION("""COMPUTED_VALUE"""),0.6686805555546016)</f>
        <v>0.6686805556</v>
      </c>
      <c r="F17" s="10" t="str">
        <f>IFERROR(__xludf.DUMMYFUNCTION("""COMPUTED_VALUE"""),"Negative")</f>
        <v>Negative</v>
      </c>
      <c r="G17" s="10">
        <f>IFERROR(__xludf.DUMMYFUNCTION("""COMPUTED_VALUE"""),1.0)</f>
        <v>1</v>
      </c>
    </row>
    <row r="18">
      <c r="A18" s="6" t="str">
        <f>IFERROR(__xludf.DUMMYFUNCTION("""COMPUTED_VALUE"""),"MA1043")</f>
        <v>MA1043</v>
      </c>
      <c r="B18" s="6" t="str">
        <f>IFERROR(__xludf.DUMMYFUNCTION("""COMPUTED_VALUE"""),"RUN-BEND_2021-12-17_APS-003")</f>
        <v>RUN-BEND_2021-12-17_APS-003</v>
      </c>
      <c r="C18" s="7">
        <f>VLOOKUP(B18,'Run Reconcile'!A$2:B809,2,FALSE)</f>
        <v>44547</v>
      </c>
      <c r="D18" s="12">
        <f>IFERROR(__xludf.DUMMYFUNCTION("""COMPUTED_VALUE"""),44547.0)</f>
        <v>44547</v>
      </c>
      <c r="E18" s="13">
        <f>IFERROR(__xludf.DUMMYFUNCTION("""COMPUTED_VALUE"""),0.3417824074058444)</f>
        <v>0.3417824074</v>
      </c>
      <c r="F18" s="10" t="str">
        <f>IFERROR(__xludf.DUMMYFUNCTION("""COMPUTED_VALUE"""),"Positive")</f>
        <v>Positive</v>
      </c>
      <c r="G18" s="10">
        <f>IFERROR(__xludf.DUMMYFUNCTION("""COMPUTED_VALUE"""),1.0)</f>
        <v>1</v>
      </c>
    </row>
    <row r="19">
      <c r="A19" s="6" t="str">
        <f>IFERROR(__xludf.DUMMYFUNCTION("""COMPUTED_VALUE"""),"MA1036")</f>
        <v>MA1036</v>
      </c>
      <c r="B19" s="6" t="str">
        <f>IFERROR(__xludf.DUMMYFUNCTION("""COMPUTED_VALUE"""),"RUN-BEND_2021-12-17_APS-003")</f>
        <v>RUN-BEND_2021-12-17_APS-003</v>
      </c>
      <c r="C19" s="7">
        <f>VLOOKUP(B19,'Run Reconcile'!A$2:B809,2,FALSE)</f>
        <v>44547</v>
      </c>
      <c r="D19" s="12">
        <f>IFERROR(__xludf.DUMMYFUNCTION("""COMPUTED_VALUE"""),44547.0)</f>
        <v>44547</v>
      </c>
      <c r="E19" s="13">
        <f>IFERROR(__xludf.DUMMYFUNCTION("""COMPUTED_VALUE"""),0.3711805555540195)</f>
        <v>0.3711805556</v>
      </c>
      <c r="F19" s="10" t="str">
        <f>IFERROR(__xludf.DUMMYFUNCTION("""COMPUTED_VALUE"""),"Negative")</f>
        <v>Negative</v>
      </c>
      <c r="G19" s="10">
        <f>IFERROR(__xludf.DUMMYFUNCTION("""COMPUTED_VALUE"""),1.0)</f>
        <v>1</v>
      </c>
    </row>
    <row r="20">
      <c r="A20" s="6" t="str">
        <f>IFERROR(__xludf.DUMMYFUNCTION("""COMPUTED_VALUE"""),"MA705")</f>
        <v>MA705</v>
      </c>
      <c r="B20" s="6" t="str">
        <f>IFERROR(__xludf.DUMMYFUNCTION("""COMPUTED_VALUE"""),"RUN-BEND_2021-12-20_RFR-003")</f>
        <v>RUN-BEND_2021-12-20_RFR-003</v>
      </c>
      <c r="C20" s="7">
        <f>VLOOKUP(B20,'Run Reconcile'!A$2:B809,2,FALSE)</f>
        <v>44550</v>
      </c>
      <c r="D20" s="12">
        <f>IFERROR(__xludf.DUMMYFUNCTION("""COMPUTED_VALUE"""),44549.0)</f>
        <v>44549</v>
      </c>
      <c r="E20" s="13">
        <f>IFERROR(__xludf.DUMMYFUNCTION("""COMPUTED_VALUE"""),0.8899537037032133)</f>
        <v>0.8899537037</v>
      </c>
      <c r="F20" s="10" t="str">
        <f>IFERROR(__xludf.DUMMYFUNCTION("""COMPUTED_VALUE"""),"Negative")</f>
        <v>Negative</v>
      </c>
      <c r="G20" s="10">
        <f>IFERROR(__xludf.DUMMYFUNCTION("""COMPUTED_VALUE"""),1.0)</f>
        <v>1</v>
      </c>
    </row>
    <row r="21">
      <c r="A21" s="6" t="str">
        <f>IFERROR(__xludf.DUMMYFUNCTION("""COMPUTED_VALUE"""),"MA1091")</f>
        <v>MA1091</v>
      </c>
      <c r="B21" s="6" t="str">
        <f>IFERROR(__xludf.DUMMYFUNCTION("""COMPUTED_VALUE"""),"RUN-BEND_2021-12-20_RFR-003")</f>
        <v>RUN-BEND_2021-12-20_RFR-003</v>
      </c>
      <c r="C21" s="7">
        <f>VLOOKUP(B21,'Run Reconcile'!A$2:B809,2,FALSE)</f>
        <v>44550</v>
      </c>
      <c r="D21" s="12">
        <f>IFERROR(__xludf.DUMMYFUNCTION("""COMPUTED_VALUE"""),44550.0)</f>
        <v>44550</v>
      </c>
      <c r="E21" s="13">
        <f>IFERROR(__xludf.DUMMYFUNCTION("""COMPUTED_VALUE"""),0.31734953703562496)</f>
        <v>0.317349537</v>
      </c>
      <c r="F21" s="10" t="str">
        <f>IFERROR(__xludf.DUMMYFUNCTION("""COMPUTED_VALUE"""),"Negative")</f>
        <v>Negative</v>
      </c>
      <c r="G21" s="10">
        <f>IFERROR(__xludf.DUMMYFUNCTION("""COMPUTED_VALUE"""),1.0)</f>
        <v>1</v>
      </c>
    </row>
    <row r="22">
      <c r="A22" s="6" t="str">
        <f>IFERROR(__xludf.DUMMYFUNCTION("""COMPUTED_VALUE"""),"MA1160")</f>
        <v>MA1160</v>
      </c>
      <c r="B22" s="6" t="str">
        <f>IFERROR(__xludf.DUMMYFUNCTION("""COMPUTED_VALUE"""),"RUN-BEND_2021-12-20_RFR-003")</f>
        <v>RUN-BEND_2021-12-20_RFR-003</v>
      </c>
      <c r="C22" s="7">
        <f>VLOOKUP(B22,'Run Reconcile'!A$2:B809,2,FALSE)</f>
        <v>44550</v>
      </c>
      <c r="D22" s="12">
        <f>IFERROR(__xludf.DUMMYFUNCTION("""COMPUTED_VALUE"""),44550.0)</f>
        <v>44550</v>
      </c>
      <c r="E22" s="13">
        <f>IFERROR(__xludf.DUMMYFUNCTION("""COMPUTED_VALUE"""),0.33541666666496894)</f>
        <v>0.3354166667</v>
      </c>
      <c r="F22" s="10" t="str">
        <f>IFERROR(__xludf.DUMMYFUNCTION("""COMPUTED_VALUE"""),"Negative")</f>
        <v>Negative</v>
      </c>
      <c r="G22" s="10">
        <f>IFERROR(__xludf.DUMMYFUNCTION("""COMPUTED_VALUE"""),1.0)</f>
        <v>1</v>
      </c>
    </row>
    <row r="23">
      <c r="A23" s="6" t="str">
        <f>IFERROR(__xludf.DUMMYFUNCTION("""COMPUTED_VALUE"""),"MA542")</f>
        <v>MA542</v>
      </c>
      <c r="B23" s="6" t="str">
        <f>IFERROR(__xludf.DUMMYFUNCTION("""COMPUTED_VALUE"""),"RUN-BEND_2021-12-20_RFR-003")</f>
        <v>RUN-BEND_2021-12-20_RFR-003</v>
      </c>
      <c r="C23" s="7">
        <f>VLOOKUP(B23,'Run Reconcile'!A$2:B809,2,FALSE)</f>
        <v>44550</v>
      </c>
      <c r="D23" s="12">
        <f>IFERROR(__xludf.DUMMYFUNCTION("""COMPUTED_VALUE"""),44550.0)</f>
        <v>44550</v>
      </c>
      <c r="E23" s="13">
        <f>IFERROR(__xludf.DUMMYFUNCTION("""COMPUTED_VALUE"""),0.34329861111109494)</f>
        <v>0.3432986111</v>
      </c>
      <c r="F23" s="10" t="str">
        <f>IFERROR(__xludf.DUMMYFUNCTION("""COMPUTED_VALUE"""),"Negative")</f>
        <v>Negative</v>
      </c>
      <c r="G23" s="10">
        <f>IFERROR(__xludf.DUMMYFUNCTION("""COMPUTED_VALUE"""),1.0)</f>
        <v>1</v>
      </c>
    </row>
    <row r="24">
      <c r="A24" s="6" t="str">
        <f>IFERROR(__xludf.DUMMYFUNCTION("""COMPUTED_VALUE"""),"MA197")</f>
        <v>MA197</v>
      </c>
      <c r="B24" s="6" t="str">
        <f>IFERROR(__xludf.DUMMYFUNCTION("""COMPUTED_VALUE"""),"RUN-BEND_2021-12-20_RFR-003")</f>
        <v>RUN-BEND_2021-12-20_RFR-003</v>
      </c>
      <c r="C24" s="7">
        <f>VLOOKUP(B24,'Run Reconcile'!A$2:B809,2,FALSE)</f>
        <v>44550</v>
      </c>
      <c r="D24" s="12">
        <f>IFERROR(__xludf.DUMMYFUNCTION("""COMPUTED_VALUE"""),44550.0)</f>
        <v>44550</v>
      </c>
      <c r="E24" s="13">
        <f>IFERROR(__xludf.DUMMYFUNCTION("""COMPUTED_VALUE"""),0.40135416666817036)</f>
        <v>0.4013541667</v>
      </c>
      <c r="F24" s="10" t="str">
        <f>IFERROR(__xludf.DUMMYFUNCTION("""COMPUTED_VALUE"""),"Negative")</f>
        <v>Negative</v>
      </c>
      <c r="G24" s="10">
        <f>IFERROR(__xludf.DUMMYFUNCTION("""COMPUTED_VALUE"""),1.0)</f>
        <v>1</v>
      </c>
    </row>
    <row r="25">
      <c r="A25" s="6" t="str">
        <f>IFERROR(__xludf.DUMMYFUNCTION("""COMPUTED_VALUE"""),"MA269")</f>
        <v>MA269</v>
      </c>
      <c r="B25" s="6" t="str">
        <f>IFERROR(__xludf.DUMMYFUNCTION("""COMPUTED_VALUE"""),"RUN-BEND_2021-12-20_RFR-003")</f>
        <v>RUN-BEND_2021-12-20_RFR-003</v>
      </c>
      <c r="C25" s="7">
        <f>VLOOKUP(B25,'Run Reconcile'!A$2:B809,2,FALSE)</f>
        <v>44550</v>
      </c>
      <c r="D25" s="12">
        <f>IFERROR(__xludf.DUMMYFUNCTION("""COMPUTED_VALUE"""),44550.0)</f>
        <v>44550</v>
      </c>
      <c r="E25" s="13">
        <f>IFERROR(__xludf.DUMMYFUNCTION("""COMPUTED_VALUE"""),0.40187499999956344)</f>
        <v>0.401875</v>
      </c>
      <c r="F25" s="10" t="str">
        <f>IFERROR(__xludf.DUMMYFUNCTION("""COMPUTED_VALUE"""),"Negative")</f>
        <v>Negative</v>
      </c>
      <c r="G25" s="10">
        <f>IFERROR(__xludf.DUMMYFUNCTION("""COMPUTED_VALUE"""),1.0)</f>
        <v>1</v>
      </c>
    </row>
    <row r="26">
      <c r="A26" s="6" t="str">
        <f>IFERROR(__xludf.DUMMYFUNCTION("""COMPUTED_VALUE"""),"MA1080")</f>
        <v>MA1080</v>
      </c>
      <c r="B26" s="6" t="str">
        <f>IFERROR(__xludf.DUMMYFUNCTION("""COMPUTED_VALUE"""),"RUN-BEND_2021-12-20_RFR-003")</f>
        <v>RUN-BEND_2021-12-20_RFR-003</v>
      </c>
      <c r="C26" s="7">
        <f>VLOOKUP(B26,'Run Reconcile'!A$2:B809,2,FALSE)</f>
        <v>44550</v>
      </c>
      <c r="D26" s="12">
        <f>IFERROR(__xludf.DUMMYFUNCTION("""COMPUTED_VALUE"""),44550.0)</f>
        <v>44550</v>
      </c>
      <c r="E26" s="13">
        <f>IFERROR(__xludf.DUMMYFUNCTION("""COMPUTED_VALUE"""),0.4363425925912452)</f>
        <v>0.4363425926</v>
      </c>
      <c r="F26" s="10" t="str">
        <f>IFERROR(__xludf.DUMMYFUNCTION("""COMPUTED_VALUE"""),"Negative")</f>
        <v>Negative</v>
      </c>
      <c r="G26" s="10">
        <f>IFERROR(__xludf.DUMMYFUNCTION("""COMPUTED_VALUE"""),1.0)</f>
        <v>1</v>
      </c>
    </row>
    <row r="27">
      <c r="A27" s="6" t="str">
        <f>IFERROR(__xludf.DUMMYFUNCTION("""COMPUTED_VALUE"""),"MA1030")</f>
        <v>MA1030</v>
      </c>
      <c r="B27" s="6" t="str">
        <f>IFERROR(__xludf.DUMMYFUNCTION("""COMPUTED_VALUE"""),"RUN-BEND_2021-12-22_RFR-004")</f>
        <v>RUN-BEND_2021-12-22_RFR-004</v>
      </c>
      <c r="C27" s="7">
        <f>VLOOKUP(B27,'Run Reconcile'!A$2:B809,2,FALSE)</f>
        <v>44552</v>
      </c>
      <c r="D27" s="12">
        <f>IFERROR(__xludf.DUMMYFUNCTION("""COMPUTED_VALUE"""),44551.0)</f>
        <v>44551</v>
      </c>
      <c r="E27" s="13">
        <f>IFERROR(__xludf.DUMMYFUNCTION("""COMPUTED_VALUE"""),0.18810185185066075)</f>
        <v>0.1881018519</v>
      </c>
      <c r="F27" s="10" t="str">
        <f>IFERROR(__xludf.DUMMYFUNCTION("""COMPUTED_VALUE"""),"Negative")</f>
        <v>Negative</v>
      </c>
      <c r="G27" s="10">
        <f>IFERROR(__xludf.DUMMYFUNCTION("""COMPUTED_VALUE"""),1.0)</f>
        <v>1</v>
      </c>
    </row>
    <row r="28">
      <c r="A28" s="6" t="str">
        <f>IFERROR(__xludf.DUMMYFUNCTION("""COMPUTED_VALUE"""),"MA1315")</f>
        <v>MA1315</v>
      </c>
      <c r="B28" s="6" t="str">
        <f>IFERROR(__xludf.DUMMYFUNCTION("""COMPUTED_VALUE"""),"RUN-BEND_2021-12-22_RFR-004")</f>
        <v>RUN-BEND_2021-12-22_RFR-004</v>
      </c>
      <c r="C28" s="7">
        <f>VLOOKUP(B28,'Run Reconcile'!A$2:B809,2,FALSE)</f>
        <v>44552</v>
      </c>
      <c r="D28" s="12">
        <f>IFERROR(__xludf.DUMMYFUNCTION("""COMPUTED_VALUE"""),44551.0)</f>
        <v>44551</v>
      </c>
      <c r="E28" s="13">
        <f>IFERROR(__xludf.DUMMYFUNCTION("""COMPUTED_VALUE"""),0.47054398148247856)</f>
        <v>0.4705439815</v>
      </c>
      <c r="F28" s="10" t="str">
        <f>IFERROR(__xludf.DUMMYFUNCTION("""COMPUTED_VALUE"""),"Negative")</f>
        <v>Negative</v>
      </c>
      <c r="G28" s="10">
        <f>IFERROR(__xludf.DUMMYFUNCTION("""COMPUTED_VALUE"""),1.0)</f>
        <v>1</v>
      </c>
    </row>
    <row r="29">
      <c r="A29" s="6" t="str">
        <f>IFERROR(__xludf.DUMMYFUNCTION("""COMPUTED_VALUE"""),"MA1203")</f>
        <v>MA1203</v>
      </c>
      <c r="B29" s="6" t="str">
        <f>IFERROR(__xludf.DUMMYFUNCTION("""COMPUTED_VALUE"""),"RUN-BEND_2021-12-22_RFR-004")</f>
        <v>RUN-BEND_2021-12-22_RFR-004</v>
      </c>
      <c r="C29" s="7">
        <f>VLOOKUP(B29,'Run Reconcile'!A$2:B809,2,FALSE)</f>
        <v>44552</v>
      </c>
      <c r="D29" s="12">
        <f>IFERROR(__xludf.DUMMYFUNCTION("""COMPUTED_VALUE"""),44552.0)</f>
        <v>44552</v>
      </c>
      <c r="E29" s="13">
        <f>IFERROR(__xludf.DUMMYFUNCTION("""COMPUTED_VALUE"""),0.3487962962972233)</f>
        <v>0.3487962963</v>
      </c>
      <c r="F29" s="10" t="str">
        <f>IFERROR(__xludf.DUMMYFUNCTION("""COMPUTED_VALUE"""),"Negative")</f>
        <v>Negative</v>
      </c>
      <c r="G29" s="10">
        <f>IFERROR(__xludf.DUMMYFUNCTION("""COMPUTED_VALUE"""),1.0)</f>
        <v>1</v>
      </c>
    </row>
    <row r="30">
      <c r="A30" s="6" t="str">
        <f>IFERROR(__xludf.DUMMYFUNCTION("""COMPUTED_VALUE"""),"MA1088")</f>
        <v>MA1088</v>
      </c>
      <c r="B30" s="6" t="str">
        <f>IFERROR(__xludf.DUMMYFUNCTION("""COMPUTED_VALUE"""),"RUN-BEND_2021-12-22_RFR-004")</f>
        <v>RUN-BEND_2021-12-22_RFR-004</v>
      </c>
      <c r="C30" s="7">
        <f>VLOOKUP(B30,'Run Reconcile'!A$2:B809,2,FALSE)</f>
        <v>44552</v>
      </c>
      <c r="D30" s="12">
        <f>IFERROR(__xludf.DUMMYFUNCTION("""COMPUTED_VALUE"""),44552.0)</f>
        <v>44552</v>
      </c>
      <c r="E30" s="13">
        <f>IFERROR(__xludf.DUMMYFUNCTION("""COMPUTED_VALUE"""),0.35877314814933925)</f>
        <v>0.3587731481</v>
      </c>
      <c r="F30" s="10" t="str">
        <f>IFERROR(__xludf.DUMMYFUNCTION("""COMPUTED_VALUE"""),"Negative")</f>
        <v>Negative</v>
      </c>
      <c r="G30" s="10">
        <f>IFERROR(__xludf.DUMMYFUNCTION("""COMPUTED_VALUE"""),1.0)</f>
        <v>1</v>
      </c>
    </row>
    <row r="31">
      <c r="A31" s="6" t="str">
        <f>IFERROR(__xludf.DUMMYFUNCTION("""COMPUTED_VALUE"""),"MA1057")</f>
        <v>MA1057</v>
      </c>
      <c r="B31" s="6" t="str">
        <f>IFERROR(__xludf.DUMMYFUNCTION("""COMPUTED_VALUE"""),"RUN-BEND_2021-12-22_RFR-004")</f>
        <v>RUN-BEND_2021-12-22_RFR-004</v>
      </c>
      <c r="C31" s="7">
        <f>VLOOKUP(B31,'Run Reconcile'!A$2:B809,2,FALSE)</f>
        <v>44552</v>
      </c>
      <c r="D31" s="12">
        <f>IFERROR(__xludf.DUMMYFUNCTION("""COMPUTED_VALUE"""),44552.0)</f>
        <v>44552</v>
      </c>
      <c r="E31" s="13">
        <f>IFERROR(__xludf.DUMMYFUNCTION("""COMPUTED_VALUE"""),0.3660185185181035)</f>
        <v>0.3660185185</v>
      </c>
      <c r="F31" s="10" t="str">
        <f>IFERROR(__xludf.DUMMYFUNCTION("""COMPUTED_VALUE"""),"Negative")</f>
        <v>Negative</v>
      </c>
      <c r="G31" s="10">
        <f>IFERROR(__xludf.DUMMYFUNCTION("""COMPUTED_VALUE"""),1.0)</f>
        <v>1</v>
      </c>
    </row>
    <row r="32">
      <c r="A32" s="6" t="str">
        <f>IFERROR(__xludf.DUMMYFUNCTION("""COMPUTED_VALUE"""),"MA447")</f>
        <v>MA447</v>
      </c>
      <c r="B32" s="6" t="str">
        <f>IFERROR(__xludf.DUMMYFUNCTION("""COMPUTED_VALUE"""),"RUN-BEND_2021-12-27_RFR-005")</f>
        <v>RUN-BEND_2021-12-27_RFR-005</v>
      </c>
      <c r="C32" s="7">
        <f>VLOOKUP(B32,'Run Reconcile'!A$2:B809,2,FALSE)</f>
        <v>44557</v>
      </c>
      <c r="D32" s="12">
        <f>IFERROR(__xludf.DUMMYFUNCTION("""COMPUTED_VALUE"""),44556.0)</f>
        <v>44556</v>
      </c>
      <c r="E32" s="13">
        <f>IFERROR(__xludf.DUMMYFUNCTION("""COMPUTED_VALUE"""),0.6234837962947495)</f>
        <v>0.6234837963</v>
      </c>
      <c r="F32" s="10" t="str">
        <f>IFERROR(__xludf.DUMMYFUNCTION("""COMPUTED_VALUE"""),"Negative")</f>
        <v>Negative</v>
      </c>
      <c r="G32" s="10">
        <f>IFERROR(__xludf.DUMMYFUNCTION("""COMPUTED_VALUE"""),1.0)</f>
        <v>1</v>
      </c>
    </row>
    <row r="33">
      <c r="A33" s="6" t="str">
        <f>IFERROR(__xludf.DUMMYFUNCTION("""COMPUTED_VALUE"""),"MA1179")</f>
        <v>MA1179</v>
      </c>
      <c r="B33" s="6" t="str">
        <f>IFERROR(__xludf.DUMMYFUNCTION("""COMPUTED_VALUE"""),"RUN-BEND_2021-12-27_RFR-005")</f>
        <v>RUN-BEND_2021-12-27_RFR-005</v>
      </c>
      <c r="C33" s="7">
        <f>VLOOKUP(B33,'Run Reconcile'!A$2:B809,2,FALSE)</f>
        <v>44557</v>
      </c>
      <c r="D33" s="12">
        <f>IFERROR(__xludf.DUMMYFUNCTION("""COMPUTED_VALUE"""),44557.0)</f>
        <v>44557</v>
      </c>
      <c r="E33" s="13">
        <f>IFERROR(__xludf.DUMMYFUNCTION("""COMPUTED_VALUE"""),0.3123148148151813)</f>
        <v>0.3123148148</v>
      </c>
      <c r="F33" s="10" t="str">
        <f>IFERROR(__xludf.DUMMYFUNCTION("""COMPUTED_VALUE"""),"Negative")</f>
        <v>Negative</v>
      </c>
      <c r="G33" s="10">
        <f>IFERROR(__xludf.DUMMYFUNCTION("""COMPUTED_VALUE"""),1.0)</f>
        <v>1</v>
      </c>
    </row>
    <row r="34">
      <c r="A34" s="6" t="str">
        <f>IFERROR(__xludf.DUMMYFUNCTION("""COMPUTED_VALUE"""),"MA690")</f>
        <v>MA690</v>
      </c>
      <c r="B34" s="6" t="str">
        <f>IFERROR(__xludf.DUMMYFUNCTION("""COMPUTED_VALUE"""),"RUN-BEND_2021-12-27_RFR-005")</f>
        <v>RUN-BEND_2021-12-27_RFR-005</v>
      </c>
      <c r="C34" s="7">
        <f>VLOOKUP(B34,'Run Reconcile'!A$2:B809,2,FALSE)</f>
        <v>44557</v>
      </c>
      <c r="D34" s="12">
        <f>IFERROR(__xludf.DUMMYFUNCTION("""COMPUTED_VALUE"""),44557.0)</f>
        <v>44557</v>
      </c>
      <c r="E34" s="13">
        <f>IFERROR(__xludf.DUMMYFUNCTION("""COMPUTED_VALUE"""),0.31266203703853535)</f>
        <v>0.312662037</v>
      </c>
      <c r="F34" s="10" t="str">
        <f>IFERROR(__xludf.DUMMYFUNCTION("""COMPUTED_VALUE"""),"Negative")</f>
        <v>Negative</v>
      </c>
      <c r="G34" s="10">
        <f>IFERROR(__xludf.DUMMYFUNCTION("""COMPUTED_VALUE"""),1.0)</f>
        <v>1</v>
      </c>
    </row>
    <row r="35">
      <c r="A35" s="6" t="str">
        <f>IFERROR(__xludf.DUMMYFUNCTION("""COMPUTED_VALUE"""),"MA707")</f>
        <v>MA707</v>
      </c>
      <c r="B35" s="6" t="str">
        <f>IFERROR(__xludf.DUMMYFUNCTION("""COMPUTED_VALUE"""),"RUN-BEND_2021-12-27_RFR-005")</f>
        <v>RUN-BEND_2021-12-27_RFR-005</v>
      </c>
      <c r="C35" s="7">
        <f>VLOOKUP(B35,'Run Reconcile'!A$2:B809,2,FALSE)</f>
        <v>44557</v>
      </c>
      <c r="D35" s="12">
        <f>IFERROR(__xludf.DUMMYFUNCTION("""COMPUTED_VALUE"""),44557.0)</f>
        <v>44557</v>
      </c>
      <c r="E35" s="13">
        <f>IFERROR(__xludf.DUMMYFUNCTION("""COMPUTED_VALUE"""),0.3275462962956226)</f>
        <v>0.3275462963</v>
      </c>
      <c r="F35" s="10" t="str">
        <f>IFERROR(__xludf.DUMMYFUNCTION("""COMPUTED_VALUE"""),"Negative")</f>
        <v>Negative</v>
      </c>
      <c r="G35" s="10">
        <f>IFERROR(__xludf.DUMMYFUNCTION("""COMPUTED_VALUE"""),1.0)</f>
        <v>1</v>
      </c>
    </row>
    <row r="36">
      <c r="A36" s="6" t="str">
        <f>IFERROR(__xludf.DUMMYFUNCTION("""COMPUTED_VALUE"""),"MA307")</f>
        <v>MA307</v>
      </c>
      <c r="B36" s="6" t="str">
        <f>IFERROR(__xludf.DUMMYFUNCTION("""COMPUTED_VALUE"""),"RUN-BEND_2021-12-27_RFR-005")</f>
        <v>RUN-BEND_2021-12-27_RFR-005</v>
      </c>
      <c r="C36" s="7">
        <f>VLOOKUP(B36,'Run Reconcile'!A$2:B809,2,FALSE)</f>
        <v>44557</v>
      </c>
      <c r="D36" s="12">
        <f>IFERROR(__xludf.DUMMYFUNCTION("""COMPUTED_VALUE"""),44557.0)</f>
        <v>44557</v>
      </c>
      <c r="E36" s="13">
        <f>IFERROR(__xludf.DUMMYFUNCTION("""COMPUTED_VALUE"""),0.32893518518540077)</f>
        <v>0.3289351852</v>
      </c>
      <c r="F36" s="10" t="str">
        <f>IFERROR(__xludf.DUMMYFUNCTION("""COMPUTED_VALUE"""),"Negative")</f>
        <v>Negative</v>
      </c>
      <c r="G36" s="10">
        <f>IFERROR(__xludf.DUMMYFUNCTION("""COMPUTED_VALUE"""),1.0)</f>
        <v>1</v>
      </c>
    </row>
    <row r="37">
      <c r="A37" s="6" t="str">
        <f>IFERROR(__xludf.DUMMYFUNCTION("""COMPUTED_VALUE"""),"MA609")</f>
        <v>MA609</v>
      </c>
      <c r="B37" s="6" t="str">
        <f>IFERROR(__xludf.DUMMYFUNCTION("""COMPUTED_VALUE"""),"RUN-BEND_2021-12-27_RFR-005")</f>
        <v>RUN-BEND_2021-12-27_RFR-005</v>
      </c>
      <c r="C37" s="7">
        <f>VLOOKUP(B37,'Run Reconcile'!A$2:B809,2,FALSE)</f>
        <v>44557</v>
      </c>
      <c r="D37" s="12">
        <f>IFERROR(__xludf.DUMMYFUNCTION("""COMPUTED_VALUE"""),44557.0)</f>
        <v>44557</v>
      </c>
      <c r="E37" s="13">
        <f>IFERROR(__xludf.DUMMYFUNCTION("""COMPUTED_VALUE"""),0.33370370370539604)</f>
        <v>0.3337037037</v>
      </c>
      <c r="F37" s="10" t="str">
        <f>IFERROR(__xludf.DUMMYFUNCTION("""COMPUTED_VALUE"""),"Negative")</f>
        <v>Negative</v>
      </c>
      <c r="G37" s="10">
        <f>IFERROR(__xludf.DUMMYFUNCTION("""COMPUTED_VALUE"""),1.0)</f>
        <v>1</v>
      </c>
    </row>
    <row r="38">
      <c r="A38" s="6" t="str">
        <f>IFERROR(__xludf.DUMMYFUNCTION("""COMPUTED_VALUE"""),"MA603")</f>
        <v>MA603</v>
      </c>
      <c r="B38" s="6" t="str">
        <f>IFERROR(__xludf.DUMMYFUNCTION("""COMPUTED_VALUE"""),"RUN-BEND_2021-12-27_RFR-005")</f>
        <v>RUN-BEND_2021-12-27_RFR-005</v>
      </c>
      <c r="C38" s="7">
        <f>VLOOKUP(B38,'Run Reconcile'!A$2:B809,2,FALSE)</f>
        <v>44557</v>
      </c>
      <c r="D38" s="12">
        <f>IFERROR(__xludf.DUMMYFUNCTION("""COMPUTED_VALUE"""),44557.0)</f>
        <v>44557</v>
      </c>
      <c r="E38" s="13">
        <f>IFERROR(__xludf.DUMMYFUNCTION("""COMPUTED_VALUE"""),0.3368865740740148)</f>
        <v>0.3368865741</v>
      </c>
      <c r="F38" s="10" t="str">
        <f>IFERROR(__xludf.DUMMYFUNCTION("""COMPUTED_VALUE"""),"Negative")</f>
        <v>Negative</v>
      </c>
      <c r="G38" s="10">
        <f>IFERROR(__xludf.DUMMYFUNCTION("""COMPUTED_VALUE"""),1.0)</f>
        <v>1</v>
      </c>
    </row>
    <row r="39">
      <c r="A39" s="6" t="str">
        <f>IFERROR(__xludf.DUMMYFUNCTION("""COMPUTED_VALUE"""),"MAX55")</f>
        <v>MAX55</v>
      </c>
      <c r="B39" s="6" t="str">
        <f>IFERROR(__xludf.DUMMYFUNCTION("""COMPUTED_VALUE"""),"RUN-BEND_2021-12-27_RFR-005")</f>
        <v>RUN-BEND_2021-12-27_RFR-005</v>
      </c>
      <c r="C39" s="7">
        <f>VLOOKUP(B39,'Run Reconcile'!A$2:B809,2,FALSE)</f>
        <v>44557</v>
      </c>
      <c r="D39" s="12">
        <f>IFERROR(__xludf.DUMMYFUNCTION("""COMPUTED_VALUE"""),44557.0)</f>
        <v>44557</v>
      </c>
      <c r="E39" s="13">
        <f>IFERROR(__xludf.DUMMYFUNCTION("""COMPUTED_VALUE"""),0.34068287037007394)</f>
        <v>0.3406828704</v>
      </c>
      <c r="F39" s="10" t="str">
        <f>IFERROR(__xludf.DUMMYFUNCTION("""COMPUTED_VALUE"""),"Negative")</f>
        <v>Negative</v>
      </c>
      <c r="G39" s="10">
        <f>IFERROR(__xludf.DUMMYFUNCTION("""COMPUTED_VALUE"""),1.0)</f>
        <v>1</v>
      </c>
    </row>
    <row r="40">
      <c r="A40" s="6" t="str">
        <f>IFERROR(__xludf.DUMMYFUNCTION("""COMPUTED_VALUE"""),"MA343")</f>
        <v>MA343</v>
      </c>
      <c r="B40" s="6" t="str">
        <f>IFERROR(__xludf.DUMMYFUNCTION("""COMPUTED_VALUE"""),"RUN-BEND_2021-12-27_RFR-005")</f>
        <v>RUN-BEND_2021-12-27_RFR-005</v>
      </c>
      <c r="C40" s="7">
        <f>VLOOKUP(B40,'Run Reconcile'!A$2:B809,2,FALSE)</f>
        <v>44557</v>
      </c>
      <c r="D40" s="12">
        <f>IFERROR(__xludf.DUMMYFUNCTION("""COMPUTED_VALUE"""),44557.0)</f>
        <v>44557</v>
      </c>
      <c r="E40" s="13">
        <f>IFERROR(__xludf.DUMMYFUNCTION("""COMPUTED_VALUE"""),0.3411805555551837)</f>
        <v>0.3411805556</v>
      </c>
      <c r="F40" s="10" t="str">
        <f>IFERROR(__xludf.DUMMYFUNCTION("""COMPUTED_VALUE"""),"Negative")</f>
        <v>Negative</v>
      </c>
      <c r="G40" s="10">
        <f>IFERROR(__xludf.DUMMYFUNCTION("""COMPUTED_VALUE"""),1.0)</f>
        <v>1</v>
      </c>
    </row>
    <row r="41">
      <c r="A41" s="6" t="str">
        <f>IFERROR(__xludf.DUMMYFUNCTION("""COMPUTED_VALUE"""),"MA371")</f>
        <v>MA371</v>
      </c>
      <c r="B41" s="6" t="str">
        <f>IFERROR(__xludf.DUMMYFUNCTION("""COMPUTED_VALUE"""),"RUN-BEND_2021-12-27_RFR-005")</f>
        <v>RUN-BEND_2021-12-27_RFR-005</v>
      </c>
      <c r="C41" s="7">
        <f>VLOOKUP(B41,'Run Reconcile'!A$2:B809,2,FALSE)</f>
        <v>44557</v>
      </c>
      <c r="D41" s="12">
        <f>IFERROR(__xludf.DUMMYFUNCTION("""COMPUTED_VALUE"""),44557.0)</f>
        <v>44557</v>
      </c>
      <c r="E41" s="13">
        <f>IFERROR(__xludf.DUMMYFUNCTION("""COMPUTED_VALUE"""),0.35445601851824904)</f>
        <v>0.3544560185</v>
      </c>
      <c r="F41" s="10" t="str">
        <f>IFERROR(__xludf.DUMMYFUNCTION("""COMPUTED_VALUE"""),"Negative")</f>
        <v>Negative</v>
      </c>
      <c r="G41" s="10">
        <f>IFERROR(__xludf.DUMMYFUNCTION("""COMPUTED_VALUE"""),1.0)</f>
        <v>1</v>
      </c>
    </row>
    <row r="42">
      <c r="A42" s="6" t="str">
        <f>IFERROR(__xludf.DUMMYFUNCTION("""COMPUTED_VALUE"""),"MA1099")</f>
        <v>MA1099</v>
      </c>
      <c r="B42" s="6" t="str">
        <f>IFERROR(__xludf.DUMMYFUNCTION("""COMPUTED_VALUE"""),"RUN-BEND_2021-12-27_RFR-005")</f>
        <v>RUN-BEND_2021-12-27_RFR-005</v>
      </c>
      <c r="C42" s="7">
        <f>VLOOKUP(B42,'Run Reconcile'!A$2:B809,2,FALSE)</f>
        <v>44557</v>
      </c>
      <c r="D42" s="12">
        <f>IFERROR(__xludf.DUMMYFUNCTION("""COMPUTED_VALUE"""),44557.0)</f>
        <v>44557</v>
      </c>
      <c r="E42" s="13">
        <f>IFERROR(__xludf.DUMMYFUNCTION("""COMPUTED_VALUE"""),0.3607291666667152)</f>
        <v>0.3607291667</v>
      </c>
      <c r="F42" s="10" t="str">
        <f>IFERROR(__xludf.DUMMYFUNCTION("""COMPUTED_VALUE"""),"Negative")</f>
        <v>Negative</v>
      </c>
      <c r="G42" s="10">
        <f>IFERROR(__xludf.DUMMYFUNCTION("""COMPUTED_VALUE"""),1.0)</f>
        <v>1</v>
      </c>
    </row>
    <row r="43">
      <c r="A43" s="6" t="str">
        <f>IFERROR(__xludf.DUMMYFUNCTION("""COMPUTED_VALUE"""),"MA257")</f>
        <v>MA257</v>
      </c>
      <c r="B43" s="6" t="str">
        <f>IFERROR(__xludf.DUMMYFUNCTION("""COMPUTED_VALUE"""),"RUN-BEND_2021-12-27_RFR-005")</f>
        <v>RUN-BEND_2021-12-27_RFR-005</v>
      </c>
      <c r="C43" s="7">
        <f>VLOOKUP(B43,'Run Reconcile'!A$2:B809,2,FALSE)</f>
        <v>44557</v>
      </c>
      <c r="D43" s="12">
        <f>IFERROR(__xludf.DUMMYFUNCTION("""COMPUTED_VALUE"""),44557.0)</f>
        <v>44557</v>
      </c>
      <c r="E43" s="13">
        <f>IFERROR(__xludf.DUMMYFUNCTION("""COMPUTED_VALUE"""),0.377754629629635)</f>
        <v>0.3777546296</v>
      </c>
      <c r="F43" s="10" t="str">
        <f>IFERROR(__xludf.DUMMYFUNCTION("""COMPUTED_VALUE"""),"Negative")</f>
        <v>Negative</v>
      </c>
      <c r="G43" s="10">
        <f>IFERROR(__xludf.DUMMYFUNCTION("""COMPUTED_VALUE"""),1.0)</f>
        <v>1</v>
      </c>
    </row>
    <row r="44">
      <c r="A44" s="6" t="str">
        <f>IFERROR(__xludf.DUMMYFUNCTION("""COMPUTED_VALUE"""),"MA624")</f>
        <v>MA624</v>
      </c>
      <c r="B44" s="6" t="str">
        <f>IFERROR(__xludf.DUMMYFUNCTION("""COMPUTED_VALUE"""),"RUN-BEND_2021-12-27_RFR-005")</f>
        <v>RUN-BEND_2021-12-27_RFR-005</v>
      </c>
      <c r="C44" s="7">
        <f>VLOOKUP(B44,'Run Reconcile'!A$2:B809,2,FALSE)</f>
        <v>44557</v>
      </c>
      <c r="D44" s="12">
        <f>IFERROR(__xludf.DUMMYFUNCTION("""COMPUTED_VALUE"""),44557.0)</f>
        <v>44557</v>
      </c>
      <c r="E44" s="13">
        <f>IFERROR(__xludf.DUMMYFUNCTION("""COMPUTED_VALUE"""),0.3893287037026312)</f>
        <v>0.3893287037</v>
      </c>
      <c r="F44" s="10" t="str">
        <f>IFERROR(__xludf.DUMMYFUNCTION("""COMPUTED_VALUE"""),"Negative")</f>
        <v>Negative</v>
      </c>
      <c r="G44" s="10">
        <f>IFERROR(__xludf.DUMMYFUNCTION("""COMPUTED_VALUE"""),1.0)</f>
        <v>1</v>
      </c>
    </row>
    <row r="45">
      <c r="A45" s="6" t="str">
        <f>IFERROR(__xludf.DUMMYFUNCTION("""COMPUTED_VALUE"""),"MAX139")</f>
        <v>MAX139</v>
      </c>
      <c r="B45" s="6" t="str">
        <f>IFERROR(__xludf.DUMMYFUNCTION("""COMPUTED_VALUE"""),"RUN-BEND_2021-12-27_RFR-005")</f>
        <v>RUN-BEND_2021-12-27_RFR-005</v>
      </c>
      <c r="C45" s="7">
        <f>VLOOKUP(B45,'Run Reconcile'!A$2:B809,2,FALSE)</f>
        <v>44557</v>
      </c>
      <c r="D45" s="12">
        <f>IFERROR(__xludf.DUMMYFUNCTION("""COMPUTED_VALUE"""),44557.0)</f>
        <v>44557</v>
      </c>
      <c r="E45" s="13">
        <f>IFERROR(__xludf.DUMMYFUNCTION("""COMPUTED_VALUE"""),0.4255902777767915)</f>
        <v>0.4255902778</v>
      </c>
      <c r="F45" s="10" t="str">
        <f>IFERROR(__xludf.DUMMYFUNCTION("""COMPUTED_VALUE"""),"Negative")</f>
        <v>Negative</v>
      </c>
      <c r="G45" s="10">
        <f>IFERROR(__xludf.DUMMYFUNCTION("""COMPUTED_VALUE"""),1.0)</f>
        <v>1</v>
      </c>
    </row>
    <row r="46">
      <c r="A46" s="6" t="str">
        <f>IFERROR(__xludf.DUMMYFUNCTION("""COMPUTED_VALUE"""),"MA1183")</f>
        <v>MA1183</v>
      </c>
      <c r="B46" s="6" t="str">
        <f>IFERROR(__xludf.DUMMYFUNCTION("""COMPUTED_VALUE"""),"RUN-BEND_2021-12-27_RFR-005")</f>
        <v>RUN-BEND_2021-12-27_RFR-005</v>
      </c>
      <c r="C46" s="7">
        <f>VLOOKUP(B46,'Run Reconcile'!A$2:B809,2,FALSE)</f>
        <v>44557</v>
      </c>
      <c r="D46" s="12">
        <f>IFERROR(__xludf.DUMMYFUNCTION("""COMPUTED_VALUE"""),44557.0)</f>
        <v>44557</v>
      </c>
      <c r="E46" s="13">
        <f>IFERROR(__xludf.DUMMYFUNCTION("""COMPUTED_VALUE"""),0.4258796296307992)</f>
        <v>0.4258796296</v>
      </c>
      <c r="F46" s="10" t="str">
        <f>IFERROR(__xludf.DUMMYFUNCTION("""COMPUTED_VALUE"""),"Negative")</f>
        <v>Negative</v>
      </c>
      <c r="G46" s="10">
        <f>IFERROR(__xludf.DUMMYFUNCTION("""COMPUTED_VALUE"""),1.0)</f>
        <v>1</v>
      </c>
    </row>
    <row r="47">
      <c r="A47" s="6" t="str">
        <f>IFERROR(__xludf.DUMMYFUNCTION("""COMPUTED_VALUE"""),"MA479")</f>
        <v>MA479</v>
      </c>
      <c r="B47" s="6" t="str">
        <f>IFERROR(__xludf.DUMMYFUNCTION("""COMPUTED_VALUE"""),"RUN-BEND_2021-12-29_RFR-006")</f>
        <v>RUN-BEND_2021-12-29_RFR-006</v>
      </c>
      <c r="C47" s="7">
        <f>VLOOKUP(B47,'Run Reconcile'!A$2:B809,2,FALSE)</f>
        <v>44559</v>
      </c>
      <c r="D47" s="12">
        <f>IFERROR(__xludf.DUMMYFUNCTION("""COMPUTED_VALUE"""),44559.0)</f>
        <v>44559</v>
      </c>
      <c r="E47" s="13">
        <f>IFERROR(__xludf.DUMMYFUNCTION("""COMPUTED_VALUE"""),0.29644675926101627)</f>
        <v>0.2964467593</v>
      </c>
      <c r="F47" s="10" t="str">
        <f>IFERROR(__xludf.DUMMYFUNCTION("""COMPUTED_VALUE"""),"Negative")</f>
        <v>Negative</v>
      </c>
      <c r="G47" s="10">
        <f>IFERROR(__xludf.DUMMYFUNCTION("""COMPUTED_VALUE"""),1.0)</f>
        <v>1</v>
      </c>
    </row>
    <row r="48">
      <c r="A48" s="6" t="str">
        <f>IFERROR(__xludf.DUMMYFUNCTION("""COMPUTED_VALUE"""),"MA1299")</f>
        <v>MA1299</v>
      </c>
      <c r="B48" s="6" t="str">
        <f>IFERROR(__xludf.DUMMYFUNCTION("""COMPUTED_VALUE"""),"RUN-BEND_2021-12-29_RFR-006")</f>
        <v>RUN-BEND_2021-12-29_RFR-006</v>
      </c>
      <c r="C48" s="7">
        <f>VLOOKUP(B48,'Run Reconcile'!A$2:B809,2,FALSE)</f>
        <v>44559</v>
      </c>
      <c r="D48" s="12">
        <f>IFERROR(__xludf.DUMMYFUNCTION("""COMPUTED_VALUE"""),44559.0)</f>
        <v>44559</v>
      </c>
      <c r="E48" s="13">
        <f>IFERROR(__xludf.DUMMYFUNCTION("""COMPUTED_VALUE"""),0.356585648147302)</f>
        <v>0.3565856481</v>
      </c>
      <c r="F48" s="10" t="str">
        <f>IFERROR(__xludf.DUMMYFUNCTION("""COMPUTED_VALUE"""),"Negative")</f>
        <v>Negative</v>
      </c>
      <c r="G48" s="10">
        <f>IFERROR(__xludf.DUMMYFUNCTION("""COMPUTED_VALUE"""),1.0)</f>
        <v>1</v>
      </c>
    </row>
    <row r="49">
      <c r="A49" s="6" t="str">
        <f>IFERROR(__xludf.DUMMYFUNCTION("""COMPUTED_VALUE"""),"MA404")</f>
        <v>MA404</v>
      </c>
      <c r="B49" s="6" t="str">
        <f>IFERROR(__xludf.DUMMYFUNCTION("""COMPUTED_VALUE"""),"RUN-BEND_2021-12-29_RFR-006")</f>
        <v>RUN-BEND_2021-12-29_RFR-006</v>
      </c>
      <c r="C49" s="7">
        <f>VLOOKUP(B49,'Run Reconcile'!A$2:B809,2,FALSE)</f>
        <v>44559</v>
      </c>
      <c r="D49" s="12">
        <f>IFERROR(__xludf.DUMMYFUNCTION("""COMPUTED_VALUE"""),44559.0)</f>
        <v>44559</v>
      </c>
      <c r="E49" s="13">
        <f>IFERROR(__xludf.DUMMYFUNCTION("""COMPUTED_VALUE"""),0.39732638888744987)</f>
        <v>0.3973263889</v>
      </c>
      <c r="F49" s="10" t="str">
        <f>IFERROR(__xludf.DUMMYFUNCTION("""COMPUTED_VALUE"""),"Negative")</f>
        <v>Negative</v>
      </c>
      <c r="G49" s="10">
        <f>IFERROR(__xludf.DUMMYFUNCTION("""COMPUTED_VALUE"""),1.0)</f>
        <v>1</v>
      </c>
    </row>
    <row r="50">
      <c r="A50" s="6" t="str">
        <f>IFERROR(__xludf.DUMMYFUNCTION("""COMPUTED_VALUE"""),"MA1073")</f>
        <v>MA1073</v>
      </c>
      <c r="B50" s="6" t="str">
        <f>IFERROR(__xludf.DUMMYFUNCTION("""COMPUTED_VALUE"""),"RUN-BEND_2021-12-29_RFR-006")</f>
        <v>RUN-BEND_2021-12-29_RFR-006</v>
      </c>
      <c r="C50" s="7">
        <f>VLOOKUP(B50,'Run Reconcile'!A$2:B809,2,FALSE)</f>
        <v>44559</v>
      </c>
      <c r="D50" s="12">
        <f>IFERROR(__xludf.DUMMYFUNCTION("""COMPUTED_VALUE"""),44559.0)</f>
        <v>44559</v>
      </c>
      <c r="E50" s="13">
        <f>IFERROR(__xludf.DUMMYFUNCTION("""COMPUTED_VALUE"""),0.39744212962978054)</f>
        <v>0.3974421296</v>
      </c>
      <c r="F50" s="10" t="str">
        <f>IFERROR(__xludf.DUMMYFUNCTION("""COMPUTED_VALUE"""),"Negative")</f>
        <v>Negative</v>
      </c>
      <c r="G50" s="10">
        <f>IFERROR(__xludf.DUMMYFUNCTION("""COMPUTED_VALUE"""),1.0)</f>
        <v>1</v>
      </c>
    </row>
    <row r="51">
      <c r="A51" s="6" t="str">
        <f>IFERROR(__xludf.DUMMYFUNCTION("""COMPUTED_VALUE"""),"MA1081")</f>
        <v>MA1081</v>
      </c>
      <c r="B51" s="6" t="str">
        <f>IFERROR(__xludf.DUMMYFUNCTION("""COMPUTED_VALUE"""),"RUN-BEND_2021-12-31_RFR-007")</f>
        <v>RUN-BEND_2021-12-31_RFR-007</v>
      </c>
      <c r="C51" s="7">
        <f>VLOOKUP(B51,'Run Reconcile'!A$2:B809,2,FALSE)</f>
        <v>44561</v>
      </c>
      <c r="D51" s="12">
        <f>IFERROR(__xludf.DUMMYFUNCTION("""COMPUTED_VALUE"""),44561.0)</f>
        <v>44561</v>
      </c>
      <c r="E51" s="13">
        <f>IFERROR(__xludf.DUMMYFUNCTION("""COMPUTED_VALUE"""),0.30532407407372375)</f>
        <v>0.3053240741</v>
      </c>
      <c r="F51" s="10" t="str">
        <f>IFERROR(__xludf.DUMMYFUNCTION("""COMPUTED_VALUE"""),"Positive")</f>
        <v>Positive</v>
      </c>
      <c r="G51" s="10">
        <f>IFERROR(__xludf.DUMMYFUNCTION("""COMPUTED_VALUE"""),1.0)</f>
        <v>1</v>
      </c>
    </row>
    <row r="52">
      <c r="A52" s="6" t="str">
        <f>IFERROR(__xludf.DUMMYFUNCTION("""COMPUTED_VALUE"""),"MA606")</f>
        <v>MA606</v>
      </c>
      <c r="B52" s="6" t="str">
        <f>IFERROR(__xludf.DUMMYFUNCTION("""COMPUTED_VALUE"""),"RUN-BEND_2021-12-31_RFR-007")</f>
        <v>RUN-BEND_2021-12-31_RFR-007</v>
      </c>
      <c r="C52" s="7">
        <f>VLOOKUP(B52,'Run Reconcile'!A$2:B809,2,FALSE)</f>
        <v>44561</v>
      </c>
      <c r="D52" s="12">
        <f>IFERROR(__xludf.DUMMYFUNCTION("""COMPUTED_VALUE"""),44561.0)</f>
        <v>44561</v>
      </c>
      <c r="E52" s="13">
        <f>IFERROR(__xludf.DUMMYFUNCTION("""COMPUTED_VALUE"""),0.31673611111182254)</f>
        <v>0.3167361111</v>
      </c>
      <c r="F52" s="10" t="str">
        <f>IFERROR(__xludf.DUMMYFUNCTION("""COMPUTED_VALUE"""),"Negative")</f>
        <v>Negative</v>
      </c>
      <c r="G52" s="10">
        <f>IFERROR(__xludf.DUMMYFUNCTION("""COMPUTED_VALUE"""),1.0)</f>
        <v>1</v>
      </c>
    </row>
    <row r="53">
      <c r="A53" s="6" t="str">
        <f>IFERROR(__xludf.DUMMYFUNCTION("""COMPUTED_VALUE"""),"MA1236")</f>
        <v>MA1236</v>
      </c>
      <c r="B53" s="6" t="str">
        <f>IFERROR(__xludf.DUMMYFUNCTION("""COMPUTED_VALUE"""),"RUN-BEND_2021-12-31_RFR-007")</f>
        <v>RUN-BEND_2021-12-31_RFR-007</v>
      </c>
      <c r="C53" s="7">
        <f>VLOOKUP(B53,'Run Reconcile'!A$2:B809,2,FALSE)</f>
        <v>44561</v>
      </c>
      <c r="D53" s="12">
        <f>IFERROR(__xludf.DUMMYFUNCTION("""COMPUTED_VALUE"""),44561.0)</f>
        <v>44561</v>
      </c>
      <c r="E53" s="13">
        <f>IFERROR(__xludf.DUMMYFUNCTION("""COMPUTED_VALUE"""),0.3212500000008731)</f>
        <v>0.32125</v>
      </c>
      <c r="F53" s="10" t="str">
        <f>IFERROR(__xludf.DUMMYFUNCTION("""COMPUTED_VALUE"""),"Negative")</f>
        <v>Negative</v>
      </c>
      <c r="G53" s="10">
        <f>IFERROR(__xludf.DUMMYFUNCTION("""COMPUTED_VALUE"""),1.0)</f>
        <v>1</v>
      </c>
    </row>
    <row r="54">
      <c r="A54" s="6" t="str">
        <f>IFERROR(__xludf.DUMMYFUNCTION("""COMPUTED_VALUE"""),"MA1153")</f>
        <v>MA1153</v>
      </c>
      <c r="B54" s="6" t="str">
        <f>IFERROR(__xludf.DUMMYFUNCTION("""COMPUTED_VALUE"""),"RUN-BEND_2021-12-31_RFR-007")</f>
        <v>RUN-BEND_2021-12-31_RFR-007</v>
      </c>
      <c r="C54" s="7">
        <f>VLOOKUP(B54,'Run Reconcile'!A$2:B809,2,FALSE)</f>
        <v>44561</v>
      </c>
      <c r="D54" s="12">
        <f>IFERROR(__xludf.DUMMYFUNCTION("""COMPUTED_VALUE"""),44561.0)</f>
        <v>44561</v>
      </c>
      <c r="E54" s="13">
        <f>IFERROR(__xludf.DUMMYFUNCTION("""COMPUTED_VALUE"""),0.32719907407226856)</f>
        <v>0.3271990741</v>
      </c>
      <c r="F54" s="10" t="str">
        <f>IFERROR(__xludf.DUMMYFUNCTION("""COMPUTED_VALUE"""),"Negative")</f>
        <v>Negative</v>
      </c>
      <c r="G54" s="10">
        <f>IFERROR(__xludf.DUMMYFUNCTION("""COMPUTED_VALUE"""),1.0)</f>
        <v>1</v>
      </c>
    </row>
    <row r="55">
      <c r="A55" s="6" t="str">
        <f>IFERROR(__xludf.DUMMYFUNCTION("""COMPUTED_VALUE"""),"MA1131")</f>
        <v>MA1131</v>
      </c>
      <c r="B55" s="6" t="str">
        <f>IFERROR(__xludf.DUMMYFUNCTION("""COMPUTED_VALUE"""),"RUN-BEND_2021-12-31_RFR-007")</f>
        <v>RUN-BEND_2021-12-31_RFR-007</v>
      </c>
      <c r="C55" s="7">
        <f>VLOOKUP(B55,'Run Reconcile'!A$2:B809,2,FALSE)</f>
        <v>44561</v>
      </c>
      <c r="D55" s="12">
        <f>IFERROR(__xludf.DUMMYFUNCTION("""COMPUTED_VALUE"""),44561.0)</f>
        <v>44561</v>
      </c>
      <c r="E55" s="13">
        <f>IFERROR(__xludf.DUMMYFUNCTION("""COMPUTED_VALUE"""),0.3364467592582514)</f>
        <v>0.3364467593</v>
      </c>
      <c r="F55" s="10" t="str">
        <f>IFERROR(__xludf.DUMMYFUNCTION("""COMPUTED_VALUE"""),"Negative")</f>
        <v>Negative</v>
      </c>
      <c r="G55" s="10">
        <f>IFERROR(__xludf.DUMMYFUNCTION("""COMPUTED_VALUE"""),1.0)</f>
        <v>1</v>
      </c>
    </row>
    <row r="56">
      <c r="A56" s="6" t="str">
        <f>IFERROR(__xludf.DUMMYFUNCTION("""COMPUTED_VALUE"""),"MA1084")</f>
        <v>MA1084</v>
      </c>
      <c r="B56" s="6" t="str">
        <f>IFERROR(__xludf.DUMMYFUNCTION("""COMPUTED_VALUE"""),"RUN-BEND_2021-12-31_RFR-007")</f>
        <v>RUN-BEND_2021-12-31_RFR-007</v>
      </c>
      <c r="C56" s="7">
        <f>VLOOKUP(B56,'Run Reconcile'!A$2:B809,2,FALSE)</f>
        <v>44561</v>
      </c>
      <c r="D56" s="12">
        <f>IFERROR(__xludf.DUMMYFUNCTION("""COMPUTED_VALUE"""),44561.0)</f>
        <v>44561</v>
      </c>
      <c r="E56" s="13">
        <f>IFERROR(__xludf.DUMMYFUNCTION("""COMPUTED_VALUE"""),0.3366898148160544)</f>
        <v>0.3366898148</v>
      </c>
      <c r="F56" s="10" t="str">
        <f>IFERROR(__xludf.DUMMYFUNCTION("""COMPUTED_VALUE"""),"Negative")</f>
        <v>Negative</v>
      </c>
      <c r="G56" s="10">
        <f>IFERROR(__xludf.DUMMYFUNCTION("""COMPUTED_VALUE"""),1.0)</f>
        <v>1</v>
      </c>
    </row>
    <row r="57">
      <c r="A57" s="6" t="str">
        <f>IFERROR(__xludf.DUMMYFUNCTION("""COMPUTED_VALUE"""),"MA1280")</f>
        <v>MA1280</v>
      </c>
      <c r="B57" s="6" t="str">
        <f>IFERROR(__xludf.DUMMYFUNCTION("""COMPUTED_VALUE"""),"RUN-BEND_2021-12-31_RFR-007")</f>
        <v>RUN-BEND_2021-12-31_RFR-007</v>
      </c>
      <c r="C57" s="7">
        <f>VLOOKUP(B57,'Run Reconcile'!A$2:B809,2,FALSE)</f>
        <v>44561</v>
      </c>
      <c r="D57" s="12">
        <f>IFERROR(__xludf.DUMMYFUNCTION("""COMPUTED_VALUE"""),44561.0)</f>
        <v>44561</v>
      </c>
      <c r="E57" s="13">
        <f>IFERROR(__xludf.DUMMYFUNCTION("""COMPUTED_VALUE"""),0.35277777777810115)</f>
        <v>0.3527777778</v>
      </c>
      <c r="F57" s="10" t="str">
        <f>IFERROR(__xludf.DUMMYFUNCTION("""COMPUTED_VALUE"""),"Negative")</f>
        <v>Negative</v>
      </c>
      <c r="G57" s="10">
        <f>IFERROR(__xludf.DUMMYFUNCTION("""COMPUTED_VALUE"""),1.0)</f>
        <v>1</v>
      </c>
    </row>
    <row r="58">
      <c r="A58" s="6" t="str">
        <f>IFERROR(__xludf.DUMMYFUNCTION("""COMPUTED_VALUE"""),"MA316")</f>
        <v>MA316</v>
      </c>
      <c r="B58" s="6" t="str">
        <f>IFERROR(__xludf.DUMMYFUNCTION("""COMPUTED_VALUE"""),"RUN-BEND_2021-12-31_RFR-007")</f>
        <v>RUN-BEND_2021-12-31_RFR-007</v>
      </c>
      <c r="C58" s="7">
        <f>VLOOKUP(B58,'Run Reconcile'!A$2:B809,2,FALSE)</f>
        <v>44561</v>
      </c>
      <c r="D58" s="12">
        <f>IFERROR(__xludf.DUMMYFUNCTION("""COMPUTED_VALUE"""),44561.0)</f>
        <v>44561</v>
      </c>
      <c r="E58" s="13">
        <f>IFERROR(__xludf.DUMMYFUNCTION("""COMPUTED_VALUE"""),0.4004282407404389)</f>
        <v>0.4004282407</v>
      </c>
      <c r="F58" s="10" t="str">
        <f>IFERROR(__xludf.DUMMYFUNCTION("""COMPUTED_VALUE"""),"Positive")</f>
        <v>Positive</v>
      </c>
      <c r="G58" s="10">
        <f>IFERROR(__xludf.DUMMYFUNCTION("""COMPUTED_VALUE"""),1.0)</f>
        <v>1</v>
      </c>
    </row>
    <row r="59">
      <c r="A59" s="6" t="str">
        <f>IFERROR(__xludf.DUMMYFUNCTION("""COMPUTED_VALUE"""),"MA207")</f>
        <v>MA207</v>
      </c>
      <c r="B59" s="6" t="str">
        <f>IFERROR(__xludf.DUMMYFUNCTION("""COMPUTED_VALUE"""),"RUN-BEND_2022-01-03_RFR-009")</f>
        <v>RUN-BEND_2022-01-03_RFR-009</v>
      </c>
      <c r="C59" s="7">
        <f>VLOOKUP(B59,'Run Reconcile'!A$2:B809,2,FALSE)</f>
        <v>44564</v>
      </c>
      <c r="D59" s="12">
        <f>IFERROR(__xludf.DUMMYFUNCTION("""COMPUTED_VALUE"""),44564.0)</f>
        <v>44564</v>
      </c>
      <c r="E59" s="13">
        <f>IFERROR(__xludf.DUMMYFUNCTION("""COMPUTED_VALUE"""),0.2034837962964957)</f>
        <v>0.2034837963</v>
      </c>
      <c r="F59" s="10" t="str">
        <f>IFERROR(__xludf.DUMMYFUNCTION("""COMPUTED_VALUE"""),"Negative")</f>
        <v>Negative</v>
      </c>
      <c r="G59" s="10">
        <f>IFERROR(__xludf.DUMMYFUNCTION("""COMPUTED_VALUE"""),1.0)</f>
        <v>1</v>
      </c>
    </row>
    <row r="60">
      <c r="A60" s="6" t="str">
        <f>IFERROR(__xludf.DUMMYFUNCTION("""COMPUTED_VALUE"""),"MA639")</f>
        <v>MA639</v>
      </c>
      <c r="B60" s="6" t="str">
        <f>IFERROR(__xludf.DUMMYFUNCTION("""COMPUTED_VALUE"""),"RUN-BEND_2022-01-03_RFR-009")</f>
        <v>RUN-BEND_2022-01-03_RFR-009</v>
      </c>
      <c r="C60" s="7">
        <f>VLOOKUP(B60,'Run Reconcile'!A$2:B809,2,FALSE)</f>
        <v>44564</v>
      </c>
      <c r="D60" s="12">
        <f>IFERROR(__xludf.DUMMYFUNCTION("""COMPUTED_VALUE"""),44564.0)</f>
        <v>44564</v>
      </c>
      <c r="E60" s="13">
        <f>IFERROR(__xludf.DUMMYFUNCTION("""COMPUTED_VALUE"""),0.30480324074233067)</f>
        <v>0.3048032407</v>
      </c>
      <c r="F60" s="10" t="str">
        <f>IFERROR(__xludf.DUMMYFUNCTION("""COMPUTED_VALUE"""),"Positive")</f>
        <v>Positive</v>
      </c>
      <c r="G60" s="10">
        <f>IFERROR(__xludf.DUMMYFUNCTION("""COMPUTED_VALUE"""),1.0)</f>
        <v>1</v>
      </c>
    </row>
    <row r="61">
      <c r="A61" s="6" t="str">
        <f>IFERROR(__xludf.DUMMYFUNCTION("""COMPUTED_VALUE"""),"MA1052")</f>
        <v>MA1052</v>
      </c>
      <c r="B61" s="6" t="str">
        <f>IFERROR(__xludf.DUMMYFUNCTION("""COMPUTED_VALUE"""),"RUN-BEND_2022-01-03_RFR-009")</f>
        <v>RUN-BEND_2022-01-03_RFR-009</v>
      </c>
      <c r="C61" s="7">
        <f>VLOOKUP(B61,'Run Reconcile'!A$2:B809,2,FALSE)</f>
        <v>44564</v>
      </c>
      <c r="D61" s="12">
        <f>IFERROR(__xludf.DUMMYFUNCTION("""COMPUTED_VALUE"""),44564.0)</f>
        <v>44564</v>
      </c>
      <c r="E61" s="13">
        <f>IFERROR(__xludf.DUMMYFUNCTION("""COMPUTED_VALUE"""),0.3175462962972233)</f>
        <v>0.3175462963</v>
      </c>
      <c r="F61" s="10" t="str">
        <f>IFERROR(__xludf.DUMMYFUNCTION("""COMPUTED_VALUE"""),"Negative")</f>
        <v>Negative</v>
      </c>
      <c r="G61" s="10">
        <f>IFERROR(__xludf.DUMMYFUNCTION("""COMPUTED_VALUE"""),1.0)</f>
        <v>1</v>
      </c>
    </row>
    <row r="62">
      <c r="A62" s="6" t="str">
        <f>IFERROR(__xludf.DUMMYFUNCTION("""COMPUTED_VALUE"""),"MA326")</f>
        <v>MA326</v>
      </c>
      <c r="B62" s="6" t="str">
        <f>IFERROR(__xludf.DUMMYFUNCTION("""COMPUTED_VALUE"""),"RUN-BEND_2022-01-03_RFR-009")</f>
        <v>RUN-BEND_2022-01-03_RFR-009</v>
      </c>
      <c r="C62" s="7">
        <f>VLOOKUP(B62,'Run Reconcile'!A$2:B809,2,FALSE)</f>
        <v>44564</v>
      </c>
      <c r="D62" s="12">
        <f>IFERROR(__xludf.DUMMYFUNCTION("""COMPUTED_VALUE"""),44564.0)</f>
        <v>44564</v>
      </c>
      <c r="E62" s="13">
        <f>IFERROR(__xludf.DUMMYFUNCTION("""COMPUTED_VALUE"""),0.32538194444350665)</f>
        <v>0.3253819444</v>
      </c>
      <c r="F62" s="10" t="str">
        <f>IFERROR(__xludf.DUMMYFUNCTION("""COMPUTED_VALUE"""),"Negative")</f>
        <v>Negative</v>
      </c>
      <c r="G62" s="10">
        <f>IFERROR(__xludf.DUMMYFUNCTION("""COMPUTED_VALUE"""),1.0)</f>
        <v>1</v>
      </c>
    </row>
    <row r="63">
      <c r="A63" s="6" t="str">
        <f>IFERROR(__xludf.DUMMYFUNCTION("""COMPUTED_VALUE"""),"MA323")</f>
        <v>MA323</v>
      </c>
      <c r="B63" s="6" t="str">
        <f>IFERROR(__xludf.DUMMYFUNCTION("""COMPUTED_VALUE"""),"RUN-BEND_2022-01-03_RFR-009")</f>
        <v>RUN-BEND_2022-01-03_RFR-009</v>
      </c>
      <c r="C63" s="7">
        <f>VLOOKUP(B63,'Run Reconcile'!A$2:B809,2,FALSE)</f>
        <v>44564</v>
      </c>
      <c r="D63" s="12">
        <f>IFERROR(__xludf.DUMMYFUNCTION("""COMPUTED_VALUE"""),44564.0)</f>
        <v>44564</v>
      </c>
      <c r="E63" s="13">
        <f>IFERROR(__xludf.DUMMYFUNCTION("""COMPUTED_VALUE"""),0.3261574074058444)</f>
        <v>0.3261574074</v>
      </c>
      <c r="F63" s="10" t="str">
        <f>IFERROR(__xludf.DUMMYFUNCTION("""COMPUTED_VALUE"""),"Negative")</f>
        <v>Negative</v>
      </c>
      <c r="G63" s="10">
        <f>IFERROR(__xludf.DUMMYFUNCTION("""COMPUTED_VALUE"""),1.0)</f>
        <v>1</v>
      </c>
    </row>
    <row r="64">
      <c r="A64" s="6" t="str">
        <f>IFERROR(__xludf.DUMMYFUNCTION("""COMPUTED_VALUE"""),"MA448")</f>
        <v>MA448</v>
      </c>
      <c r="B64" s="6" t="str">
        <f>IFERROR(__xludf.DUMMYFUNCTION("""COMPUTED_VALUE"""),"RUN-BEND_2022-01-03_RFR-009")</f>
        <v>RUN-BEND_2022-01-03_RFR-009</v>
      </c>
      <c r="C64" s="7">
        <f>VLOOKUP(B64,'Run Reconcile'!A$2:B809,2,FALSE)</f>
        <v>44564</v>
      </c>
      <c r="D64" s="12">
        <f>IFERROR(__xludf.DUMMYFUNCTION("""COMPUTED_VALUE"""),44564.0)</f>
        <v>44564</v>
      </c>
      <c r="E64" s="13">
        <f>IFERROR(__xludf.DUMMYFUNCTION("""COMPUTED_VALUE"""),0.3377546296287619)</f>
        <v>0.3377546296</v>
      </c>
      <c r="F64" s="10" t="str">
        <f>IFERROR(__xludf.DUMMYFUNCTION("""COMPUTED_VALUE"""),"Positive")</f>
        <v>Positive</v>
      </c>
      <c r="G64" s="10">
        <f>IFERROR(__xludf.DUMMYFUNCTION("""COMPUTED_VALUE"""),1.0)</f>
        <v>1</v>
      </c>
    </row>
    <row r="65">
      <c r="A65" s="6" t="str">
        <f>IFERROR(__xludf.DUMMYFUNCTION("""COMPUTED_VALUE"""),"MA1049")</f>
        <v>MA1049</v>
      </c>
      <c r="B65" s="6" t="str">
        <f>IFERROR(__xludf.DUMMYFUNCTION("""COMPUTED_VALUE"""),"RUN-BEND_2022-01-03_RFR-009")</f>
        <v>RUN-BEND_2022-01-03_RFR-009</v>
      </c>
      <c r="C65" s="7">
        <f>VLOOKUP(B65,'Run Reconcile'!A$2:B809,2,FALSE)</f>
        <v>44564</v>
      </c>
      <c r="D65" s="12">
        <f>IFERROR(__xludf.DUMMYFUNCTION("""COMPUTED_VALUE"""),44564.0)</f>
        <v>44564</v>
      </c>
      <c r="E65" s="13">
        <f>IFERROR(__xludf.DUMMYFUNCTION("""COMPUTED_VALUE"""),0.3424074074064265)</f>
        <v>0.3424074074</v>
      </c>
      <c r="F65" s="10" t="str">
        <f>IFERROR(__xludf.DUMMYFUNCTION("""COMPUTED_VALUE"""),"Negative")</f>
        <v>Negative</v>
      </c>
      <c r="G65" s="10">
        <f>IFERROR(__xludf.DUMMYFUNCTION("""COMPUTED_VALUE"""),1.0)</f>
        <v>1</v>
      </c>
    </row>
    <row r="66">
      <c r="A66" s="6" t="str">
        <f>IFERROR(__xludf.DUMMYFUNCTION("""COMPUTED_VALUE"""),"MA1082")</f>
        <v>MA1082</v>
      </c>
      <c r="B66" s="6" t="str">
        <f>IFERROR(__xludf.DUMMYFUNCTION("""COMPUTED_VALUE"""),"RUN-BEND_2022-01-03_RFR-009")</f>
        <v>RUN-BEND_2022-01-03_RFR-009</v>
      </c>
      <c r="C66" s="7">
        <f>VLOOKUP(B66,'Run Reconcile'!A$2:B809,2,FALSE)</f>
        <v>44564</v>
      </c>
      <c r="D66" s="12">
        <f>IFERROR(__xludf.DUMMYFUNCTION("""COMPUTED_VALUE"""),44564.0)</f>
        <v>44564</v>
      </c>
      <c r="E66" s="13">
        <f>IFERROR(__xludf.DUMMYFUNCTION("""COMPUTED_VALUE"""),0.3515509259268583)</f>
        <v>0.3515509259</v>
      </c>
      <c r="F66" s="10" t="str">
        <f>IFERROR(__xludf.DUMMYFUNCTION("""COMPUTED_VALUE"""),"Negative")</f>
        <v>Negative</v>
      </c>
      <c r="G66" s="10">
        <f>IFERROR(__xludf.DUMMYFUNCTION("""COMPUTED_VALUE"""),1.0)</f>
        <v>1</v>
      </c>
    </row>
    <row r="67">
      <c r="A67" s="6" t="str">
        <f>IFERROR(__xludf.DUMMYFUNCTION("""COMPUTED_VALUE"""),"MA287")</f>
        <v>MA287</v>
      </c>
      <c r="B67" s="6" t="str">
        <f>IFERROR(__xludf.DUMMYFUNCTION("""COMPUTED_VALUE"""),"RUN-BEND_2022-01-03_RFR-009")</f>
        <v>RUN-BEND_2022-01-03_RFR-009</v>
      </c>
      <c r="C67" s="7">
        <f>VLOOKUP(B67,'Run Reconcile'!A$2:B809,2,FALSE)</f>
        <v>44564</v>
      </c>
      <c r="D67" s="12">
        <f>IFERROR(__xludf.DUMMYFUNCTION("""COMPUTED_VALUE"""),44564.0)</f>
        <v>44564</v>
      </c>
      <c r="E67" s="13">
        <f>IFERROR(__xludf.DUMMYFUNCTION("""COMPUTED_VALUE"""),0.35965277777722804)</f>
        <v>0.3596527778</v>
      </c>
      <c r="F67" s="10" t="str">
        <f>IFERROR(__xludf.DUMMYFUNCTION("""COMPUTED_VALUE"""),"Positive")</f>
        <v>Positive</v>
      </c>
      <c r="G67" s="10">
        <f>IFERROR(__xludf.DUMMYFUNCTION("""COMPUTED_VALUE"""),1.0)</f>
        <v>1</v>
      </c>
    </row>
    <row r="68">
      <c r="A68" s="6" t="str">
        <f>IFERROR(__xludf.DUMMYFUNCTION("""COMPUTED_VALUE"""),"MA473")</f>
        <v>MA473</v>
      </c>
      <c r="B68" s="6" t="str">
        <f>IFERROR(__xludf.DUMMYFUNCTION("""COMPUTED_VALUE"""),"RUN-BEND_2022-01-03_RFR-009")</f>
        <v>RUN-BEND_2022-01-03_RFR-009</v>
      </c>
      <c r="C68" s="7">
        <f>VLOOKUP(B68,'Run Reconcile'!A$2:B809,2,FALSE)</f>
        <v>44564</v>
      </c>
      <c r="D68" s="12">
        <f>IFERROR(__xludf.DUMMYFUNCTION("""COMPUTED_VALUE"""),44564.0)</f>
        <v>44564</v>
      </c>
      <c r="E68" s="13">
        <f>IFERROR(__xludf.DUMMYFUNCTION("""COMPUTED_VALUE"""),0.36545138889050577)</f>
        <v>0.3654513889</v>
      </c>
      <c r="F68" s="10" t="str">
        <f>IFERROR(__xludf.DUMMYFUNCTION("""COMPUTED_VALUE"""),"Positive")</f>
        <v>Positive</v>
      </c>
      <c r="G68" s="10">
        <f>IFERROR(__xludf.DUMMYFUNCTION("""COMPUTED_VALUE"""),1.0)</f>
        <v>1</v>
      </c>
    </row>
    <row r="69">
      <c r="A69" s="6" t="str">
        <f>IFERROR(__xludf.DUMMYFUNCTION("""COMPUTED_VALUE"""),"MA1022")</f>
        <v>MA1022</v>
      </c>
      <c r="B69" s="6" t="str">
        <f>IFERROR(__xludf.DUMMYFUNCTION("""COMPUTED_VALUE"""),"RUN-BEND_2022-01-03_RFR-009")</f>
        <v>RUN-BEND_2022-01-03_RFR-009</v>
      </c>
      <c r="C69" s="7">
        <f>VLOOKUP(B69,'Run Reconcile'!A$2:B809,2,FALSE)</f>
        <v>44564</v>
      </c>
      <c r="D69" s="12">
        <f>IFERROR(__xludf.DUMMYFUNCTION("""COMPUTED_VALUE"""),44564.0)</f>
        <v>44564</v>
      </c>
      <c r="E69" s="13">
        <f>IFERROR(__xludf.DUMMYFUNCTION("""COMPUTED_VALUE"""),0.369629629629344)</f>
        <v>0.3696296296</v>
      </c>
      <c r="F69" s="10" t="str">
        <f>IFERROR(__xludf.DUMMYFUNCTION("""COMPUTED_VALUE"""),"Negative")</f>
        <v>Negative</v>
      </c>
      <c r="G69" s="10">
        <f>IFERROR(__xludf.DUMMYFUNCTION("""COMPUTED_VALUE"""),1.0)</f>
        <v>1</v>
      </c>
    </row>
    <row r="70">
      <c r="A70" s="6" t="str">
        <f>IFERROR(__xludf.DUMMYFUNCTION("""COMPUTED_VALUE"""),"MA644")</f>
        <v>MA644</v>
      </c>
      <c r="B70" s="6" t="str">
        <f>IFERROR(__xludf.DUMMYFUNCTION("""COMPUTED_VALUE"""),"RUN-BEND_2022-01-03_RFR-009")</f>
        <v>RUN-BEND_2022-01-03_RFR-009</v>
      </c>
      <c r="C70" s="7">
        <f>VLOOKUP(B70,'Run Reconcile'!A$2:B809,2,FALSE)</f>
        <v>44564</v>
      </c>
      <c r="D70" s="12">
        <f>IFERROR(__xludf.DUMMYFUNCTION("""COMPUTED_VALUE"""),44564.0)</f>
        <v>44564</v>
      </c>
      <c r="E70" s="13">
        <f>IFERROR(__xludf.DUMMYFUNCTION("""COMPUTED_VALUE"""),0.3841319444436522)</f>
        <v>0.3841319444</v>
      </c>
      <c r="F70" s="10" t="str">
        <f>IFERROR(__xludf.DUMMYFUNCTION("""COMPUTED_VALUE"""),"Negative")</f>
        <v>Negative</v>
      </c>
      <c r="G70" s="10">
        <f>IFERROR(__xludf.DUMMYFUNCTION("""COMPUTED_VALUE"""),1.0)</f>
        <v>1</v>
      </c>
    </row>
    <row r="71">
      <c r="A71" s="6" t="str">
        <f>IFERROR(__xludf.DUMMYFUNCTION("""COMPUTED_VALUE"""),"MA248")</f>
        <v>MA248</v>
      </c>
      <c r="B71" s="6" t="str">
        <f>IFERROR(__xludf.DUMMYFUNCTION("""COMPUTED_VALUE"""),"RUN-BEND_2022-01-03_RFR-009")</f>
        <v>RUN-BEND_2022-01-03_RFR-009</v>
      </c>
      <c r="C71" s="7">
        <f>VLOOKUP(B71,'Run Reconcile'!A$2:B809,2,FALSE)</f>
        <v>44564</v>
      </c>
      <c r="D71" s="12">
        <f>IFERROR(__xludf.DUMMYFUNCTION("""COMPUTED_VALUE"""),44564.0)</f>
        <v>44564</v>
      </c>
      <c r="E71" s="13">
        <f>IFERROR(__xludf.DUMMYFUNCTION("""COMPUTED_VALUE"""),0.39762731481459923)</f>
        <v>0.3976273148</v>
      </c>
      <c r="F71" s="10" t="str">
        <f>IFERROR(__xludf.DUMMYFUNCTION("""COMPUTED_VALUE"""),"Negative")</f>
        <v>Negative</v>
      </c>
      <c r="G71" s="10">
        <f>IFERROR(__xludf.DUMMYFUNCTION("""COMPUTED_VALUE"""),1.0)</f>
        <v>1</v>
      </c>
    </row>
    <row r="72">
      <c r="A72" s="6" t="str">
        <f>IFERROR(__xludf.DUMMYFUNCTION("""COMPUTED_VALUE"""),"MA282")</f>
        <v>MA282</v>
      </c>
      <c r="B72" s="6" t="str">
        <f>IFERROR(__xludf.DUMMYFUNCTION("""COMPUTED_VALUE"""),"RUN-BEND_2022-01-03_RFR-009")</f>
        <v>RUN-BEND_2022-01-03_RFR-009</v>
      </c>
      <c r="C72" s="7">
        <f>VLOOKUP(B72,'Run Reconcile'!A$2:B809,2,FALSE)</f>
        <v>44564</v>
      </c>
      <c r="D72" s="12">
        <f>IFERROR(__xludf.DUMMYFUNCTION("""COMPUTED_VALUE"""),44564.0)</f>
        <v>44564</v>
      </c>
      <c r="E72" s="13">
        <f>IFERROR(__xludf.DUMMYFUNCTION("""COMPUTED_VALUE"""),0.4022916666654055)</f>
        <v>0.4022916667</v>
      </c>
      <c r="F72" s="10" t="str">
        <f>IFERROR(__xludf.DUMMYFUNCTION("""COMPUTED_VALUE"""),"Negative")</f>
        <v>Negative</v>
      </c>
      <c r="G72" s="10">
        <f>IFERROR(__xludf.DUMMYFUNCTION("""COMPUTED_VALUE"""),1.0)</f>
        <v>1</v>
      </c>
    </row>
    <row r="73">
      <c r="A73" s="6" t="str">
        <f>IFERROR(__xludf.DUMMYFUNCTION("""COMPUTED_VALUE"""),"MA660")</f>
        <v>MA660</v>
      </c>
      <c r="B73" s="6" t="str">
        <f>IFERROR(__xludf.DUMMYFUNCTION("""COMPUTED_VALUE"""),"RUN-BEND_2022-01-05_RFR-010")</f>
        <v>RUN-BEND_2022-01-05_RFR-010</v>
      </c>
      <c r="C73" s="7">
        <f>VLOOKUP(B73,'Run Reconcile'!A$2:B809,2,FALSE)</f>
        <v>44566</v>
      </c>
      <c r="D73" s="12">
        <f>IFERROR(__xludf.DUMMYFUNCTION("""COMPUTED_VALUE"""),44565.0)</f>
        <v>44565</v>
      </c>
      <c r="E73" s="13">
        <f>IFERROR(__xludf.DUMMYFUNCTION("""COMPUTED_VALUE"""),0.6911574074074451)</f>
        <v>0.6911574074</v>
      </c>
      <c r="F73" s="10" t="str">
        <f>IFERROR(__xludf.DUMMYFUNCTION("""COMPUTED_VALUE"""),"Negative")</f>
        <v>Negative</v>
      </c>
      <c r="G73" s="10">
        <f>IFERROR(__xludf.DUMMYFUNCTION("""COMPUTED_VALUE"""),1.0)</f>
        <v>1</v>
      </c>
    </row>
    <row r="74">
      <c r="A74" s="6" t="str">
        <f>IFERROR(__xludf.DUMMYFUNCTION("""COMPUTED_VALUE"""),"MA651")</f>
        <v>MA651</v>
      </c>
      <c r="B74" s="6" t="str">
        <f>IFERROR(__xludf.DUMMYFUNCTION("""COMPUTED_VALUE"""),"RUN-BEND_2022-01-05_RFR-010")</f>
        <v>RUN-BEND_2022-01-05_RFR-010</v>
      </c>
      <c r="C74" s="7">
        <f>VLOOKUP(B74,'Run Reconcile'!A$2:B809,2,FALSE)</f>
        <v>44566</v>
      </c>
      <c r="D74" s="12">
        <f>IFERROR(__xludf.DUMMYFUNCTION("""COMPUTED_VALUE"""),44565.0)</f>
        <v>44565</v>
      </c>
      <c r="E74" s="13">
        <f>IFERROR(__xludf.DUMMYFUNCTION("""COMPUTED_VALUE"""),0.716099537035916)</f>
        <v>0.716099537</v>
      </c>
      <c r="F74" s="10" t="str">
        <f>IFERROR(__xludf.DUMMYFUNCTION("""COMPUTED_VALUE"""),"Negative")</f>
        <v>Negative</v>
      </c>
      <c r="G74" s="10">
        <f>IFERROR(__xludf.DUMMYFUNCTION("""COMPUTED_VALUE"""),1.0)</f>
        <v>1</v>
      </c>
    </row>
    <row r="75">
      <c r="A75" s="6" t="str">
        <f>IFERROR(__xludf.DUMMYFUNCTION("""COMPUTED_VALUE"""),"MA366")</f>
        <v>MA366</v>
      </c>
      <c r="B75" s="6" t="str">
        <f>IFERROR(__xludf.DUMMYFUNCTION("""COMPUTED_VALUE"""),"RUN-BEND_2022-01-05_RFR-010")</f>
        <v>RUN-BEND_2022-01-05_RFR-010</v>
      </c>
      <c r="C75" s="7">
        <f>VLOOKUP(B75,'Run Reconcile'!A$2:B809,2,FALSE)</f>
        <v>44566</v>
      </c>
      <c r="D75" s="12">
        <f>IFERROR(__xludf.DUMMYFUNCTION("""COMPUTED_VALUE"""),44566.0)</f>
        <v>44566</v>
      </c>
      <c r="E75" s="13">
        <f>IFERROR(__xludf.DUMMYFUNCTION("""COMPUTED_VALUE"""),0.30583333333197515)</f>
        <v>0.3058333333</v>
      </c>
      <c r="F75" s="10" t="str">
        <f>IFERROR(__xludf.DUMMYFUNCTION("""COMPUTED_VALUE"""),"Negative")</f>
        <v>Negative</v>
      </c>
      <c r="G75" s="10">
        <f>IFERROR(__xludf.DUMMYFUNCTION("""COMPUTED_VALUE"""),1.0)</f>
        <v>1</v>
      </c>
    </row>
    <row r="76">
      <c r="A76" s="6" t="str">
        <f>IFERROR(__xludf.DUMMYFUNCTION("""COMPUTED_VALUE"""),"MA1173")</f>
        <v>MA1173</v>
      </c>
      <c r="B76" s="6" t="str">
        <f>IFERROR(__xludf.DUMMYFUNCTION("""COMPUTED_VALUE"""),"RUN-BEND_2022-01-05_RFR-010")</f>
        <v>RUN-BEND_2022-01-05_RFR-010</v>
      </c>
      <c r="C76" s="7">
        <f>VLOOKUP(B76,'Run Reconcile'!A$2:B809,2,FALSE)</f>
        <v>44566</v>
      </c>
      <c r="D76" s="12">
        <f>IFERROR(__xludf.DUMMYFUNCTION("""COMPUTED_VALUE"""),44566.0)</f>
        <v>44566</v>
      </c>
      <c r="E76" s="13">
        <f>IFERROR(__xludf.DUMMYFUNCTION("""COMPUTED_VALUE"""),0.3086921296307992)</f>
        <v>0.3086921296</v>
      </c>
      <c r="F76" s="10" t="str">
        <f>IFERROR(__xludf.DUMMYFUNCTION("""COMPUTED_VALUE"""),"Negative")</f>
        <v>Negative</v>
      </c>
      <c r="G76" s="10">
        <f>IFERROR(__xludf.DUMMYFUNCTION("""COMPUTED_VALUE"""),1.0)</f>
        <v>1</v>
      </c>
    </row>
    <row r="77">
      <c r="A77" s="6" t="str">
        <f>IFERROR(__xludf.DUMMYFUNCTION("""COMPUTED_VALUE"""),"MA451")</f>
        <v>MA451</v>
      </c>
      <c r="B77" s="6" t="str">
        <f>IFERROR(__xludf.DUMMYFUNCTION("""COMPUTED_VALUE"""),"RUN-BEND_2022-01-05_RFR-010")</f>
        <v>RUN-BEND_2022-01-05_RFR-010</v>
      </c>
      <c r="C77" s="7">
        <f>VLOOKUP(B77,'Run Reconcile'!A$2:B809,2,FALSE)</f>
        <v>44566</v>
      </c>
      <c r="D77" s="12">
        <f>IFERROR(__xludf.DUMMYFUNCTION("""COMPUTED_VALUE"""),44566.0)</f>
        <v>44566</v>
      </c>
      <c r="E77" s="13">
        <f>IFERROR(__xludf.DUMMYFUNCTION("""COMPUTED_VALUE"""),0.3115277777760639)</f>
        <v>0.3115277778</v>
      </c>
      <c r="F77" s="10" t="str">
        <f>IFERROR(__xludf.DUMMYFUNCTION("""COMPUTED_VALUE"""),"Negative")</f>
        <v>Negative</v>
      </c>
      <c r="G77" s="10">
        <f>IFERROR(__xludf.DUMMYFUNCTION("""COMPUTED_VALUE"""),1.0)</f>
        <v>1</v>
      </c>
    </row>
    <row r="78">
      <c r="A78" s="6" t="str">
        <f>IFERROR(__xludf.DUMMYFUNCTION("""COMPUTED_VALUE"""),"MA356")</f>
        <v>MA356</v>
      </c>
      <c r="B78" s="6" t="str">
        <f>IFERROR(__xludf.DUMMYFUNCTION("""COMPUTED_VALUE"""),"RUN-BEND_2022-01-05_RFR-010")</f>
        <v>RUN-BEND_2022-01-05_RFR-010</v>
      </c>
      <c r="C78" s="7">
        <f>VLOOKUP(B78,'Run Reconcile'!A$2:B809,2,FALSE)</f>
        <v>44566</v>
      </c>
      <c r="D78" s="12">
        <f>IFERROR(__xludf.DUMMYFUNCTION("""COMPUTED_VALUE"""),44566.0)</f>
        <v>44566</v>
      </c>
      <c r="E78" s="13">
        <f>IFERROR(__xludf.DUMMYFUNCTION("""COMPUTED_VALUE"""),0.3210416666661331)</f>
        <v>0.3210416667</v>
      </c>
      <c r="F78" s="10" t="str">
        <f>IFERROR(__xludf.DUMMYFUNCTION("""COMPUTED_VALUE"""),"Negative")</f>
        <v>Negative</v>
      </c>
      <c r="G78" s="10">
        <f>IFERROR(__xludf.DUMMYFUNCTION("""COMPUTED_VALUE"""),1.0)</f>
        <v>1</v>
      </c>
    </row>
    <row r="79">
      <c r="A79" s="6" t="str">
        <f>IFERROR(__xludf.DUMMYFUNCTION("""COMPUTED_VALUE"""),"MA263")</f>
        <v>MA263</v>
      </c>
      <c r="B79" s="6" t="str">
        <f>IFERROR(__xludf.DUMMYFUNCTION("""COMPUTED_VALUE"""),"RUN-BEND_2022-01-05_RFR-010")</f>
        <v>RUN-BEND_2022-01-05_RFR-010</v>
      </c>
      <c r="C79" s="7">
        <f>VLOOKUP(B79,'Run Reconcile'!A$2:B809,2,FALSE)</f>
        <v>44566</v>
      </c>
      <c r="D79" s="12">
        <f>IFERROR(__xludf.DUMMYFUNCTION("""COMPUTED_VALUE"""),44566.0)</f>
        <v>44566</v>
      </c>
      <c r="E79" s="13">
        <f>IFERROR(__xludf.DUMMYFUNCTION("""COMPUTED_VALUE"""),0.32974537037080154)</f>
        <v>0.3297453704</v>
      </c>
      <c r="F79" s="10" t="str">
        <f>IFERROR(__xludf.DUMMYFUNCTION("""COMPUTED_VALUE"""),"Positive")</f>
        <v>Positive</v>
      </c>
      <c r="G79" s="10">
        <f>IFERROR(__xludf.DUMMYFUNCTION("""COMPUTED_VALUE"""),1.0)</f>
        <v>1</v>
      </c>
    </row>
    <row r="80">
      <c r="A80" s="6" t="str">
        <f>IFERROR(__xludf.DUMMYFUNCTION("""COMPUTED_VALUE"""),"MA218")</f>
        <v>MA218</v>
      </c>
      <c r="B80" s="6" t="str">
        <f>IFERROR(__xludf.DUMMYFUNCTION("""COMPUTED_VALUE"""),"RUN-BEND_2022-01-05_RFR-010")</f>
        <v>RUN-BEND_2022-01-05_RFR-010</v>
      </c>
      <c r="C80" s="7">
        <f>VLOOKUP(B80,'Run Reconcile'!A$2:B809,2,FALSE)</f>
        <v>44566</v>
      </c>
      <c r="D80" s="12">
        <f>IFERROR(__xludf.DUMMYFUNCTION("""COMPUTED_VALUE"""),44566.0)</f>
        <v>44566</v>
      </c>
      <c r="E80" s="13">
        <f>IFERROR(__xludf.DUMMYFUNCTION("""COMPUTED_VALUE"""),0.33076388888730435)</f>
        <v>0.3307638889</v>
      </c>
      <c r="F80" s="10" t="str">
        <f>IFERROR(__xludf.DUMMYFUNCTION("""COMPUTED_VALUE"""),"Positive")</f>
        <v>Positive</v>
      </c>
      <c r="G80" s="10">
        <f>IFERROR(__xludf.DUMMYFUNCTION("""COMPUTED_VALUE"""),1.0)</f>
        <v>1</v>
      </c>
    </row>
    <row r="81">
      <c r="A81" s="6" t="str">
        <f>IFERROR(__xludf.DUMMYFUNCTION("""COMPUTED_VALUE"""),"MA654")</f>
        <v>MA654</v>
      </c>
      <c r="B81" s="6" t="str">
        <f>IFERROR(__xludf.DUMMYFUNCTION("""COMPUTED_VALUE"""),"RUN-BEND_2022-01-05_RFR-010")</f>
        <v>RUN-BEND_2022-01-05_RFR-010</v>
      </c>
      <c r="C81" s="7">
        <f>VLOOKUP(B81,'Run Reconcile'!A$2:B809,2,FALSE)</f>
        <v>44566</v>
      </c>
      <c r="D81" s="12">
        <f>IFERROR(__xludf.DUMMYFUNCTION("""COMPUTED_VALUE"""),44566.0)</f>
        <v>44566</v>
      </c>
      <c r="E81" s="13">
        <f>IFERROR(__xludf.DUMMYFUNCTION("""COMPUTED_VALUE"""),0.3373842592591245)</f>
        <v>0.3373842593</v>
      </c>
      <c r="F81" s="10" t="str">
        <f>IFERROR(__xludf.DUMMYFUNCTION("""COMPUTED_VALUE"""),"Negative")</f>
        <v>Negative</v>
      </c>
      <c r="G81" s="10">
        <f>IFERROR(__xludf.DUMMYFUNCTION("""COMPUTED_VALUE"""),1.0)</f>
        <v>1</v>
      </c>
    </row>
    <row r="82">
      <c r="A82" s="6" t="str">
        <f>IFERROR(__xludf.DUMMYFUNCTION("""COMPUTED_VALUE"""),"MA230")</f>
        <v>MA230</v>
      </c>
      <c r="B82" s="6" t="str">
        <f>IFERROR(__xludf.DUMMYFUNCTION("""COMPUTED_VALUE"""),"RUN-BEND_2022-01-05_RFR-010")</f>
        <v>RUN-BEND_2022-01-05_RFR-010</v>
      </c>
      <c r="C82" s="7">
        <f>VLOOKUP(B82,'Run Reconcile'!A$2:B809,2,FALSE)</f>
        <v>44566</v>
      </c>
      <c r="D82" s="12">
        <f>IFERROR(__xludf.DUMMYFUNCTION("""COMPUTED_VALUE"""),44566.0)</f>
        <v>44566</v>
      </c>
      <c r="E82" s="13">
        <f>IFERROR(__xludf.DUMMYFUNCTION("""COMPUTED_VALUE"""),0.3388888888875954)</f>
        <v>0.3388888889</v>
      </c>
      <c r="F82" s="10" t="str">
        <f>IFERROR(__xludf.DUMMYFUNCTION("""COMPUTED_VALUE"""),"Negative")</f>
        <v>Negative</v>
      </c>
      <c r="G82" s="10">
        <f>IFERROR(__xludf.DUMMYFUNCTION("""COMPUTED_VALUE"""),1.0)</f>
        <v>1</v>
      </c>
    </row>
    <row r="83">
      <c r="A83" s="6" t="str">
        <f>IFERROR(__xludf.DUMMYFUNCTION("""COMPUTED_VALUE"""),"MA636")</f>
        <v>MA636</v>
      </c>
      <c r="B83" s="6" t="str">
        <f>IFERROR(__xludf.DUMMYFUNCTION("""COMPUTED_VALUE"""),"RUN-BEND_2022-01-05_RFR-010")</f>
        <v>RUN-BEND_2022-01-05_RFR-010</v>
      </c>
      <c r="C83" s="7">
        <f>VLOOKUP(B83,'Run Reconcile'!A$2:B809,2,FALSE)</f>
        <v>44566</v>
      </c>
      <c r="D83" s="12">
        <f>IFERROR(__xludf.DUMMYFUNCTION("""COMPUTED_VALUE"""),44566.0)</f>
        <v>44566</v>
      </c>
      <c r="E83" s="13">
        <f>IFERROR(__xludf.DUMMYFUNCTION("""COMPUTED_VALUE"""),0.3511689814804413)</f>
        <v>0.3511689815</v>
      </c>
      <c r="F83" s="10" t="str">
        <f>IFERROR(__xludf.DUMMYFUNCTION("""COMPUTED_VALUE"""),"Negative")</f>
        <v>Negative</v>
      </c>
      <c r="G83" s="10">
        <f>IFERROR(__xludf.DUMMYFUNCTION("""COMPUTED_VALUE"""),1.0)</f>
        <v>1</v>
      </c>
    </row>
    <row r="84">
      <c r="A84" s="6" t="str">
        <f>IFERROR(__xludf.DUMMYFUNCTION("""COMPUTED_VALUE"""),"MAX65")</f>
        <v>MAX65</v>
      </c>
      <c r="B84" s="6" t="str">
        <f>IFERROR(__xludf.DUMMYFUNCTION("""COMPUTED_VALUE"""),"RUN-BEND_2022-01-05_RFR-010")</f>
        <v>RUN-BEND_2022-01-05_RFR-010</v>
      </c>
      <c r="C84" s="7">
        <f>VLOOKUP(B84,'Run Reconcile'!A$2:B809,2,FALSE)</f>
        <v>44566</v>
      </c>
      <c r="D84" s="12">
        <f>IFERROR(__xludf.DUMMYFUNCTION("""COMPUTED_VALUE"""),44566.0)</f>
        <v>44566</v>
      </c>
      <c r="E84" s="13">
        <f>IFERROR(__xludf.DUMMYFUNCTION("""COMPUTED_VALUE"""),0.3789351851846732)</f>
        <v>0.3789351852</v>
      </c>
      <c r="F84" s="10" t="str">
        <f>IFERROR(__xludf.DUMMYFUNCTION("""COMPUTED_VALUE"""),"Negative")</f>
        <v>Negative</v>
      </c>
      <c r="G84" s="10">
        <f>IFERROR(__xludf.DUMMYFUNCTION("""COMPUTED_VALUE"""),1.0)</f>
        <v>1</v>
      </c>
    </row>
    <row r="85">
      <c r="A85" s="6" t="str">
        <f>IFERROR(__xludf.DUMMYFUNCTION("""COMPUTED_VALUE"""),"MA648")</f>
        <v>MA648</v>
      </c>
      <c r="B85" s="6" t="str">
        <f>IFERROR(__xludf.DUMMYFUNCTION("""COMPUTED_VALUE"""),"RUN-BEND_2022-01-05_RFR-010")</f>
        <v>RUN-BEND_2022-01-05_RFR-010</v>
      </c>
      <c r="C85" s="7">
        <f>VLOOKUP(B85,'Run Reconcile'!A$2:B809,2,FALSE)</f>
        <v>44566</v>
      </c>
      <c r="D85" s="12">
        <f>IFERROR(__xludf.DUMMYFUNCTION("""COMPUTED_VALUE"""),44566.0)</f>
        <v>44566</v>
      </c>
      <c r="E85" s="13">
        <f>IFERROR(__xludf.DUMMYFUNCTION("""COMPUTED_VALUE"""),0.38178240740671754)</f>
        <v>0.3817824074</v>
      </c>
      <c r="F85" s="10" t="str">
        <f>IFERROR(__xludf.DUMMYFUNCTION("""COMPUTED_VALUE"""),"Negative")</f>
        <v>Negative</v>
      </c>
      <c r="G85" s="10">
        <f>IFERROR(__xludf.DUMMYFUNCTION("""COMPUTED_VALUE"""),1.0)</f>
        <v>1</v>
      </c>
    </row>
    <row r="86">
      <c r="A86" s="6" t="str">
        <f>IFERROR(__xludf.DUMMYFUNCTION("""COMPUTED_VALUE"""),"MA643")</f>
        <v>MA643</v>
      </c>
      <c r="B86" s="6" t="str">
        <f>IFERROR(__xludf.DUMMYFUNCTION("""COMPUTED_VALUE"""),"RUN-BEND_2022-01-05_RFR-010")</f>
        <v>RUN-BEND_2022-01-05_RFR-010</v>
      </c>
      <c r="C86" s="7">
        <f>VLOOKUP(B86,'Run Reconcile'!A$2:B809,2,FALSE)</f>
        <v>44566</v>
      </c>
      <c r="D86" s="12">
        <f>IFERROR(__xludf.DUMMYFUNCTION("""COMPUTED_VALUE"""),44566.0)</f>
        <v>44566</v>
      </c>
      <c r="E86" s="13">
        <f>IFERROR(__xludf.DUMMYFUNCTION("""COMPUTED_VALUE"""),0.38246527777664596)</f>
        <v>0.3824652778</v>
      </c>
      <c r="F86" s="10" t="str">
        <f>IFERROR(__xludf.DUMMYFUNCTION("""COMPUTED_VALUE"""),"Negative")</f>
        <v>Negative</v>
      </c>
      <c r="G86" s="10">
        <f>IFERROR(__xludf.DUMMYFUNCTION("""COMPUTED_VALUE"""),1.0)</f>
        <v>1</v>
      </c>
    </row>
    <row r="87">
      <c r="A87" s="6" t="str">
        <f>IFERROR(__xludf.DUMMYFUNCTION("""COMPUTED_VALUE"""),"MA444")</f>
        <v>MA444</v>
      </c>
      <c r="B87" s="6" t="str">
        <f>IFERROR(__xludf.DUMMYFUNCTION("""COMPUTED_VALUE"""),"RUN-BEND_2022-01-05_RFR-010")</f>
        <v>RUN-BEND_2022-01-05_RFR-010</v>
      </c>
      <c r="C87" s="7">
        <f>VLOOKUP(B87,'Run Reconcile'!A$2:B809,2,FALSE)</f>
        <v>44566</v>
      </c>
      <c r="D87" s="12">
        <f>IFERROR(__xludf.DUMMYFUNCTION("""COMPUTED_VALUE"""),44566.0)</f>
        <v>44566</v>
      </c>
      <c r="E87" s="13">
        <f>IFERROR(__xludf.DUMMYFUNCTION("""COMPUTED_VALUE"""),0.4174305555570754)</f>
        <v>0.4174305556</v>
      </c>
      <c r="F87" s="10" t="str">
        <f>IFERROR(__xludf.DUMMYFUNCTION("""COMPUTED_VALUE"""),"Negative")</f>
        <v>Negative</v>
      </c>
      <c r="G87" s="10">
        <f>IFERROR(__xludf.DUMMYFUNCTION("""COMPUTED_VALUE"""),1.0)</f>
        <v>1</v>
      </c>
    </row>
    <row r="88">
      <c r="A88" s="6" t="str">
        <f>IFERROR(__xludf.DUMMYFUNCTION("""COMPUTED_VALUE"""),"MA453")</f>
        <v>MA453</v>
      </c>
      <c r="B88" s="6" t="str">
        <f>IFERROR(__xludf.DUMMYFUNCTION("""COMPUTED_VALUE"""),"RUN-BEND_2022-01-05_RFR-010")</f>
        <v>RUN-BEND_2022-01-05_RFR-010</v>
      </c>
      <c r="C88" s="7">
        <f>VLOOKUP(B88,'Run Reconcile'!A$2:B809,2,FALSE)</f>
        <v>44566</v>
      </c>
      <c r="D88" s="12">
        <f>IFERROR(__xludf.DUMMYFUNCTION("""COMPUTED_VALUE"""),44566.0)</f>
        <v>44566</v>
      </c>
      <c r="E88" s="13">
        <f>IFERROR(__xludf.DUMMYFUNCTION("""COMPUTED_VALUE"""),0.41818287036949187)</f>
        <v>0.4181828704</v>
      </c>
      <c r="F88" s="10" t="str">
        <f>IFERROR(__xludf.DUMMYFUNCTION("""COMPUTED_VALUE"""),"Negative")</f>
        <v>Negative</v>
      </c>
      <c r="G88" s="10">
        <f>IFERROR(__xludf.DUMMYFUNCTION("""COMPUTED_VALUE"""),1.0)</f>
        <v>1</v>
      </c>
    </row>
    <row r="89">
      <c r="A89" s="6" t="str">
        <f>IFERROR(__xludf.DUMMYFUNCTION("""COMPUTED_VALUE"""),"MA455")</f>
        <v>MA455</v>
      </c>
      <c r="B89" s="6" t="str">
        <f>IFERROR(__xludf.DUMMYFUNCTION("""COMPUTED_VALUE"""),"RUN-BEND_2022-01-05_RFR-010")</f>
        <v>RUN-BEND_2022-01-05_RFR-010</v>
      </c>
      <c r="C89" s="7">
        <f>VLOOKUP(B89,'Run Reconcile'!A$2:B809,2,FALSE)</f>
        <v>44566</v>
      </c>
      <c r="D89" s="12">
        <f>IFERROR(__xludf.DUMMYFUNCTION("""COMPUTED_VALUE"""),44566.0)</f>
        <v>44566</v>
      </c>
      <c r="E89" s="13">
        <f>IFERROR(__xludf.DUMMYFUNCTION("""COMPUTED_VALUE"""),0.4185416666659876)</f>
        <v>0.4185416667</v>
      </c>
      <c r="F89" s="10" t="str">
        <f>IFERROR(__xludf.DUMMYFUNCTION("""COMPUTED_VALUE"""),"Negative")</f>
        <v>Negative</v>
      </c>
      <c r="G89" s="10">
        <f>IFERROR(__xludf.DUMMYFUNCTION("""COMPUTED_VALUE"""),1.0)</f>
        <v>1</v>
      </c>
    </row>
    <row r="90">
      <c r="A90" s="6" t="str">
        <f>IFERROR(__xludf.DUMMYFUNCTION("""COMPUTED_VALUE"""),"MA464")</f>
        <v>MA464</v>
      </c>
      <c r="B90" s="6" t="str">
        <f>IFERROR(__xludf.DUMMYFUNCTION("""COMPUTED_VALUE"""),"RUN-BEND_2022-01-05_RFR-010")</f>
        <v>RUN-BEND_2022-01-05_RFR-010</v>
      </c>
      <c r="C90" s="7">
        <f>VLOOKUP(B90,'Run Reconcile'!A$2:B809,2,FALSE)</f>
        <v>44566</v>
      </c>
      <c r="D90" s="12">
        <f>IFERROR(__xludf.DUMMYFUNCTION("""COMPUTED_VALUE"""),44566.0)</f>
        <v>44566</v>
      </c>
      <c r="E90" s="13">
        <f>IFERROR(__xludf.DUMMYFUNCTION("""COMPUTED_VALUE"""),0.41923611111269565)</f>
        <v>0.4192361111</v>
      </c>
      <c r="F90" s="10" t="str">
        <f>IFERROR(__xludf.DUMMYFUNCTION("""COMPUTED_VALUE"""),"Negative")</f>
        <v>Negative</v>
      </c>
      <c r="G90" s="10">
        <f>IFERROR(__xludf.DUMMYFUNCTION("""COMPUTED_VALUE"""),1.0)</f>
        <v>1</v>
      </c>
    </row>
    <row r="91">
      <c r="A91" s="6" t="str">
        <f>IFERROR(__xludf.DUMMYFUNCTION("""COMPUTED_VALUE"""),"MA475")</f>
        <v>MA475</v>
      </c>
      <c r="B91" s="6" t="str">
        <f>IFERROR(__xludf.DUMMYFUNCTION("""COMPUTED_VALUE"""),"RUN-BEND_2022-01-05_RFR-010")</f>
        <v>RUN-BEND_2022-01-05_RFR-010</v>
      </c>
      <c r="C91" s="7">
        <f>VLOOKUP(B91,'Run Reconcile'!A$2:B809,2,FALSE)</f>
        <v>44566</v>
      </c>
      <c r="D91" s="12">
        <f>IFERROR(__xludf.DUMMYFUNCTION("""COMPUTED_VALUE"""),44566.0)</f>
        <v>44566</v>
      </c>
      <c r="E91" s="13">
        <f>IFERROR(__xludf.DUMMYFUNCTION("""COMPUTED_VALUE"""),0.4196180555554747)</f>
        <v>0.4196180556</v>
      </c>
      <c r="F91" s="10" t="str">
        <f>IFERROR(__xludf.DUMMYFUNCTION("""COMPUTED_VALUE"""),"Negative")</f>
        <v>Negative</v>
      </c>
      <c r="G91" s="10">
        <f>IFERROR(__xludf.DUMMYFUNCTION("""COMPUTED_VALUE"""),1.0)</f>
        <v>1</v>
      </c>
    </row>
    <row r="92">
      <c r="A92" s="6" t="str">
        <f>IFERROR(__xludf.DUMMYFUNCTION("""COMPUTED_VALUE"""),"MA605")</f>
        <v>MA605</v>
      </c>
      <c r="B92" s="6" t="str">
        <f>IFERROR(__xludf.DUMMYFUNCTION("""COMPUTED_VALUE"""),"RUN-BEND_2022-01-05_RFR-010")</f>
        <v>RUN-BEND_2022-01-05_RFR-010</v>
      </c>
      <c r="C92" s="7">
        <f>VLOOKUP(B92,'Run Reconcile'!A$2:B809,2,FALSE)</f>
        <v>44566</v>
      </c>
      <c r="D92" s="12">
        <f>IFERROR(__xludf.DUMMYFUNCTION("""COMPUTED_VALUE"""),44566.0)</f>
        <v>44566</v>
      </c>
      <c r="E92" s="13">
        <f>IFERROR(__xludf.DUMMYFUNCTION("""COMPUTED_VALUE"""),0.4199421296289074)</f>
        <v>0.4199421296</v>
      </c>
      <c r="F92" s="10" t="str">
        <f>IFERROR(__xludf.DUMMYFUNCTION("""COMPUTED_VALUE"""),"Positive")</f>
        <v>Positive</v>
      </c>
      <c r="G92" s="10">
        <f>IFERROR(__xludf.DUMMYFUNCTION("""COMPUTED_VALUE"""),1.0)</f>
        <v>1</v>
      </c>
    </row>
    <row r="93">
      <c r="A93" s="6" t="str">
        <f>IFERROR(__xludf.DUMMYFUNCTION("""COMPUTED_VALUE"""),"MA457")</f>
        <v>MA457</v>
      </c>
      <c r="B93" s="6" t="str">
        <f>IFERROR(__xludf.DUMMYFUNCTION("""COMPUTED_VALUE"""),"RUN-BEND_2022-01-07_RFR-011")</f>
        <v>RUN-BEND_2022-01-07_RFR-011</v>
      </c>
      <c r="C93" s="7">
        <f>VLOOKUP(B93,'Run Reconcile'!A$2:B809,2,FALSE)</f>
        <v>44568</v>
      </c>
      <c r="D93" s="12">
        <f>IFERROR(__xludf.DUMMYFUNCTION("""COMPUTED_VALUE"""),44567.0)</f>
        <v>44567</v>
      </c>
      <c r="E93" s="13">
        <f>IFERROR(__xludf.DUMMYFUNCTION("""COMPUTED_VALUE"""),0.3232986111106584)</f>
        <v>0.3232986111</v>
      </c>
      <c r="F93" s="10" t="str">
        <f>IFERROR(__xludf.DUMMYFUNCTION("""COMPUTED_VALUE"""),"Negative")</f>
        <v>Negative</v>
      </c>
      <c r="G93" s="10">
        <f>IFERROR(__xludf.DUMMYFUNCTION("""COMPUTED_VALUE"""),1.0)</f>
        <v>1</v>
      </c>
    </row>
    <row r="94">
      <c r="A94" s="6" t="str">
        <f>IFERROR(__xludf.DUMMYFUNCTION("""COMPUTED_VALUE"""),"MA438")</f>
        <v>MA438</v>
      </c>
      <c r="B94" s="6" t="str">
        <f>IFERROR(__xludf.DUMMYFUNCTION("""COMPUTED_VALUE"""),"RUN-BEND_2022-01-07_RFR-011")</f>
        <v>RUN-BEND_2022-01-07_RFR-011</v>
      </c>
      <c r="C94" s="7">
        <f>VLOOKUP(B94,'Run Reconcile'!A$2:B809,2,FALSE)</f>
        <v>44568</v>
      </c>
      <c r="D94" s="12">
        <f>IFERROR(__xludf.DUMMYFUNCTION("""COMPUTED_VALUE"""),44567.0)</f>
        <v>44567</v>
      </c>
      <c r="E94" s="13">
        <f>IFERROR(__xludf.DUMMYFUNCTION("""COMPUTED_VALUE"""),0.32526620370481396)</f>
        <v>0.3252662037</v>
      </c>
      <c r="F94" s="10" t="str">
        <f>IFERROR(__xludf.DUMMYFUNCTION("""COMPUTED_VALUE"""),"Negative")</f>
        <v>Negative</v>
      </c>
      <c r="G94" s="10">
        <f>IFERROR(__xludf.DUMMYFUNCTION("""COMPUTED_VALUE"""),1.0)</f>
        <v>1</v>
      </c>
    </row>
    <row r="95">
      <c r="A95" s="6" t="str">
        <f>IFERROR(__xludf.DUMMYFUNCTION("""COMPUTED_VALUE"""),"MA556")</f>
        <v>MA556</v>
      </c>
      <c r="B95" s="6" t="str">
        <f>IFERROR(__xludf.DUMMYFUNCTION("""COMPUTED_VALUE"""),"RUN-BEND_2022-01-07_RFR-011")</f>
        <v>RUN-BEND_2022-01-07_RFR-011</v>
      </c>
      <c r="C95" s="7">
        <f>VLOOKUP(B95,'Run Reconcile'!A$2:B809,2,FALSE)</f>
        <v>44568</v>
      </c>
      <c r="D95" s="12">
        <f>IFERROR(__xludf.DUMMYFUNCTION("""COMPUTED_VALUE"""),44567.0)</f>
        <v>44567</v>
      </c>
      <c r="E95" s="13">
        <f>IFERROR(__xludf.DUMMYFUNCTION("""COMPUTED_VALUE"""),0.9539351851854008)</f>
        <v>0.9539351852</v>
      </c>
      <c r="F95" s="10" t="str">
        <f>IFERROR(__xludf.DUMMYFUNCTION("""COMPUTED_VALUE"""),"Negative")</f>
        <v>Negative</v>
      </c>
      <c r="G95" s="10">
        <f>IFERROR(__xludf.DUMMYFUNCTION("""COMPUTED_VALUE"""),1.0)</f>
        <v>1</v>
      </c>
    </row>
    <row r="96">
      <c r="A96" s="6" t="str">
        <f>IFERROR(__xludf.DUMMYFUNCTION("""COMPUTED_VALUE"""),"MA427")</f>
        <v>MA427</v>
      </c>
      <c r="B96" s="6" t="str">
        <f>IFERROR(__xludf.DUMMYFUNCTION("""COMPUTED_VALUE"""),"RUN-BEND_2022-01-07_RFR-011")</f>
        <v>RUN-BEND_2022-01-07_RFR-011</v>
      </c>
      <c r="C96" s="7">
        <f>VLOOKUP(B96,'Run Reconcile'!A$2:B809,2,FALSE)</f>
        <v>44568</v>
      </c>
      <c r="D96" s="12">
        <f>IFERROR(__xludf.DUMMYFUNCTION("""COMPUTED_VALUE"""),44567.0)</f>
        <v>44567</v>
      </c>
      <c r="E96" s="13">
        <f>IFERROR(__xludf.DUMMYFUNCTION("""COMPUTED_VALUE"""),0.9922800925924093)</f>
        <v>0.9922800926</v>
      </c>
      <c r="F96" s="10" t="str">
        <f>IFERROR(__xludf.DUMMYFUNCTION("""COMPUTED_VALUE"""),"Negative")</f>
        <v>Negative</v>
      </c>
      <c r="G96" s="10">
        <f>IFERROR(__xludf.DUMMYFUNCTION("""COMPUTED_VALUE"""),1.0)</f>
        <v>1</v>
      </c>
    </row>
    <row r="97">
      <c r="A97" s="6" t="str">
        <f>IFERROR(__xludf.DUMMYFUNCTION("""COMPUTED_VALUE"""),"MA1149")</f>
        <v>MA1149</v>
      </c>
      <c r="B97" s="6" t="str">
        <f>IFERROR(__xludf.DUMMYFUNCTION("""COMPUTED_VALUE"""),"RUN-BEND_2022-01-07_RFR-011")</f>
        <v>RUN-BEND_2022-01-07_RFR-011</v>
      </c>
      <c r="C97" s="7">
        <f>VLOOKUP(B97,'Run Reconcile'!A$2:B809,2,FALSE)</f>
        <v>44568</v>
      </c>
      <c r="D97" s="12">
        <f>IFERROR(__xludf.DUMMYFUNCTION("""COMPUTED_VALUE"""),44568.0)</f>
        <v>44568</v>
      </c>
      <c r="E97" s="13">
        <f>IFERROR(__xludf.DUMMYFUNCTION("""COMPUTED_VALUE"""),0.022118055556347826)</f>
        <v>0.02211805556</v>
      </c>
      <c r="F97" s="10" t="str">
        <f>IFERROR(__xludf.DUMMYFUNCTION("""COMPUTED_VALUE"""),"Negative")</f>
        <v>Negative</v>
      </c>
      <c r="G97" s="10">
        <f>IFERROR(__xludf.DUMMYFUNCTION("""COMPUTED_VALUE"""),1.0)</f>
        <v>1</v>
      </c>
    </row>
    <row r="98">
      <c r="A98" s="6" t="str">
        <f>IFERROR(__xludf.DUMMYFUNCTION("""COMPUTED_VALUE"""),"MA1228")</f>
        <v>MA1228</v>
      </c>
      <c r="B98" s="6" t="str">
        <f>IFERROR(__xludf.DUMMYFUNCTION("""COMPUTED_VALUE"""),"RUN-BEND_2022-01-07_RFR-011")</f>
        <v>RUN-BEND_2022-01-07_RFR-011</v>
      </c>
      <c r="C98" s="7">
        <f>VLOOKUP(B98,'Run Reconcile'!A$2:B809,2,FALSE)</f>
        <v>44568</v>
      </c>
      <c r="D98" s="12">
        <f>IFERROR(__xludf.DUMMYFUNCTION("""COMPUTED_VALUE"""),44568.0)</f>
        <v>44568</v>
      </c>
      <c r="E98" s="13">
        <f>IFERROR(__xludf.DUMMYFUNCTION("""COMPUTED_VALUE"""),0.2975578703699284)</f>
        <v>0.2975578704</v>
      </c>
      <c r="F98" s="10" t="str">
        <f>IFERROR(__xludf.DUMMYFUNCTION("""COMPUTED_VALUE"""),"Negative")</f>
        <v>Negative</v>
      </c>
      <c r="G98" s="10">
        <f>IFERROR(__xludf.DUMMYFUNCTION("""COMPUTED_VALUE"""),1.0)</f>
        <v>1</v>
      </c>
    </row>
    <row r="99">
      <c r="A99" s="6" t="str">
        <f>IFERROR(__xludf.DUMMYFUNCTION("""COMPUTED_VALUE"""),"MA1177")</f>
        <v>MA1177</v>
      </c>
      <c r="B99" s="6" t="str">
        <f>IFERROR(__xludf.DUMMYFUNCTION("""COMPUTED_VALUE"""),"RUN-BEND_2022-01-07_RFR-011")</f>
        <v>RUN-BEND_2022-01-07_RFR-011</v>
      </c>
      <c r="C99" s="7">
        <f>VLOOKUP(B99,'Run Reconcile'!A$2:B809,2,FALSE)</f>
        <v>44568</v>
      </c>
      <c r="D99" s="12">
        <f>IFERROR(__xludf.DUMMYFUNCTION("""COMPUTED_VALUE"""),44568.0)</f>
        <v>44568</v>
      </c>
      <c r="E99" s="13">
        <f>IFERROR(__xludf.DUMMYFUNCTION("""COMPUTED_VALUE"""),0.2981828703705105)</f>
        <v>0.2981828704</v>
      </c>
      <c r="F99" s="10" t="str">
        <f>IFERROR(__xludf.DUMMYFUNCTION("""COMPUTED_VALUE"""),"Negative")</f>
        <v>Negative</v>
      </c>
      <c r="G99" s="10">
        <f>IFERROR(__xludf.DUMMYFUNCTION("""COMPUTED_VALUE"""),1.0)</f>
        <v>1</v>
      </c>
    </row>
    <row r="100">
      <c r="A100" s="6" t="str">
        <f>IFERROR(__xludf.DUMMYFUNCTION("""COMPUTED_VALUE"""),"MA1224")</f>
        <v>MA1224</v>
      </c>
      <c r="B100" s="6" t="str">
        <f>IFERROR(__xludf.DUMMYFUNCTION("""COMPUTED_VALUE"""),"RUN-BEND_2022-01-07_RFR-011")</f>
        <v>RUN-BEND_2022-01-07_RFR-011</v>
      </c>
      <c r="C100" s="7">
        <f>VLOOKUP(B100,'Run Reconcile'!A$2:B809,2,FALSE)</f>
        <v>44568</v>
      </c>
      <c r="D100" s="12">
        <f>IFERROR(__xludf.DUMMYFUNCTION("""COMPUTED_VALUE"""),44568.0)</f>
        <v>44568</v>
      </c>
      <c r="E100" s="13">
        <f>IFERROR(__xludf.DUMMYFUNCTION("""COMPUTED_VALUE"""),0.29863425925941556)</f>
        <v>0.2986342593</v>
      </c>
      <c r="F100" s="10" t="str">
        <f>IFERROR(__xludf.DUMMYFUNCTION("""COMPUTED_VALUE"""),"Negative")</f>
        <v>Negative</v>
      </c>
      <c r="G100" s="10">
        <f>IFERROR(__xludf.DUMMYFUNCTION("""COMPUTED_VALUE"""),1.0)</f>
        <v>1</v>
      </c>
    </row>
    <row r="101">
      <c r="A101" s="6" t="str">
        <f>IFERROR(__xludf.DUMMYFUNCTION("""COMPUTED_VALUE"""),"MA1143")</f>
        <v>MA1143</v>
      </c>
      <c r="B101" s="6" t="str">
        <f>IFERROR(__xludf.DUMMYFUNCTION("""COMPUTED_VALUE"""),"RUN-BEND_2022-01-07_RFR-011")</f>
        <v>RUN-BEND_2022-01-07_RFR-011</v>
      </c>
      <c r="C101" s="7">
        <f>VLOOKUP(B101,'Run Reconcile'!A$2:B809,2,FALSE)</f>
        <v>44568</v>
      </c>
      <c r="D101" s="12">
        <f>IFERROR(__xludf.DUMMYFUNCTION("""COMPUTED_VALUE"""),44568.0)</f>
        <v>44568</v>
      </c>
      <c r="E101" s="13">
        <f>IFERROR(__xludf.DUMMYFUNCTION("""COMPUTED_VALUE"""),0.31393518518598285)</f>
        <v>0.3139351852</v>
      </c>
      <c r="F101" s="10" t="str">
        <f>IFERROR(__xludf.DUMMYFUNCTION("""COMPUTED_VALUE"""),"Negative")</f>
        <v>Negative</v>
      </c>
      <c r="G101" s="10">
        <f>IFERROR(__xludf.DUMMYFUNCTION("""COMPUTED_VALUE"""),1.0)</f>
        <v>1</v>
      </c>
    </row>
    <row r="102">
      <c r="A102" s="6" t="str">
        <f>IFERROR(__xludf.DUMMYFUNCTION("""COMPUTED_VALUE"""),"MA1051")</f>
        <v>MA1051</v>
      </c>
      <c r="B102" s="6" t="str">
        <f>IFERROR(__xludf.DUMMYFUNCTION("""COMPUTED_VALUE"""),"RUN-BEND_2022-01-07_RFR-011")</f>
        <v>RUN-BEND_2022-01-07_RFR-011</v>
      </c>
      <c r="C102" s="7">
        <f>VLOOKUP(B102,'Run Reconcile'!A$2:B809,2,FALSE)</f>
        <v>44568</v>
      </c>
      <c r="D102" s="12">
        <f>IFERROR(__xludf.DUMMYFUNCTION("""COMPUTED_VALUE"""),44568.0)</f>
        <v>44568</v>
      </c>
      <c r="E102" s="13">
        <f>IFERROR(__xludf.DUMMYFUNCTION("""COMPUTED_VALUE"""),0.3292824074087548)</f>
        <v>0.3292824074</v>
      </c>
      <c r="F102" s="10" t="str">
        <f>IFERROR(__xludf.DUMMYFUNCTION("""COMPUTED_VALUE"""),"Negative")</f>
        <v>Negative</v>
      </c>
      <c r="G102" s="10">
        <f>IFERROR(__xludf.DUMMYFUNCTION("""COMPUTED_VALUE"""),1.0)</f>
        <v>1</v>
      </c>
    </row>
    <row r="103">
      <c r="A103" s="6" t="str">
        <f>IFERROR(__xludf.DUMMYFUNCTION("""COMPUTED_VALUE"""),"MA462")</f>
        <v>MA462</v>
      </c>
      <c r="B103" s="6" t="str">
        <f>IFERROR(__xludf.DUMMYFUNCTION("""COMPUTED_VALUE"""),"RUN-BEND_2022-01-07_RFR-011")</f>
        <v>RUN-BEND_2022-01-07_RFR-011</v>
      </c>
      <c r="C103" s="7">
        <f>VLOOKUP(B103,'Run Reconcile'!A$2:B809,2,FALSE)</f>
        <v>44568</v>
      </c>
      <c r="D103" s="12">
        <f>IFERROR(__xludf.DUMMYFUNCTION("""COMPUTED_VALUE"""),44568.0)</f>
        <v>44568</v>
      </c>
      <c r="E103" s="13">
        <f>IFERROR(__xludf.DUMMYFUNCTION("""COMPUTED_VALUE"""),0.330949074075761)</f>
        <v>0.3309490741</v>
      </c>
      <c r="F103" s="10" t="str">
        <f>IFERROR(__xludf.DUMMYFUNCTION("""COMPUTED_VALUE"""),"Negative")</f>
        <v>Negative</v>
      </c>
      <c r="G103" s="10">
        <f>IFERROR(__xludf.DUMMYFUNCTION("""COMPUTED_VALUE"""),1.0)</f>
        <v>1</v>
      </c>
    </row>
    <row r="104">
      <c r="A104" s="6" t="str">
        <f>IFERROR(__xludf.DUMMYFUNCTION("""COMPUTED_VALUE"""),"MA254")</f>
        <v>MA254</v>
      </c>
      <c r="B104" s="6" t="str">
        <f>IFERROR(__xludf.DUMMYFUNCTION("""COMPUTED_VALUE"""),"RUN-BEND_2022-01-07_RFR-011")</f>
        <v>RUN-BEND_2022-01-07_RFR-011</v>
      </c>
      <c r="C104" s="7">
        <f>VLOOKUP(B104,'Run Reconcile'!A$2:B809,2,FALSE)</f>
        <v>44568</v>
      </c>
      <c r="D104" s="12">
        <f>IFERROR(__xludf.DUMMYFUNCTION("""COMPUTED_VALUE"""),44568.0)</f>
        <v>44568</v>
      </c>
      <c r="E104" s="13">
        <f>IFERROR(__xludf.DUMMYFUNCTION("""COMPUTED_VALUE"""),0.33616898148102337)</f>
        <v>0.3361689815</v>
      </c>
      <c r="F104" s="10" t="str">
        <f>IFERROR(__xludf.DUMMYFUNCTION("""COMPUTED_VALUE"""),"Negative")</f>
        <v>Negative</v>
      </c>
      <c r="G104" s="10">
        <f>IFERROR(__xludf.DUMMYFUNCTION("""COMPUTED_VALUE"""),1.0)</f>
        <v>1</v>
      </c>
    </row>
    <row r="105">
      <c r="A105" s="6" t="str">
        <f>IFERROR(__xludf.DUMMYFUNCTION("""COMPUTED_VALUE"""),"MA1188")</f>
        <v>MA1188</v>
      </c>
      <c r="B105" s="6" t="str">
        <f>IFERROR(__xludf.DUMMYFUNCTION("""COMPUTED_VALUE"""),"RUN-BEND_2022-01-07_RFR-011")</f>
        <v>RUN-BEND_2022-01-07_RFR-011</v>
      </c>
      <c r="C105" s="7">
        <f>VLOOKUP(B105,'Run Reconcile'!A$2:B809,2,FALSE)</f>
        <v>44568</v>
      </c>
      <c r="D105" s="12">
        <f>IFERROR(__xludf.DUMMYFUNCTION("""COMPUTED_VALUE"""),44568.0)</f>
        <v>44568</v>
      </c>
      <c r="E105" s="13">
        <f>IFERROR(__xludf.DUMMYFUNCTION("""COMPUTED_VALUE"""),0.34097222222044365)</f>
        <v>0.3409722222</v>
      </c>
      <c r="F105" s="10" t="str">
        <f>IFERROR(__xludf.DUMMYFUNCTION("""COMPUTED_VALUE"""),"Positive")</f>
        <v>Positive</v>
      </c>
      <c r="G105" s="10">
        <f>IFERROR(__xludf.DUMMYFUNCTION("""COMPUTED_VALUE"""),1.0)</f>
        <v>1</v>
      </c>
    </row>
    <row r="106">
      <c r="A106" s="6" t="str">
        <f>IFERROR(__xludf.DUMMYFUNCTION("""COMPUTED_VALUE"""),"MA347")</f>
        <v>MA347</v>
      </c>
      <c r="B106" s="6" t="str">
        <f>IFERROR(__xludf.DUMMYFUNCTION("""COMPUTED_VALUE"""),"RUN-BEND_2022-01-07_RFR-011")</f>
        <v>RUN-BEND_2022-01-07_RFR-011</v>
      </c>
      <c r="C106" s="7">
        <f>VLOOKUP(B106,'Run Reconcile'!A$2:B809,2,FALSE)</f>
        <v>44568</v>
      </c>
      <c r="D106" s="12">
        <f>IFERROR(__xludf.DUMMYFUNCTION("""COMPUTED_VALUE"""),44568.0)</f>
        <v>44568</v>
      </c>
      <c r="E106" s="13">
        <f>IFERROR(__xludf.DUMMYFUNCTION("""COMPUTED_VALUE"""),0.34206018518671044)</f>
        <v>0.3420601852</v>
      </c>
      <c r="F106" s="10" t="str">
        <f>IFERROR(__xludf.DUMMYFUNCTION("""COMPUTED_VALUE"""),"Inconclusive")</f>
        <v>Inconclusive</v>
      </c>
      <c r="G106" s="10">
        <f>IFERROR(__xludf.DUMMYFUNCTION("""COMPUTED_VALUE"""),1.0)</f>
        <v>1</v>
      </c>
    </row>
    <row r="107">
      <c r="A107" s="6" t="str">
        <f>IFERROR(__xludf.DUMMYFUNCTION("""COMPUTED_VALUE"""),"MA461")</f>
        <v>MA461</v>
      </c>
      <c r="B107" s="6" t="str">
        <f>IFERROR(__xludf.DUMMYFUNCTION("""COMPUTED_VALUE"""),"RUN-BEND_2022-01-07_RFR-011")</f>
        <v>RUN-BEND_2022-01-07_RFR-011</v>
      </c>
      <c r="C107" s="7">
        <f>VLOOKUP(B107,'Run Reconcile'!A$2:B809,2,FALSE)</f>
        <v>44568</v>
      </c>
      <c r="D107" s="12">
        <f>IFERROR(__xludf.DUMMYFUNCTION("""COMPUTED_VALUE"""),44568.0)</f>
        <v>44568</v>
      </c>
      <c r="E107" s="13">
        <f>IFERROR(__xludf.DUMMYFUNCTION("""COMPUTED_VALUE"""),0.3421064814829151)</f>
        <v>0.3421064815</v>
      </c>
      <c r="F107" s="10" t="str">
        <f>IFERROR(__xludf.DUMMYFUNCTION("""COMPUTED_VALUE"""),"Negative")</f>
        <v>Negative</v>
      </c>
      <c r="G107" s="10">
        <f>IFERROR(__xludf.DUMMYFUNCTION("""COMPUTED_VALUE"""),1.0)</f>
        <v>1</v>
      </c>
    </row>
    <row r="108">
      <c r="A108" s="6" t="str">
        <f>IFERROR(__xludf.DUMMYFUNCTION("""COMPUTED_VALUE"""),"MA238")</f>
        <v>MA238</v>
      </c>
      <c r="B108" s="6" t="str">
        <f>IFERROR(__xludf.DUMMYFUNCTION("""COMPUTED_VALUE"""),"RUN-BEND_2022-01-07_RFR-011")</f>
        <v>RUN-BEND_2022-01-07_RFR-011</v>
      </c>
      <c r="C108" s="7">
        <f>VLOOKUP(B108,'Run Reconcile'!A$2:B809,2,FALSE)</f>
        <v>44568</v>
      </c>
      <c r="D108" s="12">
        <f>IFERROR(__xludf.DUMMYFUNCTION("""COMPUTED_VALUE"""),44568.0)</f>
        <v>44568</v>
      </c>
      <c r="E108" s="13">
        <f>IFERROR(__xludf.DUMMYFUNCTION("""COMPUTED_VALUE"""),0.3471643518532801)</f>
        <v>0.3471643519</v>
      </c>
      <c r="F108" s="10" t="str">
        <f>IFERROR(__xludf.DUMMYFUNCTION("""COMPUTED_VALUE"""),"Negative")</f>
        <v>Negative</v>
      </c>
      <c r="G108" s="10">
        <f>IFERROR(__xludf.DUMMYFUNCTION("""COMPUTED_VALUE"""),1.0)</f>
        <v>1</v>
      </c>
    </row>
    <row r="109">
      <c r="A109" s="6" t="str">
        <f>IFERROR(__xludf.DUMMYFUNCTION("""COMPUTED_VALUE"""),"MA1078")</f>
        <v>MA1078</v>
      </c>
      <c r="B109" s="6" t="str">
        <f>IFERROR(__xludf.DUMMYFUNCTION("""COMPUTED_VALUE"""),"RUN-BEND_2022-01-07_RFR-011")</f>
        <v>RUN-BEND_2022-01-07_RFR-011</v>
      </c>
      <c r="C109" s="7">
        <f>VLOOKUP(B109,'Run Reconcile'!A$2:B809,2,FALSE)</f>
        <v>44568</v>
      </c>
      <c r="D109" s="12">
        <f>IFERROR(__xludf.DUMMYFUNCTION("""COMPUTED_VALUE"""),44568.0)</f>
        <v>44568</v>
      </c>
      <c r="E109" s="13">
        <f>IFERROR(__xludf.DUMMYFUNCTION("""COMPUTED_VALUE"""),0.34717592592642177)</f>
        <v>0.3471759259</v>
      </c>
      <c r="F109" s="10" t="str">
        <f>IFERROR(__xludf.DUMMYFUNCTION("""COMPUTED_VALUE"""),"Positive")</f>
        <v>Positive</v>
      </c>
      <c r="G109" s="10">
        <f>IFERROR(__xludf.DUMMYFUNCTION("""COMPUTED_VALUE"""),1.0)</f>
        <v>1</v>
      </c>
    </row>
    <row r="110">
      <c r="A110" s="6" t="str">
        <f>IFERROR(__xludf.DUMMYFUNCTION("""COMPUTED_VALUE"""),"MAX125")</f>
        <v>MAX125</v>
      </c>
      <c r="B110" s="6" t="str">
        <f>IFERROR(__xludf.DUMMYFUNCTION("""COMPUTED_VALUE"""),"RUN-BEND_2022-01-07_RFR-011")</f>
        <v>RUN-BEND_2022-01-07_RFR-011</v>
      </c>
      <c r="C110" s="7">
        <f>VLOOKUP(B110,'Run Reconcile'!A$2:B809,2,FALSE)</f>
        <v>44568</v>
      </c>
      <c r="D110" s="12">
        <f>IFERROR(__xludf.DUMMYFUNCTION("""COMPUTED_VALUE"""),44568.0)</f>
        <v>44568</v>
      </c>
      <c r="E110" s="13">
        <f>IFERROR(__xludf.DUMMYFUNCTION("""COMPUTED_VALUE"""),0.35561342592700385)</f>
        <v>0.3556134259</v>
      </c>
      <c r="F110" s="10" t="str">
        <f>IFERROR(__xludf.DUMMYFUNCTION("""COMPUTED_VALUE"""),"Negative")</f>
        <v>Negative</v>
      </c>
      <c r="G110" s="10">
        <f>IFERROR(__xludf.DUMMYFUNCTION("""COMPUTED_VALUE"""),1.0)</f>
        <v>1</v>
      </c>
    </row>
    <row r="111">
      <c r="A111" s="6" t="str">
        <f>IFERROR(__xludf.DUMMYFUNCTION("""COMPUTED_VALUE"""),"MAX74")</f>
        <v>MAX74</v>
      </c>
      <c r="B111" s="6" t="str">
        <f>IFERROR(__xludf.DUMMYFUNCTION("""COMPUTED_VALUE"""),"RUN-BEND_2022-01-07_RFR-011")</f>
        <v>RUN-BEND_2022-01-07_RFR-011</v>
      </c>
      <c r="C111" s="7">
        <f>VLOOKUP(B111,'Run Reconcile'!A$2:B809,2,FALSE)</f>
        <v>44568</v>
      </c>
      <c r="D111" s="12">
        <f>IFERROR(__xludf.DUMMYFUNCTION("""COMPUTED_VALUE"""),44568.0)</f>
        <v>44568</v>
      </c>
      <c r="E111" s="13">
        <f>IFERROR(__xludf.DUMMYFUNCTION("""COMPUTED_VALUE"""),0.364780092593719)</f>
        <v>0.3647800926</v>
      </c>
      <c r="F111" s="10" t="str">
        <f>IFERROR(__xludf.DUMMYFUNCTION("""COMPUTED_VALUE"""),"Positive")</f>
        <v>Positive</v>
      </c>
      <c r="G111" s="10">
        <f>IFERROR(__xludf.DUMMYFUNCTION("""COMPUTED_VALUE"""),1.0)</f>
        <v>1</v>
      </c>
    </row>
    <row r="112">
      <c r="A112" s="6" t="str">
        <f>IFERROR(__xludf.DUMMYFUNCTION("""COMPUTED_VALUE"""),"MA617")</f>
        <v>MA617</v>
      </c>
      <c r="B112" s="6" t="str">
        <f>IFERROR(__xludf.DUMMYFUNCTION("""COMPUTED_VALUE"""),"RUN-BEND_2022-01-07_RFR-011")</f>
        <v>RUN-BEND_2022-01-07_RFR-011</v>
      </c>
      <c r="C112" s="7">
        <f>VLOOKUP(B112,'Run Reconcile'!A$2:B809,2,FALSE)</f>
        <v>44568</v>
      </c>
      <c r="D112" s="12">
        <f>IFERROR(__xludf.DUMMYFUNCTION("""COMPUTED_VALUE"""),44568.0)</f>
        <v>44568</v>
      </c>
      <c r="E112" s="13">
        <f>IFERROR(__xludf.DUMMYFUNCTION("""COMPUTED_VALUE"""),0.41417824074233067)</f>
        <v>0.4141782407</v>
      </c>
      <c r="F112" s="10" t="str">
        <f>IFERROR(__xludf.DUMMYFUNCTION("""COMPUTED_VALUE"""),"Negative")</f>
        <v>Negative</v>
      </c>
      <c r="G112" s="10">
        <f>IFERROR(__xludf.DUMMYFUNCTION("""COMPUTED_VALUE"""),1.0)</f>
        <v>1</v>
      </c>
    </row>
    <row r="113">
      <c r="A113" s="6" t="str">
        <f>IFERROR(__xludf.DUMMYFUNCTION("""COMPUTED_VALUE"""),"MA335")</f>
        <v>MA335</v>
      </c>
      <c r="B113" s="6" t="str">
        <f>IFERROR(__xludf.DUMMYFUNCTION("""COMPUTED_VALUE"""),"RUN-BEND_2022-01-10_RFR-012")</f>
        <v>RUN-BEND_2022-01-10_RFR-012</v>
      </c>
      <c r="C113" s="7">
        <f>VLOOKUP(B113,'Run Reconcile'!A$2:B809,2,FALSE)</f>
        <v>44571</v>
      </c>
      <c r="D113" s="12">
        <f>IFERROR(__xludf.DUMMYFUNCTION("""COMPUTED_VALUE"""),44571.0)</f>
        <v>44571</v>
      </c>
      <c r="E113" s="13">
        <f>IFERROR(__xludf.DUMMYFUNCTION("""COMPUTED_VALUE"""),0.2715856481481751)</f>
        <v>0.2715856481</v>
      </c>
      <c r="F113" s="10" t="str">
        <f>IFERROR(__xludf.DUMMYFUNCTION("""COMPUTED_VALUE"""),"Negative")</f>
        <v>Negative</v>
      </c>
      <c r="G113" s="10">
        <f>IFERROR(__xludf.DUMMYFUNCTION("""COMPUTED_VALUE"""),1.0)</f>
        <v>1</v>
      </c>
    </row>
    <row r="114">
      <c r="A114" s="6" t="str">
        <f>IFERROR(__xludf.DUMMYFUNCTION("""COMPUTED_VALUE"""),"MA241")</f>
        <v>MA241</v>
      </c>
      <c r="B114" s="6" t="str">
        <f>IFERROR(__xludf.DUMMYFUNCTION("""COMPUTED_VALUE"""),"RUN-BEND_2022-01-10_RFR-012")</f>
        <v>RUN-BEND_2022-01-10_RFR-012</v>
      </c>
      <c r="C114" s="7">
        <f>VLOOKUP(B114,'Run Reconcile'!A$2:B809,2,FALSE)</f>
        <v>44571</v>
      </c>
      <c r="D114" s="12">
        <f>IFERROR(__xludf.DUMMYFUNCTION("""COMPUTED_VALUE"""),44571.0)</f>
        <v>44571</v>
      </c>
      <c r="E114" s="13">
        <f>IFERROR(__xludf.DUMMYFUNCTION("""COMPUTED_VALUE"""),0.2969212962962047)</f>
        <v>0.2969212963</v>
      </c>
      <c r="F114" s="10" t="str">
        <f>IFERROR(__xludf.DUMMYFUNCTION("""COMPUTED_VALUE"""),"Negative")</f>
        <v>Negative</v>
      </c>
      <c r="G114" s="10">
        <f>IFERROR(__xludf.DUMMYFUNCTION("""COMPUTED_VALUE"""),1.0)</f>
        <v>1</v>
      </c>
    </row>
    <row r="115">
      <c r="A115" s="6" t="str">
        <f>IFERROR(__xludf.DUMMYFUNCTION("""COMPUTED_VALUE"""),"MA1175")</f>
        <v>MA1175</v>
      </c>
      <c r="B115" s="6" t="str">
        <f>IFERROR(__xludf.DUMMYFUNCTION("""COMPUTED_VALUE"""),"RUN-BEND_2022-01-10_RFR-012")</f>
        <v>RUN-BEND_2022-01-10_RFR-012</v>
      </c>
      <c r="C115" s="7">
        <f>VLOOKUP(B115,'Run Reconcile'!A$2:B809,2,FALSE)</f>
        <v>44571</v>
      </c>
      <c r="D115" s="12">
        <f>IFERROR(__xludf.DUMMYFUNCTION("""COMPUTED_VALUE"""),44571.0)</f>
        <v>44571</v>
      </c>
      <c r="E115" s="13">
        <f>IFERROR(__xludf.DUMMYFUNCTION("""COMPUTED_VALUE"""),0.31167824074145756)</f>
        <v>0.3116782407</v>
      </c>
      <c r="F115" s="10" t="str">
        <f>IFERROR(__xludf.DUMMYFUNCTION("""COMPUTED_VALUE"""),"Negative")</f>
        <v>Negative</v>
      </c>
      <c r="G115" s="10">
        <f>IFERROR(__xludf.DUMMYFUNCTION("""COMPUTED_VALUE"""),1.0)</f>
        <v>1</v>
      </c>
    </row>
    <row r="116">
      <c r="A116" s="6" t="str">
        <f>IFERROR(__xludf.DUMMYFUNCTION("""COMPUTED_VALUE"""),"MA478")</f>
        <v>MA478</v>
      </c>
      <c r="B116" s="6" t="str">
        <f>IFERROR(__xludf.DUMMYFUNCTION("""COMPUTED_VALUE"""),"RUN-BEND_2022-01-10_RFR-012")</f>
        <v>RUN-BEND_2022-01-10_RFR-012</v>
      </c>
      <c r="C116" s="7">
        <f>VLOOKUP(B116,'Run Reconcile'!A$2:B809,2,FALSE)</f>
        <v>44571</v>
      </c>
      <c r="D116" s="12">
        <f>IFERROR(__xludf.DUMMYFUNCTION("""COMPUTED_VALUE"""),44571.0)</f>
        <v>44571</v>
      </c>
      <c r="E116" s="13">
        <f>IFERROR(__xludf.DUMMYFUNCTION("""COMPUTED_VALUE"""),0.3131250000005821)</f>
        <v>0.313125</v>
      </c>
      <c r="F116" s="10" t="str">
        <f>IFERROR(__xludf.DUMMYFUNCTION("""COMPUTED_VALUE"""),"Negative")</f>
        <v>Negative</v>
      </c>
      <c r="G116" s="10">
        <f>IFERROR(__xludf.DUMMYFUNCTION("""COMPUTED_VALUE"""),1.0)</f>
        <v>1</v>
      </c>
    </row>
    <row r="117">
      <c r="A117" s="6" t="str">
        <f>IFERROR(__xludf.DUMMYFUNCTION("""COMPUTED_VALUE"""),"MA1159")</f>
        <v>MA1159</v>
      </c>
      <c r="B117" s="6" t="str">
        <f>IFERROR(__xludf.DUMMYFUNCTION("""COMPUTED_VALUE"""),"RUN-BEND_2022-01-10_RFR-012")</f>
        <v>RUN-BEND_2022-01-10_RFR-012</v>
      </c>
      <c r="C117" s="7">
        <f>VLOOKUP(B117,'Run Reconcile'!A$2:B809,2,FALSE)</f>
        <v>44571</v>
      </c>
      <c r="D117" s="12">
        <f>IFERROR(__xludf.DUMMYFUNCTION("""COMPUTED_VALUE"""),44571.0)</f>
        <v>44571</v>
      </c>
      <c r="E117" s="13">
        <f>IFERROR(__xludf.DUMMYFUNCTION("""COMPUTED_VALUE"""),0.3181365740747424)</f>
        <v>0.3181365741</v>
      </c>
      <c r="F117" s="10" t="str">
        <f>IFERROR(__xludf.DUMMYFUNCTION("""COMPUTED_VALUE"""),"Negative")</f>
        <v>Negative</v>
      </c>
      <c r="G117" s="10">
        <f>IFERROR(__xludf.DUMMYFUNCTION("""COMPUTED_VALUE"""),1.0)</f>
        <v>1</v>
      </c>
    </row>
    <row r="118">
      <c r="A118" s="6" t="str">
        <f>IFERROR(__xludf.DUMMYFUNCTION("""COMPUTED_VALUE"""),"MA233")</f>
        <v>MA233</v>
      </c>
      <c r="B118" s="6" t="str">
        <f>IFERROR(__xludf.DUMMYFUNCTION("""COMPUTED_VALUE"""),"RUN-BEND_2022-01-10_RFR-012")</f>
        <v>RUN-BEND_2022-01-10_RFR-012</v>
      </c>
      <c r="C118" s="7">
        <f>VLOOKUP(B118,'Run Reconcile'!A$2:B809,2,FALSE)</f>
        <v>44571</v>
      </c>
      <c r="D118" s="12">
        <f>IFERROR(__xludf.DUMMYFUNCTION("""COMPUTED_VALUE"""),44571.0)</f>
        <v>44571</v>
      </c>
      <c r="E118" s="13">
        <f>IFERROR(__xludf.DUMMYFUNCTION("""COMPUTED_VALUE"""),0.3261689814826241)</f>
        <v>0.3261689815</v>
      </c>
      <c r="F118" s="10" t="str">
        <f>IFERROR(__xludf.DUMMYFUNCTION("""COMPUTED_VALUE"""),"Negative")</f>
        <v>Negative</v>
      </c>
      <c r="G118" s="10">
        <f>IFERROR(__xludf.DUMMYFUNCTION("""COMPUTED_VALUE"""),1.0)</f>
        <v>1</v>
      </c>
    </row>
    <row r="119">
      <c r="A119" s="6" t="str">
        <f>IFERROR(__xludf.DUMMYFUNCTION("""COMPUTED_VALUE"""),"MA977")</f>
        <v>MA977</v>
      </c>
      <c r="B119" s="6" t="str">
        <f>IFERROR(__xludf.DUMMYFUNCTION("""COMPUTED_VALUE"""),"RUN-BEND_2022-01-10_RFR-012")</f>
        <v>RUN-BEND_2022-01-10_RFR-012</v>
      </c>
      <c r="C119" s="7">
        <f>VLOOKUP(B119,'Run Reconcile'!A$2:B809,2,FALSE)</f>
        <v>44571</v>
      </c>
      <c r="D119" s="12">
        <f>IFERROR(__xludf.DUMMYFUNCTION("""COMPUTED_VALUE"""),44571.0)</f>
        <v>44571</v>
      </c>
      <c r="E119" s="13">
        <f>IFERROR(__xludf.DUMMYFUNCTION("""COMPUTED_VALUE"""),0.3288541666661331)</f>
        <v>0.3288541667</v>
      </c>
      <c r="F119" s="10" t="str">
        <f>IFERROR(__xludf.DUMMYFUNCTION("""COMPUTED_VALUE"""),"Negative")</f>
        <v>Negative</v>
      </c>
      <c r="G119" s="10">
        <f>IFERROR(__xludf.DUMMYFUNCTION("""COMPUTED_VALUE"""),1.0)</f>
        <v>1</v>
      </c>
    </row>
    <row r="120">
      <c r="A120" s="6" t="str">
        <f>IFERROR(__xludf.DUMMYFUNCTION("""COMPUTED_VALUE"""),"MA466")</f>
        <v>MA466</v>
      </c>
      <c r="B120" s="6" t="str">
        <f>IFERROR(__xludf.DUMMYFUNCTION("""COMPUTED_VALUE"""),"RUN-BEND_2022-01-10_RFR-012")</f>
        <v>RUN-BEND_2022-01-10_RFR-012</v>
      </c>
      <c r="C120" s="7">
        <f>VLOOKUP(B120,'Run Reconcile'!A$2:B809,2,FALSE)</f>
        <v>44571</v>
      </c>
      <c r="D120" s="12">
        <f>IFERROR(__xludf.DUMMYFUNCTION("""COMPUTED_VALUE"""),44571.0)</f>
        <v>44571</v>
      </c>
      <c r="E120" s="13">
        <f>IFERROR(__xludf.DUMMYFUNCTION("""COMPUTED_VALUE"""),0.3333101851858373)</f>
        <v>0.3333101852</v>
      </c>
      <c r="F120" s="10" t="str">
        <f>IFERROR(__xludf.DUMMYFUNCTION("""COMPUTED_VALUE"""),"Negative")</f>
        <v>Negative</v>
      </c>
      <c r="G120" s="10">
        <f>IFERROR(__xludf.DUMMYFUNCTION("""COMPUTED_VALUE"""),1.0)</f>
        <v>1</v>
      </c>
    </row>
    <row r="121">
      <c r="A121" s="6" t="str">
        <f>IFERROR(__xludf.DUMMYFUNCTION("""COMPUTED_VALUE"""),"MA623")</f>
        <v>MA623</v>
      </c>
      <c r="B121" s="6" t="str">
        <f>IFERROR(__xludf.DUMMYFUNCTION("""COMPUTED_VALUE"""),"RUN-BEND_2022-01-10_RFR-012")</f>
        <v>RUN-BEND_2022-01-10_RFR-012</v>
      </c>
      <c r="C121" s="7">
        <f>VLOOKUP(B121,'Run Reconcile'!A$2:B809,2,FALSE)</f>
        <v>44571</v>
      </c>
      <c r="D121" s="12">
        <f>IFERROR(__xludf.DUMMYFUNCTION("""COMPUTED_VALUE"""),44571.0)</f>
        <v>44571</v>
      </c>
      <c r="E121" s="13">
        <f>IFERROR(__xludf.DUMMYFUNCTION("""COMPUTED_VALUE"""),0.333391203705105)</f>
        <v>0.3333912037</v>
      </c>
      <c r="F121" s="10" t="str">
        <f>IFERROR(__xludf.DUMMYFUNCTION("""COMPUTED_VALUE"""),"Negative")</f>
        <v>Negative</v>
      </c>
      <c r="G121" s="10">
        <f>IFERROR(__xludf.DUMMYFUNCTION("""COMPUTED_VALUE"""),1.0)</f>
        <v>1</v>
      </c>
    </row>
    <row r="122">
      <c r="A122" s="6" t="str">
        <f>IFERROR(__xludf.DUMMYFUNCTION("""COMPUTED_VALUE"""),"MA433")</f>
        <v>MA433</v>
      </c>
      <c r="B122" s="6" t="str">
        <f>IFERROR(__xludf.DUMMYFUNCTION("""COMPUTED_VALUE"""),"RUN-BEND_2022-01-10_RFR-012")</f>
        <v>RUN-BEND_2022-01-10_RFR-012</v>
      </c>
      <c r="C122" s="7">
        <f>VLOOKUP(B122,'Run Reconcile'!A$2:B809,2,FALSE)</f>
        <v>44571</v>
      </c>
      <c r="D122" s="12">
        <f>IFERROR(__xludf.DUMMYFUNCTION("""COMPUTED_VALUE"""),44571.0)</f>
        <v>44571</v>
      </c>
      <c r="E122" s="13">
        <f>IFERROR(__xludf.DUMMYFUNCTION("""COMPUTED_VALUE"""),0.33377314814788406)</f>
        <v>0.3337731481</v>
      </c>
      <c r="F122" s="10" t="str">
        <f>IFERROR(__xludf.DUMMYFUNCTION("""COMPUTED_VALUE"""),"Negative")</f>
        <v>Negative</v>
      </c>
      <c r="G122" s="10">
        <f>IFERROR(__xludf.DUMMYFUNCTION("""COMPUTED_VALUE"""),1.0)</f>
        <v>1</v>
      </c>
    </row>
    <row r="123">
      <c r="A123" s="6" t="str">
        <f>IFERROR(__xludf.DUMMYFUNCTION("""COMPUTED_VALUE"""),"MA649")</f>
        <v>MA649</v>
      </c>
      <c r="B123" s="6" t="str">
        <f>IFERROR(__xludf.DUMMYFUNCTION("""COMPUTED_VALUE"""),"RUN-BEND_2022-01-10_RFR-012")</f>
        <v>RUN-BEND_2022-01-10_RFR-012</v>
      </c>
      <c r="C123" s="7">
        <f>VLOOKUP(B123,'Run Reconcile'!A$2:B809,2,FALSE)</f>
        <v>44571</v>
      </c>
      <c r="D123" s="12">
        <f>IFERROR(__xludf.DUMMYFUNCTION("""COMPUTED_VALUE"""),44571.0)</f>
        <v>44571</v>
      </c>
      <c r="E123" s="13">
        <f>IFERROR(__xludf.DUMMYFUNCTION("""COMPUTED_VALUE"""),0.33451388888715883)</f>
        <v>0.3345138889</v>
      </c>
      <c r="F123" s="10" t="str">
        <f>IFERROR(__xludf.DUMMYFUNCTION("""COMPUTED_VALUE"""),"Negative")</f>
        <v>Negative</v>
      </c>
      <c r="G123" s="10">
        <f>IFERROR(__xludf.DUMMYFUNCTION("""COMPUTED_VALUE"""),1.0)</f>
        <v>1</v>
      </c>
    </row>
    <row r="124">
      <c r="A124" s="6" t="str">
        <f>IFERROR(__xludf.DUMMYFUNCTION("""COMPUTED_VALUE"""),"MA647")</f>
        <v>MA647</v>
      </c>
      <c r="B124" s="6" t="str">
        <f>IFERROR(__xludf.DUMMYFUNCTION("""COMPUTED_VALUE"""),"RUN-BEND_2022-01-10_RFR-012")</f>
        <v>RUN-BEND_2022-01-10_RFR-012</v>
      </c>
      <c r="C124" s="7">
        <f>VLOOKUP(B124,'Run Reconcile'!A$2:B809,2,FALSE)</f>
        <v>44571</v>
      </c>
      <c r="D124" s="12">
        <f>IFERROR(__xludf.DUMMYFUNCTION("""COMPUTED_VALUE"""),44571.0)</f>
        <v>44571</v>
      </c>
      <c r="E124" s="13">
        <f>IFERROR(__xludf.DUMMYFUNCTION("""COMPUTED_VALUE"""),0.3371412037049595)</f>
        <v>0.3371412037</v>
      </c>
      <c r="F124" s="10" t="str">
        <f>IFERROR(__xludf.DUMMYFUNCTION("""COMPUTED_VALUE"""),"Negative")</f>
        <v>Negative</v>
      </c>
      <c r="G124" s="10">
        <f>IFERROR(__xludf.DUMMYFUNCTION("""COMPUTED_VALUE"""),1.0)</f>
        <v>1</v>
      </c>
    </row>
    <row r="125">
      <c r="A125" s="6" t="str">
        <f>IFERROR(__xludf.DUMMYFUNCTION("""COMPUTED_VALUE"""),"MAX59")</f>
        <v>MAX59</v>
      </c>
      <c r="B125" s="6" t="str">
        <f>IFERROR(__xludf.DUMMYFUNCTION("""COMPUTED_VALUE"""),"RUN-BEND_2022-01-10_RFR-012")</f>
        <v>RUN-BEND_2022-01-10_RFR-012</v>
      </c>
      <c r="C125" s="7">
        <f>VLOOKUP(B125,'Run Reconcile'!A$2:B809,2,FALSE)</f>
        <v>44571</v>
      </c>
      <c r="D125" s="12">
        <f>IFERROR(__xludf.DUMMYFUNCTION("""COMPUTED_VALUE"""),44571.0)</f>
        <v>44571</v>
      </c>
      <c r="E125" s="13">
        <f>IFERROR(__xludf.DUMMYFUNCTION("""COMPUTED_VALUE"""),0.34442129629678675)</f>
        <v>0.3444212963</v>
      </c>
      <c r="F125" s="10" t="str">
        <f>IFERROR(__xludf.DUMMYFUNCTION("""COMPUTED_VALUE"""),"Negative")</f>
        <v>Negative</v>
      </c>
      <c r="G125" s="10">
        <f>IFERROR(__xludf.DUMMYFUNCTION("""COMPUTED_VALUE"""),1.0)</f>
        <v>1</v>
      </c>
    </row>
    <row r="126">
      <c r="A126" s="6" t="str">
        <f>IFERROR(__xludf.DUMMYFUNCTION("""COMPUTED_VALUE"""),"MA1035")</f>
        <v>MA1035</v>
      </c>
      <c r="B126" s="6" t="str">
        <f>IFERROR(__xludf.DUMMYFUNCTION("""COMPUTED_VALUE"""),"RUN-BEND_2022-01-10_RFR-012")</f>
        <v>RUN-BEND_2022-01-10_RFR-012</v>
      </c>
      <c r="C126" s="7">
        <f>VLOOKUP(B126,'Run Reconcile'!A$2:B809,2,FALSE)</f>
        <v>44571</v>
      </c>
      <c r="D126" s="12">
        <f>IFERROR(__xludf.DUMMYFUNCTION("""COMPUTED_VALUE"""),44571.0)</f>
        <v>44571</v>
      </c>
      <c r="E126" s="13">
        <f>IFERROR(__xludf.DUMMYFUNCTION("""COMPUTED_VALUE"""),0.3492013888899237)</f>
        <v>0.3492013889</v>
      </c>
      <c r="F126" s="10" t="str">
        <f>IFERROR(__xludf.DUMMYFUNCTION("""COMPUTED_VALUE"""),"Negative")</f>
        <v>Negative</v>
      </c>
      <c r="G126" s="10">
        <f>IFERROR(__xludf.DUMMYFUNCTION("""COMPUTED_VALUE"""),1.0)</f>
        <v>1</v>
      </c>
    </row>
    <row r="127">
      <c r="A127" s="6" t="str">
        <f>IFERROR(__xludf.DUMMYFUNCTION("""COMPUTED_VALUE"""),"MA1024")</f>
        <v>MA1024</v>
      </c>
      <c r="B127" s="6" t="str">
        <f>IFERROR(__xludf.DUMMYFUNCTION("""COMPUTED_VALUE"""),"RUN-BEND_2022-01-10_RFR-012")</f>
        <v>RUN-BEND_2022-01-10_RFR-012</v>
      </c>
      <c r="C127" s="7">
        <f>VLOOKUP(B127,'Run Reconcile'!A$2:B809,2,FALSE)</f>
        <v>44571</v>
      </c>
      <c r="D127" s="12">
        <f>IFERROR(__xludf.DUMMYFUNCTION("""COMPUTED_VALUE"""),44571.0)</f>
        <v>44571</v>
      </c>
      <c r="E127" s="13">
        <f>IFERROR(__xludf.DUMMYFUNCTION("""COMPUTED_VALUE"""),0.3511921296303626)</f>
        <v>0.3511921296</v>
      </c>
      <c r="F127" s="10" t="str">
        <f>IFERROR(__xludf.DUMMYFUNCTION("""COMPUTED_VALUE"""),"Positive")</f>
        <v>Positive</v>
      </c>
      <c r="G127" s="10">
        <f>IFERROR(__xludf.DUMMYFUNCTION("""COMPUTED_VALUE"""),1.0)</f>
        <v>1</v>
      </c>
    </row>
    <row r="128">
      <c r="A128" s="6" t="str">
        <f>IFERROR(__xludf.DUMMYFUNCTION("""COMPUTED_VALUE"""),"MA1147")</f>
        <v>MA1147</v>
      </c>
      <c r="B128" s="6" t="str">
        <f>IFERROR(__xludf.DUMMYFUNCTION("""COMPUTED_VALUE"""),"RUN-BEND_2022-01-10_RFR-012")</f>
        <v>RUN-BEND_2022-01-10_RFR-012</v>
      </c>
      <c r="C128" s="7">
        <f>VLOOKUP(B128,'Run Reconcile'!A$2:B809,2,FALSE)</f>
        <v>44571</v>
      </c>
      <c r="D128" s="12">
        <f>IFERROR(__xludf.DUMMYFUNCTION("""COMPUTED_VALUE"""),44571.0)</f>
        <v>44571</v>
      </c>
      <c r="E128" s="13">
        <f>IFERROR(__xludf.DUMMYFUNCTION("""COMPUTED_VALUE"""),0.3558796296310902)</f>
        <v>0.3558796296</v>
      </c>
      <c r="F128" s="10" t="str">
        <f>IFERROR(__xludf.DUMMYFUNCTION("""COMPUTED_VALUE"""),"Negative")</f>
        <v>Negative</v>
      </c>
      <c r="G128" s="10">
        <f>IFERROR(__xludf.DUMMYFUNCTION("""COMPUTED_VALUE"""),1.0)</f>
        <v>1</v>
      </c>
    </row>
    <row r="129">
      <c r="A129" s="6" t="str">
        <f>IFERROR(__xludf.DUMMYFUNCTION("""COMPUTED_VALUE"""),"MA463")</f>
        <v>MA463</v>
      </c>
      <c r="B129" s="6" t="str">
        <f>IFERROR(__xludf.DUMMYFUNCTION("""COMPUTED_VALUE"""),"RUN-BEND_2022-01-10_RFR-012")</f>
        <v>RUN-BEND_2022-01-10_RFR-012</v>
      </c>
      <c r="C129" s="7">
        <f>VLOOKUP(B129,'Run Reconcile'!A$2:B809,2,FALSE)</f>
        <v>44571</v>
      </c>
      <c r="D129" s="12">
        <f>IFERROR(__xludf.DUMMYFUNCTION("""COMPUTED_VALUE"""),44571.0)</f>
        <v>44571</v>
      </c>
      <c r="E129" s="13">
        <f>IFERROR(__xludf.DUMMYFUNCTION("""COMPUTED_VALUE"""),0.3882638888899237)</f>
        <v>0.3882638889</v>
      </c>
      <c r="F129" s="10" t="str">
        <f>IFERROR(__xludf.DUMMYFUNCTION("""COMPUTED_VALUE"""),"Positive")</f>
        <v>Positive</v>
      </c>
      <c r="G129" s="10">
        <f>IFERROR(__xludf.DUMMYFUNCTION("""COMPUTED_VALUE"""),1.0)</f>
        <v>1</v>
      </c>
    </row>
    <row r="130">
      <c r="A130" s="6" t="str">
        <f>IFERROR(__xludf.DUMMYFUNCTION("""COMPUTED_VALUE"""),"MAX51")</f>
        <v>MAX51</v>
      </c>
      <c r="B130" s="6" t="str">
        <f>IFERROR(__xludf.DUMMYFUNCTION("""COMPUTED_VALUE"""),"RUN-BEND_2022-01-10_RFR-012")</f>
        <v>RUN-BEND_2022-01-10_RFR-012</v>
      </c>
      <c r="C130" s="7">
        <f>VLOOKUP(B130,'Run Reconcile'!A$2:B809,2,FALSE)</f>
        <v>44571</v>
      </c>
      <c r="D130" s="12">
        <f>IFERROR(__xludf.DUMMYFUNCTION("""COMPUTED_VALUE"""),44571.0)</f>
        <v>44571</v>
      </c>
      <c r="E130" s="13">
        <f>IFERROR(__xludf.DUMMYFUNCTION("""COMPUTED_VALUE"""),0.3888078703712381)</f>
        <v>0.3888078704</v>
      </c>
      <c r="F130" s="10" t="str">
        <f>IFERROR(__xludf.DUMMYFUNCTION("""COMPUTED_VALUE"""),"Positive")</f>
        <v>Positive</v>
      </c>
      <c r="G130" s="10">
        <f>IFERROR(__xludf.DUMMYFUNCTION("""COMPUTED_VALUE"""),1.0)</f>
        <v>1</v>
      </c>
    </row>
    <row r="131">
      <c r="A131" s="6" t="str">
        <f>IFERROR(__xludf.DUMMYFUNCTION("""COMPUTED_VALUE"""),"MAX95")</f>
        <v>MAX95</v>
      </c>
      <c r="B131" s="6" t="str">
        <f>IFERROR(__xludf.DUMMYFUNCTION("""COMPUTED_VALUE"""),"RUN-BEND_2022-01-10_RFR-012")</f>
        <v>RUN-BEND_2022-01-10_RFR-012</v>
      </c>
      <c r="C131" s="7">
        <f>VLOOKUP(B131,'Run Reconcile'!A$2:B809,2,FALSE)</f>
        <v>44571</v>
      </c>
      <c r="D131" s="12">
        <f>IFERROR(__xludf.DUMMYFUNCTION("""COMPUTED_VALUE"""),44571.0)</f>
        <v>44571</v>
      </c>
      <c r="E131" s="13">
        <f>IFERROR(__xludf.DUMMYFUNCTION("""COMPUTED_VALUE"""),0.3893634259256942)</f>
        <v>0.3893634259</v>
      </c>
      <c r="F131" s="10" t="str">
        <f>IFERROR(__xludf.DUMMYFUNCTION("""COMPUTED_VALUE"""),"Positive")</f>
        <v>Positive</v>
      </c>
      <c r="G131" s="10">
        <f>IFERROR(__xludf.DUMMYFUNCTION("""COMPUTED_VALUE"""),1.0)</f>
        <v>1</v>
      </c>
    </row>
    <row r="132">
      <c r="A132" s="6" t="str">
        <f>IFERROR(__xludf.DUMMYFUNCTION("""COMPUTED_VALUE"""),"MAX69")</f>
        <v>MAX69</v>
      </c>
      <c r="B132" s="6" t="str">
        <f>IFERROR(__xludf.DUMMYFUNCTION("""COMPUTED_VALUE"""),"RUN-BEND_2022-01-10_RFR-012")</f>
        <v>RUN-BEND_2022-01-10_RFR-012</v>
      </c>
      <c r="C132" s="7">
        <f>VLOOKUP(B132,'Run Reconcile'!A$2:B809,2,FALSE)</f>
        <v>44571</v>
      </c>
      <c r="D132" s="12">
        <f>IFERROR(__xludf.DUMMYFUNCTION("""COMPUTED_VALUE"""),44571.0)</f>
        <v>44571</v>
      </c>
      <c r="E132" s="13">
        <f>IFERROR(__xludf.DUMMYFUNCTION("""COMPUTED_VALUE"""),0.3899768518531346)</f>
        <v>0.3899768519</v>
      </c>
      <c r="F132" s="10" t="str">
        <f>IFERROR(__xludf.DUMMYFUNCTION("""COMPUTED_VALUE"""),"Positive")</f>
        <v>Positive</v>
      </c>
      <c r="G132" s="10">
        <f>IFERROR(__xludf.DUMMYFUNCTION("""COMPUTED_VALUE"""),1.0)</f>
        <v>1</v>
      </c>
    </row>
    <row r="133">
      <c r="A133" s="6" t="str">
        <f>IFERROR(__xludf.DUMMYFUNCTION("""COMPUTED_VALUE"""),"MAX119")</f>
        <v>MAX119</v>
      </c>
      <c r="B133" s="6" t="str">
        <f>IFERROR(__xludf.DUMMYFUNCTION("""COMPUTED_VALUE"""),"RUN-BEND_2022-01-10_RFR-012")</f>
        <v>RUN-BEND_2022-01-10_RFR-012</v>
      </c>
      <c r="C133" s="7">
        <f>VLOOKUP(B133,'Run Reconcile'!A$2:B809,2,FALSE)</f>
        <v>44571</v>
      </c>
      <c r="D133" s="12">
        <f>IFERROR(__xludf.DUMMYFUNCTION("""COMPUTED_VALUE"""),44571.0)</f>
        <v>44571</v>
      </c>
      <c r="E133" s="13">
        <f>IFERROR(__xludf.DUMMYFUNCTION("""COMPUTED_VALUE"""),0.3904398148151813)</f>
        <v>0.3904398148</v>
      </c>
      <c r="F133" s="10" t="str">
        <f>IFERROR(__xludf.DUMMYFUNCTION("""COMPUTED_VALUE"""),"Negative")</f>
        <v>Negative</v>
      </c>
      <c r="G133" s="10">
        <f>IFERROR(__xludf.DUMMYFUNCTION("""COMPUTED_VALUE"""),1.0)</f>
        <v>1</v>
      </c>
    </row>
    <row r="134">
      <c r="A134" s="6" t="str">
        <f>IFERROR(__xludf.DUMMYFUNCTION("""COMPUTED_VALUE"""),"MA384")</f>
        <v>MA384</v>
      </c>
      <c r="B134" s="6" t="str">
        <f>IFERROR(__xludf.DUMMYFUNCTION("""COMPUTED_VALUE"""),"RUN-BEND_2022-01-10_RFR-012")</f>
        <v>RUN-BEND_2022-01-10_RFR-012</v>
      </c>
      <c r="C134" s="7">
        <f>VLOOKUP(B134,'Run Reconcile'!A$2:B809,2,FALSE)</f>
        <v>44571</v>
      </c>
      <c r="D134" s="12">
        <f>IFERROR(__xludf.DUMMYFUNCTION("""COMPUTED_VALUE"""),44571.0)</f>
        <v>44571</v>
      </c>
      <c r="E134" s="13">
        <f>IFERROR(__xludf.DUMMYFUNCTION("""COMPUTED_VALUE"""),0.39141203703547944)</f>
        <v>0.391412037</v>
      </c>
      <c r="F134" s="10" t="str">
        <f>IFERROR(__xludf.DUMMYFUNCTION("""COMPUTED_VALUE"""),"Negative")</f>
        <v>Negative</v>
      </c>
      <c r="G134" s="10">
        <f>IFERROR(__xludf.DUMMYFUNCTION("""COMPUTED_VALUE"""),1.0)</f>
        <v>1</v>
      </c>
    </row>
    <row r="135">
      <c r="A135" s="6" t="str">
        <f>IFERROR(__xludf.DUMMYFUNCTION("""COMPUTED_VALUE"""),"MA344")</f>
        <v>MA344</v>
      </c>
      <c r="B135" s="6" t="str">
        <f>IFERROR(__xludf.DUMMYFUNCTION("""COMPUTED_VALUE"""),"RUN-BEND_2022-01-10_RFR-012")</f>
        <v>RUN-BEND_2022-01-10_RFR-012</v>
      </c>
      <c r="C135" s="7">
        <f>VLOOKUP(B135,'Run Reconcile'!A$2:B809,2,FALSE)</f>
        <v>44571</v>
      </c>
      <c r="D135" s="12">
        <f>IFERROR(__xludf.DUMMYFUNCTION("""COMPUTED_VALUE"""),44571.0)</f>
        <v>44571</v>
      </c>
      <c r="E135" s="13">
        <f>IFERROR(__xludf.DUMMYFUNCTION("""COMPUTED_VALUE"""),0.3919444444436522)</f>
        <v>0.3919444444</v>
      </c>
      <c r="F135" s="10" t="str">
        <f>IFERROR(__xludf.DUMMYFUNCTION("""COMPUTED_VALUE"""),"Negative")</f>
        <v>Negative</v>
      </c>
      <c r="G135" s="10">
        <f>IFERROR(__xludf.DUMMYFUNCTION("""COMPUTED_VALUE"""),1.0)</f>
        <v>1</v>
      </c>
    </row>
    <row r="136">
      <c r="A136" s="6" t="str">
        <f>IFERROR(__xludf.DUMMYFUNCTION("""COMPUTED_VALUE"""),"MA332")</f>
        <v>MA332</v>
      </c>
      <c r="B136" s="6" t="str">
        <f>IFERROR(__xludf.DUMMYFUNCTION("""COMPUTED_VALUE"""),"RUN-BEND_2022-01-10_RFR-012")</f>
        <v>RUN-BEND_2022-01-10_RFR-012</v>
      </c>
      <c r="C136" s="7">
        <f>VLOOKUP(B136,'Run Reconcile'!A$2:B809,2,FALSE)</f>
        <v>44571</v>
      </c>
      <c r="D136" s="12">
        <f>IFERROR(__xludf.DUMMYFUNCTION("""COMPUTED_VALUE"""),44571.0)</f>
        <v>44571</v>
      </c>
      <c r="E136" s="13">
        <f>IFERROR(__xludf.DUMMYFUNCTION("""COMPUTED_VALUE"""),0.3924884259249666)</f>
        <v>0.3924884259</v>
      </c>
      <c r="F136" s="10" t="str">
        <f>IFERROR(__xludf.DUMMYFUNCTION("""COMPUTED_VALUE"""),"Negative")</f>
        <v>Negative</v>
      </c>
      <c r="G136" s="10">
        <f>IFERROR(__xludf.DUMMYFUNCTION("""COMPUTED_VALUE"""),1.0)</f>
        <v>1</v>
      </c>
    </row>
    <row r="137">
      <c r="A137" s="6" t="str">
        <f>IFERROR(__xludf.DUMMYFUNCTION("""COMPUTED_VALUE"""),"MA341")</f>
        <v>MA341</v>
      </c>
      <c r="B137" s="6" t="str">
        <f>IFERROR(__xludf.DUMMYFUNCTION("""COMPUTED_VALUE"""),"RUN-BEND_2022-01-10_RFR-012")</f>
        <v>RUN-BEND_2022-01-10_RFR-012</v>
      </c>
      <c r="C137" s="7">
        <f>VLOOKUP(B137,'Run Reconcile'!A$2:B809,2,FALSE)</f>
        <v>44571</v>
      </c>
      <c r="D137" s="12">
        <f>IFERROR(__xludf.DUMMYFUNCTION("""COMPUTED_VALUE"""),44571.0)</f>
        <v>44571</v>
      </c>
      <c r="E137" s="13">
        <f>IFERROR(__xludf.DUMMYFUNCTION("""COMPUTED_VALUE"""),0.39289351851766696)</f>
        <v>0.3928935185</v>
      </c>
      <c r="F137" s="10" t="str">
        <f>IFERROR(__xludf.DUMMYFUNCTION("""COMPUTED_VALUE"""),"Positive")</f>
        <v>Positive</v>
      </c>
      <c r="G137" s="10">
        <f>IFERROR(__xludf.DUMMYFUNCTION("""COMPUTED_VALUE"""),1.0)</f>
        <v>1</v>
      </c>
    </row>
    <row r="138">
      <c r="A138" s="6" t="str">
        <f>IFERROR(__xludf.DUMMYFUNCTION("""COMPUTED_VALUE"""),"MA474")</f>
        <v>MA474</v>
      </c>
      <c r="B138" s="6" t="str">
        <f>IFERROR(__xludf.DUMMYFUNCTION("""COMPUTED_VALUE"""),"RUN-BEND_2022-01-10_RFR-012")</f>
        <v>RUN-BEND_2022-01-10_RFR-012</v>
      </c>
      <c r="C138" s="7">
        <f>VLOOKUP(B138,'Run Reconcile'!A$2:B809,2,FALSE)</f>
        <v>44571</v>
      </c>
      <c r="D138" s="12">
        <f>IFERROR(__xludf.DUMMYFUNCTION("""COMPUTED_VALUE"""),44571.0)</f>
        <v>44571</v>
      </c>
      <c r="E138" s="13">
        <f>IFERROR(__xludf.DUMMYFUNCTION("""COMPUTED_VALUE"""),0.4259490740732872)</f>
        <v>0.4259490741</v>
      </c>
      <c r="F138" s="10" t="str">
        <f>IFERROR(__xludf.DUMMYFUNCTION("""COMPUTED_VALUE"""),"Negative")</f>
        <v>Negative</v>
      </c>
      <c r="G138" s="10">
        <f>IFERROR(__xludf.DUMMYFUNCTION("""COMPUTED_VALUE"""),1.0)</f>
        <v>1</v>
      </c>
    </row>
    <row r="139">
      <c r="A139" s="6" t="str">
        <f>IFERROR(__xludf.DUMMYFUNCTION("""COMPUTED_VALUE"""),"MA435")</f>
        <v>MA435</v>
      </c>
      <c r="B139" s="6" t="str">
        <f>IFERROR(__xludf.DUMMYFUNCTION("""COMPUTED_VALUE"""),"RUN-BEND_2022-01-10_RFR-012")</f>
        <v>RUN-BEND_2022-01-10_RFR-012</v>
      </c>
      <c r="C139" s="7">
        <f>VLOOKUP(B139,'Run Reconcile'!A$2:B809,2,FALSE)</f>
        <v>44571</v>
      </c>
      <c r="D139" s="12">
        <f>IFERROR(__xludf.DUMMYFUNCTION("""COMPUTED_VALUE"""),44571.0)</f>
        <v>44571</v>
      </c>
      <c r="E139" s="13">
        <f>IFERROR(__xludf.DUMMYFUNCTION("""COMPUTED_VALUE"""),0.42716435185138835)</f>
        <v>0.4271643519</v>
      </c>
      <c r="F139" s="10" t="str">
        <f>IFERROR(__xludf.DUMMYFUNCTION("""COMPUTED_VALUE"""),"Positive")</f>
        <v>Positive</v>
      </c>
      <c r="G139" s="10">
        <f>IFERROR(__xludf.DUMMYFUNCTION("""COMPUTED_VALUE"""),1.0)</f>
        <v>1</v>
      </c>
    </row>
    <row r="140">
      <c r="A140" s="6" t="str">
        <f>IFERROR(__xludf.DUMMYFUNCTION("""COMPUTED_VALUE"""),"MA436")</f>
        <v>MA436</v>
      </c>
      <c r="B140" s="6" t="str">
        <f>IFERROR(__xludf.DUMMYFUNCTION("""COMPUTED_VALUE"""),"RUN-BEND_2022-01-10_RFR-012")</f>
        <v>RUN-BEND_2022-01-10_RFR-012</v>
      </c>
      <c r="C140" s="7">
        <f>VLOOKUP(B140,'Run Reconcile'!A$2:B809,2,FALSE)</f>
        <v>44571</v>
      </c>
      <c r="D140" s="12">
        <f>IFERROR(__xludf.DUMMYFUNCTION("""COMPUTED_VALUE"""),44571.0)</f>
        <v>44571</v>
      </c>
      <c r="E140" s="13">
        <f>IFERROR(__xludf.DUMMYFUNCTION("""COMPUTED_VALUE"""),0.42811342592540313)</f>
        <v>0.4281134259</v>
      </c>
      <c r="F140" s="10" t="str">
        <f>IFERROR(__xludf.DUMMYFUNCTION("""COMPUTED_VALUE"""),"Negative")</f>
        <v>Negative</v>
      </c>
      <c r="G140" s="10">
        <f>IFERROR(__xludf.DUMMYFUNCTION("""COMPUTED_VALUE"""),1.0)</f>
        <v>1</v>
      </c>
    </row>
    <row r="141">
      <c r="A141" s="6" t="str">
        <f>IFERROR(__xludf.DUMMYFUNCTION("""COMPUTED_VALUE"""),"MA468")</f>
        <v>MA468</v>
      </c>
      <c r="B141" s="6" t="str">
        <f>IFERROR(__xludf.DUMMYFUNCTION("""COMPUTED_VALUE"""),"RUN-BEND_2022-01-10_RFR-012")</f>
        <v>RUN-BEND_2022-01-10_RFR-012</v>
      </c>
      <c r="C141" s="7">
        <f>VLOOKUP(B141,'Run Reconcile'!A$2:B809,2,FALSE)</f>
        <v>44571</v>
      </c>
      <c r="D141" s="12">
        <f>IFERROR(__xludf.DUMMYFUNCTION("""COMPUTED_VALUE"""),44571.0)</f>
        <v>44571</v>
      </c>
      <c r="E141" s="13">
        <f>IFERROR(__xludf.DUMMYFUNCTION("""COMPUTED_VALUE"""),0.42861111111051287)</f>
        <v>0.4286111111</v>
      </c>
      <c r="F141" s="10" t="str">
        <f>IFERROR(__xludf.DUMMYFUNCTION("""COMPUTED_VALUE"""),"Negative")</f>
        <v>Negative</v>
      </c>
      <c r="G141" s="10">
        <f>IFERROR(__xludf.DUMMYFUNCTION("""COMPUTED_VALUE"""),1.0)</f>
        <v>1</v>
      </c>
    </row>
    <row r="142">
      <c r="A142" s="6" t="str">
        <f>IFERROR(__xludf.DUMMYFUNCTION("""COMPUTED_VALUE"""),"MA622")</f>
        <v>MA622</v>
      </c>
      <c r="B142" s="6" t="str">
        <f>IFERROR(__xludf.DUMMYFUNCTION("""COMPUTED_VALUE"""),"RUN-BEND_2022-01-10_RFR-012")</f>
        <v>RUN-BEND_2022-01-10_RFR-012</v>
      </c>
      <c r="C142" s="7">
        <f>VLOOKUP(B142,'Run Reconcile'!A$2:B809,2,FALSE)</f>
        <v>44571</v>
      </c>
      <c r="D142" s="12">
        <f>IFERROR(__xludf.DUMMYFUNCTION("""COMPUTED_VALUE"""),44571.0)</f>
        <v>44571</v>
      </c>
      <c r="E142" s="13">
        <f>IFERROR(__xludf.DUMMYFUNCTION("""COMPUTED_VALUE"""),0.42901620370321325)</f>
        <v>0.4290162037</v>
      </c>
      <c r="F142" s="10" t="str">
        <f>IFERROR(__xludf.DUMMYFUNCTION("""COMPUTED_VALUE"""),"Negative")</f>
        <v>Negative</v>
      </c>
      <c r="G142" s="10">
        <f>IFERROR(__xludf.DUMMYFUNCTION("""COMPUTED_VALUE"""),1.0)</f>
        <v>1</v>
      </c>
    </row>
    <row r="143">
      <c r="A143" s="6" t="str">
        <f>IFERROR(__xludf.DUMMYFUNCTION("""COMPUTED_VALUE"""),"MA653")</f>
        <v>MA653</v>
      </c>
      <c r="B143" s="6" t="str">
        <f>IFERROR(__xludf.DUMMYFUNCTION("""COMPUTED_VALUE"""),"RUN-BEND_2022-01-10_RFR-012")</f>
        <v>RUN-BEND_2022-01-10_RFR-012</v>
      </c>
      <c r="C143" s="7">
        <f>VLOOKUP(B143,'Run Reconcile'!A$2:B809,2,FALSE)</f>
        <v>44571</v>
      </c>
      <c r="D143" s="12">
        <f>IFERROR(__xludf.DUMMYFUNCTION("""COMPUTED_VALUE"""),44571.0)</f>
        <v>44571</v>
      </c>
      <c r="E143" s="13">
        <f>IFERROR(__xludf.DUMMYFUNCTION("""COMPUTED_VALUE"""),0.42944444444583496)</f>
        <v>0.4294444444</v>
      </c>
      <c r="F143" s="10" t="str">
        <f>IFERROR(__xludf.DUMMYFUNCTION("""COMPUTED_VALUE"""),"Negative")</f>
        <v>Negative</v>
      </c>
      <c r="G143" s="10">
        <f>IFERROR(__xludf.DUMMYFUNCTION("""COMPUTED_VALUE"""),1.0)</f>
        <v>1</v>
      </c>
    </row>
    <row r="144">
      <c r="A144" s="6" t="str">
        <f>IFERROR(__xludf.DUMMYFUNCTION("""COMPUTED_VALUE"""),"MA683")</f>
        <v>MA683</v>
      </c>
      <c r="B144" s="6" t="str">
        <f>IFERROR(__xludf.DUMMYFUNCTION("""COMPUTED_VALUE"""),"RUN-BEND_2022-01-12_RFR-013")</f>
        <v>RUN-BEND_2022-01-12_RFR-013</v>
      </c>
      <c r="C144" s="7">
        <f>VLOOKUP(B144,'Run Reconcile'!A$2:B809,2,FALSE)</f>
        <v>44573</v>
      </c>
      <c r="D144" s="12">
        <f>IFERROR(__xludf.DUMMYFUNCTION("""COMPUTED_VALUE"""),44573.0)</f>
        <v>44573</v>
      </c>
      <c r="E144" s="13">
        <f>IFERROR(__xludf.DUMMYFUNCTION("""COMPUTED_VALUE"""),0.2809953703690553)</f>
        <v>0.2809953704</v>
      </c>
      <c r="F144" s="10" t="str">
        <f>IFERROR(__xludf.DUMMYFUNCTION("""COMPUTED_VALUE"""),"Negative")</f>
        <v>Negative</v>
      </c>
      <c r="G144" s="10">
        <f>IFERROR(__xludf.DUMMYFUNCTION("""COMPUTED_VALUE"""),1.0)</f>
        <v>1</v>
      </c>
    </row>
    <row r="145">
      <c r="A145" s="6" t="str">
        <f>IFERROR(__xludf.DUMMYFUNCTION("""COMPUTED_VALUE"""),"MAX128")</f>
        <v>MAX128</v>
      </c>
      <c r="B145" s="6" t="str">
        <f>IFERROR(__xludf.DUMMYFUNCTION("""COMPUTED_VALUE"""),"RUN-BEND_2022-01-12_RFR-013")</f>
        <v>RUN-BEND_2022-01-12_RFR-013</v>
      </c>
      <c r="C145" s="7">
        <f>VLOOKUP(B145,'Run Reconcile'!A$2:B809,2,FALSE)</f>
        <v>44573</v>
      </c>
      <c r="D145" s="12">
        <f>IFERROR(__xludf.DUMMYFUNCTION("""COMPUTED_VALUE"""),44573.0)</f>
        <v>44573</v>
      </c>
      <c r="E145" s="13">
        <f>IFERROR(__xludf.DUMMYFUNCTION("""COMPUTED_VALUE"""),0.2877430555563478)</f>
        <v>0.2877430556</v>
      </c>
      <c r="F145" s="10" t="str">
        <f>IFERROR(__xludf.DUMMYFUNCTION("""COMPUTED_VALUE"""),"Negative")</f>
        <v>Negative</v>
      </c>
      <c r="G145" s="10">
        <f>IFERROR(__xludf.DUMMYFUNCTION("""COMPUTED_VALUE"""),1.0)</f>
        <v>1</v>
      </c>
    </row>
    <row r="146">
      <c r="A146" s="6" t="str">
        <f>IFERROR(__xludf.DUMMYFUNCTION("""COMPUTED_VALUE"""),"MA634")</f>
        <v>MA634</v>
      </c>
      <c r="B146" s="6" t="str">
        <f>IFERROR(__xludf.DUMMYFUNCTION("""COMPUTED_VALUE"""),"RUN-BEND_2022-01-12_RFR-013")</f>
        <v>RUN-BEND_2022-01-12_RFR-013</v>
      </c>
      <c r="C146" s="7">
        <f>VLOOKUP(B146,'Run Reconcile'!A$2:B809,2,FALSE)</f>
        <v>44573</v>
      </c>
      <c r="D146" s="12">
        <f>IFERROR(__xludf.DUMMYFUNCTION("""COMPUTED_VALUE"""),44573.0)</f>
        <v>44573</v>
      </c>
      <c r="E146" s="13">
        <f>IFERROR(__xludf.DUMMYFUNCTION("""COMPUTED_VALUE"""),0.2912037037021946)</f>
        <v>0.2912037037</v>
      </c>
      <c r="F146" s="10" t="str">
        <f>IFERROR(__xludf.DUMMYFUNCTION("""COMPUTED_VALUE"""),"Negative")</f>
        <v>Negative</v>
      </c>
      <c r="G146" s="10">
        <f>IFERROR(__xludf.DUMMYFUNCTION("""COMPUTED_VALUE"""),1.0)</f>
        <v>1</v>
      </c>
    </row>
    <row r="147">
      <c r="A147" s="6" t="str">
        <f>IFERROR(__xludf.DUMMYFUNCTION("""COMPUTED_VALUE"""),"MA658")</f>
        <v>MA658</v>
      </c>
      <c r="B147" s="6" t="str">
        <f>IFERROR(__xludf.DUMMYFUNCTION("""COMPUTED_VALUE"""),"RUN-BEND_2022-01-12_RFR-013")</f>
        <v>RUN-BEND_2022-01-12_RFR-013</v>
      </c>
      <c r="C147" s="7">
        <f>VLOOKUP(B147,'Run Reconcile'!A$2:B809,2,FALSE)</f>
        <v>44573</v>
      </c>
      <c r="D147" s="12">
        <f>IFERROR(__xludf.DUMMYFUNCTION("""COMPUTED_VALUE"""),44573.0)</f>
        <v>44573</v>
      </c>
      <c r="E147" s="13">
        <f>IFERROR(__xludf.DUMMYFUNCTION("""COMPUTED_VALUE"""),0.29791666666642413)</f>
        <v>0.2979166667</v>
      </c>
      <c r="F147" s="10" t="str">
        <f>IFERROR(__xludf.DUMMYFUNCTION("""COMPUTED_VALUE"""),"Negative")</f>
        <v>Negative</v>
      </c>
      <c r="G147" s="10">
        <f>IFERROR(__xludf.DUMMYFUNCTION("""COMPUTED_VALUE"""),1.0)</f>
        <v>1</v>
      </c>
    </row>
    <row r="148">
      <c r="A148" s="6" t="str">
        <f>IFERROR(__xludf.DUMMYFUNCTION("""COMPUTED_VALUE"""),"MA700")</f>
        <v>MA700</v>
      </c>
      <c r="B148" s="6" t="str">
        <f>IFERROR(__xludf.DUMMYFUNCTION("""COMPUTED_VALUE"""),"RUN-BEND_2022-01-12_RFR-013")</f>
        <v>RUN-BEND_2022-01-12_RFR-013</v>
      </c>
      <c r="C148" s="7">
        <f>VLOOKUP(B148,'Run Reconcile'!A$2:B809,2,FALSE)</f>
        <v>44573</v>
      </c>
      <c r="D148" s="12">
        <f>IFERROR(__xludf.DUMMYFUNCTION("""COMPUTED_VALUE"""),44573.0)</f>
        <v>44573</v>
      </c>
      <c r="E148" s="13">
        <f>IFERROR(__xludf.DUMMYFUNCTION("""COMPUTED_VALUE"""),0.3182754629633564)</f>
        <v>0.318275463</v>
      </c>
      <c r="F148" s="10" t="str">
        <f>IFERROR(__xludf.DUMMYFUNCTION("""COMPUTED_VALUE"""),"Negative")</f>
        <v>Negative</v>
      </c>
      <c r="G148" s="10">
        <f>IFERROR(__xludf.DUMMYFUNCTION("""COMPUTED_VALUE"""),1.0)</f>
        <v>1</v>
      </c>
    </row>
    <row r="149">
      <c r="A149" s="6" t="str">
        <f>IFERROR(__xludf.DUMMYFUNCTION("""COMPUTED_VALUE"""),"MA1156")</f>
        <v>MA1156</v>
      </c>
      <c r="B149" s="6" t="str">
        <f>IFERROR(__xludf.DUMMYFUNCTION("""COMPUTED_VALUE"""),"RUN-BEND_2022-01-12_RFR-013")</f>
        <v>RUN-BEND_2022-01-12_RFR-013</v>
      </c>
      <c r="C149" s="7">
        <f>VLOOKUP(B149,'Run Reconcile'!A$2:B809,2,FALSE)</f>
        <v>44573</v>
      </c>
      <c r="D149" s="12">
        <f>IFERROR(__xludf.DUMMYFUNCTION("""COMPUTED_VALUE"""),44573.0)</f>
        <v>44573</v>
      </c>
      <c r="E149" s="13">
        <f>IFERROR(__xludf.DUMMYFUNCTION("""COMPUTED_VALUE"""),0.32337962962992606)</f>
        <v>0.3233796296</v>
      </c>
      <c r="F149" s="10" t="str">
        <f>IFERROR(__xludf.DUMMYFUNCTION("""COMPUTED_VALUE"""),"Positive")</f>
        <v>Positive</v>
      </c>
      <c r="G149" s="10">
        <f>IFERROR(__xludf.DUMMYFUNCTION("""COMPUTED_VALUE"""),1.0)</f>
        <v>1</v>
      </c>
    </row>
    <row r="150">
      <c r="A150" s="6" t="str">
        <f>IFERROR(__xludf.DUMMYFUNCTION("""COMPUTED_VALUE"""),"MA1077")</f>
        <v>MA1077</v>
      </c>
      <c r="B150" s="6" t="str">
        <f>IFERROR(__xludf.DUMMYFUNCTION("""COMPUTED_VALUE"""),"RUN-BEND_2022-01-12_RFR-013")</f>
        <v>RUN-BEND_2022-01-12_RFR-013</v>
      </c>
      <c r="C150" s="7">
        <f>VLOOKUP(B150,'Run Reconcile'!A$2:B809,2,FALSE)</f>
        <v>44573</v>
      </c>
      <c r="D150" s="12">
        <f>IFERROR(__xludf.DUMMYFUNCTION("""COMPUTED_VALUE"""),44573.0)</f>
        <v>44573</v>
      </c>
      <c r="E150" s="13">
        <f>IFERROR(__xludf.DUMMYFUNCTION("""COMPUTED_VALUE"""),0.32855324073898373)</f>
        <v>0.3285532407</v>
      </c>
      <c r="F150" s="10" t="str">
        <f>IFERROR(__xludf.DUMMYFUNCTION("""COMPUTED_VALUE"""),"Negative")</f>
        <v>Negative</v>
      </c>
      <c r="G150" s="10">
        <f>IFERROR(__xludf.DUMMYFUNCTION("""COMPUTED_VALUE"""),1.0)</f>
        <v>1</v>
      </c>
    </row>
    <row r="151">
      <c r="A151" s="6" t="str">
        <f>IFERROR(__xludf.DUMMYFUNCTION("""COMPUTED_VALUE"""),"MA633")</f>
        <v>MA633</v>
      </c>
      <c r="B151" s="6" t="str">
        <f>IFERROR(__xludf.DUMMYFUNCTION("""COMPUTED_VALUE"""),"RUN-BEND_2022-01-12_RFR-013")</f>
        <v>RUN-BEND_2022-01-12_RFR-013</v>
      </c>
      <c r="C151" s="7">
        <f>VLOOKUP(B151,'Run Reconcile'!A$2:B809,2,FALSE)</f>
        <v>44573</v>
      </c>
      <c r="D151" s="12">
        <f>IFERROR(__xludf.DUMMYFUNCTION("""COMPUTED_VALUE"""),44573.0)</f>
        <v>44573</v>
      </c>
      <c r="E151" s="13">
        <f>IFERROR(__xludf.DUMMYFUNCTION("""COMPUTED_VALUE"""),0.3347800925912452)</f>
        <v>0.3347800926</v>
      </c>
      <c r="F151" s="10" t="str">
        <f>IFERROR(__xludf.DUMMYFUNCTION("""COMPUTED_VALUE"""),"Negative")</f>
        <v>Negative</v>
      </c>
      <c r="G151" s="10">
        <f>IFERROR(__xludf.DUMMYFUNCTION("""COMPUTED_VALUE"""),1.0)</f>
        <v>1</v>
      </c>
    </row>
    <row r="152">
      <c r="A152" s="6" t="str">
        <f>IFERROR(__xludf.DUMMYFUNCTION("""COMPUTED_VALUE"""),"MA1217")</f>
        <v>MA1217</v>
      </c>
      <c r="B152" s="6" t="str">
        <f>IFERROR(__xludf.DUMMYFUNCTION("""COMPUTED_VALUE"""),"RUN-BEND_2022-01-12_RFR-013")</f>
        <v>RUN-BEND_2022-01-12_RFR-013</v>
      </c>
      <c r="C152" s="7">
        <f>VLOOKUP(B152,'Run Reconcile'!A$2:B809,2,FALSE)</f>
        <v>44573</v>
      </c>
      <c r="D152" s="12">
        <f>IFERROR(__xludf.DUMMYFUNCTION("""COMPUTED_VALUE"""),44573.0)</f>
        <v>44573</v>
      </c>
      <c r="E152" s="13">
        <f>IFERROR(__xludf.DUMMYFUNCTION("""COMPUTED_VALUE"""),0.3476504629616102)</f>
        <v>0.347650463</v>
      </c>
      <c r="F152" s="10" t="str">
        <f>IFERROR(__xludf.DUMMYFUNCTION("""COMPUTED_VALUE"""),"Negative")</f>
        <v>Negative</v>
      </c>
      <c r="G152" s="10">
        <f>IFERROR(__xludf.DUMMYFUNCTION("""COMPUTED_VALUE"""),1.0)</f>
        <v>1</v>
      </c>
    </row>
    <row r="153">
      <c r="A153" s="6" t="str">
        <f>IFERROR(__xludf.DUMMYFUNCTION("""COMPUTED_VALUE"""),"MA396")</f>
        <v>MA396</v>
      </c>
      <c r="B153" s="6" t="str">
        <f>IFERROR(__xludf.DUMMYFUNCTION("""COMPUTED_VALUE"""),"RUN-BEND_2022-01-12_RFR-013")</f>
        <v>RUN-BEND_2022-01-12_RFR-013</v>
      </c>
      <c r="C153" s="7">
        <f>VLOOKUP(B153,'Run Reconcile'!A$2:B809,2,FALSE)</f>
        <v>44573</v>
      </c>
      <c r="D153" s="12">
        <f>IFERROR(__xludf.DUMMYFUNCTION("""COMPUTED_VALUE"""),44573.0)</f>
        <v>44573</v>
      </c>
      <c r="E153" s="13">
        <f>IFERROR(__xludf.DUMMYFUNCTION("""COMPUTED_VALUE"""),0.3486574074086093)</f>
        <v>0.3486574074</v>
      </c>
      <c r="F153" s="10" t="str">
        <f>IFERROR(__xludf.DUMMYFUNCTION("""COMPUTED_VALUE"""),"Negative")</f>
        <v>Negative</v>
      </c>
      <c r="G153" s="10">
        <f>IFERROR(__xludf.DUMMYFUNCTION("""COMPUTED_VALUE"""),1.0)</f>
        <v>1</v>
      </c>
    </row>
    <row r="154">
      <c r="A154" s="6" t="str">
        <f>IFERROR(__xludf.DUMMYFUNCTION("""COMPUTED_VALUE"""),"MA1199")</f>
        <v>MA1199</v>
      </c>
      <c r="B154" s="6" t="str">
        <f>IFERROR(__xludf.DUMMYFUNCTION("""COMPUTED_VALUE"""),"RUN-BEND_2022-01-12_RFR-013")</f>
        <v>RUN-BEND_2022-01-12_RFR-013</v>
      </c>
      <c r="C154" s="7">
        <f>VLOOKUP(B154,'Run Reconcile'!A$2:B809,2,FALSE)</f>
        <v>44573</v>
      </c>
      <c r="D154" s="12">
        <f>IFERROR(__xludf.DUMMYFUNCTION("""COMPUTED_VALUE"""),44573.0)</f>
        <v>44573</v>
      </c>
      <c r="E154" s="13">
        <f>IFERROR(__xludf.DUMMYFUNCTION("""COMPUTED_VALUE"""),0.3503009259256942)</f>
        <v>0.3503009259</v>
      </c>
      <c r="F154" s="10" t="str">
        <f>IFERROR(__xludf.DUMMYFUNCTION("""COMPUTED_VALUE"""),"Negative")</f>
        <v>Negative</v>
      </c>
      <c r="G154" s="10">
        <f>IFERROR(__xludf.DUMMYFUNCTION("""COMPUTED_VALUE"""),1.0)</f>
        <v>1</v>
      </c>
    </row>
    <row r="155">
      <c r="A155" s="6" t="str">
        <f>IFERROR(__xludf.DUMMYFUNCTION("""COMPUTED_VALUE"""),"MAX98")</f>
        <v>MAX98</v>
      </c>
      <c r="B155" s="6" t="str">
        <f>IFERROR(__xludf.DUMMYFUNCTION("""COMPUTED_VALUE"""),"RUN-BEND_2022-01-12_RFR-013")</f>
        <v>RUN-BEND_2022-01-12_RFR-013</v>
      </c>
      <c r="C155" s="7">
        <f>VLOOKUP(B155,'Run Reconcile'!A$2:B809,2,FALSE)</f>
        <v>44573</v>
      </c>
      <c r="D155" s="12">
        <f>IFERROR(__xludf.DUMMYFUNCTION("""COMPUTED_VALUE"""),44573.0)</f>
        <v>44573</v>
      </c>
      <c r="E155" s="13">
        <f>IFERROR(__xludf.DUMMYFUNCTION("""COMPUTED_VALUE"""),0.38329861111196806)</f>
        <v>0.3832986111</v>
      </c>
      <c r="F155" s="10" t="str">
        <f>IFERROR(__xludf.DUMMYFUNCTION("""COMPUTED_VALUE"""),"Negative")</f>
        <v>Negative</v>
      </c>
      <c r="G155" s="10">
        <f>IFERROR(__xludf.DUMMYFUNCTION("""COMPUTED_VALUE"""),1.0)</f>
        <v>1</v>
      </c>
    </row>
    <row r="156">
      <c r="A156" s="6" t="str">
        <f>IFERROR(__xludf.DUMMYFUNCTION("""COMPUTED_VALUE"""),"MAX20")</f>
        <v>MAX20</v>
      </c>
      <c r="B156" s="6" t="str">
        <f>IFERROR(__xludf.DUMMYFUNCTION("""COMPUTED_VALUE"""),"RUN-BEND_2022-01-12_RFR-013")</f>
        <v>RUN-BEND_2022-01-12_RFR-013</v>
      </c>
      <c r="C156" s="7">
        <f>VLOOKUP(B156,'Run Reconcile'!A$2:B809,2,FALSE)</f>
        <v>44573</v>
      </c>
      <c r="D156" s="12">
        <f>IFERROR(__xludf.DUMMYFUNCTION("""COMPUTED_VALUE"""),44573.0)</f>
        <v>44573</v>
      </c>
      <c r="E156" s="13">
        <f>IFERROR(__xludf.DUMMYFUNCTION("""COMPUTED_VALUE"""),0.38359953703547944)</f>
        <v>0.383599537</v>
      </c>
      <c r="F156" s="10" t="str">
        <f>IFERROR(__xludf.DUMMYFUNCTION("""COMPUTED_VALUE"""),"Positive")</f>
        <v>Positive</v>
      </c>
      <c r="G156" s="10">
        <f>IFERROR(__xludf.DUMMYFUNCTION("""COMPUTED_VALUE"""),1.0)</f>
        <v>1</v>
      </c>
    </row>
    <row r="157">
      <c r="A157" s="6" t="str">
        <f>IFERROR(__xludf.DUMMYFUNCTION("""COMPUTED_VALUE"""),"MAX107")</f>
        <v>MAX107</v>
      </c>
      <c r="B157" s="6" t="str">
        <f>IFERROR(__xludf.DUMMYFUNCTION("""COMPUTED_VALUE"""),"RUN-BEND_2022-01-12_RFR-013")</f>
        <v>RUN-BEND_2022-01-12_RFR-013</v>
      </c>
      <c r="C157" s="7">
        <f>VLOOKUP(B157,'Run Reconcile'!A$2:B809,2,FALSE)</f>
        <v>44573</v>
      </c>
      <c r="D157" s="12">
        <f>IFERROR(__xludf.DUMMYFUNCTION("""COMPUTED_VALUE"""),44573.0)</f>
        <v>44573</v>
      </c>
      <c r="E157" s="13">
        <f>IFERROR(__xludf.DUMMYFUNCTION("""COMPUTED_VALUE"""),0.3853819444448163)</f>
        <v>0.3853819444</v>
      </c>
      <c r="F157" s="10" t="str">
        <f>IFERROR(__xludf.DUMMYFUNCTION("""COMPUTED_VALUE"""),"Negative")</f>
        <v>Negative</v>
      </c>
      <c r="G157" s="10">
        <f>IFERROR(__xludf.DUMMYFUNCTION("""COMPUTED_VALUE"""),1.0)</f>
        <v>1</v>
      </c>
    </row>
    <row r="158">
      <c r="A158" s="6" t="str">
        <f>IFERROR(__xludf.DUMMYFUNCTION("""COMPUTED_VALUE"""),"MAX72")</f>
        <v>MAX72</v>
      </c>
      <c r="B158" s="6" t="str">
        <f>IFERROR(__xludf.DUMMYFUNCTION("""COMPUTED_VALUE"""),"RUN-BEND_2022-01-12_RFR-013")</f>
        <v>RUN-BEND_2022-01-12_RFR-013</v>
      </c>
      <c r="C158" s="7">
        <f>VLOOKUP(B158,'Run Reconcile'!A$2:B809,2,FALSE)</f>
        <v>44573</v>
      </c>
      <c r="D158" s="12">
        <f>IFERROR(__xludf.DUMMYFUNCTION("""COMPUTED_VALUE"""),44573.0)</f>
        <v>44573</v>
      </c>
      <c r="E158" s="13">
        <f>IFERROR(__xludf.DUMMYFUNCTION("""COMPUTED_VALUE"""),0.38585648148000473)</f>
        <v>0.3858564815</v>
      </c>
      <c r="F158" s="10" t="str">
        <f>IFERROR(__xludf.DUMMYFUNCTION("""COMPUTED_VALUE"""),"Positive")</f>
        <v>Positive</v>
      </c>
      <c r="G158" s="10">
        <f>IFERROR(__xludf.DUMMYFUNCTION("""COMPUTED_VALUE"""),1.0)</f>
        <v>1</v>
      </c>
    </row>
    <row r="159">
      <c r="A159" s="6" t="str">
        <f>IFERROR(__xludf.DUMMYFUNCTION("""COMPUTED_VALUE"""),"MAX81")</f>
        <v>MAX81</v>
      </c>
      <c r="B159" s="6" t="str">
        <f>IFERROR(__xludf.DUMMYFUNCTION("""COMPUTED_VALUE"""),"RUN-BEND_2022-01-12_RFR-013")</f>
        <v>RUN-BEND_2022-01-12_RFR-013</v>
      </c>
      <c r="C159" s="7">
        <f>VLOOKUP(B159,'Run Reconcile'!A$2:B809,2,FALSE)</f>
        <v>44573</v>
      </c>
      <c r="D159" s="12">
        <f>IFERROR(__xludf.DUMMYFUNCTION("""COMPUTED_VALUE"""),44573.0)</f>
        <v>44573</v>
      </c>
      <c r="E159" s="13">
        <f>IFERROR(__xludf.DUMMYFUNCTION("""COMPUTED_VALUE"""),0.38631944444568944)</f>
        <v>0.3863194444</v>
      </c>
      <c r="F159" s="10" t="str">
        <f>IFERROR(__xludf.DUMMYFUNCTION("""COMPUTED_VALUE"""),"Negative")</f>
        <v>Negative</v>
      </c>
      <c r="G159" s="10">
        <f>IFERROR(__xludf.DUMMYFUNCTION("""COMPUTED_VALUE"""),1.0)</f>
        <v>1</v>
      </c>
    </row>
    <row r="160">
      <c r="A160" s="6" t="str">
        <f>IFERROR(__xludf.DUMMYFUNCTION("""COMPUTED_VALUE"""),"MAX36")</f>
        <v>MAX36</v>
      </c>
      <c r="B160" s="6" t="str">
        <f>IFERROR(__xludf.DUMMYFUNCTION("""COMPUTED_VALUE"""),"RUN-BEND_2022-01-12_RFR-013")</f>
        <v>RUN-BEND_2022-01-12_RFR-013</v>
      </c>
      <c r="C160" s="7">
        <f>VLOOKUP(B160,'Run Reconcile'!A$2:B809,2,FALSE)</f>
        <v>44573</v>
      </c>
      <c r="D160" s="12">
        <f>IFERROR(__xludf.DUMMYFUNCTION("""COMPUTED_VALUE"""),44573.0)</f>
        <v>44573</v>
      </c>
      <c r="E160" s="13">
        <f>IFERROR(__xludf.DUMMYFUNCTION("""COMPUTED_VALUE"""),0.38694444444263354)</f>
        <v>0.3869444444</v>
      </c>
      <c r="F160" s="10" t="str">
        <f>IFERROR(__xludf.DUMMYFUNCTION("""COMPUTED_VALUE"""),"Positive")</f>
        <v>Positive</v>
      </c>
      <c r="G160" s="10">
        <f>IFERROR(__xludf.DUMMYFUNCTION("""COMPUTED_VALUE"""),1.0)</f>
        <v>1</v>
      </c>
    </row>
    <row r="161">
      <c r="A161" s="6" t="str">
        <f>IFERROR(__xludf.DUMMYFUNCTION("""COMPUTED_VALUE"""),"MAX104")</f>
        <v>MAX104</v>
      </c>
      <c r="B161" s="6" t="str">
        <f>IFERROR(__xludf.DUMMYFUNCTION("""COMPUTED_VALUE"""),"RUN-BEND_2022-01-12_RFR-013")</f>
        <v>RUN-BEND_2022-01-12_RFR-013</v>
      </c>
      <c r="C161" s="7">
        <f>VLOOKUP(B161,'Run Reconcile'!A$2:B809,2,FALSE)</f>
        <v>44573</v>
      </c>
      <c r="D161" s="12">
        <f>IFERROR(__xludf.DUMMYFUNCTION("""COMPUTED_VALUE"""),44573.0)</f>
        <v>44573</v>
      </c>
      <c r="E161" s="13">
        <f>IFERROR(__xludf.DUMMYFUNCTION("""COMPUTED_VALUE"""),0.3873263888890506)</f>
        <v>0.3873263889</v>
      </c>
      <c r="F161" s="10" t="str">
        <f>IFERROR(__xludf.DUMMYFUNCTION("""COMPUTED_VALUE"""),"Negative")</f>
        <v>Negative</v>
      </c>
      <c r="G161" s="10">
        <f>IFERROR(__xludf.DUMMYFUNCTION("""COMPUTED_VALUE"""),1.0)</f>
        <v>1</v>
      </c>
    </row>
    <row r="162">
      <c r="A162" s="6" t="str">
        <f>IFERROR(__xludf.DUMMYFUNCTION("""COMPUTED_VALUE"""),"MA1107")</f>
        <v>MA1107</v>
      </c>
      <c r="B162" s="6" t="str">
        <f>IFERROR(__xludf.DUMMYFUNCTION("""COMPUTED_VALUE"""),"RUN-BEND_2022-01-12_RFR-013")</f>
        <v>RUN-BEND_2022-01-12_RFR-013</v>
      </c>
      <c r="C162" s="7">
        <f>VLOOKUP(B162,'Run Reconcile'!A$2:B809,2,FALSE)</f>
        <v>44573</v>
      </c>
      <c r="D162" s="12">
        <f>IFERROR(__xludf.DUMMYFUNCTION("""COMPUTED_VALUE"""),44573.0)</f>
        <v>44573</v>
      </c>
      <c r="E162" s="13">
        <f>IFERROR(__xludf.DUMMYFUNCTION("""COMPUTED_VALUE"""),0.39944444444336114)</f>
        <v>0.3994444444</v>
      </c>
      <c r="F162" s="10" t="str">
        <f>IFERROR(__xludf.DUMMYFUNCTION("""COMPUTED_VALUE"""),"Negative")</f>
        <v>Negative</v>
      </c>
      <c r="G162" s="10">
        <f>IFERROR(__xludf.DUMMYFUNCTION("""COMPUTED_VALUE"""),1.0)</f>
        <v>1</v>
      </c>
    </row>
    <row r="163">
      <c r="A163" s="6" t="str">
        <f>IFERROR(__xludf.DUMMYFUNCTION("""COMPUTED_VALUE"""),"MA190")</f>
        <v>MA190</v>
      </c>
      <c r="B163" s="6" t="str">
        <f>IFERROR(__xludf.DUMMYFUNCTION("""COMPUTED_VALUE"""),"RUN-BEND_2022-01-12_RFR-013")</f>
        <v>RUN-BEND_2022-01-12_RFR-013</v>
      </c>
      <c r="C163" s="7">
        <f>VLOOKUP(B163,'Run Reconcile'!A$2:B809,2,FALSE)</f>
        <v>44573</v>
      </c>
      <c r="D163" s="12">
        <f>IFERROR(__xludf.DUMMYFUNCTION("""COMPUTED_VALUE"""),44573.0)</f>
        <v>44573</v>
      </c>
      <c r="E163" s="13">
        <f>IFERROR(__xludf.DUMMYFUNCTION("""COMPUTED_VALUE"""),0.41432870370408637)</f>
        <v>0.4143287037</v>
      </c>
      <c r="F163" s="10" t="str">
        <f>IFERROR(__xludf.DUMMYFUNCTION("""COMPUTED_VALUE"""),"Negative")</f>
        <v>Negative</v>
      </c>
      <c r="G163" s="10">
        <f>IFERROR(__xludf.DUMMYFUNCTION("""COMPUTED_VALUE"""),1.0)</f>
        <v>1</v>
      </c>
    </row>
    <row r="164">
      <c r="A164" s="6" t="str">
        <f>IFERROR(__xludf.DUMMYFUNCTION("""COMPUTED_VALUE"""),"MAX92")</f>
        <v>MAX92</v>
      </c>
      <c r="B164" s="6" t="str">
        <f>IFERROR(__xludf.DUMMYFUNCTION("""COMPUTED_VALUE"""),"RUN-BEND_2022-01-12_RFR-013")</f>
        <v>RUN-BEND_2022-01-12_RFR-013</v>
      </c>
      <c r="C164" s="7">
        <f>VLOOKUP(B164,'Run Reconcile'!A$2:B809,2,FALSE)</f>
        <v>44573</v>
      </c>
      <c r="D164" s="12">
        <f>IFERROR(__xludf.DUMMYFUNCTION("""COMPUTED_VALUE"""),44573.0)</f>
        <v>44573</v>
      </c>
      <c r="E164" s="13">
        <f>IFERROR(__xludf.DUMMYFUNCTION("""COMPUTED_VALUE"""),0.4245370370372257)</f>
        <v>0.424537037</v>
      </c>
      <c r="F164" s="10" t="str">
        <f>IFERROR(__xludf.DUMMYFUNCTION("""COMPUTED_VALUE"""),"Negative")</f>
        <v>Negative</v>
      </c>
      <c r="G164" s="10">
        <f>IFERROR(__xludf.DUMMYFUNCTION("""COMPUTED_VALUE"""),1.0)</f>
        <v>1</v>
      </c>
    </row>
    <row r="165">
      <c r="A165" s="6" t="str">
        <f>IFERROR(__xludf.DUMMYFUNCTION("""COMPUTED_VALUE"""),"MA1031")</f>
        <v>MA1031</v>
      </c>
      <c r="B165" s="6" t="str">
        <f>IFERROR(__xludf.DUMMYFUNCTION("""COMPUTED_VALUE"""),"RUN-BEND_2022-01-12_RFR-013")</f>
        <v>RUN-BEND_2022-01-12_RFR-013</v>
      </c>
      <c r="C165" s="7">
        <f>VLOOKUP(B165,'Run Reconcile'!A$2:B809,2,FALSE)</f>
        <v>44573</v>
      </c>
      <c r="D165" s="12">
        <f>IFERROR(__xludf.DUMMYFUNCTION("""COMPUTED_VALUE"""),44573.0)</f>
        <v>44573</v>
      </c>
      <c r="E165" s="13">
        <f>IFERROR(__xludf.DUMMYFUNCTION("""COMPUTED_VALUE"""),0.4442245370373712)</f>
        <v>0.444224537</v>
      </c>
      <c r="F165" s="10" t="str">
        <f>IFERROR(__xludf.DUMMYFUNCTION("""COMPUTED_VALUE"""),"Negative")</f>
        <v>Negative</v>
      </c>
      <c r="G165" s="10">
        <f>IFERROR(__xludf.DUMMYFUNCTION("""COMPUTED_VALUE"""),1.0)</f>
        <v>1</v>
      </c>
    </row>
    <row r="166">
      <c r="A166" s="6" t="str">
        <f>IFERROR(__xludf.DUMMYFUNCTION("""COMPUTED_VALUE"""),"MA1062")</f>
        <v>MA1062</v>
      </c>
      <c r="B166" s="6" t="str">
        <f>IFERROR(__xludf.DUMMYFUNCTION("""COMPUTED_VALUE"""),"RUN-BEND_2022-01-14_RFR-014")</f>
        <v>RUN-BEND_2022-01-14_RFR-014</v>
      </c>
      <c r="C166" s="7">
        <f>VLOOKUP(B166,'Run Reconcile'!A$2:B809,2,FALSE)</f>
        <v>44575</v>
      </c>
      <c r="D166" s="12">
        <f>IFERROR(__xludf.DUMMYFUNCTION("""COMPUTED_VALUE"""),44574.0)</f>
        <v>44574</v>
      </c>
      <c r="E166" s="13">
        <f>IFERROR(__xludf.DUMMYFUNCTION("""COMPUTED_VALUE"""),0.5845023148140172)</f>
        <v>0.5845023148</v>
      </c>
      <c r="F166" s="10" t="str">
        <f>IFERROR(__xludf.DUMMYFUNCTION("""COMPUTED_VALUE"""),"Positive")</f>
        <v>Positive</v>
      </c>
      <c r="G166" s="10">
        <f>IFERROR(__xludf.DUMMYFUNCTION("""COMPUTED_VALUE"""),1.0)</f>
        <v>1</v>
      </c>
    </row>
    <row r="167">
      <c r="A167" s="6" t="str">
        <f>IFERROR(__xludf.DUMMYFUNCTION("""COMPUTED_VALUE"""),"MA1092")</f>
        <v>MA1092</v>
      </c>
      <c r="B167" s="6" t="str">
        <f>IFERROR(__xludf.DUMMYFUNCTION("""COMPUTED_VALUE"""),"RUN-BEND_2022-01-14_RFR-014")</f>
        <v>RUN-BEND_2022-01-14_RFR-014</v>
      </c>
      <c r="C167" s="7">
        <f>VLOOKUP(B167,'Run Reconcile'!A$2:B809,2,FALSE)</f>
        <v>44575</v>
      </c>
      <c r="D167" s="12">
        <f>IFERROR(__xludf.DUMMYFUNCTION("""COMPUTED_VALUE"""),44574.0)</f>
        <v>44574</v>
      </c>
      <c r="E167" s="13">
        <f>IFERROR(__xludf.DUMMYFUNCTION("""COMPUTED_VALUE"""),0.6161342592604342)</f>
        <v>0.6161342593</v>
      </c>
      <c r="F167" s="10" t="str">
        <f>IFERROR(__xludf.DUMMYFUNCTION("""COMPUTED_VALUE"""),"Positive")</f>
        <v>Positive</v>
      </c>
      <c r="G167" s="10">
        <f>IFERROR(__xludf.DUMMYFUNCTION("""COMPUTED_VALUE"""),1.0)</f>
        <v>1</v>
      </c>
    </row>
    <row r="168">
      <c r="A168" s="6" t="str">
        <f>IFERROR(__xludf.DUMMYFUNCTION("""COMPUTED_VALUE"""),"MA1042")</f>
        <v>MA1042</v>
      </c>
      <c r="B168" s="6" t="str">
        <f>IFERROR(__xludf.DUMMYFUNCTION("""COMPUTED_VALUE"""),"RUN-BEND_2022-01-14_RFR-014")</f>
        <v>RUN-BEND_2022-01-14_RFR-014</v>
      </c>
      <c r="C168" s="7">
        <f>VLOOKUP(B168,'Run Reconcile'!A$2:B809,2,FALSE)</f>
        <v>44575</v>
      </c>
      <c r="D168" s="12">
        <f>IFERROR(__xludf.DUMMYFUNCTION("""COMPUTED_VALUE"""),44574.0)</f>
        <v>44574</v>
      </c>
      <c r="E168" s="13">
        <f>IFERROR(__xludf.DUMMYFUNCTION("""COMPUTED_VALUE"""),0.6712731481493392)</f>
        <v>0.6712731481</v>
      </c>
      <c r="F168" s="10" t="str">
        <f>IFERROR(__xludf.DUMMYFUNCTION("""COMPUTED_VALUE"""),"Negative")</f>
        <v>Negative</v>
      </c>
      <c r="G168" s="10">
        <f>IFERROR(__xludf.DUMMYFUNCTION("""COMPUTED_VALUE"""),1.0)</f>
        <v>1</v>
      </c>
    </row>
    <row r="169">
      <c r="A169" s="6" t="str">
        <f>IFERROR(__xludf.DUMMYFUNCTION("""COMPUTED_VALUE"""),"MA1112")</f>
        <v>MA1112</v>
      </c>
      <c r="B169" s="6" t="str">
        <f>IFERROR(__xludf.DUMMYFUNCTION("""COMPUTED_VALUE"""),"RUN-BEND_2022-01-14_RFR-014")</f>
        <v>RUN-BEND_2022-01-14_RFR-014</v>
      </c>
      <c r="C169" s="7">
        <f>VLOOKUP(B169,'Run Reconcile'!A$2:B809,2,FALSE)</f>
        <v>44575</v>
      </c>
      <c r="D169" s="12">
        <f>IFERROR(__xludf.DUMMYFUNCTION("""COMPUTED_VALUE"""),44574.0)</f>
        <v>44574</v>
      </c>
      <c r="E169" s="13">
        <f>IFERROR(__xludf.DUMMYFUNCTION("""COMPUTED_VALUE"""),0.8485069444432156)</f>
        <v>0.8485069444</v>
      </c>
      <c r="F169" s="10" t="str">
        <f>IFERROR(__xludf.DUMMYFUNCTION("""COMPUTED_VALUE"""),"Negative")</f>
        <v>Negative</v>
      </c>
      <c r="G169" s="10">
        <f>IFERROR(__xludf.DUMMYFUNCTION("""COMPUTED_VALUE"""),1.0)</f>
        <v>1</v>
      </c>
    </row>
    <row r="170">
      <c r="A170" s="6" t="str">
        <f>IFERROR(__xludf.DUMMYFUNCTION("""COMPUTED_VALUE"""),"MA1056")</f>
        <v>MA1056</v>
      </c>
      <c r="B170" s="6" t="str">
        <f>IFERROR(__xludf.DUMMYFUNCTION("""COMPUTED_VALUE"""),"RUN-BEND_2022-01-14_RFR-014")</f>
        <v>RUN-BEND_2022-01-14_RFR-014</v>
      </c>
      <c r="C170" s="7">
        <f>VLOOKUP(B170,'Run Reconcile'!A$2:B809,2,FALSE)</f>
        <v>44575</v>
      </c>
      <c r="D170" s="12">
        <f>IFERROR(__xludf.DUMMYFUNCTION("""COMPUTED_VALUE"""),44574.0)</f>
        <v>44574</v>
      </c>
      <c r="E170" s="13">
        <f>IFERROR(__xludf.DUMMYFUNCTION("""COMPUTED_VALUE"""),0.8491666666668607)</f>
        <v>0.8491666667</v>
      </c>
      <c r="F170" s="10" t="str">
        <f>IFERROR(__xludf.DUMMYFUNCTION("""COMPUTED_VALUE"""),"Negative")</f>
        <v>Negative</v>
      </c>
      <c r="G170" s="10">
        <f>IFERROR(__xludf.DUMMYFUNCTION("""COMPUTED_VALUE"""),1.0)</f>
        <v>1</v>
      </c>
    </row>
    <row r="171">
      <c r="A171" s="6" t="str">
        <f>IFERROR(__xludf.DUMMYFUNCTION("""COMPUTED_VALUE"""),"MA330")</f>
        <v>MA330</v>
      </c>
      <c r="B171" s="6" t="str">
        <f>IFERROR(__xludf.DUMMYFUNCTION("""COMPUTED_VALUE"""),"RUN-BEND_2022-01-14_RFR-014")</f>
        <v>RUN-BEND_2022-01-14_RFR-014</v>
      </c>
      <c r="C171" s="7">
        <f>VLOOKUP(B171,'Run Reconcile'!A$2:B809,2,FALSE)</f>
        <v>44575</v>
      </c>
      <c r="D171" s="12">
        <f>IFERROR(__xludf.DUMMYFUNCTION("""COMPUTED_VALUE"""),44575.0)</f>
        <v>44575</v>
      </c>
      <c r="E171" s="13">
        <f>IFERROR(__xludf.DUMMYFUNCTION("""COMPUTED_VALUE"""),0.22658564814992133)</f>
        <v>0.2265856481</v>
      </c>
      <c r="F171" s="10" t="str">
        <f>IFERROR(__xludf.DUMMYFUNCTION("""COMPUTED_VALUE"""),"Negative")</f>
        <v>Negative</v>
      </c>
      <c r="G171" s="10">
        <f>IFERROR(__xludf.DUMMYFUNCTION("""COMPUTED_VALUE"""),1.0)</f>
        <v>1</v>
      </c>
    </row>
    <row r="172">
      <c r="A172" s="6" t="str">
        <f>IFERROR(__xludf.DUMMYFUNCTION("""COMPUTED_VALUE"""),"MA434")</f>
        <v>MA434</v>
      </c>
      <c r="B172" s="6" t="str">
        <f>IFERROR(__xludf.DUMMYFUNCTION("""COMPUTED_VALUE"""),"RUN-BEND_2022-01-14_RFR-014")</f>
        <v>RUN-BEND_2022-01-14_RFR-014</v>
      </c>
      <c r="C172" s="7">
        <f>VLOOKUP(B172,'Run Reconcile'!A$2:B809,2,FALSE)</f>
        <v>44575</v>
      </c>
      <c r="D172" s="12">
        <f>IFERROR(__xludf.DUMMYFUNCTION("""COMPUTED_VALUE"""),44575.0)</f>
        <v>44575</v>
      </c>
      <c r="E172" s="13">
        <f>IFERROR(__xludf.DUMMYFUNCTION("""COMPUTED_VALUE"""),0.2949421296289074)</f>
        <v>0.2949421296</v>
      </c>
      <c r="F172" s="10" t="str">
        <f>IFERROR(__xludf.DUMMYFUNCTION("""COMPUTED_VALUE"""),"Negative")</f>
        <v>Negative</v>
      </c>
      <c r="G172" s="10">
        <f>IFERROR(__xludf.DUMMYFUNCTION("""COMPUTED_VALUE"""),1.0)</f>
        <v>1</v>
      </c>
    </row>
    <row r="173">
      <c r="A173" s="6" t="str">
        <f>IFERROR(__xludf.DUMMYFUNCTION("""COMPUTED_VALUE"""),"MA711")</f>
        <v>MA711</v>
      </c>
      <c r="B173" s="6" t="str">
        <f>IFERROR(__xludf.DUMMYFUNCTION("""COMPUTED_VALUE"""),"RUN-BEND_2022-01-14_RFR-014")</f>
        <v>RUN-BEND_2022-01-14_RFR-014</v>
      </c>
      <c r="C173" s="7">
        <f>VLOOKUP(B173,'Run Reconcile'!A$2:B809,2,FALSE)</f>
        <v>44575</v>
      </c>
      <c r="D173" s="12">
        <f>IFERROR(__xludf.DUMMYFUNCTION("""COMPUTED_VALUE"""),44575.0)</f>
        <v>44575</v>
      </c>
      <c r="E173" s="13">
        <f>IFERROR(__xludf.DUMMYFUNCTION("""COMPUTED_VALUE"""),0.31107638888715883)</f>
        <v>0.3110763889</v>
      </c>
      <c r="F173" s="10" t="str">
        <f>IFERROR(__xludf.DUMMYFUNCTION("""COMPUTED_VALUE"""),"Negative")</f>
        <v>Negative</v>
      </c>
      <c r="G173" s="10">
        <f>IFERROR(__xludf.DUMMYFUNCTION("""COMPUTED_VALUE"""),1.0)</f>
        <v>1</v>
      </c>
    </row>
    <row r="174">
      <c r="A174" s="6" t="str">
        <f>IFERROR(__xludf.DUMMYFUNCTION("""COMPUTED_VALUE"""),"MA1163")</f>
        <v>MA1163</v>
      </c>
      <c r="B174" s="6" t="str">
        <f>IFERROR(__xludf.DUMMYFUNCTION("""COMPUTED_VALUE"""),"RUN-BEND_2022-01-14_RFR-014")</f>
        <v>RUN-BEND_2022-01-14_RFR-014</v>
      </c>
      <c r="C174" s="7">
        <f>VLOOKUP(B174,'Run Reconcile'!A$2:B809,2,FALSE)</f>
        <v>44575</v>
      </c>
      <c r="D174" s="12">
        <f>IFERROR(__xludf.DUMMYFUNCTION("""COMPUTED_VALUE"""),44575.0)</f>
        <v>44575</v>
      </c>
      <c r="E174" s="13">
        <f>IFERROR(__xludf.DUMMYFUNCTION("""COMPUTED_VALUE"""),0.3111574074064265)</f>
        <v>0.3111574074</v>
      </c>
      <c r="F174" s="10" t="str">
        <f>IFERROR(__xludf.DUMMYFUNCTION("""COMPUTED_VALUE"""),"Negative")</f>
        <v>Negative</v>
      </c>
      <c r="G174" s="10">
        <f>IFERROR(__xludf.DUMMYFUNCTION("""COMPUTED_VALUE"""),1.0)</f>
        <v>1</v>
      </c>
    </row>
    <row r="175">
      <c r="A175" s="6" t="str">
        <f>IFERROR(__xludf.DUMMYFUNCTION("""COMPUTED_VALUE"""),"MA490")</f>
        <v>MA490</v>
      </c>
      <c r="B175" s="6" t="str">
        <f>IFERROR(__xludf.DUMMYFUNCTION("""COMPUTED_VALUE"""),"RUN-BEND_2022-01-14_RFR-014")</f>
        <v>RUN-BEND_2022-01-14_RFR-014</v>
      </c>
      <c r="C175" s="7">
        <f>VLOOKUP(B175,'Run Reconcile'!A$2:B809,2,FALSE)</f>
        <v>44575</v>
      </c>
      <c r="D175" s="12">
        <f>IFERROR(__xludf.DUMMYFUNCTION("""COMPUTED_VALUE"""),44575.0)</f>
        <v>44575</v>
      </c>
      <c r="E175" s="13">
        <f>IFERROR(__xludf.DUMMYFUNCTION("""COMPUTED_VALUE"""),0.31259259259240935)</f>
        <v>0.3125925926</v>
      </c>
      <c r="F175" s="10" t="str">
        <f>IFERROR(__xludf.DUMMYFUNCTION("""COMPUTED_VALUE"""),"Negative")</f>
        <v>Negative</v>
      </c>
      <c r="G175" s="10">
        <f>IFERROR(__xludf.DUMMYFUNCTION("""COMPUTED_VALUE"""),1.0)</f>
        <v>1</v>
      </c>
    </row>
    <row r="176">
      <c r="A176" s="6" t="str">
        <f>IFERROR(__xludf.DUMMYFUNCTION("""COMPUTED_VALUE"""),"MA1243")</f>
        <v>MA1243</v>
      </c>
      <c r="B176" s="6" t="str">
        <f>IFERROR(__xludf.DUMMYFUNCTION("""COMPUTED_VALUE"""),"RUN-BEND_2022-01-14_RFR-014")</f>
        <v>RUN-BEND_2022-01-14_RFR-014</v>
      </c>
      <c r="C176" s="7">
        <f>VLOOKUP(B176,'Run Reconcile'!A$2:B809,2,FALSE)</f>
        <v>44575</v>
      </c>
      <c r="D176" s="12">
        <f>IFERROR(__xludf.DUMMYFUNCTION("""COMPUTED_VALUE"""),44575.0)</f>
        <v>44575</v>
      </c>
      <c r="E176" s="13">
        <f>IFERROR(__xludf.DUMMYFUNCTION("""COMPUTED_VALUE"""),0.3230439814797137)</f>
        <v>0.3230439815</v>
      </c>
      <c r="F176" s="10" t="str">
        <f>IFERROR(__xludf.DUMMYFUNCTION("""COMPUTED_VALUE"""),"Positive")</f>
        <v>Positive</v>
      </c>
      <c r="G176" s="10">
        <f>IFERROR(__xludf.DUMMYFUNCTION("""COMPUTED_VALUE"""),1.0)</f>
        <v>1</v>
      </c>
    </row>
    <row r="177">
      <c r="A177" s="6" t="str">
        <f>IFERROR(__xludf.DUMMYFUNCTION("""COMPUTED_VALUE"""),"MA1034")</f>
        <v>MA1034</v>
      </c>
      <c r="B177" s="6" t="str">
        <f>IFERROR(__xludf.DUMMYFUNCTION("""COMPUTED_VALUE"""),"RUN-BEND_2022-01-14_RFR-014")</f>
        <v>RUN-BEND_2022-01-14_RFR-014</v>
      </c>
      <c r="C177" s="7">
        <f>VLOOKUP(B177,'Run Reconcile'!A$2:B809,2,FALSE)</f>
        <v>44575</v>
      </c>
      <c r="D177" s="12">
        <f>IFERROR(__xludf.DUMMYFUNCTION("""COMPUTED_VALUE"""),44575.0)</f>
        <v>44575</v>
      </c>
      <c r="E177" s="13">
        <f>IFERROR(__xludf.DUMMYFUNCTION("""COMPUTED_VALUE"""),0.3307175925910997)</f>
        <v>0.3307175926</v>
      </c>
      <c r="F177" s="10" t="str">
        <f>IFERROR(__xludf.DUMMYFUNCTION("""COMPUTED_VALUE"""),"Negative")</f>
        <v>Negative</v>
      </c>
      <c r="G177" s="10">
        <f>IFERROR(__xludf.DUMMYFUNCTION("""COMPUTED_VALUE"""),1.0)</f>
        <v>1</v>
      </c>
    </row>
    <row r="178">
      <c r="A178" s="6" t="str">
        <f>IFERROR(__xludf.DUMMYFUNCTION("""COMPUTED_VALUE"""),"MA1186")</f>
        <v>MA1186</v>
      </c>
      <c r="B178" s="6" t="str">
        <f>IFERROR(__xludf.DUMMYFUNCTION("""COMPUTED_VALUE"""),"RUN-BEND_2022-01-14_RFR-014")</f>
        <v>RUN-BEND_2022-01-14_RFR-014</v>
      </c>
      <c r="C178" s="7">
        <f>VLOOKUP(B178,'Run Reconcile'!A$2:B809,2,FALSE)</f>
        <v>44575</v>
      </c>
      <c r="D178" s="12">
        <f>IFERROR(__xludf.DUMMYFUNCTION("""COMPUTED_VALUE"""),44575.0)</f>
        <v>44575</v>
      </c>
      <c r="E178" s="13">
        <f>IFERROR(__xludf.DUMMYFUNCTION("""COMPUTED_VALUE"""),0.34005787036949187)</f>
        <v>0.3400578704</v>
      </c>
      <c r="F178" s="10" t="str">
        <f>IFERROR(__xludf.DUMMYFUNCTION("""COMPUTED_VALUE"""),"Positive")</f>
        <v>Positive</v>
      </c>
      <c r="G178" s="10">
        <f>IFERROR(__xludf.DUMMYFUNCTION("""COMPUTED_VALUE"""),1.0)</f>
        <v>1</v>
      </c>
    </row>
    <row r="179">
      <c r="A179" s="6" t="str">
        <f>IFERROR(__xludf.DUMMYFUNCTION("""COMPUTED_VALUE"""),"MA1166")</f>
        <v>MA1166</v>
      </c>
      <c r="B179" s="6" t="str">
        <f>IFERROR(__xludf.DUMMYFUNCTION("""COMPUTED_VALUE"""),"RUN-BEND_2022-01-14_RFR-014")</f>
        <v>RUN-BEND_2022-01-14_RFR-014</v>
      </c>
      <c r="C179" s="7">
        <f>VLOOKUP(B179,'Run Reconcile'!A$2:B809,2,FALSE)</f>
        <v>44575</v>
      </c>
      <c r="D179" s="12">
        <f>IFERROR(__xludf.DUMMYFUNCTION("""COMPUTED_VALUE"""),44575.0)</f>
        <v>44575</v>
      </c>
      <c r="E179" s="13">
        <f>IFERROR(__xludf.DUMMYFUNCTION("""COMPUTED_VALUE"""),0.34537037037080154)</f>
        <v>0.3453703704</v>
      </c>
      <c r="F179" s="10" t="str">
        <f>IFERROR(__xludf.DUMMYFUNCTION("""COMPUTED_VALUE"""),"Negative")</f>
        <v>Negative</v>
      </c>
      <c r="G179" s="10">
        <f>IFERROR(__xludf.DUMMYFUNCTION("""COMPUTED_VALUE"""),1.0)</f>
        <v>1</v>
      </c>
    </row>
    <row r="180">
      <c r="A180" s="6" t="str">
        <f>IFERROR(__xludf.DUMMYFUNCTION("""COMPUTED_VALUE"""),"MA331")</f>
        <v>MA331</v>
      </c>
      <c r="B180" s="6" t="str">
        <f>IFERROR(__xludf.DUMMYFUNCTION("""COMPUTED_VALUE"""),"RUN-BEND_2022-01-14_RFR-014")</f>
        <v>RUN-BEND_2022-01-14_RFR-014</v>
      </c>
      <c r="C180" s="7">
        <f>VLOOKUP(B180,'Run Reconcile'!A$2:B809,2,FALSE)</f>
        <v>44575</v>
      </c>
      <c r="D180" s="12">
        <f>IFERROR(__xludf.DUMMYFUNCTION("""COMPUTED_VALUE"""),44575.0)</f>
        <v>44575</v>
      </c>
      <c r="E180" s="13">
        <f>IFERROR(__xludf.DUMMYFUNCTION("""COMPUTED_VALUE"""),0.3471180555570754)</f>
        <v>0.3471180556</v>
      </c>
      <c r="F180" s="10" t="str">
        <f>IFERROR(__xludf.DUMMYFUNCTION("""COMPUTED_VALUE"""),"Negative")</f>
        <v>Negative</v>
      </c>
      <c r="G180" s="10">
        <f>IFERROR(__xludf.DUMMYFUNCTION("""COMPUTED_VALUE"""),1.0)</f>
        <v>1</v>
      </c>
    </row>
    <row r="181">
      <c r="A181" s="6" t="str">
        <f>IFERROR(__xludf.DUMMYFUNCTION("""COMPUTED_VALUE"""),"MA641")</f>
        <v>MA641</v>
      </c>
      <c r="B181" s="6" t="str">
        <f>IFERROR(__xludf.DUMMYFUNCTION("""COMPUTED_VALUE"""),"RUN-BEND_2022-01-14_RFR-014")</f>
        <v>RUN-BEND_2022-01-14_RFR-014</v>
      </c>
      <c r="C181" s="7">
        <f>VLOOKUP(B181,'Run Reconcile'!A$2:B809,2,FALSE)</f>
        <v>44575</v>
      </c>
      <c r="D181" s="12">
        <f>IFERROR(__xludf.DUMMYFUNCTION("""COMPUTED_VALUE"""),44575.0)</f>
        <v>44575</v>
      </c>
      <c r="E181" s="13">
        <f>IFERROR(__xludf.DUMMYFUNCTION("""COMPUTED_VALUE"""),0.35190972222335404)</f>
        <v>0.3519097222</v>
      </c>
      <c r="F181" s="10" t="str">
        <f>IFERROR(__xludf.DUMMYFUNCTION("""COMPUTED_VALUE"""),"Negative")</f>
        <v>Negative</v>
      </c>
      <c r="G181" s="10">
        <f>IFERROR(__xludf.DUMMYFUNCTION("""COMPUTED_VALUE"""),1.0)</f>
        <v>1</v>
      </c>
    </row>
    <row r="182">
      <c r="A182" s="6" t="str">
        <f>IFERROR(__xludf.DUMMYFUNCTION("""COMPUTED_VALUE"""),"MA286")</f>
        <v>MA286</v>
      </c>
      <c r="B182" s="6" t="str">
        <f>IFERROR(__xludf.DUMMYFUNCTION("""COMPUTED_VALUE"""),"RUN-BEND_2022-01-14_RFR-014")</f>
        <v>RUN-BEND_2022-01-14_RFR-014</v>
      </c>
      <c r="C182" s="7">
        <f>VLOOKUP(B182,'Run Reconcile'!A$2:B809,2,FALSE)</f>
        <v>44575</v>
      </c>
      <c r="D182" s="12">
        <f>IFERROR(__xludf.DUMMYFUNCTION("""COMPUTED_VALUE"""),44575.0)</f>
        <v>44575</v>
      </c>
      <c r="E182" s="13">
        <f>IFERROR(__xludf.DUMMYFUNCTION("""COMPUTED_VALUE"""),0.35594907407357823)</f>
        <v>0.3559490741</v>
      </c>
      <c r="F182" s="10" t="str">
        <f>IFERROR(__xludf.DUMMYFUNCTION("""COMPUTED_VALUE"""),"Negative")</f>
        <v>Negative</v>
      </c>
      <c r="G182" s="10">
        <f>IFERROR(__xludf.DUMMYFUNCTION("""COMPUTED_VALUE"""),1.0)</f>
        <v>1</v>
      </c>
    </row>
    <row r="183">
      <c r="A183" s="6" t="str">
        <f>IFERROR(__xludf.DUMMYFUNCTION("""COMPUTED_VALUE"""),"MAX110")</f>
        <v>MAX110</v>
      </c>
      <c r="B183" s="6" t="str">
        <f>IFERROR(__xludf.DUMMYFUNCTION("""COMPUTED_VALUE"""),"RUN-BEND_2022-01-14_RFR-014")</f>
        <v>RUN-BEND_2022-01-14_RFR-014</v>
      </c>
      <c r="C183" s="7">
        <f>VLOOKUP(B183,'Run Reconcile'!A$2:B809,2,FALSE)</f>
        <v>44575</v>
      </c>
      <c r="D183" s="12">
        <f>IFERROR(__xludf.DUMMYFUNCTION("""COMPUTED_VALUE"""),44575.0)</f>
        <v>44575</v>
      </c>
      <c r="E183" s="13">
        <f>IFERROR(__xludf.DUMMYFUNCTION("""COMPUTED_VALUE"""),0.3859722222223354)</f>
        <v>0.3859722222</v>
      </c>
      <c r="F183" s="10" t="str">
        <f>IFERROR(__xludf.DUMMYFUNCTION("""COMPUTED_VALUE"""),"Positive")</f>
        <v>Positive</v>
      </c>
      <c r="G183" s="10">
        <f>IFERROR(__xludf.DUMMYFUNCTION("""COMPUTED_VALUE"""),1.0)</f>
        <v>1</v>
      </c>
    </row>
    <row r="184">
      <c r="A184" s="6" t="str">
        <f>IFERROR(__xludf.DUMMYFUNCTION("""COMPUTED_VALUE"""),"MA1058")</f>
        <v>MA1058</v>
      </c>
      <c r="B184" s="6" t="str">
        <f>IFERROR(__xludf.DUMMYFUNCTION("""COMPUTED_VALUE"""),"RUN-BEND_2022-01-14_RFR-014")</f>
        <v>RUN-BEND_2022-01-14_RFR-014</v>
      </c>
      <c r="C184" s="7">
        <f>VLOOKUP(B184,'Run Reconcile'!A$2:B809,2,FALSE)</f>
        <v>44575</v>
      </c>
      <c r="D184" s="12">
        <f>IFERROR(__xludf.DUMMYFUNCTION("""COMPUTED_VALUE"""),44575.0)</f>
        <v>44575</v>
      </c>
      <c r="E184" s="13">
        <f>IFERROR(__xludf.DUMMYFUNCTION("""COMPUTED_VALUE"""),0.38623842592642177)</f>
        <v>0.3862384259</v>
      </c>
      <c r="F184" s="10" t="str">
        <f>IFERROR(__xludf.DUMMYFUNCTION("""COMPUTED_VALUE"""),"Positive")</f>
        <v>Positive</v>
      </c>
      <c r="G184" s="10">
        <f>IFERROR(__xludf.DUMMYFUNCTION("""COMPUTED_VALUE"""),1.0)</f>
        <v>1</v>
      </c>
    </row>
    <row r="185">
      <c r="A185" s="6" t="str">
        <f>IFERROR(__xludf.DUMMYFUNCTION("""COMPUTED_VALUE"""),"MAX84")</f>
        <v>MAX84</v>
      </c>
      <c r="B185" s="6" t="str">
        <f>IFERROR(__xludf.DUMMYFUNCTION("""COMPUTED_VALUE"""),"RUN-BEND_2022-01-14_RFR-014")</f>
        <v>RUN-BEND_2022-01-14_RFR-014</v>
      </c>
      <c r="C185" s="7">
        <f>VLOOKUP(B185,'Run Reconcile'!A$2:B809,2,FALSE)</f>
        <v>44575</v>
      </c>
      <c r="D185" s="12">
        <f>IFERROR(__xludf.DUMMYFUNCTION("""COMPUTED_VALUE"""),44575.0)</f>
        <v>44575</v>
      </c>
      <c r="E185" s="13">
        <f>IFERROR(__xludf.DUMMYFUNCTION("""COMPUTED_VALUE"""),0.3866550925922638)</f>
        <v>0.3866550926</v>
      </c>
      <c r="F185" s="10" t="str">
        <f>IFERROR(__xludf.DUMMYFUNCTION("""COMPUTED_VALUE"""),"Positive")</f>
        <v>Positive</v>
      </c>
      <c r="G185" s="10">
        <f>IFERROR(__xludf.DUMMYFUNCTION("""COMPUTED_VALUE"""),1.0)</f>
        <v>1</v>
      </c>
    </row>
    <row r="186">
      <c r="A186" s="6" t="str">
        <f>IFERROR(__xludf.DUMMYFUNCTION("""COMPUTED_VALUE"""),"MAX97")</f>
        <v>MAX97</v>
      </c>
      <c r="B186" s="6" t="str">
        <f>IFERROR(__xludf.DUMMYFUNCTION("""COMPUTED_VALUE"""),"RUN-BEND_2022-01-14_RFR-014")</f>
        <v>RUN-BEND_2022-01-14_RFR-014</v>
      </c>
      <c r="C186" s="7">
        <f>VLOOKUP(B186,'Run Reconcile'!A$2:B809,2,FALSE)</f>
        <v>44575</v>
      </c>
      <c r="D186" s="12">
        <f>IFERROR(__xludf.DUMMYFUNCTION("""COMPUTED_VALUE"""),44575.0)</f>
        <v>44575</v>
      </c>
      <c r="E186" s="13">
        <f>IFERROR(__xludf.DUMMYFUNCTION("""COMPUTED_VALUE"""),0.3896064814798592)</f>
        <v>0.3896064815</v>
      </c>
      <c r="F186" s="10" t="str">
        <f>IFERROR(__xludf.DUMMYFUNCTION("""COMPUTED_VALUE"""),"Negative")</f>
        <v>Negative</v>
      </c>
      <c r="G186" s="10">
        <f>IFERROR(__xludf.DUMMYFUNCTION("""COMPUTED_VALUE"""),1.0)</f>
        <v>1</v>
      </c>
    </row>
    <row r="187">
      <c r="A187" s="6" t="str">
        <f>IFERROR(__xludf.DUMMYFUNCTION("""COMPUTED_VALUE"""),"MA477")</f>
        <v>MA477</v>
      </c>
      <c r="B187" s="6" t="str">
        <f>IFERROR(__xludf.DUMMYFUNCTION("""COMPUTED_VALUE"""),"RUN-BEND_2022-01-14_RFR-014")</f>
        <v>RUN-BEND_2022-01-14_RFR-014</v>
      </c>
      <c r="C187" s="7">
        <f>VLOOKUP(B187,'Run Reconcile'!A$2:B809,2,FALSE)</f>
        <v>44575</v>
      </c>
      <c r="D187" s="12">
        <f>IFERROR(__xludf.DUMMYFUNCTION("""COMPUTED_VALUE"""),44575.0)</f>
        <v>44575</v>
      </c>
      <c r="E187" s="13">
        <f>IFERROR(__xludf.DUMMYFUNCTION("""COMPUTED_VALUE"""),0.40739583333197515)</f>
        <v>0.4073958333</v>
      </c>
      <c r="F187" s="10" t="str">
        <f>IFERROR(__xludf.DUMMYFUNCTION("""COMPUTED_VALUE"""),"Negative")</f>
        <v>Negative</v>
      </c>
      <c r="G187" s="10">
        <f>IFERROR(__xludf.DUMMYFUNCTION("""COMPUTED_VALUE"""),1.0)</f>
        <v>1</v>
      </c>
    </row>
    <row r="188">
      <c r="A188" s="6" t="str">
        <f>IFERROR(__xludf.DUMMYFUNCTION("""COMPUTED_VALUE"""),"MA355")</f>
        <v>MA355</v>
      </c>
      <c r="B188" s="6" t="str">
        <f>IFERROR(__xludf.DUMMYFUNCTION("""COMPUTED_VALUE"""),"RUN-BEND_2022-01-19_RFR-016")</f>
        <v>RUN-BEND_2022-01-19_RFR-016</v>
      </c>
      <c r="C188" s="7">
        <f>VLOOKUP(B188,'Run Reconcile'!A$2:B809,2,FALSE)</f>
        <v>44580</v>
      </c>
      <c r="D188" s="12">
        <f>IFERROR(__xludf.DUMMYFUNCTION("""COMPUTED_VALUE"""),44578.0)</f>
        <v>44578</v>
      </c>
      <c r="E188" s="13">
        <f>IFERROR(__xludf.DUMMYFUNCTION("""COMPUTED_VALUE"""),0.35052083333357587)</f>
        <v>0.3505208333</v>
      </c>
      <c r="F188" s="10" t="str">
        <f>IFERROR(__xludf.DUMMYFUNCTION("""COMPUTED_VALUE"""),"Negative")</f>
        <v>Negative</v>
      </c>
      <c r="G188" s="10">
        <f>IFERROR(__xludf.DUMMYFUNCTION("""COMPUTED_VALUE"""),1.0)</f>
        <v>1</v>
      </c>
    </row>
    <row r="189">
      <c r="A189" s="6" t="str">
        <f>IFERROR(__xludf.DUMMYFUNCTION("""COMPUTED_VALUE"""),"MA638")</f>
        <v>MA638</v>
      </c>
      <c r="B189" s="6" t="str">
        <f>IFERROR(__xludf.DUMMYFUNCTION("""COMPUTED_VALUE"""),"RUN-BEND_2022-01-19_RFR-015")</f>
        <v>RUN-BEND_2022-01-19_RFR-015</v>
      </c>
      <c r="C189" s="7">
        <f>VLOOKUP(B189,'Run Reconcile'!A$2:B809,2,FALSE)</f>
        <v>44580</v>
      </c>
      <c r="D189" s="12">
        <f>IFERROR(__xludf.DUMMYFUNCTION("""COMPUTED_VALUE"""),44579.0)</f>
        <v>44579</v>
      </c>
      <c r="E189" s="13">
        <f>IFERROR(__xludf.DUMMYFUNCTION("""COMPUTED_VALUE"""),0.29848379629765986)</f>
        <v>0.2984837963</v>
      </c>
      <c r="F189" s="10" t="str">
        <f>IFERROR(__xludf.DUMMYFUNCTION("""COMPUTED_VALUE"""),"Negative")</f>
        <v>Negative</v>
      </c>
      <c r="G189" s="10">
        <f>IFERROR(__xludf.DUMMYFUNCTION("""COMPUTED_VALUE"""),1.0)</f>
        <v>1</v>
      </c>
    </row>
    <row r="190">
      <c r="A190" s="6" t="str">
        <f>IFERROR(__xludf.DUMMYFUNCTION("""COMPUTED_VALUE"""),"MA1109")</f>
        <v>MA1109</v>
      </c>
      <c r="B190" s="6" t="str">
        <f>IFERROR(__xludf.DUMMYFUNCTION("""COMPUTED_VALUE"""),"RUN-BEND_2022-01-19_RFR-015")</f>
        <v>RUN-BEND_2022-01-19_RFR-015</v>
      </c>
      <c r="C190" s="7">
        <f>VLOOKUP(B190,'Run Reconcile'!A$2:B809,2,FALSE)</f>
        <v>44580</v>
      </c>
      <c r="D190" s="12">
        <f>IFERROR(__xludf.DUMMYFUNCTION("""COMPUTED_VALUE"""),44579.0)</f>
        <v>44579</v>
      </c>
      <c r="E190" s="13">
        <f>IFERROR(__xludf.DUMMYFUNCTION("""COMPUTED_VALUE"""),0.30226851851693937)</f>
        <v>0.3022685185</v>
      </c>
      <c r="F190" s="10" t="str">
        <f>IFERROR(__xludf.DUMMYFUNCTION("""COMPUTED_VALUE"""),"Negative")</f>
        <v>Negative</v>
      </c>
      <c r="G190" s="10">
        <f>IFERROR(__xludf.DUMMYFUNCTION("""COMPUTED_VALUE"""),1.0)</f>
        <v>1</v>
      </c>
    </row>
    <row r="191">
      <c r="A191" s="6" t="str">
        <f>IFERROR(__xludf.DUMMYFUNCTION("""COMPUTED_VALUE"""),"MA1274")</f>
        <v>MA1274</v>
      </c>
      <c r="B191" s="6" t="str">
        <f>IFERROR(__xludf.DUMMYFUNCTION("""COMPUTED_VALUE"""),"RUN-BEND_2022-01-19_RFR-015")</f>
        <v>RUN-BEND_2022-01-19_RFR-015</v>
      </c>
      <c r="C191" s="7">
        <f>VLOOKUP(B191,'Run Reconcile'!A$2:B809,2,FALSE)</f>
        <v>44580</v>
      </c>
      <c r="D191" s="12">
        <f>IFERROR(__xludf.DUMMYFUNCTION("""COMPUTED_VALUE"""),44579.0)</f>
        <v>44579</v>
      </c>
      <c r="E191" s="13">
        <f>IFERROR(__xludf.DUMMYFUNCTION("""COMPUTED_VALUE"""),0.31128472222189885)</f>
        <v>0.3112847222</v>
      </c>
      <c r="F191" s="10" t="str">
        <f>IFERROR(__xludf.DUMMYFUNCTION("""COMPUTED_VALUE"""),"Negative")</f>
        <v>Negative</v>
      </c>
      <c r="G191" s="10">
        <f>IFERROR(__xludf.DUMMYFUNCTION("""COMPUTED_VALUE"""),1.0)</f>
        <v>1</v>
      </c>
    </row>
    <row r="192">
      <c r="A192" s="6" t="str">
        <f>IFERROR(__xludf.DUMMYFUNCTION("""COMPUTED_VALUE"""),"MA1100")</f>
        <v>MA1100</v>
      </c>
      <c r="B192" s="6" t="str">
        <f>IFERROR(__xludf.DUMMYFUNCTION("""COMPUTED_VALUE"""),"RUN-BEND_2022-01-19_RFR-015")</f>
        <v>RUN-BEND_2022-01-19_RFR-015</v>
      </c>
      <c r="C192" s="7">
        <f>VLOOKUP(B192,'Run Reconcile'!A$2:B809,2,FALSE)</f>
        <v>44580</v>
      </c>
      <c r="D192" s="12">
        <f>IFERROR(__xludf.DUMMYFUNCTION("""COMPUTED_VALUE"""),44579.0)</f>
        <v>44579</v>
      </c>
      <c r="E192" s="13">
        <f>IFERROR(__xludf.DUMMYFUNCTION("""COMPUTED_VALUE"""),0.3162037037036498)</f>
        <v>0.3162037037</v>
      </c>
      <c r="F192" s="10" t="str">
        <f>IFERROR(__xludf.DUMMYFUNCTION("""COMPUTED_VALUE"""),"Negative")</f>
        <v>Negative</v>
      </c>
      <c r="G192" s="10">
        <f>IFERROR(__xludf.DUMMYFUNCTION("""COMPUTED_VALUE"""),1.0)</f>
        <v>1</v>
      </c>
    </row>
    <row r="193">
      <c r="A193" s="6" t="str">
        <f>IFERROR(__xludf.DUMMYFUNCTION("""COMPUTED_VALUE"""),"MA1145")</f>
        <v>MA1145</v>
      </c>
      <c r="B193" s="6" t="str">
        <f>IFERROR(__xludf.DUMMYFUNCTION("""COMPUTED_VALUE"""),"RUN-BEND_2022-01-19_RFR-015")</f>
        <v>RUN-BEND_2022-01-19_RFR-015</v>
      </c>
      <c r="C193" s="7">
        <f>VLOOKUP(B193,'Run Reconcile'!A$2:B809,2,FALSE)</f>
        <v>44580</v>
      </c>
      <c r="D193" s="12">
        <f>IFERROR(__xludf.DUMMYFUNCTION("""COMPUTED_VALUE"""),44579.0)</f>
        <v>44579</v>
      </c>
      <c r="E193" s="13">
        <f>IFERROR(__xludf.DUMMYFUNCTION("""COMPUTED_VALUE"""),0.3205324074078817)</f>
        <v>0.3205324074</v>
      </c>
      <c r="F193" s="10" t="str">
        <f>IFERROR(__xludf.DUMMYFUNCTION("""COMPUTED_VALUE"""),"Negative")</f>
        <v>Negative</v>
      </c>
      <c r="G193" s="10">
        <f>IFERROR(__xludf.DUMMYFUNCTION("""COMPUTED_VALUE"""),1.0)</f>
        <v>1</v>
      </c>
    </row>
    <row r="194">
      <c r="A194" s="6" t="str">
        <f>IFERROR(__xludf.DUMMYFUNCTION("""COMPUTED_VALUE"""),"MA655")</f>
        <v>MA655</v>
      </c>
      <c r="B194" s="6" t="str">
        <f>IFERROR(__xludf.DUMMYFUNCTION("""COMPUTED_VALUE"""),"RUN-BEND_2022-01-19_RFR-015")</f>
        <v>RUN-BEND_2022-01-19_RFR-015</v>
      </c>
      <c r="C194" s="7">
        <f>VLOOKUP(B194,'Run Reconcile'!A$2:B809,2,FALSE)</f>
        <v>44580</v>
      </c>
      <c r="D194" s="12">
        <f>IFERROR(__xludf.DUMMYFUNCTION("""COMPUTED_VALUE"""),44579.0)</f>
        <v>44579</v>
      </c>
      <c r="E194" s="13">
        <f>IFERROR(__xludf.DUMMYFUNCTION("""COMPUTED_VALUE"""),0.32251157407517894)</f>
        <v>0.3225115741</v>
      </c>
      <c r="F194" s="10" t="str">
        <f>IFERROR(__xludf.DUMMYFUNCTION("""COMPUTED_VALUE"""),"Positive")</f>
        <v>Positive</v>
      </c>
      <c r="G194" s="10">
        <f>IFERROR(__xludf.DUMMYFUNCTION("""COMPUTED_VALUE"""),1.0)</f>
        <v>1</v>
      </c>
    </row>
    <row r="195">
      <c r="A195" s="6" t="str">
        <f>IFERROR(__xludf.DUMMYFUNCTION("""COMPUTED_VALUE"""),"MA645")</f>
        <v>MA645</v>
      </c>
      <c r="B195" s="6" t="str">
        <f>IFERROR(__xludf.DUMMYFUNCTION("""COMPUTED_VALUE"""),"RUN-BEND_2022-01-19_RFR-015")</f>
        <v>RUN-BEND_2022-01-19_RFR-015</v>
      </c>
      <c r="C195" s="7">
        <f>VLOOKUP(B195,'Run Reconcile'!A$2:B809,2,FALSE)</f>
        <v>44580</v>
      </c>
      <c r="D195" s="12">
        <f>IFERROR(__xludf.DUMMYFUNCTION("""COMPUTED_VALUE"""),44579.0)</f>
        <v>44579</v>
      </c>
      <c r="E195" s="13">
        <f>IFERROR(__xludf.DUMMYFUNCTION("""COMPUTED_VALUE"""),0.3232175925913907)</f>
        <v>0.3232175926</v>
      </c>
      <c r="F195" s="10" t="str">
        <f>IFERROR(__xludf.DUMMYFUNCTION("""COMPUTED_VALUE"""),"Negative")</f>
        <v>Negative</v>
      </c>
      <c r="G195" s="10">
        <f>IFERROR(__xludf.DUMMYFUNCTION("""COMPUTED_VALUE"""),1.0)</f>
        <v>1</v>
      </c>
    </row>
    <row r="196">
      <c r="A196" s="6" t="str">
        <f>IFERROR(__xludf.DUMMYFUNCTION("""COMPUTED_VALUE"""),"MA627")</f>
        <v>MA627</v>
      </c>
      <c r="B196" s="6" t="str">
        <f>IFERROR(__xludf.DUMMYFUNCTION("""COMPUTED_VALUE"""),"RUN-BEND_2022-01-19_RFR-015")</f>
        <v>RUN-BEND_2022-01-19_RFR-015</v>
      </c>
      <c r="C196" s="7">
        <f>VLOOKUP(B196,'Run Reconcile'!A$2:B809,2,FALSE)</f>
        <v>44580</v>
      </c>
      <c r="D196" s="12">
        <f>IFERROR(__xludf.DUMMYFUNCTION("""COMPUTED_VALUE"""),44579.0)</f>
        <v>44579</v>
      </c>
      <c r="E196" s="13">
        <f>IFERROR(__xludf.DUMMYFUNCTION("""COMPUTED_VALUE"""),0.32331018518380006)</f>
        <v>0.3233101852</v>
      </c>
      <c r="F196" s="10" t="str">
        <f>IFERROR(__xludf.DUMMYFUNCTION("""COMPUTED_VALUE"""),"Negative")</f>
        <v>Negative</v>
      </c>
      <c r="G196" s="10">
        <f>IFERROR(__xludf.DUMMYFUNCTION("""COMPUTED_VALUE"""),1.0)</f>
        <v>1</v>
      </c>
    </row>
    <row r="197">
      <c r="A197" s="6" t="str">
        <f>IFERROR(__xludf.DUMMYFUNCTION("""COMPUTED_VALUE"""),"MA295")</f>
        <v>MA295</v>
      </c>
      <c r="B197" s="6" t="str">
        <f>IFERROR(__xludf.DUMMYFUNCTION("""COMPUTED_VALUE"""),"RUN-BEND_2022-01-19_RFR-015")</f>
        <v>RUN-BEND_2022-01-19_RFR-015</v>
      </c>
      <c r="C197" s="7">
        <f>VLOOKUP(B197,'Run Reconcile'!A$2:B809,2,FALSE)</f>
        <v>44580</v>
      </c>
      <c r="D197" s="12">
        <f>IFERROR(__xludf.DUMMYFUNCTION("""COMPUTED_VALUE"""),44579.0)</f>
        <v>44579</v>
      </c>
      <c r="E197" s="13">
        <f>IFERROR(__xludf.DUMMYFUNCTION("""COMPUTED_VALUE"""),0.32789351851897663)</f>
        <v>0.3278935185</v>
      </c>
      <c r="F197" s="10" t="str">
        <f>IFERROR(__xludf.DUMMYFUNCTION("""COMPUTED_VALUE"""),"Negative")</f>
        <v>Negative</v>
      </c>
      <c r="G197" s="10">
        <f>IFERROR(__xludf.DUMMYFUNCTION("""COMPUTED_VALUE"""),1.0)</f>
        <v>1</v>
      </c>
    </row>
    <row r="198">
      <c r="A198" s="6" t="str">
        <f>IFERROR(__xludf.DUMMYFUNCTION("""COMPUTED_VALUE"""),"MA302")</f>
        <v>MA302</v>
      </c>
      <c r="B198" s="6" t="str">
        <f>IFERROR(__xludf.DUMMYFUNCTION("""COMPUTED_VALUE"""),"RUN-BEND_2022-01-19_RFR-015")</f>
        <v>RUN-BEND_2022-01-19_RFR-015</v>
      </c>
      <c r="C198" s="7">
        <f>VLOOKUP(B198,'Run Reconcile'!A$2:B809,2,FALSE)</f>
        <v>44580</v>
      </c>
      <c r="D198" s="12">
        <f>IFERROR(__xludf.DUMMYFUNCTION("""COMPUTED_VALUE"""),44579.0)</f>
        <v>44579</v>
      </c>
      <c r="E198" s="13">
        <f>IFERROR(__xludf.DUMMYFUNCTION("""COMPUTED_VALUE"""),0.3291435185201408)</f>
        <v>0.3291435185</v>
      </c>
      <c r="F198" s="10" t="str">
        <f>IFERROR(__xludf.DUMMYFUNCTION("""COMPUTED_VALUE"""),"Negative")</f>
        <v>Negative</v>
      </c>
      <c r="G198" s="10">
        <f>IFERROR(__xludf.DUMMYFUNCTION("""COMPUTED_VALUE"""),1.0)</f>
        <v>1</v>
      </c>
    </row>
    <row r="199">
      <c r="A199" s="6" t="str">
        <f>IFERROR(__xludf.DUMMYFUNCTION("""COMPUTED_VALUE"""),"MAX68")</f>
        <v>MAX68</v>
      </c>
      <c r="B199" s="6" t="str">
        <f>IFERROR(__xludf.DUMMYFUNCTION("""COMPUTED_VALUE"""),"RUN-BEND_2022-01-19_RFR-015")</f>
        <v>RUN-BEND_2022-01-19_RFR-015</v>
      </c>
      <c r="C199" s="7">
        <f>VLOOKUP(B199,'Run Reconcile'!A$2:B809,2,FALSE)</f>
        <v>44580</v>
      </c>
      <c r="D199" s="12">
        <f>IFERROR(__xludf.DUMMYFUNCTION("""COMPUTED_VALUE"""),44579.0)</f>
        <v>44579</v>
      </c>
      <c r="E199" s="13">
        <f>IFERROR(__xludf.DUMMYFUNCTION("""COMPUTED_VALUE"""),0.330914351852698)</f>
        <v>0.3309143519</v>
      </c>
      <c r="F199" s="10" t="str">
        <f>IFERROR(__xludf.DUMMYFUNCTION("""COMPUTED_VALUE"""),"Positive")</f>
        <v>Positive</v>
      </c>
      <c r="G199" s="10">
        <f>IFERROR(__xludf.DUMMYFUNCTION("""COMPUTED_VALUE"""),1.0)</f>
        <v>1</v>
      </c>
    </row>
    <row r="200">
      <c r="A200" s="6" t="str">
        <f>IFERROR(__xludf.DUMMYFUNCTION("""COMPUTED_VALUE"""),"MA657")</f>
        <v>MA657</v>
      </c>
      <c r="B200" s="6" t="str">
        <f>IFERROR(__xludf.DUMMYFUNCTION("""COMPUTED_VALUE"""),"RUN-BEND_2022-01-19_RFR-015")</f>
        <v>RUN-BEND_2022-01-19_RFR-015</v>
      </c>
      <c r="C200" s="7">
        <f>VLOOKUP(B200,'Run Reconcile'!A$2:B809,2,FALSE)</f>
        <v>44580</v>
      </c>
      <c r="D200" s="12">
        <f>IFERROR(__xludf.DUMMYFUNCTION("""COMPUTED_VALUE"""),44579.0)</f>
        <v>44579</v>
      </c>
      <c r="E200" s="13">
        <f>IFERROR(__xludf.DUMMYFUNCTION("""COMPUTED_VALUE"""),0.33101851851824904)</f>
        <v>0.3310185185</v>
      </c>
      <c r="F200" s="10" t="str">
        <f>IFERROR(__xludf.DUMMYFUNCTION("""COMPUTED_VALUE"""),"Negative")</f>
        <v>Negative</v>
      </c>
      <c r="G200" s="10">
        <f>IFERROR(__xludf.DUMMYFUNCTION("""COMPUTED_VALUE"""),1.0)</f>
        <v>1</v>
      </c>
    </row>
    <row r="201">
      <c r="A201" s="6" t="str">
        <f>IFERROR(__xludf.DUMMYFUNCTION("""COMPUTED_VALUE"""),"MA431")</f>
        <v>MA431</v>
      </c>
      <c r="B201" s="6" t="str">
        <f>IFERROR(__xludf.DUMMYFUNCTION("""COMPUTED_VALUE"""),"RUN-BEND_2022-01-19_RFR-015")</f>
        <v>RUN-BEND_2022-01-19_RFR-015</v>
      </c>
      <c r="C201" s="7">
        <f>VLOOKUP(B201,'Run Reconcile'!A$2:B809,2,FALSE)</f>
        <v>44580</v>
      </c>
      <c r="D201" s="12">
        <f>IFERROR(__xludf.DUMMYFUNCTION("""COMPUTED_VALUE"""),44579.0)</f>
        <v>44579</v>
      </c>
      <c r="E201" s="13">
        <f>IFERROR(__xludf.DUMMYFUNCTION("""COMPUTED_VALUE"""),0.3312152777762094)</f>
        <v>0.3312152778</v>
      </c>
      <c r="F201" s="10" t="str">
        <f>IFERROR(__xludf.DUMMYFUNCTION("""COMPUTED_VALUE"""),"Negative")</f>
        <v>Negative</v>
      </c>
      <c r="G201" s="10">
        <f>IFERROR(__xludf.DUMMYFUNCTION("""COMPUTED_VALUE"""),1.0)</f>
        <v>1</v>
      </c>
    </row>
    <row r="202">
      <c r="A202" s="6" t="str">
        <f>IFERROR(__xludf.DUMMYFUNCTION("""COMPUTED_VALUE"""),"MA458")</f>
        <v>MA458</v>
      </c>
      <c r="B202" s="6" t="str">
        <f>IFERROR(__xludf.DUMMYFUNCTION("""COMPUTED_VALUE"""),"RUN-BEND_2022-01-19_RFR-015")</f>
        <v>RUN-BEND_2022-01-19_RFR-015</v>
      </c>
      <c r="C202" s="7">
        <f>VLOOKUP(B202,'Run Reconcile'!A$2:B809,2,FALSE)</f>
        <v>44580</v>
      </c>
      <c r="D202" s="12">
        <f>IFERROR(__xludf.DUMMYFUNCTION("""COMPUTED_VALUE"""),44579.0)</f>
        <v>44579</v>
      </c>
      <c r="E202" s="13">
        <f>IFERROR(__xludf.DUMMYFUNCTION("""COMPUTED_VALUE"""),0.33178240740744513)</f>
        <v>0.3317824074</v>
      </c>
      <c r="F202" s="10" t="str">
        <f>IFERROR(__xludf.DUMMYFUNCTION("""COMPUTED_VALUE"""),"Negative")</f>
        <v>Negative</v>
      </c>
      <c r="G202" s="10">
        <f>IFERROR(__xludf.DUMMYFUNCTION("""COMPUTED_VALUE"""),1.0)</f>
        <v>1</v>
      </c>
    </row>
    <row r="203">
      <c r="A203" s="6" t="str">
        <f>IFERROR(__xludf.DUMMYFUNCTION("""COMPUTED_VALUE"""),"MA629")</f>
        <v>MA629</v>
      </c>
      <c r="B203" s="6" t="str">
        <f>IFERROR(__xludf.DUMMYFUNCTION("""COMPUTED_VALUE"""),"RUN-BEND_2022-01-19_RFR-015")</f>
        <v>RUN-BEND_2022-01-19_RFR-015</v>
      </c>
      <c r="C203" s="7">
        <f>VLOOKUP(B203,'Run Reconcile'!A$2:B809,2,FALSE)</f>
        <v>44580</v>
      </c>
      <c r="D203" s="12">
        <f>IFERROR(__xludf.DUMMYFUNCTION("""COMPUTED_VALUE"""),44579.0)</f>
        <v>44579</v>
      </c>
      <c r="E203" s="13">
        <f>IFERROR(__xludf.DUMMYFUNCTION("""COMPUTED_VALUE"""),0.3320254629616102)</f>
        <v>0.332025463</v>
      </c>
      <c r="F203" s="10" t="str">
        <f>IFERROR(__xludf.DUMMYFUNCTION("""COMPUTED_VALUE"""),"Negative")</f>
        <v>Negative</v>
      </c>
      <c r="G203" s="10">
        <f>IFERROR(__xludf.DUMMYFUNCTION("""COMPUTED_VALUE"""),1.0)</f>
        <v>1</v>
      </c>
    </row>
    <row r="204">
      <c r="A204" s="6" t="str">
        <f>IFERROR(__xludf.DUMMYFUNCTION("""COMPUTED_VALUE"""),"MA652")</f>
        <v>MA652</v>
      </c>
      <c r="B204" s="6" t="str">
        <f>IFERROR(__xludf.DUMMYFUNCTION("""COMPUTED_VALUE"""),"RUN-BEND_2022-01-19_RFR-015")</f>
        <v>RUN-BEND_2022-01-19_RFR-015</v>
      </c>
      <c r="C204" s="7">
        <f>VLOOKUP(B204,'Run Reconcile'!A$2:B809,2,FALSE)</f>
        <v>44580</v>
      </c>
      <c r="D204" s="12">
        <f>IFERROR(__xludf.DUMMYFUNCTION("""COMPUTED_VALUE"""),44579.0)</f>
        <v>44579</v>
      </c>
      <c r="E204" s="13">
        <f>IFERROR(__xludf.DUMMYFUNCTION("""COMPUTED_VALUE"""),0.3321296296307992)</f>
        <v>0.3321296296</v>
      </c>
      <c r="F204" s="10" t="str">
        <f>IFERROR(__xludf.DUMMYFUNCTION("""COMPUTED_VALUE"""),"Negative")</f>
        <v>Negative</v>
      </c>
      <c r="G204" s="10">
        <f>IFERROR(__xludf.DUMMYFUNCTION("""COMPUTED_VALUE"""),1.0)</f>
        <v>1</v>
      </c>
    </row>
    <row r="205">
      <c r="A205" s="6" t="str">
        <f>IFERROR(__xludf.DUMMYFUNCTION("""COMPUTED_VALUE"""),"MA650")</f>
        <v>MA650</v>
      </c>
      <c r="B205" s="6" t="str">
        <f>IFERROR(__xludf.DUMMYFUNCTION("""COMPUTED_VALUE"""),"RUN-BEND_2022-01-19_RFR-015")</f>
        <v>RUN-BEND_2022-01-19_RFR-015</v>
      </c>
      <c r="C205" s="7">
        <f>VLOOKUP(B205,'Run Reconcile'!A$2:B809,2,FALSE)</f>
        <v>44580</v>
      </c>
      <c r="D205" s="12">
        <f>IFERROR(__xludf.DUMMYFUNCTION("""COMPUTED_VALUE"""),44579.0)</f>
        <v>44579</v>
      </c>
      <c r="E205" s="13">
        <f>IFERROR(__xludf.DUMMYFUNCTION("""COMPUTED_VALUE"""),0.3324884259272949)</f>
        <v>0.3324884259</v>
      </c>
      <c r="F205" s="10" t="str">
        <f>IFERROR(__xludf.DUMMYFUNCTION("""COMPUTED_VALUE"""),"Negative")</f>
        <v>Negative</v>
      </c>
      <c r="G205" s="10">
        <f>IFERROR(__xludf.DUMMYFUNCTION("""COMPUTED_VALUE"""),1.0)</f>
        <v>1</v>
      </c>
    </row>
    <row r="206">
      <c r="A206" s="6" t="str">
        <f>IFERROR(__xludf.DUMMYFUNCTION("""COMPUTED_VALUE"""),"MA656")</f>
        <v>MA656</v>
      </c>
      <c r="B206" s="6" t="str">
        <f>IFERROR(__xludf.DUMMYFUNCTION("""COMPUTED_VALUE"""),"RUN-BEND_2022-01-19_RFR-015")</f>
        <v>RUN-BEND_2022-01-19_RFR-015</v>
      </c>
      <c r="C206" s="7">
        <f>VLOOKUP(B206,'Run Reconcile'!A$2:B809,2,FALSE)</f>
        <v>44580</v>
      </c>
      <c r="D206" s="12">
        <f>IFERROR(__xludf.DUMMYFUNCTION("""COMPUTED_VALUE"""),44579.0)</f>
        <v>44579</v>
      </c>
      <c r="E206" s="13">
        <f>IFERROR(__xludf.DUMMYFUNCTION("""COMPUTED_VALUE"""),0.33254629629664123)</f>
        <v>0.3325462963</v>
      </c>
      <c r="F206" s="10" t="str">
        <f>IFERROR(__xludf.DUMMYFUNCTION("""COMPUTED_VALUE"""),"Negative")</f>
        <v>Negative</v>
      </c>
      <c r="G206" s="10">
        <f>IFERROR(__xludf.DUMMYFUNCTION("""COMPUTED_VALUE"""),1.0)</f>
        <v>1</v>
      </c>
    </row>
    <row r="207">
      <c r="A207" s="6" t="str">
        <f>IFERROR(__xludf.DUMMYFUNCTION("""COMPUTED_VALUE"""),"MA1124")</f>
        <v>MA1124</v>
      </c>
      <c r="B207" s="6" t="str">
        <f>IFERROR(__xludf.DUMMYFUNCTION("""COMPUTED_VALUE"""),"RUN-BEND_2022-01-19_RFR-015")</f>
        <v>RUN-BEND_2022-01-19_RFR-015</v>
      </c>
      <c r="C207" s="7">
        <f>VLOOKUP(B207,'Run Reconcile'!A$2:B809,2,FALSE)</f>
        <v>44580</v>
      </c>
      <c r="D207" s="12">
        <f>IFERROR(__xludf.DUMMYFUNCTION("""COMPUTED_VALUE"""),44579.0)</f>
        <v>44579</v>
      </c>
      <c r="E207" s="13">
        <f>IFERROR(__xludf.DUMMYFUNCTION("""COMPUTED_VALUE"""),0.34042824073912925)</f>
        <v>0.3404282407</v>
      </c>
      <c r="F207" s="10" t="str">
        <f>IFERROR(__xludf.DUMMYFUNCTION("""COMPUTED_VALUE"""),"Negative")</f>
        <v>Negative</v>
      </c>
      <c r="G207" s="10">
        <f>IFERROR(__xludf.DUMMYFUNCTION("""COMPUTED_VALUE"""),1.0)</f>
        <v>1</v>
      </c>
    </row>
    <row r="208">
      <c r="A208" s="6" t="str">
        <f>IFERROR(__xludf.DUMMYFUNCTION("""COMPUTED_VALUE"""),"MA386")</f>
        <v>MA386</v>
      </c>
      <c r="B208" s="6" t="str">
        <f>IFERROR(__xludf.DUMMYFUNCTION("""COMPUTED_VALUE"""),"RUN-BEND_2022-01-19_RFR-015")</f>
        <v>RUN-BEND_2022-01-19_RFR-015</v>
      </c>
      <c r="C208" s="7">
        <f>VLOOKUP(B208,'Run Reconcile'!A$2:B809,2,FALSE)</f>
        <v>44580</v>
      </c>
      <c r="D208" s="12">
        <f>IFERROR(__xludf.DUMMYFUNCTION("""COMPUTED_VALUE"""),44579.0)</f>
        <v>44579</v>
      </c>
      <c r="E208" s="13">
        <f>IFERROR(__xludf.DUMMYFUNCTION("""COMPUTED_VALUE"""),0.3413888888899237)</f>
        <v>0.3413888889</v>
      </c>
      <c r="F208" s="10" t="str">
        <f>IFERROR(__xludf.DUMMYFUNCTION("""COMPUTED_VALUE"""),"Negative")</f>
        <v>Negative</v>
      </c>
      <c r="G208" s="10">
        <f>IFERROR(__xludf.DUMMYFUNCTION("""COMPUTED_VALUE"""),1.0)</f>
        <v>1</v>
      </c>
    </row>
    <row r="209">
      <c r="A209" s="6" t="str">
        <f>IFERROR(__xludf.DUMMYFUNCTION("""COMPUTED_VALUE"""),"MA1165")</f>
        <v>MA1165</v>
      </c>
      <c r="B209" s="6" t="str">
        <f>IFERROR(__xludf.DUMMYFUNCTION("""COMPUTED_VALUE"""),"RUN-BEND_2022-01-19_RFR-015")</f>
        <v>RUN-BEND_2022-01-19_RFR-015</v>
      </c>
      <c r="C209" s="7">
        <f>VLOOKUP(B209,'Run Reconcile'!A$2:B809,2,FALSE)</f>
        <v>44580</v>
      </c>
      <c r="D209" s="12">
        <f>IFERROR(__xludf.DUMMYFUNCTION("""COMPUTED_VALUE"""),44579.0)</f>
        <v>44579</v>
      </c>
      <c r="E209" s="13">
        <f>IFERROR(__xludf.DUMMYFUNCTION("""COMPUTED_VALUE"""),0.346296296294895)</f>
        <v>0.3462962963</v>
      </c>
      <c r="F209" s="10" t="str">
        <f>IFERROR(__xludf.DUMMYFUNCTION("""COMPUTED_VALUE"""),"Negative")</f>
        <v>Negative</v>
      </c>
      <c r="G209" s="10">
        <f>IFERROR(__xludf.DUMMYFUNCTION("""COMPUTED_VALUE"""),1.0)</f>
        <v>1</v>
      </c>
    </row>
    <row r="210">
      <c r="A210" s="6" t="str">
        <f>IFERROR(__xludf.DUMMYFUNCTION("""COMPUTED_VALUE"""),"MA262")</f>
        <v>MA262</v>
      </c>
      <c r="B210" s="6" t="str">
        <f>IFERROR(__xludf.DUMMYFUNCTION("""COMPUTED_VALUE"""),"RUN-BEND_2022-01-19_RFR-015")</f>
        <v>RUN-BEND_2022-01-19_RFR-015</v>
      </c>
      <c r="C210" s="7">
        <f>VLOOKUP(B210,'Run Reconcile'!A$2:B809,2,FALSE)</f>
        <v>44580</v>
      </c>
      <c r="D210" s="12">
        <f>IFERROR(__xludf.DUMMYFUNCTION("""COMPUTED_VALUE"""),44579.0)</f>
        <v>44579</v>
      </c>
      <c r="E210" s="13">
        <f>IFERROR(__xludf.DUMMYFUNCTION("""COMPUTED_VALUE"""),0.34820601851970423)</f>
        <v>0.3482060185</v>
      </c>
      <c r="F210" s="10" t="str">
        <f>IFERROR(__xludf.DUMMYFUNCTION("""COMPUTED_VALUE"""),"Negative")</f>
        <v>Negative</v>
      </c>
      <c r="G210" s="10">
        <f>IFERROR(__xludf.DUMMYFUNCTION("""COMPUTED_VALUE"""),1.0)</f>
        <v>1</v>
      </c>
    </row>
    <row r="211">
      <c r="A211" s="6" t="str">
        <f>IFERROR(__xludf.DUMMYFUNCTION("""COMPUTED_VALUE"""),"MA1184")</f>
        <v>MA1184</v>
      </c>
      <c r="B211" s="6" t="str">
        <f>IFERROR(__xludf.DUMMYFUNCTION("""COMPUTED_VALUE"""),"RUN-BEND_2022-01-19_RFR-015")</f>
        <v>RUN-BEND_2022-01-19_RFR-015</v>
      </c>
      <c r="C211" s="7">
        <f>VLOOKUP(B211,'Run Reconcile'!A$2:B809,2,FALSE)</f>
        <v>44580</v>
      </c>
      <c r="D211" s="12">
        <f>IFERROR(__xludf.DUMMYFUNCTION("""COMPUTED_VALUE"""),44579.0)</f>
        <v>44579</v>
      </c>
      <c r="E211" s="13">
        <f>IFERROR(__xludf.DUMMYFUNCTION("""COMPUTED_VALUE"""),0.348773148147302)</f>
        <v>0.3487731481</v>
      </c>
      <c r="F211" s="10" t="str">
        <f>IFERROR(__xludf.DUMMYFUNCTION("""COMPUTED_VALUE"""),"Negative")</f>
        <v>Negative</v>
      </c>
      <c r="G211" s="10">
        <f>IFERROR(__xludf.DUMMYFUNCTION("""COMPUTED_VALUE"""),1.0)</f>
        <v>1</v>
      </c>
    </row>
    <row r="212">
      <c r="A212" s="6" t="str">
        <f>IFERROR(__xludf.DUMMYFUNCTION("""COMPUTED_VALUE"""),"MA1150")</f>
        <v>MA1150</v>
      </c>
      <c r="B212" s="6" t="str">
        <f>IFERROR(__xludf.DUMMYFUNCTION("""COMPUTED_VALUE"""),"RUN-BEND_2022-01-19_RFR-015")</f>
        <v>RUN-BEND_2022-01-19_RFR-015</v>
      </c>
      <c r="C212" s="7">
        <f>VLOOKUP(B212,'Run Reconcile'!A$2:B809,2,FALSE)</f>
        <v>44580</v>
      </c>
      <c r="D212" s="12">
        <f>IFERROR(__xludf.DUMMYFUNCTION("""COMPUTED_VALUE"""),44579.0)</f>
        <v>44579</v>
      </c>
      <c r="E212" s="13">
        <f>IFERROR(__xludf.DUMMYFUNCTION("""COMPUTED_VALUE"""),0.35052083333357587)</f>
        <v>0.3505208333</v>
      </c>
      <c r="F212" s="10" t="str">
        <f>IFERROR(__xludf.DUMMYFUNCTION("""COMPUTED_VALUE"""),"Negative")</f>
        <v>Negative</v>
      </c>
      <c r="G212" s="10">
        <f>IFERROR(__xludf.DUMMYFUNCTION("""COMPUTED_VALUE"""),1.0)</f>
        <v>1</v>
      </c>
    </row>
    <row r="213">
      <c r="A213" s="6" t="str">
        <f>IFERROR(__xludf.DUMMYFUNCTION("""COMPUTED_VALUE"""),"MA1253")</f>
        <v>MA1253</v>
      </c>
      <c r="B213" s="6" t="str">
        <f>IFERROR(__xludf.DUMMYFUNCTION("""COMPUTED_VALUE"""),"RUN-BEND_2022-01-19_RFR-015")</f>
        <v>RUN-BEND_2022-01-19_RFR-015</v>
      </c>
      <c r="C213" s="7">
        <f>VLOOKUP(B213,'Run Reconcile'!A$2:B809,2,FALSE)</f>
        <v>44580</v>
      </c>
      <c r="D213" s="12">
        <f>IFERROR(__xludf.DUMMYFUNCTION("""COMPUTED_VALUE"""),44579.0)</f>
        <v>44579</v>
      </c>
      <c r="E213" s="13">
        <f>IFERROR(__xludf.DUMMYFUNCTION("""COMPUTED_VALUE"""),0.3615972222214623)</f>
        <v>0.3615972222</v>
      </c>
      <c r="F213" s="10" t="str">
        <f>IFERROR(__xludf.DUMMYFUNCTION("""COMPUTED_VALUE"""),"Negative")</f>
        <v>Negative</v>
      </c>
      <c r="G213" s="10">
        <f>IFERROR(__xludf.DUMMYFUNCTION("""COMPUTED_VALUE"""),1.0)</f>
        <v>1</v>
      </c>
    </row>
    <row r="214">
      <c r="A214" s="6" t="str">
        <f>IFERROR(__xludf.DUMMYFUNCTION("""COMPUTED_VALUE"""),"MAX44")</f>
        <v>MAX44</v>
      </c>
      <c r="B214" s="6" t="str">
        <f>IFERROR(__xludf.DUMMYFUNCTION("""COMPUTED_VALUE"""),"RUN-BEND_2022-01-19_RFR-015")</f>
        <v>RUN-BEND_2022-01-19_RFR-015</v>
      </c>
      <c r="C214" s="7">
        <f>VLOOKUP(B214,'Run Reconcile'!A$2:B809,2,FALSE)</f>
        <v>44580</v>
      </c>
      <c r="D214" s="12">
        <f>IFERROR(__xludf.DUMMYFUNCTION("""COMPUTED_VALUE"""),44579.0)</f>
        <v>44579</v>
      </c>
      <c r="E214" s="13">
        <f>IFERROR(__xludf.DUMMYFUNCTION("""COMPUTED_VALUE"""),0.40466435185226146)</f>
        <v>0.4046643519</v>
      </c>
      <c r="F214" s="10" t="str">
        <f>IFERROR(__xludf.DUMMYFUNCTION("""COMPUTED_VALUE"""),"Positive")</f>
        <v>Positive</v>
      </c>
      <c r="G214" s="10">
        <f>IFERROR(__xludf.DUMMYFUNCTION("""COMPUTED_VALUE"""),1.0)</f>
        <v>1</v>
      </c>
    </row>
    <row r="215">
      <c r="A215" s="6" t="str">
        <f>IFERROR(__xludf.DUMMYFUNCTION("""COMPUTED_VALUE"""),"MA1248")</f>
        <v>MA1248</v>
      </c>
      <c r="B215" s="6" t="str">
        <f>IFERROR(__xludf.DUMMYFUNCTION("""COMPUTED_VALUE"""),"RUN-BEND_2022-01-19_RFR-015")</f>
        <v>RUN-BEND_2022-01-19_RFR-015</v>
      </c>
      <c r="C215" s="7">
        <f>VLOOKUP(B215,'Run Reconcile'!A$2:B809,2,FALSE)</f>
        <v>44580</v>
      </c>
      <c r="D215" s="12">
        <f>IFERROR(__xludf.DUMMYFUNCTION("""COMPUTED_VALUE"""),44579.0)</f>
        <v>44579</v>
      </c>
      <c r="E215" s="13">
        <f>IFERROR(__xludf.DUMMYFUNCTION("""COMPUTED_VALUE"""),0.41303240740671754)</f>
        <v>0.4130324074</v>
      </c>
      <c r="F215" s="10" t="str">
        <f>IFERROR(__xludf.DUMMYFUNCTION("""COMPUTED_VALUE"""),"Negative")</f>
        <v>Negative</v>
      </c>
      <c r="G215" s="10">
        <f>IFERROR(__xludf.DUMMYFUNCTION("""COMPUTED_VALUE"""),1.0)</f>
        <v>1</v>
      </c>
    </row>
    <row r="216">
      <c r="A216" s="6" t="str">
        <f>IFERROR(__xludf.DUMMYFUNCTION("""COMPUTED_VALUE"""),"MA422")</f>
        <v>MA422</v>
      </c>
      <c r="B216" s="6" t="str">
        <f>IFERROR(__xludf.DUMMYFUNCTION("""COMPUTED_VALUE"""),"RUN-BEND_2022-01-19_RFR-015")</f>
        <v>RUN-BEND_2022-01-19_RFR-015</v>
      </c>
      <c r="C216" s="7">
        <f>VLOOKUP(B216,'Run Reconcile'!A$2:B809,2,FALSE)</f>
        <v>44580</v>
      </c>
      <c r="D216" s="12">
        <f>IFERROR(__xludf.DUMMYFUNCTION("""COMPUTED_VALUE"""),44579.0)</f>
        <v>44579</v>
      </c>
      <c r="E216" s="13">
        <f>IFERROR(__xludf.DUMMYFUNCTION("""COMPUTED_VALUE"""),0.4133333333338669)</f>
        <v>0.4133333333</v>
      </c>
      <c r="F216" s="10" t="str">
        <f>IFERROR(__xludf.DUMMYFUNCTION("""COMPUTED_VALUE"""),"Positive")</f>
        <v>Positive</v>
      </c>
      <c r="G216" s="10">
        <f>IFERROR(__xludf.DUMMYFUNCTION("""COMPUTED_VALUE"""),1.0)</f>
        <v>1</v>
      </c>
    </row>
    <row r="217">
      <c r="A217" s="6" t="str">
        <f>IFERROR(__xludf.DUMMYFUNCTION("""COMPUTED_VALUE"""),"MA1146")</f>
        <v>MA1146</v>
      </c>
      <c r="B217" s="6" t="str">
        <f>IFERROR(__xludf.DUMMYFUNCTION("""COMPUTED_VALUE"""),"RUN-BEND_2022-01-19_RFR-015")</f>
        <v>RUN-BEND_2022-01-19_RFR-015</v>
      </c>
      <c r="C217" s="7">
        <f>VLOOKUP(B217,'Run Reconcile'!A$2:B809,2,FALSE)</f>
        <v>44580</v>
      </c>
      <c r="D217" s="12">
        <f>IFERROR(__xludf.DUMMYFUNCTION("""COMPUTED_VALUE"""),44579.0)</f>
        <v>44579</v>
      </c>
      <c r="E217" s="13">
        <f>IFERROR(__xludf.DUMMYFUNCTION("""COMPUTED_VALUE"""),0.41368055555722094)</f>
        <v>0.4136805556</v>
      </c>
      <c r="F217" s="10" t="str">
        <f>IFERROR(__xludf.DUMMYFUNCTION("""COMPUTED_VALUE"""),"Positive")</f>
        <v>Positive</v>
      </c>
      <c r="G217" s="10">
        <f>IFERROR(__xludf.DUMMYFUNCTION("""COMPUTED_VALUE"""),1.0)</f>
        <v>1</v>
      </c>
    </row>
    <row r="218">
      <c r="A218" s="6" t="str">
        <f>IFERROR(__xludf.DUMMYFUNCTION("""COMPUTED_VALUE"""),"MA1162")</f>
        <v>MA1162</v>
      </c>
      <c r="B218" s="6" t="str">
        <f>IFERROR(__xludf.DUMMYFUNCTION("""COMPUTED_VALUE"""),"RUN-BEND_2022-01-19_RFR-015")</f>
        <v>RUN-BEND_2022-01-19_RFR-015</v>
      </c>
      <c r="C218" s="7">
        <f>VLOOKUP(B218,'Run Reconcile'!A$2:B809,2,FALSE)</f>
        <v>44580</v>
      </c>
      <c r="D218" s="12">
        <f>IFERROR(__xludf.DUMMYFUNCTION("""COMPUTED_VALUE"""),44579.0)</f>
        <v>44579</v>
      </c>
      <c r="E218" s="13">
        <f>IFERROR(__xludf.DUMMYFUNCTION("""COMPUTED_VALUE"""),0.4140740740731417)</f>
        <v>0.4140740741</v>
      </c>
      <c r="F218" s="10" t="str">
        <f>IFERROR(__xludf.DUMMYFUNCTION("""COMPUTED_VALUE"""),"Positive")</f>
        <v>Positive</v>
      </c>
      <c r="G218" s="10">
        <f>IFERROR(__xludf.DUMMYFUNCTION("""COMPUTED_VALUE"""),1.0)</f>
        <v>1</v>
      </c>
    </row>
    <row r="219">
      <c r="A219" s="6" t="str">
        <f>IFERROR(__xludf.DUMMYFUNCTION("""COMPUTED_VALUE"""),"MA547")</f>
        <v>MA547</v>
      </c>
      <c r="B219" s="6" t="str">
        <f>IFERROR(__xludf.DUMMYFUNCTION("""COMPUTED_VALUE"""),"RUN-BEND_2022-01-19_RFR-015")</f>
        <v>RUN-BEND_2022-01-19_RFR-015</v>
      </c>
      <c r="C219" s="7">
        <f>VLOOKUP(B219,'Run Reconcile'!A$2:B809,2,FALSE)</f>
        <v>44580</v>
      </c>
      <c r="D219" s="12">
        <f>IFERROR(__xludf.DUMMYFUNCTION("""COMPUTED_VALUE"""),44579.0)</f>
        <v>44579</v>
      </c>
      <c r="E219" s="13">
        <f>IFERROR(__xludf.DUMMYFUNCTION("""COMPUTED_VALUE"""),0.4144560185195587)</f>
        <v>0.4144560185</v>
      </c>
      <c r="F219" s="10" t="str">
        <f>IFERROR(__xludf.DUMMYFUNCTION("""COMPUTED_VALUE"""),"Positive")</f>
        <v>Positive</v>
      </c>
      <c r="G219" s="10">
        <f>IFERROR(__xludf.DUMMYFUNCTION("""COMPUTED_VALUE"""),1.0)</f>
        <v>1</v>
      </c>
    </row>
    <row r="220">
      <c r="A220" s="6" t="str">
        <f>IFERROR(__xludf.DUMMYFUNCTION("""COMPUTED_VALUE"""),"MA1037")</f>
        <v>MA1037</v>
      </c>
      <c r="B220" s="6" t="str">
        <f>IFERROR(__xludf.DUMMYFUNCTION("""COMPUTED_VALUE"""),"RUN-BEND_2022-01-19_RFR-015")</f>
        <v>RUN-BEND_2022-01-19_RFR-015</v>
      </c>
      <c r="C220" s="7">
        <f>VLOOKUP(B220,'Run Reconcile'!A$2:B809,2,FALSE)</f>
        <v>44580</v>
      </c>
      <c r="D220" s="12">
        <f>IFERROR(__xludf.DUMMYFUNCTION("""COMPUTED_VALUE"""),44579.0)</f>
        <v>44579</v>
      </c>
      <c r="E220" s="13">
        <f>IFERROR(__xludf.DUMMYFUNCTION("""COMPUTED_VALUE"""),0.4153472222205892)</f>
        <v>0.4153472222</v>
      </c>
      <c r="F220" s="10" t="str">
        <f>IFERROR(__xludf.DUMMYFUNCTION("""COMPUTED_VALUE"""),"Positive")</f>
        <v>Positive</v>
      </c>
      <c r="G220" s="10">
        <f>IFERROR(__xludf.DUMMYFUNCTION("""COMPUTED_VALUE"""),1.0)</f>
        <v>1</v>
      </c>
    </row>
    <row r="221">
      <c r="A221" s="6" t="str">
        <f>IFERROR(__xludf.DUMMYFUNCTION("""COMPUTED_VALUE"""),"MA446")</f>
        <v>MA446</v>
      </c>
      <c r="B221" s="6" t="str">
        <f>IFERROR(__xludf.DUMMYFUNCTION("""COMPUTED_VALUE"""),"RUN-BEND_2022-01-19_RFR-015")</f>
        <v>RUN-BEND_2022-01-19_RFR-015</v>
      </c>
      <c r="C221" s="7">
        <f>VLOOKUP(B221,'Run Reconcile'!A$2:B809,2,FALSE)</f>
        <v>44580</v>
      </c>
      <c r="D221" s="12">
        <f>IFERROR(__xludf.DUMMYFUNCTION("""COMPUTED_VALUE"""),44579.0)</f>
        <v>44579</v>
      </c>
      <c r="E221" s="13">
        <f>IFERROR(__xludf.DUMMYFUNCTION("""COMPUTED_VALUE"""),0.4159259259249666)</f>
        <v>0.4159259259</v>
      </c>
      <c r="F221" s="10" t="str">
        <f>IFERROR(__xludf.DUMMYFUNCTION("""COMPUTED_VALUE"""),"Positive")</f>
        <v>Positive</v>
      </c>
      <c r="G221" s="10">
        <f>IFERROR(__xludf.DUMMYFUNCTION("""COMPUTED_VALUE"""),1.0)</f>
        <v>1</v>
      </c>
    </row>
    <row r="222">
      <c r="A222" s="6" t="str">
        <f>IFERROR(__xludf.DUMMYFUNCTION("""COMPUTED_VALUE"""),"MAX90")</f>
        <v>MAX90</v>
      </c>
      <c r="B222" s="6" t="str">
        <f>IFERROR(__xludf.DUMMYFUNCTION("""COMPUTED_VALUE"""),"RUN-BEND_2022-01-19_RFR-016")</f>
        <v>RUN-BEND_2022-01-19_RFR-016</v>
      </c>
      <c r="C222" s="7">
        <f>VLOOKUP(B222,'Run Reconcile'!A$2:B809,2,FALSE)</f>
        <v>44580</v>
      </c>
      <c r="D222" s="12">
        <f>IFERROR(__xludf.DUMMYFUNCTION("""COMPUTED_VALUE"""),44580.0)</f>
        <v>44580</v>
      </c>
      <c r="E222" s="13">
        <f>IFERROR(__xludf.DUMMYFUNCTION("""COMPUTED_VALUE"""),0.28883101851897663)</f>
        <v>0.2888310185</v>
      </c>
      <c r="F222" s="10" t="str">
        <f>IFERROR(__xludf.DUMMYFUNCTION("""COMPUTED_VALUE"""),"Negative")</f>
        <v>Negative</v>
      </c>
      <c r="G222" s="10">
        <f>IFERROR(__xludf.DUMMYFUNCTION("""COMPUTED_VALUE"""),1.0)</f>
        <v>1</v>
      </c>
    </row>
    <row r="223">
      <c r="A223" s="6" t="str">
        <f>IFERROR(__xludf.DUMMYFUNCTION("""COMPUTED_VALUE"""),"MAX62")</f>
        <v>MAX62</v>
      </c>
      <c r="B223" s="6" t="str">
        <f>IFERROR(__xludf.DUMMYFUNCTION("""COMPUTED_VALUE"""),"RUN-BEND_2022-01-19_RFR-016")</f>
        <v>RUN-BEND_2022-01-19_RFR-016</v>
      </c>
      <c r="C223" s="7">
        <f>VLOOKUP(B223,'Run Reconcile'!A$2:B809,2,FALSE)</f>
        <v>44580</v>
      </c>
      <c r="D223" s="12">
        <f>IFERROR(__xludf.DUMMYFUNCTION("""COMPUTED_VALUE"""),44580.0)</f>
        <v>44580</v>
      </c>
      <c r="E223" s="13">
        <f>IFERROR(__xludf.DUMMYFUNCTION("""COMPUTED_VALUE"""),0.29005787037021946)</f>
        <v>0.2900578704</v>
      </c>
      <c r="F223" s="10" t="str">
        <f>IFERROR(__xludf.DUMMYFUNCTION("""COMPUTED_VALUE"""),"Negative")</f>
        <v>Negative</v>
      </c>
      <c r="G223" s="10">
        <f>IFERROR(__xludf.DUMMYFUNCTION("""COMPUTED_VALUE"""),1.0)</f>
        <v>1</v>
      </c>
    </row>
    <row r="224">
      <c r="A224" s="6" t="str">
        <f>IFERROR(__xludf.DUMMYFUNCTION("""COMPUTED_VALUE"""),"MA727")</f>
        <v>MA727</v>
      </c>
      <c r="B224" s="6" t="str">
        <f>IFERROR(__xludf.DUMMYFUNCTION("""COMPUTED_VALUE"""),"RUN-BEND_2022-01-19_RFR-016")</f>
        <v>RUN-BEND_2022-01-19_RFR-016</v>
      </c>
      <c r="C224" s="7">
        <f>VLOOKUP(B224,'Run Reconcile'!A$2:B809,2,FALSE)</f>
        <v>44580</v>
      </c>
      <c r="D224" s="12">
        <f>IFERROR(__xludf.DUMMYFUNCTION("""COMPUTED_VALUE"""),44580.0)</f>
        <v>44580</v>
      </c>
      <c r="E224" s="13">
        <f>IFERROR(__xludf.DUMMYFUNCTION("""COMPUTED_VALUE"""),0.29824074073985685)</f>
        <v>0.2982407407</v>
      </c>
      <c r="F224" s="10" t="str">
        <f>IFERROR(__xludf.DUMMYFUNCTION("""COMPUTED_VALUE"""),"Negative")</f>
        <v>Negative</v>
      </c>
      <c r="G224" s="10">
        <f>IFERROR(__xludf.DUMMYFUNCTION("""COMPUTED_VALUE"""),1.0)</f>
        <v>1</v>
      </c>
    </row>
    <row r="225">
      <c r="A225" s="6" t="str">
        <f>IFERROR(__xludf.DUMMYFUNCTION("""COMPUTED_VALUE"""),"MA1115")</f>
        <v>MA1115</v>
      </c>
      <c r="B225" s="6" t="str">
        <f>IFERROR(__xludf.DUMMYFUNCTION("""COMPUTED_VALUE"""),"RUN-BEND_2022-01-19_RFR-016")</f>
        <v>RUN-BEND_2022-01-19_RFR-016</v>
      </c>
      <c r="C225" s="7">
        <f>VLOOKUP(B225,'Run Reconcile'!A$2:B809,2,FALSE)</f>
        <v>44580</v>
      </c>
      <c r="D225" s="12">
        <f>IFERROR(__xludf.DUMMYFUNCTION("""COMPUTED_VALUE"""),44580.0)</f>
        <v>44580</v>
      </c>
      <c r="E225" s="13">
        <f>IFERROR(__xludf.DUMMYFUNCTION("""COMPUTED_VALUE"""),0.34606481481387164)</f>
        <v>0.3460648148</v>
      </c>
      <c r="F225" s="10" t="str">
        <f>IFERROR(__xludf.DUMMYFUNCTION("""COMPUTED_VALUE"""),"Positive")</f>
        <v>Positive</v>
      </c>
      <c r="G225" s="10">
        <f>IFERROR(__xludf.DUMMYFUNCTION("""COMPUTED_VALUE"""),1.0)</f>
        <v>1</v>
      </c>
    </row>
    <row r="226">
      <c r="A226" s="6" t="str">
        <f>IFERROR(__xludf.DUMMYFUNCTION("""COMPUTED_VALUE"""),"MAX56")</f>
        <v>MAX56</v>
      </c>
      <c r="B226" s="6" t="str">
        <f>IFERROR(__xludf.DUMMYFUNCTION("""COMPUTED_VALUE"""),"RUN-BEND_2022-01-19_RFR-016")</f>
        <v>RUN-BEND_2022-01-19_RFR-016</v>
      </c>
      <c r="C226" s="7">
        <f>VLOOKUP(B226,'Run Reconcile'!A$2:B809,2,FALSE)</f>
        <v>44580</v>
      </c>
      <c r="D226" s="12">
        <f>IFERROR(__xludf.DUMMYFUNCTION("""COMPUTED_VALUE"""),44580.0)</f>
        <v>44580</v>
      </c>
      <c r="E226" s="13">
        <f>IFERROR(__xludf.DUMMYFUNCTION("""COMPUTED_VALUE"""),0.4079282407401479)</f>
        <v>0.4079282407</v>
      </c>
      <c r="F226" s="10" t="str">
        <f>IFERROR(__xludf.DUMMYFUNCTION("""COMPUTED_VALUE"""),"Negative")</f>
        <v>Negative</v>
      </c>
      <c r="G226" s="10">
        <f>IFERROR(__xludf.DUMMYFUNCTION("""COMPUTED_VALUE"""),1.0)</f>
        <v>1</v>
      </c>
    </row>
    <row r="227">
      <c r="A227" s="6" t="str">
        <f>IFERROR(__xludf.DUMMYFUNCTION("""COMPUTED_VALUE"""),"MAX4")</f>
        <v>MAX4</v>
      </c>
      <c r="B227" s="6" t="str">
        <f>IFERROR(__xludf.DUMMYFUNCTION("""COMPUTED_VALUE"""),"RUN-BEND_2022-01-19_RFR-016")</f>
        <v>RUN-BEND_2022-01-19_RFR-016</v>
      </c>
      <c r="C227" s="7">
        <f>VLOOKUP(B227,'Run Reconcile'!A$2:B809,2,FALSE)</f>
        <v>44580</v>
      </c>
      <c r="D227" s="12">
        <f>IFERROR(__xludf.DUMMYFUNCTION("""COMPUTED_VALUE"""),44580.0)</f>
        <v>44580</v>
      </c>
      <c r="E227" s="13">
        <f>IFERROR(__xludf.DUMMYFUNCTION("""COMPUTED_VALUE"""),0.4100694444459805)</f>
        <v>0.4100694444</v>
      </c>
      <c r="F227" s="10" t="str">
        <f>IFERROR(__xludf.DUMMYFUNCTION("""COMPUTED_VALUE"""),"Negative")</f>
        <v>Negative</v>
      </c>
      <c r="G227" s="10">
        <f>IFERROR(__xludf.DUMMYFUNCTION("""COMPUTED_VALUE"""),1.0)</f>
        <v>1</v>
      </c>
    </row>
    <row r="228">
      <c r="A228" s="6" t="str">
        <f>IFERROR(__xludf.DUMMYFUNCTION("""COMPUTED_VALUE"""),"MA383")</f>
        <v>MA383</v>
      </c>
      <c r="B228" s="6" t="str">
        <f>IFERROR(__xludf.DUMMYFUNCTION("""COMPUTED_VALUE"""),"RUN-BEND_2022-01-19_RFR-016")</f>
        <v>RUN-BEND_2022-01-19_RFR-016</v>
      </c>
      <c r="C228" s="7">
        <f>VLOOKUP(B228,'Run Reconcile'!A$2:B809,2,FALSE)</f>
        <v>44580</v>
      </c>
      <c r="D228" s="12">
        <f>IFERROR(__xludf.DUMMYFUNCTION("""COMPUTED_VALUE"""),44580.0)</f>
        <v>44580</v>
      </c>
      <c r="E228" s="13">
        <f>IFERROR(__xludf.DUMMYFUNCTION("""COMPUTED_VALUE"""),0.41456018518510973)</f>
        <v>0.4145601852</v>
      </c>
      <c r="F228" s="10" t="str">
        <f>IFERROR(__xludf.DUMMYFUNCTION("""COMPUTED_VALUE"""),"Positive")</f>
        <v>Positive</v>
      </c>
      <c r="G228" s="10">
        <f>IFERROR(__xludf.DUMMYFUNCTION("""COMPUTED_VALUE"""),1.0)</f>
        <v>1</v>
      </c>
    </row>
    <row r="229">
      <c r="A229" s="6" t="str">
        <f>IFERROR(__xludf.DUMMYFUNCTION("""COMPUTED_VALUE"""),"MA372")</f>
        <v>MA372</v>
      </c>
      <c r="B229" s="6" t="str">
        <f>IFERROR(__xludf.DUMMYFUNCTION("""COMPUTED_VALUE"""),"RUN-BEND_2022-01-19_RFR-016")</f>
        <v>RUN-BEND_2022-01-19_RFR-016</v>
      </c>
      <c r="C229" s="7">
        <f>VLOOKUP(B229,'Run Reconcile'!A$2:B809,2,FALSE)</f>
        <v>44580</v>
      </c>
      <c r="D229" s="12">
        <f>IFERROR(__xludf.DUMMYFUNCTION("""COMPUTED_VALUE"""),44580.0)</f>
        <v>44580</v>
      </c>
      <c r="E229" s="13">
        <f>IFERROR(__xludf.DUMMYFUNCTION("""COMPUTED_VALUE"""),0.4150000000008731)</f>
        <v>0.415</v>
      </c>
      <c r="F229" s="10" t="str">
        <f>IFERROR(__xludf.DUMMYFUNCTION("""COMPUTED_VALUE"""),"Positive")</f>
        <v>Positive</v>
      </c>
      <c r="G229" s="10">
        <f>IFERROR(__xludf.DUMMYFUNCTION("""COMPUTED_VALUE"""),1.0)</f>
        <v>1</v>
      </c>
    </row>
    <row r="230">
      <c r="A230" s="6" t="str">
        <f>IFERROR(__xludf.DUMMYFUNCTION("""COMPUTED_VALUE"""),"MA303")</f>
        <v>MA303</v>
      </c>
      <c r="B230" s="6" t="str">
        <f>IFERROR(__xludf.DUMMYFUNCTION("""COMPUTED_VALUE"""),"RUN-BEND_2022-01-19_RFR-016")</f>
        <v>RUN-BEND_2022-01-19_RFR-016</v>
      </c>
      <c r="C230" s="7">
        <f>VLOOKUP(B230,'Run Reconcile'!A$2:B809,2,FALSE)</f>
        <v>44580</v>
      </c>
      <c r="D230" s="12">
        <f>IFERROR(__xludf.DUMMYFUNCTION("""COMPUTED_VALUE"""),44580.0)</f>
        <v>44580</v>
      </c>
      <c r="E230" s="13">
        <f>IFERROR(__xludf.DUMMYFUNCTION("""COMPUTED_VALUE"""),0.4154398148129985)</f>
        <v>0.4154398148</v>
      </c>
      <c r="F230" s="10" t="str">
        <f>IFERROR(__xludf.DUMMYFUNCTION("""COMPUTED_VALUE"""),"Positive")</f>
        <v>Positive</v>
      </c>
      <c r="G230" s="10">
        <f>IFERROR(__xludf.DUMMYFUNCTION("""COMPUTED_VALUE"""),1.0)</f>
        <v>1</v>
      </c>
    </row>
    <row r="231">
      <c r="A231" s="6" t="str">
        <f>IFERROR(__xludf.DUMMYFUNCTION("""COMPUTED_VALUE"""),"MA420")</f>
        <v>MA420</v>
      </c>
      <c r="B231" s="6" t="str">
        <f>IFERROR(__xludf.DUMMYFUNCTION("""COMPUTED_VALUE"""),"RUN-BEND_2022-01-19_RFR-016")</f>
        <v>RUN-BEND_2022-01-19_RFR-016</v>
      </c>
      <c r="C231" s="7">
        <f>VLOOKUP(B231,'Run Reconcile'!A$2:B809,2,FALSE)</f>
        <v>44580</v>
      </c>
      <c r="D231" s="12">
        <f>IFERROR(__xludf.DUMMYFUNCTION("""COMPUTED_VALUE"""),44580.0)</f>
        <v>44580</v>
      </c>
      <c r="E231" s="13">
        <f>IFERROR(__xludf.DUMMYFUNCTION("""COMPUTED_VALUE"""),0.4268171296280343)</f>
        <v>0.4268171296</v>
      </c>
      <c r="F231" s="10" t="str">
        <f>IFERROR(__xludf.DUMMYFUNCTION("""COMPUTED_VALUE"""),"Negative")</f>
        <v>Negative</v>
      </c>
      <c r="G231" s="10">
        <f>IFERROR(__xludf.DUMMYFUNCTION("""COMPUTED_VALUE"""),1.0)</f>
        <v>1</v>
      </c>
    </row>
    <row r="232">
      <c r="A232" s="6" t="str">
        <f>IFERROR(__xludf.DUMMYFUNCTION("""COMPUTED_VALUE"""),"MAX76")</f>
        <v>MAX76</v>
      </c>
      <c r="B232" s="6" t="str">
        <f>IFERROR(__xludf.DUMMYFUNCTION("""COMPUTED_VALUE"""),"RUN-BEND_2022-01-19_RFR-016")</f>
        <v>RUN-BEND_2022-01-19_RFR-016</v>
      </c>
      <c r="C232" s="7">
        <f>VLOOKUP(B232,'Run Reconcile'!A$2:B809,2,FALSE)</f>
        <v>44580</v>
      </c>
      <c r="D232" s="12">
        <f>IFERROR(__xludf.DUMMYFUNCTION("""COMPUTED_VALUE"""),44580.0)</f>
        <v>44580</v>
      </c>
      <c r="E232" s="13">
        <f>IFERROR(__xludf.DUMMYFUNCTION("""COMPUTED_VALUE"""),0.43203703703693463)</f>
        <v>0.432037037</v>
      </c>
      <c r="F232" s="10" t="str">
        <f>IFERROR(__xludf.DUMMYFUNCTION("""COMPUTED_VALUE"""),"Positive")</f>
        <v>Positive</v>
      </c>
      <c r="G232" s="10">
        <f>IFERROR(__xludf.DUMMYFUNCTION("""COMPUTED_VALUE"""),1.0)</f>
        <v>1</v>
      </c>
    </row>
    <row r="233">
      <c r="A233" s="6" t="str">
        <f>IFERROR(__xludf.DUMMYFUNCTION("""COMPUTED_VALUE"""),"MA1252")</f>
        <v>MA1252</v>
      </c>
      <c r="B233" s="6" t="str">
        <f>IFERROR(__xludf.DUMMYFUNCTION("""COMPUTED_VALUE"""),"RUN-BEND_2022-01-19_RFR-016")</f>
        <v>RUN-BEND_2022-01-19_RFR-016</v>
      </c>
      <c r="C233" s="7">
        <f>VLOOKUP(B233,'Run Reconcile'!A$2:B809,2,FALSE)</f>
        <v>44580</v>
      </c>
      <c r="D233" s="12">
        <f>IFERROR(__xludf.DUMMYFUNCTION("""COMPUTED_VALUE"""),44580.0)</f>
        <v>44580</v>
      </c>
      <c r="E233" s="13">
        <f>IFERROR(__xludf.DUMMYFUNCTION("""COMPUTED_VALUE"""),0.4405208333337214)</f>
        <v>0.4405208333</v>
      </c>
      <c r="F233" s="10" t="str">
        <f>IFERROR(__xludf.DUMMYFUNCTION("""COMPUTED_VALUE"""),"Positive")</f>
        <v>Positive</v>
      </c>
      <c r="G233" s="10">
        <f>IFERROR(__xludf.DUMMYFUNCTION("""COMPUTED_VALUE"""),1.0)</f>
        <v>1</v>
      </c>
    </row>
    <row r="234">
      <c r="A234" s="6" t="str">
        <f>IFERROR(__xludf.DUMMYFUNCTION("""COMPUTED_VALUE"""),"MA198")</f>
        <v>MA198</v>
      </c>
      <c r="B234" s="6" t="str">
        <f>IFERROR(__xludf.DUMMYFUNCTION("""COMPUTED_VALUE"""),"RUN-BEND_2022-01-19_RFR-016")</f>
        <v>RUN-BEND_2022-01-19_RFR-016</v>
      </c>
      <c r="C234" s="7">
        <f>VLOOKUP(B234,'Run Reconcile'!A$2:B809,2,FALSE)</f>
        <v>44580</v>
      </c>
      <c r="D234" s="12">
        <f>IFERROR(__xludf.DUMMYFUNCTION("""COMPUTED_VALUE"""),44580.0)</f>
        <v>44580</v>
      </c>
      <c r="E234" s="13">
        <f>IFERROR(__xludf.DUMMYFUNCTION("""COMPUTED_VALUE"""),0.4436689814829151)</f>
        <v>0.4436689815</v>
      </c>
      <c r="F234" s="10" t="str">
        <f>IFERROR(__xludf.DUMMYFUNCTION("""COMPUTED_VALUE"""),"Negative")</f>
        <v>Negative</v>
      </c>
      <c r="G234" s="10">
        <f>IFERROR(__xludf.DUMMYFUNCTION("""COMPUTED_VALUE"""),1.0)</f>
        <v>1</v>
      </c>
    </row>
    <row r="235">
      <c r="A235" s="6" t="str">
        <f>IFERROR(__xludf.DUMMYFUNCTION("""COMPUTED_VALUE"""),"MAX114")</f>
        <v>MAX114</v>
      </c>
      <c r="B235" s="6" t="str">
        <f>IFERROR(__xludf.DUMMYFUNCTION("""COMPUTED_VALUE"""),"RUN-BEND_2022-01-19_RFR-016")</f>
        <v>RUN-BEND_2022-01-19_RFR-016</v>
      </c>
      <c r="C235" s="7">
        <f>VLOOKUP(B235,'Run Reconcile'!A$2:B809,2,FALSE)</f>
        <v>44580</v>
      </c>
      <c r="D235" s="12">
        <f>IFERROR(__xludf.DUMMYFUNCTION("""COMPUTED_VALUE"""),44580.0)</f>
        <v>44580</v>
      </c>
      <c r="E235" s="13">
        <f>IFERROR(__xludf.DUMMYFUNCTION("""COMPUTED_VALUE"""),0.44674768518598285)</f>
        <v>0.4467476852</v>
      </c>
      <c r="F235" s="10" t="str">
        <f>IFERROR(__xludf.DUMMYFUNCTION("""COMPUTED_VALUE"""),"Negative")</f>
        <v>Negative</v>
      </c>
      <c r="G235" s="10">
        <f>IFERROR(__xludf.DUMMYFUNCTION("""COMPUTED_VALUE"""),1.0)</f>
        <v>1</v>
      </c>
    </row>
    <row r="236">
      <c r="A236" s="6" t="str">
        <f>IFERROR(__xludf.DUMMYFUNCTION("""COMPUTED_VALUE"""),"MA278")</f>
        <v>MA278</v>
      </c>
      <c r="B236" s="6" t="str">
        <f>IFERROR(__xludf.DUMMYFUNCTION("""COMPUTED_VALUE"""),"RUN-BEND_2022-01-21_RFR-017")</f>
        <v>RUN-BEND_2022-01-21_RFR-017</v>
      </c>
      <c r="C236" s="7">
        <f>VLOOKUP(B236,'Run Reconcile'!A$2:B809,2,FALSE)</f>
        <v>44582</v>
      </c>
      <c r="D236" s="12">
        <f>IFERROR(__xludf.DUMMYFUNCTION("""COMPUTED_VALUE"""),44581.0)</f>
        <v>44581</v>
      </c>
      <c r="E236" s="13">
        <f>IFERROR(__xludf.DUMMYFUNCTION("""COMPUTED_VALUE"""),0.31288194444277906)</f>
        <v>0.3128819444</v>
      </c>
      <c r="F236" s="10" t="str">
        <f>IFERROR(__xludf.DUMMYFUNCTION("""COMPUTED_VALUE"""),"Positive")</f>
        <v>Positive</v>
      </c>
      <c r="G236" s="10">
        <f>IFERROR(__xludf.DUMMYFUNCTION("""COMPUTED_VALUE"""),1.0)</f>
        <v>1</v>
      </c>
    </row>
    <row r="237">
      <c r="A237" s="6" t="str">
        <f>IFERROR(__xludf.DUMMYFUNCTION("""COMPUTED_VALUE"""),"MA1021")</f>
        <v>MA1021</v>
      </c>
      <c r="B237" s="6" t="str">
        <f>IFERROR(__xludf.DUMMYFUNCTION("""COMPUTED_VALUE"""),"RUN-BEND_2022-01-21_RFR-017")</f>
        <v>RUN-BEND_2022-01-21_RFR-017</v>
      </c>
      <c r="C237" s="7">
        <f>VLOOKUP(B237,'Run Reconcile'!A$2:B809,2,FALSE)</f>
        <v>44582</v>
      </c>
      <c r="D237" s="12">
        <f>IFERROR(__xludf.DUMMYFUNCTION("""COMPUTED_VALUE"""),44582.0)</f>
        <v>44582</v>
      </c>
      <c r="E237" s="13">
        <f>IFERROR(__xludf.DUMMYFUNCTION("""COMPUTED_VALUE"""),0.2682870370372257)</f>
        <v>0.268287037</v>
      </c>
      <c r="F237" s="10" t="str">
        <f>IFERROR(__xludf.DUMMYFUNCTION("""COMPUTED_VALUE"""),"Negative")</f>
        <v>Negative</v>
      </c>
      <c r="G237" s="10">
        <f>IFERROR(__xludf.DUMMYFUNCTION("""COMPUTED_VALUE"""),1.0)</f>
        <v>1</v>
      </c>
    </row>
    <row r="238">
      <c r="A238" s="6" t="str">
        <f>IFERROR(__xludf.DUMMYFUNCTION("""COMPUTED_VALUE"""),"MAX80")</f>
        <v>MAX80</v>
      </c>
      <c r="B238" s="6" t="str">
        <f>IFERROR(__xludf.DUMMYFUNCTION("""COMPUTED_VALUE"""),"RUN-BEND_2022-01-21_RFR-017")</f>
        <v>RUN-BEND_2022-01-21_RFR-017</v>
      </c>
      <c r="C238" s="7">
        <f>VLOOKUP(B238,'Run Reconcile'!A$2:B809,2,FALSE)</f>
        <v>44582</v>
      </c>
      <c r="D238" s="12">
        <f>IFERROR(__xludf.DUMMYFUNCTION("""COMPUTED_VALUE"""),44582.0)</f>
        <v>44582</v>
      </c>
      <c r="E238" s="13">
        <f>IFERROR(__xludf.DUMMYFUNCTION("""COMPUTED_VALUE"""),0.2847453703689098)</f>
        <v>0.2847453704</v>
      </c>
      <c r="F238" s="10" t="str">
        <f>IFERROR(__xludf.DUMMYFUNCTION("""COMPUTED_VALUE"""),"Positive")</f>
        <v>Positive</v>
      </c>
      <c r="G238" s="10">
        <f>IFERROR(__xludf.DUMMYFUNCTION("""COMPUTED_VALUE"""),1.0)</f>
        <v>1</v>
      </c>
    </row>
    <row r="239">
      <c r="A239" s="6" t="str">
        <f>IFERROR(__xludf.DUMMYFUNCTION("""COMPUTED_VALUE"""),"MAX89")</f>
        <v>MAX89</v>
      </c>
      <c r="B239" s="6" t="str">
        <f>IFERROR(__xludf.DUMMYFUNCTION("""COMPUTED_VALUE"""),"RUN-BEND_2022-01-21_RFR-017")</f>
        <v>RUN-BEND_2022-01-21_RFR-017</v>
      </c>
      <c r="C239" s="7">
        <f>VLOOKUP(B239,'Run Reconcile'!A$2:B809,2,FALSE)</f>
        <v>44582</v>
      </c>
      <c r="D239" s="12">
        <f>IFERROR(__xludf.DUMMYFUNCTION("""COMPUTED_VALUE"""),44582.0)</f>
        <v>44582</v>
      </c>
      <c r="E239" s="13">
        <f>IFERROR(__xludf.DUMMYFUNCTION("""COMPUTED_VALUE"""),0.28693287037094706)</f>
        <v>0.2869328704</v>
      </c>
      <c r="F239" s="10" t="str">
        <f>IFERROR(__xludf.DUMMYFUNCTION("""COMPUTED_VALUE"""),"Positive")</f>
        <v>Positive</v>
      </c>
      <c r="G239" s="10">
        <f>IFERROR(__xludf.DUMMYFUNCTION("""COMPUTED_VALUE"""),1.0)</f>
        <v>1</v>
      </c>
    </row>
    <row r="240">
      <c r="A240" s="6" t="str">
        <f>IFERROR(__xludf.DUMMYFUNCTION("""COMPUTED_VALUE"""),"MA1151")</f>
        <v>MA1151</v>
      </c>
      <c r="B240" s="6" t="str">
        <f>IFERROR(__xludf.DUMMYFUNCTION("""COMPUTED_VALUE"""),"RUN-BEND_2022-01-21_RFR-017")</f>
        <v>RUN-BEND_2022-01-21_RFR-017</v>
      </c>
      <c r="C240" s="7">
        <f>VLOOKUP(B240,'Run Reconcile'!A$2:B809,2,FALSE)</f>
        <v>44582</v>
      </c>
      <c r="D240" s="12">
        <f>IFERROR(__xludf.DUMMYFUNCTION("""COMPUTED_VALUE"""),44582.0)</f>
        <v>44582</v>
      </c>
      <c r="E240" s="13">
        <f>IFERROR(__xludf.DUMMYFUNCTION("""COMPUTED_VALUE"""),0.3130092592582514)</f>
        <v>0.3130092593</v>
      </c>
      <c r="F240" s="10" t="str">
        <f>IFERROR(__xludf.DUMMYFUNCTION("""COMPUTED_VALUE"""),"Negative")</f>
        <v>Negative</v>
      </c>
      <c r="G240" s="10">
        <f>IFERROR(__xludf.DUMMYFUNCTION("""COMPUTED_VALUE"""),1.0)</f>
        <v>1</v>
      </c>
    </row>
    <row r="241">
      <c r="A241" s="6" t="str">
        <f>IFERROR(__xludf.DUMMYFUNCTION("""COMPUTED_VALUE"""),"MA1053")</f>
        <v>MA1053</v>
      </c>
      <c r="B241" s="6" t="str">
        <f>IFERROR(__xludf.DUMMYFUNCTION("""COMPUTED_VALUE"""),"RUN-BEND_2022-01-21_RFR-017")</f>
        <v>RUN-BEND_2022-01-21_RFR-017</v>
      </c>
      <c r="C241" s="7">
        <f>VLOOKUP(B241,'Run Reconcile'!A$2:B809,2,FALSE)</f>
        <v>44582</v>
      </c>
      <c r="D241" s="12">
        <f>IFERROR(__xludf.DUMMYFUNCTION("""COMPUTED_VALUE"""),44582.0)</f>
        <v>44582</v>
      </c>
      <c r="E241" s="13">
        <f>IFERROR(__xludf.DUMMYFUNCTION("""COMPUTED_VALUE"""),0.3404861111121136)</f>
        <v>0.3404861111</v>
      </c>
      <c r="F241" s="10" t="str">
        <f>IFERROR(__xludf.DUMMYFUNCTION("""COMPUTED_VALUE"""),"Negative")</f>
        <v>Negative</v>
      </c>
      <c r="G241" s="10">
        <f>IFERROR(__xludf.DUMMYFUNCTION("""COMPUTED_VALUE"""),1.0)</f>
        <v>1</v>
      </c>
    </row>
    <row r="242">
      <c r="A242" s="6" t="str">
        <f>IFERROR(__xludf.DUMMYFUNCTION("""COMPUTED_VALUE"""),"MA1048")</f>
        <v>MA1048</v>
      </c>
      <c r="B242" s="6" t="str">
        <f>IFERROR(__xludf.DUMMYFUNCTION("""COMPUTED_VALUE"""),"RUN-BEND_2022-01-21_RFR-017")</f>
        <v>RUN-BEND_2022-01-21_RFR-017</v>
      </c>
      <c r="C242" s="7">
        <f>VLOOKUP(B242,'Run Reconcile'!A$2:B809,2,FALSE)</f>
        <v>44582</v>
      </c>
      <c r="D242" s="12">
        <f>IFERROR(__xludf.DUMMYFUNCTION("""COMPUTED_VALUE"""),44582.0)</f>
        <v>44582</v>
      </c>
      <c r="E242" s="13">
        <f>IFERROR(__xludf.DUMMYFUNCTION("""COMPUTED_VALUE"""),0.34140046296306537)</f>
        <v>0.341400463</v>
      </c>
      <c r="F242" s="10" t="str">
        <f>IFERROR(__xludf.DUMMYFUNCTION("""COMPUTED_VALUE"""),"Negative")</f>
        <v>Negative</v>
      </c>
      <c r="G242" s="10">
        <f>IFERROR(__xludf.DUMMYFUNCTION("""COMPUTED_VALUE"""),1.0)</f>
        <v>1</v>
      </c>
    </row>
    <row r="243">
      <c r="A243" s="6" t="str">
        <f>IFERROR(__xludf.DUMMYFUNCTION("""COMPUTED_VALUE"""),"MA376")</f>
        <v>MA376</v>
      </c>
      <c r="B243" s="6" t="str">
        <f>IFERROR(__xludf.DUMMYFUNCTION("""COMPUTED_VALUE"""),"RUN-BEND_2022-01-21_RFR-017")</f>
        <v>RUN-BEND_2022-01-21_RFR-017</v>
      </c>
      <c r="C243" s="7">
        <f>VLOOKUP(B243,'Run Reconcile'!A$2:B809,2,FALSE)</f>
        <v>44582</v>
      </c>
      <c r="D243" s="12">
        <f>IFERROR(__xludf.DUMMYFUNCTION("""COMPUTED_VALUE"""),44582.0)</f>
        <v>44582</v>
      </c>
      <c r="E243" s="13">
        <f>IFERROR(__xludf.DUMMYFUNCTION("""COMPUTED_VALUE"""),0.35019675926014315)</f>
        <v>0.3501967593</v>
      </c>
      <c r="F243" s="10" t="str">
        <f>IFERROR(__xludf.DUMMYFUNCTION("""COMPUTED_VALUE"""),"Negative")</f>
        <v>Negative</v>
      </c>
      <c r="G243" s="10">
        <f>IFERROR(__xludf.DUMMYFUNCTION("""COMPUTED_VALUE"""),1.0)</f>
        <v>1</v>
      </c>
    </row>
    <row r="244">
      <c r="A244" s="6" t="str">
        <f>IFERROR(__xludf.DUMMYFUNCTION("""COMPUTED_VALUE"""),"MA1300")</f>
        <v>MA1300</v>
      </c>
      <c r="B244" s="6" t="str">
        <f>IFERROR(__xludf.DUMMYFUNCTION("""COMPUTED_VALUE"""),"RUN-BEND_2022-01-21_RFR-017")</f>
        <v>RUN-BEND_2022-01-21_RFR-017</v>
      </c>
      <c r="C244" s="7">
        <f>VLOOKUP(B244,'Run Reconcile'!A$2:B809,2,FALSE)</f>
        <v>44582</v>
      </c>
      <c r="D244" s="12">
        <f>IFERROR(__xludf.DUMMYFUNCTION("""COMPUTED_VALUE"""),44582.0)</f>
        <v>44582</v>
      </c>
      <c r="E244" s="13">
        <f>IFERROR(__xludf.DUMMYFUNCTION("""COMPUTED_VALUE"""),0.3508796296300716)</f>
        <v>0.3508796296</v>
      </c>
      <c r="F244" s="10" t="str">
        <f>IFERROR(__xludf.DUMMYFUNCTION("""COMPUTED_VALUE"""),"Negative")</f>
        <v>Negative</v>
      </c>
      <c r="G244" s="10">
        <f>IFERROR(__xludf.DUMMYFUNCTION("""COMPUTED_VALUE"""),1.0)</f>
        <v>1</v>
      </c>
    </row>
    <row r="245">
      <c r="A245" s="6" t="str">
        <f>IFERROR(__xludf.DUMMYFUNCTION("""COMPUTED_VALUE"""),"MA452")</f>
        <v>MA452</v>
      </c>
      <c r="B245" s="6" t="str">
        <f>IFERROR(__xludf.DUMMYFUNCTION("""COMPUTED_VALUE"""),"RUN-BEND_2022-01-21_RFR-017")</f>
        <v>RUN-BEND_2022-01-21_RFR-017</v>
      </c>
      <c r="C245" s="7">
        <f>VLOOKUP(B245,'Run Reconcile'!A$2:B809,2,FALSE)</f>
        <v>44582</v>
      </c>
      <c r="D245" s="12">
        <f>IFERROR(__xludf.DUMMYFUNCTION("""COMPUTED_VALUE"""),44582.0)</f>
        <v>44582</v>
      </c>
      <c r="E245" s="13">
        <f>IFERROR(__xludf.DUMMYFUNCTION("""COMPUTED_VALUE"""),0.35143518518452765)</f>
        <v>0.3514351852</v>
      </c>
      <c r="F245" s="10" t="str">
        <f>IFERROR(__xludf.DUMMYFUNCTION("""COMPUTED_VALUE"""),"Negative")</f>
        <v>Negative</v>
      </c>
      <c r="G245" s="10">
        <f>IFERROR(__xludf.DUMMYFUNCTION("""COMPUTED_VALUE"""),1.0)</f>
        <v>1</v>
      </c>
    </row>
    <row r="246">
      <c r="A246" s="6" t="str">
        <f>IFERROR(__xludf.DUMMYFUNCTION("""COMPUTED_VALUE"""),"MA1047")</f>
        <v>MA1047</v>
      </c>
      <c r="B246" s="6" t="str">
        <f>IFERROR(__xludf.DUMMYFUNCTION("""COMPUTED_VALUE"""),"RUN-BEND_2022-01-21_RFR-017")</f>
        <v>RUN-BEND_2022-01-21_RFR-017</v>
      </c>
      <c r="C246" s="7">
        <f>VLOOKUP(B246,'Run Reconcile'!A$2:B809,2,FALSE)</f>
        <v>44582</v>
      </c>
      <c r="D246" s="12">
        <f>IFERROR(__xludf.DUMMYFUNCTION("""COMPUTED_VALUE"""),44582.0)</f>
        <v>44582</v>
      </c>
      <c r="E246" s="13">
        <f>IFERROR(__xludf.DUMMYFUNCTION("""COMPUTED_VALUE"""),0.35263888888948713)</f>
        <v>0.3526388889</v>
      </c>
      <c r="F246" s="10" t="str">
        <f>IFERROR(__xludf.DUMMYFUNCTION("""COMPUTED_VALUE"""),"Positive")</f>
        <v>Positive</v>
      </c>
      <c r="G246" s="10">
        <f>IFERROR(__xludf.DUMMYFUNCTION("""COMPUTED_VALUE"""),1.0)</f>
        <v>1</v>
      </c>
    </row>
    <row r="247">
      <c r="A247" s="6" t="str">
        <f>IFERROR(__xludf.DUMMYFUNCTION("""COMPUTED_VALUE"""),"MA305")</f>
        <v>MA305</v>
      </c>
      <c r="B247" s="6" t="str">
        <f>IFERROR(__xludf.DUMMYFUNCTION("""COMPUTED_VALUE"""),"RUN-BEND_2022-01-21_RFR-017")</f>
        <v>RUN-BEND_2022-01-21_RFR-017</v>
      </c>
      <c r="C247" s="7">
        <f>VLOOKUP(B247,'Run Reconcile'!A$2:B809,2,FALSE)</f>
        <v>44582</v>
      </c>
      <c r="D247" s="12">
        <f>IFERROR(__xludf.DUMMYFUNCTION("""COMPUTED_VALUE"""),44582.0)</f>
        <v>44582</v>
      </c>
      <c r="E247" s="13">
        <f>IFERROR(__xludf.DUMMYFUNCTION("""COMPUTED_VALUE"""),0.39038194444583496)</f>
        <v>0.3903819444</v>
      </c>
      <c r="F247" s="10" t="str">
        <f>IFERROR(__xludf.DUMMYFUNCTION("""COMPUTED_VALUE"""),"Positive")</f>
        <v>Positive</v>
      </c>
      <c r="G247" s="10">
        <f>IFERROR(__xludf.DUMMYFUNCTION("""COMPUTED_VALUE"""),1.0)</f>
        <v>1</v>
      </c>
    </row>
    <row r="248">
      <c r="A248" s="6" t="str">
        <f>IFERROR(__xludf.DUMMYFUNCTION("""COMPUTED_VALUE"""),"MA337")</f>
        <v>MA337</v>
      </c>
      <c r="B248" s="6" t="str">
        <f>IFERROR(__xludf.DUMMYFUNCTION("""COMPUTED_VALUE"""),"RUN-BEND_2022-01-21_RFR-017")</f>
        <v>RUN-BEND_2022-01-21_RFR-017</v>
      </c>
      <c r="C248" s="7">
        <f>VLOOKUP(B248,'Run Reconcile'!A$2:B809,2,FALSE)</f>
        <v>44582</v>
      </c>
      <c r="D248" s="12">
        <f>IFERROR(__xludf.DUMMYFUNCTION("""COMPUTED_VALUE"""),44582.0)</f>
        <v>44582</v>
      </c>
      <c r="E248" s="13">
        <f>IFERROR(__xludf.DUMMYFUNCTION("""COMPUTED_VALUE"""),0.3910185185195587)</f>
        <v>0.3910185185</v>
      </c>
      <c r="F248" s="10" t="str">
        <f>IFERROR(__xludf.DUMMYFUNCTION("""COMPUTED_VALUE"""),"Positive")</f>
        <v>Positive</v>
      </c>
      <c r="G248" s="10">
        <f>IFERROR(__xludf.DUMMYFUNCTION("""COMPUTED_VALUE"""),1.0)</f>
        <v>1</v>
      </c>
    </row>
    <row r="249">
      <c r="A249" s="6" t="str">
        <f>IFERROR(__xludf.DUMMYFUNCTION("""COMPUTED_VALUE"""),"MA337A")</f>
        <v>MA337A</v>
      </c>
      <c r="B249" s="6" t="str">
        <f>IFERROR(__xludf.DUMMYFUNCTION("""COMPUTED_VALUE"""),"RUN-BEND_2022-01-21_RFR-017")</f>
        <v>RUN-BEND_2022-01-21_RFR-017</v>
      </c>
      <c r="C249" s="7">
        <f>VLOOKUP(B249,'Run Reconcile'!A$2:B809,2,FALSE)</f>
        <v>44582</v>
      </c>
      <c r="D249" s="12">
        <f>IFERROR(__xludf.DUMMYFUNCTION("""COMPUTED_VALUE"""),44582.0)</f>
        <v>44582</v>
      </c>
      <c r="E249" s="13">
        <f>IFERROR(__xludf.DUMMYFUNCTION("""COMPUTED_VALUE"""),0.3910185185195587)</f>
        <v>0.3910185185</v>
      </c>
      <c r="F249" s="10" t="str">
        <f>IFERROR(__xludf.DUMMYFUNCTION("""COMPUTED_VALUE"""),"Positive")</f>
        <v>Positive</v>
      </c>
      <c r="G249" s="10">
        <f>IFERROR(__xludf.DUMMYFUNCTION("""COMPUTED_VALUE"""),1.0)</f>
        <v>1</v>
      </c>
    </row>
    <row r="250">
      <c r="A250" s="6" t="str">
        <f>IFERROR(__xludf.DUMMYFUNCTION("""COMPUTED_VALUE"""),"MAX141")</f>
        <v>MAX141</v>
      </c>
      <c r="B250" s="6" t="str">
        <f>IFERROR(__xludf.DUMMYFUNCTION("""COMPUTED_VALUE"""),"RUN-BEND_2022-01-21_RFR-017")</f>
        <v>RUN-BEND_2022-01-21_RFR-017</v>
      </c>
      <c r="C250" s="7">
        <f>VLOOKUP(B250,'Run Reconcile'!A$2:B809,2,FALSE)</f>
        <v>44582</v>
      </c>
      <c r="D250" s="12">
        <f>IFERROR(__xludf.DUMMYFUNCTION("""COMPUTED_VALUE"""),44582.0)</f>
        <v>44582</v>
      </c>
      <c r="E250" s="13">
        <f>IFERROR(__xludf.DUMMYFUNCTION("""COMPUTED_VALUE"""),0.39780092592627625)</f>
        <v>0.3978009259</v>
      </c>
      <c r="F250" s="10" t="str">
        <f>IFERROR(__xludf.DUMMYFUNCTION("""COMPUTED_VALUE"""),"Positive")</f>
        <v>Positive</v>
      </c>
      <c r="G250" s="10">
        <f>IFERROR(__xludf.DUMMYFUNCTION("""COMPUTED_VALUE"""),1.0)</f>
        <v>1</v>
      </c>
    </row>
    <row r="251">
      <c r="A251" s="6" t="str">
        <f>IFERROR(__xludf.DUMMYFUNCTION("""COMPUTED_VALUE"""),"MA1063")</f>
        <v>MA1063</v>
      </c>
      <c r="B251" s="6" t="str">
        <f>IFERROR(__xludf.DUMMYFUNCTION("""COMPUTED_VALUE"""),"RUN-BEND_2022-01-24_RFR-019")</f>
        <v>RUN-BEND_2022-01-24_RFR-019</v>
      </c>
      <c r="C251" s="7">
        <f>VLOOKUP(B251,'Run Reconcile'!A$2:B809,2,FALSE)</f>
        <v>44585</v>
      </c>
      <c r="D251" s="12">
        <f>IFERROR(__xludf.DUMMYFUNCTION("""COMPUTED_VALUE"""),44585.0)</f>
        <v>44585</v>
      </c>
      <c r="E251" s="13">
        <f>IFERROR(__xludf.DUMMYFUNCTION("""COMPUTED_VALUE"""),0.29939814814861165)</f>
        <v>0.2993981481</v>
      </c>
      <c r="F251" s="10" t="str">
        <f>IFERROR(__xludf.DUMMYFUNCTION("""COMPUTED_VALUE"""),"Negative")</f>
        <v>Negative</v>
      </c>
      <c r="G251" s="10">
        <f>IFERROR(__xludf.DUMMYFUNCTION("""COMPUTED_VALUE"""),1.0)</f>
        <v>1</v>
      </c>
    </row>
    <row r="252">
      <c r="A252" s="6" t="str">
        <f>IFERROR(__xludf.DUMMYFUNCTION("""COMPUTED_VALUE"""),"MA1065")</f>
        <v>MA1065</v>
      </c>
      <c r="B252" s="6" t="str">
        <f>IFERROR(__xludf.DUMMYFUNCTION("""COMPUTED_VALUE"""),"RUN-BEND_2022-01-24_RFR-019")</f>
        <v>RUN-BEND_2022-01-24_RFR-019</v>
      </c>
      <c r="C252" s="7">
        <f>VLOOKUP(B252,'Run Reconcile'!A$2:B809,2,FALSE)</f>
        <v>44585</v>
      </c>
      <c r="D252" s="12">
        <f>IFERROR(__xludf.DUMMYFUNCTION("""COMPUTED_VALUE"""),44585.0)</f>
        <v>44585</v>
      </c>
      <c r="E252" s="13">
        <f>IFERROR(__xludf.DUMMYFUNCTION("""COMPUTED_VALUE"""),0.3018171296280343)</f>
        <v>0.3018171296</v>
      </c>
      <c r="F252" s="10" t="str">
        <f>IFERROR(__xludf.DUMMYFUNCTION("""COMPUTED_VALUE"""),"Negative")</f>
        <v>Negative</v>
      </c>
      <c r="G252" s="10">
        <f>IFERROR(__xludf.DUMMYFUNCTION("""COMPUTED_VALUE"""),1.0)</f>
        <v>1</v>
      </c>
    </row>
    <row r="253">
      <c r="A253" s="6" t="str">
        <f>IFERROR(__xludf.DUMMYFUNCTION("""COMPUTED_VALUE"""),"MA1068")</f>
        <v>MA1068</v>
      </c>
      <c r="B253" s="6" t="str">
        <f>IFERROR(__xludf.DUMMYFUNCTION("""COMPUTED_VALUE"""),"RUN-BEND_2022-01-24_RFR-019")</f>
        <v>RUN-BEND_2022-01-24_RFR-019</v>
      </c>
      <c r="C253" s="7">
        <f>VLOOKUP(B253,'Run Reconcile'!A$2:B809,2,FALSE)</f>
        <v>44585</v>
      </c>
      <c r="D253" s="12">
        <f>IFERROR(__xludf.DUMMYFUNCTION("""COMPUTED_VALUE"""),44585.0)</f>
        <v>44585</v>
      </c>
      <c r="E253" s="13">
        <f>IFERROR(__xludf.DUMMYFUNCTION("""COMPUTED_VALUE"""),0.3030555555560568)</f>
        <v>0.3030555556</v>
      </c>
      <c r="F253" s="10" t="str">
        <f>IFERROR(__xludf.DUMMYFUNCTION("""COMPUTED_VALUE"""),"Positive")</f>
        <v>Positive</v>
      </c>
      <c r="G253" s="10">
        <f>IFERROR(__xludf.DUMMYFUNCTION("""COMPUTED_VALUE"""),1.0)</f>
        <v>1</v>
      </c>
    </row>
    <row r="254">
      <c r="A254" s="6" t="str">
        <f>IFERROR(__xludf.DUMMYFUNCTION("""COMPUTED_VALUE"""),"MA221")</f>
        <v>MA221</v>
      </c>
      <c r="B254" s="6" t="str">
        <f>IFERROR(__xludf.DUMMYFUNCTION("""COMPUTED_VALUE"""),"RUN-BEND_2022-01-24_RFR-019")</f>
        <v>RUN-BEND_2022-01-24_RFR-019</v>
      </c>
      <c r="C254" s="7">
        <f>VLOOKUP(B254,'Run Reconcile'!A$2:B809,2,FALSE)</f>
        <v>44585</v>
      </c>
      <c r="D254" s="12">
        <f>IFERROR(__xludf.DUMMYFUNCTION("""COMPUTED_VALUE"""),44585.0)</f>
        <v>44585</v>
      </c>
      <c r="E254" s="13">
        <f>IFERROR(__xludf.DUMMYFUNCTION("""COMPUTED_VALUE"""),0.3088310185194132)</f>
        <v>0.3088310185</v>
      </c>
      <c r="F254" s="10" t="str">
        <f>IFERROR(__xludf.DUMMYFUNCTION("""COMPUTED_VALUE"""),"Negative")</f>
        <v>Negative</v>
      </c>
      <c r="G254" s="10">
        <f>IFERROR(__xludf.DUMMYFUNCTION("""COMPUTED_VALUE"""),1.0)</f>
        <v>1</v>
      </c>
    </row>
    <row r="255">
      <c r="A255" s="6" t="str">
        <f>IFERROR(__xludf.DUMMYFUNCTION("""COMPUTED_VALUE"""),"MA377")</f>
        <v>MA377</v>
      </c>
      <c r="B255" s="6" t="str">
        <f>IFERROR(__xludf.DUMMYFUNCTION("""COMPUTED_VALUE"""),"RUN-BEND_2022-01-24_RFR-019")</f>
        <v>RUN-BEND_2022-01-24_RFR-019</v>
      </c>
      <c r="C255" s="7">
        <f>VLOOKUP(B255,'Run Reconcile'!A$2:B809,2,FALSE)</f>
        <v>44585</v>
      </c>
      <c r="D255" s="12">
        <f>IFERROR(__xludf.DUMMYFUNCTION("""COMPUTED_VALUE"""),44585.0)</f>
        <v>44585</v>
      </c>
      <c r="E255" s="13">
        <f>IFERROR(__xludf.DUMMYFUNCTION("""COMPUTED_VALUE"""),0.31619212963050813)</f>
        <v>0.3161921296</v>
      </c>
      <c r="F255" s="10" t="str">
        <f>IFERROR(__xludf.DUMMYFUNCTION("""COMPUTED_VALUE"""),"Negative")</f>
        <v>Negative</v>
      </c>
      <c r="G255" s="10">
        <f>IFERROR(__xludf.DUMMYFUNCTION("""COMPUTED_VALUE"""),1.0)</f>
        <v>1</v>
      </c>
    </row>
    <row r="256">
      <c r="A256" s="6" t="str">
        <f>IFERROR(__xludf.DUMMYFUNCTION("""COMPUTED_VALUE"""),"MA449")</f>
        <v>MA449</v>
      </c>
      <c r="B256" s="6" t="str">
        <f>IFERROR(__xludf.DUMMYFUNCTION("""COMPUTED_VALUE"""),"RUN-BEND_2022-01-24_RFR-019")</f>
        <v>RUN-BEND_2022-01-24_RFR-019</v>
      </c>
      <c r="C256" s="7">
        <f>VLOOKUP(B256,'Run Reconcile'!A$2:B809,2,FALSE)</f>
        <v>44585</v>
      </c>
      <c r="D256" s="12">
        <f>IFERROR(__xludf.DUMMYFUNCTION("""COMPUTED_VALUE"""),44585.0)</f>
        <v>44585</v>
      </c>
      <c r="E256" s="13">
        <f>IFERROR(__xludf.DUMMYFUNCTION("""COMPUTED_VALUE"""),0.31993055555722094)</f>
        <v>0.3199305556</v>
      </c>
      <c r="F256" s="10" t="str">
        <f>IFERROR(__xludf.DUMMYFUNCTION("""COMPUTED_VALUE"""),"Negative")</f>
        <v>Negative</v>
      </c>
      <c r="G256" s="10">
        <f>IFERROR(__xludf.DUMMYFUNCTION("""COMPUTED_VALUE"""),1.0)</f>
        <v>1</v>
      </c>
    </row>
    <row r="257">
      <c r="A257" s="6" t="str">
        <f>IFERROR(__xludf.DUMMYFUNCTION("""COMPUTED_VALUE"""),"MA1061")</f>
        <v>MA1061</v>
      </c>
      <c r="B257" s="6" t="str">
        <f>IFERROR(__xludf.DUMMYFUNCTION("""COMPUTED_VALUE"""),"RUN-BEND_2022-01-24_RFR-019")</f>
        <v>RUN-BEND_2022-01-24_RFR-019</v>
      </c>
      <c r="C257" s="7">
        <f>VLOOKUP(B257,'Run Reconcile'!A$2:B809,2,FALSE)</f>
        <v>44585</v>
      </c>
      <c r="D257" s="12">
        <f>IFERROR(__xludf.DUMMYFUNCTION("""COMPUTED_VALUE"""),44585.0)</f>
        <v>44585</v>
      </c>
      <c r="E257" s="13">
        <f>IFERROR(__xludf.DUMMYFUNCTION("""COMPUTED_VALUE"""),0.3261689814826241)</f>
        <v>0.3261689815</v>
      </c>
      <c r="F257" s="10" t="str">
        <f>IFERROR(__xludf.DUMMYFUNCTION("""COMPUTED_VALUE"""),"Negative")</f>
        <v>Negative</v>
      </c>
      <c r="G257" s="10">
        <f>IFERROR(__xludf.DUMMYFUNCTION("""COMPUTED_VALUE"""),1.0)</f>
        <v>1</v>
      </c>
    </row>
    <row r="258">
      <c r="A258" s="6" t="str">
        <f>IFERROR(__xludf.DUMMYFUNCTION("""COMPUTED_VALUE"""),"MA1178")</f>
        <v>MA1178</v>
      </c>
      <c r="B258" s="6" t="str">
        <f>IFERROR(__xludf.DUMMYFUNCTION("""COMPUTED_VALUE"""),"RUN-BEND_2022-01-24_RFR-019")</f>
        <v>RUN-BEND_2022-01-24_RFR-019</v>
      </c>
      <c r="C258" s="7">
        <f>VLOOKUP(B258,'Run Reconcile'!A$2:B809,2,FALSE)</f>
        <v>44585</v>
      </c>
      <c r="D258" s="12">
        <f>IFERROR(__xludf.DUMMYFUNCTION("""COMPUTED_VALUE"""),44585.0)</f>
        <v>44585</v>
      </c>
      <c r="E258" s="13">
        <f>IFERROR(__xludf.DUMMYFUNCTION("""COMPUTED_VALUE"""),0.32657407407532446)</f>
        <v>0.3265740741</v>
      </c>
      <c r="F258" s="10" t="str">
        <f>IFERROR(__xludf.DUMMYFUNCTION("""COMPUTED_VALUE"""),"Negative")</f>
        <v>Negative</v>
      </c>
      <c r="G258" s="10">
        <f>IFERROR(__xludf.DUMMYFUNCTION("""COMPUTED_VALUE"""),1.0)</f>
        <v>1</v>
      </c>
    </row>
    <row r="259">
      <c r="A259" s="6" t="str">
        <f>IFERROR(__xludf.DUMMYFUNCTION("""COMPUTED_VALUE"""),"MA574")</f>
        <v>MA574</v>
      </c>
      <c r="B259" s="6" t="str">
        <f>IFERROR(__xludf.DUMMYFUNCTION("""COMPUTED_VALUE"""),"RUN-BEND_2022-01-24_RFR-019")</f>
        <v>RUN-BEND_2022-01-24_RFR-019</v>
      </c>
      <c r="C259" s="7">
        <f>VLOOKUP(B259,'Run Reconcile'!A$2:B809,2,FALSE)</f>
        <v>44585</v>
      </c>
      <c r="D259" s="12">
        <f>IFERROR(__xludf.DUMMYFUNCTION("""COMPUTED_VALUE"""),44585.0)</f>
        <v>44585</v>
      </c>
      <c r="E259" s="13">
        <f>IFERROR(__xludf.DUMMYFUNCTION("""COMPUTED_VALUE"""),0.33229166666569654)</f>
        <v>0.3322916667</v>
      </c>
      <c r="F259" s="10" t="str">
        <f>IFERROR(__xludf.DUMMYFUNCTION("""COMPUTED_VALUE"""),"Negative")</f>
        <v>Negative</v>
      </c>
      <c r="G259" s="10">
        <f>IFERROR(__xludf.DUMMYFUNCTION("""COMPUTED_VALUE"""),1.0)</f>
        <v>1</v>
      </c>
    </row>
    <row r="260">
      <c r="A260" s="6" t="str">
        <f>IFERROR(__xludf.DUMMYFUNCTION("""COMPUTED_VALUE"""),"MA1180")</f>
        <v>MA1180</v>
      </c>
      <c r="B260" s="6" t="str">
        <f>IFERROR(__xludf.DUMMYFUNCTION("""COMPUTED_VALUE"""),"RUN-BEND_2022-01-24_RFR-019")</f>
        <v>RUN-BEND_2022-01-24_RFR-019</v>
      </c>
      <c r="C260" s="7">
        <f>VLOOKUP(B260,'Run Reconcile'!A$2:B809,2,FALSE)</f>
        <v>44585</v>
      </c>
      <c r="D260" s="12">
        <f>IFERROR(__xludf.DUMMYFUNCTION("""COMPUTED_VALUE"""),44585.0)</f>
        <v>44585</v>
      </c>
      <c r="E260" s="13">
        <f>IFERROR(__xludf.DUMMYFUNCTION("""COMPUTED_VALUE"""),0.3329282407394203)</f>
        <v>0.3329282407</v>
      </c>
      <c r="F260" s="10" t="str">
        <f>IFERROR(__xludf.DUMMYFUNCTION("""COMPUTED_VALUE"""),"Negative")</f>
        <v>Negative</v>
      </c>
      <c r="G260" s="10">
        <f>IFERROR(__xludf.DUMMYFUNCTION("""COMPUTED_VALUE"""),1.0)</f>
        <v>1</v>
      </c>
    </row>
    <row r="261">
      <c r="A261" s="6" t="str">
        <f>IFERROR(__xludf.DUMMYFUNCTION("""COMPUTED_VALUE"""),"MA545")</f>
        <v>MA545</v>
      </c>
      <c r="B261" s="6" t="str">
        <f>IFERROR(__xludf.DUMMYFUNCTION("""COMPUTED_VALUE"""),"RUN-BEND_2022-01-24_RFR-019")</f>
        <v>RUN-BEND_2022-01-24_RFR-019</v>
      </c>
      <c r="C261" s="7">
        <f>VLOOKUP(B261,'Run Reconcile'!A$2:B809,2,FALSE)</f>
        <v>44585</v>
      </c>
      <c r="D261" s="12">
        <f>IFERROR(__xludf.DUMMYFUNCTION("""COMPUTED_VALUE"""),44585.0)</f>
        <v>44585</v>
      </c>
      <c r="E261" s="13">
        <f>IFERROR(__xludf.DUMMYFUNCTION("""COMPUTED_VALUE"""),0.34209490740613546)</f>
        <v>0.3420949074</v>
      </c>
      <c r="F261" s="10" t="str">
        <f>IFERROR(__xludf.DUMMYFUNCTION("""COMPUTED_VALUE"""),"Positive")</f>
        <v>Positive</v>
      </c>
      <c r="G261" s="10">
        <f>IFERROR(__xludf.DUMMYFUNCTION("""COMPUTED_VALUE"""),1.0)</f>
        <v>1</v>
      </c>
    </row>
    <row r="262">
      <c r="A262" s="6" t="str">
        <f>IFERROR(__xludf.DUMMYFUNCTION("""COMPUTED_VALUE"""),"MA1237")</f>
        <v>MA1237</v>
      </c>
      <c r="B262" s="6" t="str">
        <f>IFERROR(__xludf.DUMMYFUNCTION("""COMPUTED_VALUE"""),"RUN-BEND_2022-01-24_RFR-019")</f>
        <v>RUN-BEND_2022-01-24_RFR-019</v>
      </c>
      <c r="C262" s="7">
        <f>VLOOKUP(B262,'Run Reconcile'!A$2:B809,2,FALSE)</f>
        <v>44585</v>
      </c>
      <c r="D262" s="12">
        <f>IFERROR(__xludf.DUMMYFUNCTION("""COMPUTED_VALUE"""),44585.0)</f>
        <v>44585</v>
      </c>
      <c r="E262" s="13">
        <f>IFERROR(__xludf.DUMMYFUNCTION("""COMPUTED_VALUE"""),0.37847222222262644)</f>
        <v>0.3784722222</v>
      </c>
      <c r="F262" s="10" t="str">
        <f>IFERROR(__xludf.DUMMYFUNCTION("""COMPUTED_VALUE"""),"Negative")</f>
        <v>Negative</v>
      </c>
      <c r="G262" s="10">
        <f>IFERROR(__xludf.DUMMYFUNCTION("""COMPUTED_VALUE"""),1.0)</f>
        <v>1</v>
      </c>
    </row>
    <row r="263">
      <c r="A263" s="6" t="str">
        <f>IFERROR(__xludf.DUMMYFUNCTION("""COMPUTED_VALUE"""),"MA1011")</f>
        <v>MA1011</v>
      </c>
      <c r="B263" s="6" t="str">
        <f>IFERROR(__xludf.DUMMYFUNCTION("""COMPUTED_VALUE"""),"RUN-BEND_2022-01-24_RFR-019")</f>
        <v>RUN-BEND_2022-01-24_RFR-019</v>
      </c>
      <c r="C263" s="7">
        <f>VLOOKUP(B263,'Run Reconcile'!A$2:B809,2,FALSE)</f>
        <v>44585</v>
      </c>
      <c r="D263" s="12">
        <f>IFERROR(__xludf.DUMMYFUNCTION("""COMPUTED_VALUE"""),44585.0)</f>
        <v>44585</v>
      </c>
      <c r="E263" s="13">
        <f>IFERROR(__xludf.DUMMYFUNCTION("""COMPUTED_VALUE"""),0.38686342592700385)</f>
        <v>0.3868634259</v>
      </c>
      <c r="F263" s="10" t="str">
        <f>IFERROR(__xludf.DUMMYFUNCTION("""COMPUTED_VALUE"""),"Positive")</f>
        <v>Positive</v>
      </c>
      <c r="G263" s="10">
        <f>IFERROR(__xludf.DUMMYFUNCTION("""COMPUTED_VALUE"""),1.0)</f>
        <v>1</v>
      </c>
    </row>
    <row r="264">
      <c r="A264" s="6" t="str">
        <f>IFERROR(__xludf.DUMMYFUNCTION("""COMPUTED_VALUE"""),"MA598")</f>
        <v>MA598</v>
      </c>
      <c r="B264" s="6" t="str">
        <f>IFERROR(__xludf.DUMMYFUNCTION("""COMPUTED_VALUE"""),"RUN-BEND_2022-01-24_RFR-019")</f>
        <v>RUN-BEND_2022-01-24_RFR-019</v>
      </c>
      <c r="C264" s="7">
        <f>VLOOKUP(B264,'Run Reconcile'!A$2:B809,2,FALSE)</f>
        <v>44585</v>
      </c>
      <c r="D264" s="12">
        <f>IFERROR(__xludf.DUMMYFUNCTION("""COMPUTED_VALUE"""),44585.0)</f>
        <v>44585</v>
      </c>
      <c r="E264" s="13">
        <f>IFERROR(__xludf.DUMMYFUNCTION("""COMPUTED_VALUE"""),0.387974537035916)</f>
        <v>0.387974537</v>
      </c>
      <c r="F264" s="10" t="str">
        <f>IFERROR(__xludf.DUMMYFUNCTION("""COMPUTED_VALUE"""),"Positive")</f>
        <v>Positive</v>
      </c>
      <c r="G264" s="10">
        <f>IFERROR(__xludf.DUMMYFUNCTION("""COMPUTED_VALUE"""),1.0)</f>
        <v>1</v>
      </c>
    </row>
    <row r="265">
      <c r="A265" s="6" t="str">
        <f>IFERROR(__xludf.DUMMYFUNCTION("""COMPUTED_VALUE"""),"MAX103")</f>
        <v>MAX103</v>
      </c>
      <c r="B265" s="6" t="str">
        <f>IFERROR(__xludf.DUMMYFUNCTION("""COMPUTED_VALUE"""),"RUN-BEND_2022-01-24_RFR-019")</f>
        <v>RUN-BEND_2022-01-24_RFR-019</v>
      </c>
      <c r="C265" s="7">
        <f>VLOOKUP(B265,'Run Reconcile'!A$2:B809,2,FALSE)</f>
        <v>44585</v>
      </c>
      <c r="D265" s="12">
        <f>IFERROR(__xludf.DUMMYFUNCTION("""COMPUTED_VALUE"""),44585.0)</f>
        <v>44585</v>
      </c>
      <c r="E265" s="13">
        <f>IFERROR(__xludf.DUMMYFUNCTION("""COMPUTED_VALUE"""),0.4306712962970778)</f>
        <v>0.4306712963</v>
      </c>
      <c r="F265" s="10" t="str">
        <f>IFERROR(__xludf.DUMMYFUNCTION("""COMPUTED_VALUE"""),"Negative")</f>
        <v>Negative</v>
      </c>
      <c r="G265" s="10">
        <f>IFERROR(__xludf.DUMMYFUNCTION("""COMPUTED_VALUE"""),1.0)</f>
        <v>1</v>
      </c>
    </row>
    <row r="266">
      <c r="A266" s="6" t="str">
        <f>IFERROR(__xludf.DUMMYFUNCTION("""COMPUTED_VALUE"""),"MAX109")</f>
        <v>MAX109</v>
      </c>
      <c r="B266" s="6" t="str">
        <f>IFERROR(__xludf.DUMMYFUNCTION("""COMPUTED_VALUE"""),"RUN-BEND_2022-01-24_RFR-019")</f>
        <v>RUN-BEND_2022-01-24_RFR-019</v>
      </c>
      <c r="C266" s="7">
        <f>VLOOKUP(B266,'Run Reconcile'!A$2:B809,2,FALSE)</f>
        <v>44585</v>
      </c>
      <c r="D266" s="12">
        <f>IFERROR(__xludf.DUMMYFUNCTION("""COMPUTED_VALUE"""),44585.0)</f>
        <v>44585</v>
      </c>
      <c r="E266" s="13">
        <f>IFERROR(__xludf.DUMMYFUNCTION("""COMPUTED_VALUE"""),0.43105324073985685)</f>
        <v>0.4310532407</v>
      </c>
      <c r="F266" s="10" t="str">
        <f>IFERROR(__xludf.DUMMYFUNCTION("""COMPUTED_VALUE"""),"Negative")</f>
        <v>Negative</v>
      </c>
      <c r="G266" s="10">
        <f>IFERROR(__xludf.DUMMYFUNCTION("""COMPUTED_VALUE"""),1.0)</f>
        <v>1</v>
      </c>
    </row>
    <row r="267">
      <c r="A267" s="6" t="str">
        <f>IFERROR(__xludf.DUMMYFUNCTION("""COMPUTED_VALUE"""),"MAX137")</f>
        <v>MAX137</v>
      </c>
      <c r="B267" s="6" t="str">
        <f>IFERROR(__xludf.DUMMYFUNCTION("""COMPUTED_VALUE"""),"RUN-BEND_2022-01-26_RFR-020")</f>
        <v>RUN-BEND_2022-01-26_RFR-020</v>
      </c>
      <c r="C267" s="7">
        <f>VLOOKUP(B267,'Run Reconcile'!A$2:B809,2,FALSE)</f>
        <v>44587</v>
      </c>
      <c r="D267" s="12">
        <f>IFERROR(__xludf.DUMMYFUNCTION("""COMPUTED_VALUE"""),44587.0)</f>
        <v>44587</v>
      </c>
      <c r="E267" s="13">
        <f>IFERROR(__xludf.DUMMYFUNCTION("""COMPUTED_VALUE"""),0.2957407407411665)</f>
        <v>0.2957407407</v>
      </c>
      <c r="F267" s="10" t="str">
        <f>IFERROR(__xludf.DUMMYFUNCTION("""COMPUTED_VALUE"""),"Negative")</f>
        <v>Negative</v>
      </c>
      <c r="G267" s="10">
        <f>IFERROR(__xludf.DUMMYFUNCTION("""COMPUTED_VALUE"""),1.0)</f>
        <v>1</v>
      </c>
    </row>
    <row r="268">
      <c r="A268" s="6" t="str">
        <f>IFERROR(__xludf.DUMMYFUNCTION("""COMPUTED_VALUE"""),"MAX112")</f>
        <v>MAX112</v>
      </c>
      <c r="B268" s="6" t="str">
        <f>IFERROR(__xludf.DUMMYFUNCTION("""COMPUTED_VALUE"""),"RUN-BEND_2022-01-26_RFR-020")</f>
        <v>RUN-BEND_2022-01-26_RFR-020</v>
      </c>
      <c r="C268" s="7">
        <f>VLOOKUP(B268,'Run Reconcile'!A$2:B809,2,FALSE)</f>
        <v>44587</v>
      </c>
      <c r="D268" s="12">
        <f>IFERROR(__xludf.DUMMYFUNCTION("""COMPUTED_VALUE"""),44587.0)</f>
        <v>44587</v>
      </c>
      <c r="E268" s="13">
        <f>IFERROR(__xludf.DUMMYFUNCTION("""COMPUTED_VALUE"""),0.2965162037035043)</f>
        <v>0.2965162037</v>
      </c>
      <c r="F268" s="10" t="str">
        <f>IFERROR(__xludf.DUMMYFUNCTION("""COMPUTED_VALUE"""),"Negative")</f>
        <v>Negative</v>
      </c>
      <c r="G268" s="10">
        <f>IFERROR(__xludf.DUMMYFUNCTION("""COMPUTED_VALUE"""),1.0)</f>
        <v>1</v>
      </c>
    </row>
    <row r="269">
      <c r="A269" s="6" t="str">
        <f>IFERROR(__xludf.DUMMYFUNCTION("""COMPUTED_VALUE"""),"MA467")</f>
        <v>MA467</v>
      </c>
      <c r="B269" s="6" t="str">
        <f>IFERROR(__xludf.DUMMYFUNCTION("""COMPUTED_VALUE"""),"RUN-BEND_2022-01-26_RFR-020")</f>
        <v>RUN-BEND_2022-01-26_RFR-020</v>
      </c>
      <c r="C269" s="7">
        <f>VLOOKUP(B269,'Run Reconcile'!A$2:B809,2,FALSE)</f>
        <v>44587</v>
      </c>
      <c r="D269" s="12">
        <f>IFERROR(__xludf.DUMMYFUNCTION("""COMPUTED_VALUE"""),44587.0)</f>
        <v>44587</v>
      </c>
      <c r="E269" s="13">
        <f>IFERROR(__xludf.DUMMYFUNCTION("""COMPUTED_VALUE"""),0.3039351851839456)</f>
        <v>0.3039351852</v>
      </c>
      <c r="F269" s="10" t="str">
        <f>IFERROR(__xludf.DUMMYFUNCTION("""COMPUTED_VALUE"""),"Negative")</f>
        <v>Negative</v>
      </c>
      <c r="G269" s="10">
        <f>IFERROR(__xludf.DUMMYFUNCTION("""COMPUTED_VALUE"""),1.0)</f>
        <v>1</v>
      </c>
    </row>
    <row r="270">
      <c r="A270" s="6" t="str">
        <f>IFERROR(__xludf.DUMMYFUNCTION("""COMPUTED_VALUE"""),"MA1128")</f>
        <v>MA1128</v>
      </c>
      <c r="B270" s="6" t="str">
        <f>IFERROR(__xludf.DUMMYFUNCTION("""COMPUTED_VALUE"""),"RUN-BEND_2022-01-26_RFR-020")</f>
        <v>RUN-BEND_2022-01-26_RFR-020</v>
      </c>
      <c r="C270" s="7">
        <f>VLOOKUP(B270,'Run Reconcile'!A$2:B809,2,FALSE)</f>
        <v>44587</v>
      </c>
      <c r="D270" s="12">
        <f>IFERROR(__xludf.DUMMYFUNCTION("""COMPUTED_VALUE"""),44587.0)</f>
        <v>44587</v>
      </c>
      <c r="E270" s="13">
        <f>IFERROR(__xludf.DUMMYFUNCTION("""COMPUTED_VALUE"""),0.32349537036861875)</f>
        <v>0.3234953704</v>
      </c>
      <c r="F270" s="10" t="str">
        <f>IFERROR(__xludf.DUMMYFUNCTION("""COMPUTED_VALUE"""),"Negative")</f>
        <v>Negative</v>
      </c>
      <c r="G270" s="10">
        <f>IFERROR(__xludf.DUMMYFUNCTION("""COMPUTED_VALUE"""),1.0)</f>
        <v>1</v>
      </c>
    </row>
    <row r="271">
      <c r="A271" s="6" t="str">
        <f>IFERROR(__xludf.DUMMYFUNCTION("""COMPUTED_VALUE"""),"MA1245")</f>
        <v>MA1245</v>
      </c>
      <c r="B271" s="6" t="str">
        <f>IFERROR(__xludf.DUMMYFUNCTION("""COMPUTED_VALUE"""),"RUN-BEND_2022-01-26_RFR-020")</f>
        <v>RUN-BEND_2022-01-26_RFR-020</v>
      </c>
      <c r="C271" s="7">
        <f>VLOOKUP(B271,'Run Reconcile'!A$2:B809,2,FALSE)</f>
        <v>44587</v>
      </c>
      <c r="D271" s="12">
        <f>IFERROR(__xludf.DUMMYFUNCTION("""COMPUTED_VALUE"""),44587.0)</f>
        <v>44587</v>
      </c>
      <c r="E271" s="13">
        <f>IFERROR(__xludf.DUMMYFUNCTION("""COMPUTED_VALUE"""),0.32371527777650044)</f>
        <v>0.3237152778</v>
      </c>
      <c r="F271" s="10" t="str">
        <f>IFERROR(__xludf.DUMMYFUNCTION("""COMPUTED_VALUE"""),"Negative")</f>
        <v>Negative</v>
      </c>
      <c r="G271" s="10">
        <f>IFERROR(__xludf.DUMMYFUNCTION("""COMPUTED_VALUE"""),1.0)</f>
        <v>1</v>
      </c>
    </row>
    <row r="272">
      <c r="A272" s="6" t="str">
        <f>IFERROR(__xludf.DUMMYFUNCTION("""COMPUTED_VALUE"""),"MA1070")</f>
        <v>MA1070</v>
      </c>
      <c r="B272" s="6" t="str">
        <f>IFERROR(__xludf.DUMMYFUNCTION("""COMPUTED_VALUE"""),"RUN-BEND_2022-01-26_RFR-020")</f>
        <v>RUN-BEND_2022-01-26_RFR-020</v>
      </c>
      <c r="C272" s="7">
        <f>VLOOKUP(B272,'Run Reconcile'!A$2:B809,2,FALSE)</f>
        <v>44587</v>
      </c>
      <c r="D272" s="12">
        <f>IFERROR(__xludf.DUMMYFUNCTION("""COMPUTED_VALUE"""),44587.0)</f>
        <v>44587</v>
      </c>
      <c r="E272" s="13">
        <f>IFERROR(__xludf.DUMMYFUNCTION("""COMPUTED_VALUE"""),0.32374999999956344)</f>
        <v>0.32375</v>
      </c>
      <c r="F272" s="10" t="str">
        <f>IFERROR(__xludf.DUMMYFUNCTION("""COMPUTED_VALUE"""),"Negative")</f>
        <v>Negative</v>
      </c>
      <c r="G272" s="10">
        <f>IFERROR(__xludf.DUMMYFUNCTION("""COMPUTED_VALUE"""),1.0)</f>
        <v>1</v>
      </c>
    </row>
    <row r="273">
      <c r="A273" s="6" t="str">
        <f>IFERROR(__xludf.DUMMYFUNCTION("""COMPUTED_VALUE"""),"MA1076")</f>
        <v>MA1076</v>
      </c>
      <c r="B273" s="6" t="str">
        <f>IFERROR(__xludf.DUMMYFUNCTION("""COMPUTED_VALUE"""),"RUN-BEND_2022-01-26_RFR-020")</f>
        <v>RUN-BEND_2022-01-26_RFR-020</v>
      </c>
      <c r="C273" s="7">
        <f>VLOOKUP(B273,'Run Reconcile'!A$2:B809,2,FALSE)</f>
        <v>44587</v>
      </c>
      <c r="D273" s="12">
        <f>IFERROR(__xludf.DUMMYFUNCTION("""COMPUTED_VALUE"""),44587.0)</f>
        <v>44587</v>
      </c>
      <c r="E273" s="13">
        <f>IFERROR(__xludf.DUMMYFUNCTION("""COMPUTED_VALUE"""),0.33134259259168175)</f>
        <v>0.3313425926</v>
      </c>
      <c r="F273" s="10" t="str">
        <f>IFERROR(__xludf.DUMMYFUNCTION("""COMPUTED_VALUE"""),"Negative")</f>
        <v>Negative</v>
      </c>
      <c r="G273" s="10">
        <f>IFERROR(__xludf.DUMMYFUNCTION("""COMPUTED_VALUE"""),1.0)</f>
        <v>1</v>
      </c>
    </row>
    <row r="274">
      <c r="A274" s="6" t="str">
        <f>IFERROR(__xludf.DUMMYFUNCTION("""COMPUTED_VALUE"""),"MA411")</f>
        <v>MA411</v>
      </c>
      <c r="B274" s="6" t="str">
        <f>IFERROR(__xludf.DUMMYFUNCTION("""COMPUTED_VALUE"""),"RUN-BEND_2022-01-26_RFR-020")</f>
        <v>RUN-BEND_2022-01-26_RFR-020</v>
      </c>
      <c r="C274" s="7">
        <f>VLOOKUP(B274,'Run Reconcile'!A$2:B809,2,FALSE)</f>
        <v>44587</v>
      </c>
      <c r="D274" s="12">
        <f>IFERROR(__xludf.DUMMYFUNCTION("""COMPUTED_VALUE"""),44587.0)</f>
        <v>44587</v>
      </c>
      <c r="E274" s="13">
        <f>IFERROR(__xludf.DUMMYFUNCTION("""COMPUTED_VALUE"""),0.33185185185357113)</f>
        <v>0.3318518519</v>
      </c>
      <c r="F274" s="10" t="str">
        <f>IFERROR(__xludf.DUMMYFUNCTION("""COMPUTED_VALUE"""),"Negative")</f>
        <v>Negative</v>
      </c>
      <c r="G274" s="10">
        <f>IFERROR(__xludf.DUMMYFUNCTION("""COMPUTED_VALUE"""),1.0)</f>
        <v>1</v>
      </c>
    </row>
    <row r="275">
      <c r="A275" s="6" t="str">
        <f>IFERROR(__xludf.DUMMYFUNCTION("""COMPUTED_VALUE"""),"MA610")</f>
        <v>MA610</v>
      </c>
      <c r="B275" s="6" t="str">
        <f>IFERROR(__xludf.DUMMYFUNCTION("""COMPUTED_VALUE"""),"RUN-BEND_2022-01-26_RFR-020")</f>
        <v>RUN-BEND_2022-01-26_RFR-020</v>
      </c>
      <c r="C275" s="7">
        <f>VLOOKUP(B275,'Run Reconcile'!A$2:B809,2,FALSE)</f>
        <v>44587</v>
      </c>
      <c r="D275" s="12">
        <f>IFERROR(__xludf.DUMMYFUNCTION("""COMPUTED_VALUE"""),44587.0)</f>
        <v>44587</v>
      </c>
      <c r="E275" s="13">
        <f>IFERROR(__xludf.DUMMYFUNCTION("""COMPUTED_VALUE"""),0.3365972222236451)</f>
        <v>0.3365972222</v>
      </c>
      <c r="F275" s="10" t="str">
        <f>IFERROR(__xludf.DUMMYFUNCTION("""COMPUTED_VALUE"""),"Negative")</f>
        <v>Negative</v>
      </c>
      <c r="G275" s="10">
        <f>IFERROR(__xludf.DUMMYFUNCTION("""COMPUTED_VALUE"""),1.0)</f>
        <v>1</v>
      </c>
    </row>
    <row r="276">
      <c r="A276" s="6" t="str">
        <f>IFERROR(__xludf.DUMMYFUNCTION("""COMPUTED_VALUE"""),"MA454")</f>
        <v>MA454</v>
      </c>
      <c r="B276" s="6" t="str">
        <f>IFERROR(__xludf.DUMMYFUNCTION("""COMPUTED_VALUE"""),"RUN-BEND_2022-01-26_RFR-020")</f>
        <v>RUN-BEND_2022-01-26_RFR-020</v>
      </c>
      <c r="C276" s="7">
        <f>VLOOKUP(B276,'Run Reconcile'!A$2:B809,2,FALSE)</f>
        <v>44587</v>
      </c>
      <c r="D276" s="12">
        <f>IFERROR(__xludf.DUMMYFUNCTION("""COMPUTED_VALUE"""),44587.0)</f>
        <v>44587</v>
      </c>
      <c r="E276" s="13">
        <f>IFERROR(__xludf.DUMMYFUNCTION("""COMPUTED_VALUE"""),0.3372222222205892)</f>
        <v>0.3372222222</v>
      </c>
      <c r="F276" s="10" t="str">
        <f>IFERROR(__xludf.DUMMYFUNCTION("""COMPUTED_VALUE"""),"Negative")</f>
        <v>Negative</v>
      </c>
      <c r="G276" s="10">
        <f>IFERROR(__xludf.DUMMYFUNCTION("""COMPUTED_VALUE"""),1.0)</f>
        <v>1</v>
      </c>
    </row>
    <row r="277">
      <c r="A277" s="6" t="str">
        <f>IFERROR(__xludf.DUMMYFUNCTION("""COMPUTED_VALUE"""),"MA1278")</f>
        <v>MA1278</v>
      </c>
      <c r="B277" s="6" t="str">
        <f>IFERROR(__xludf.DUMMYFUNCTION("""COMPUTED_VALUE"""),"RUN-BEND_2022-01-26_RFR-020")</f>
        <v>RUN-BEND_2022-01-26_RFR-020</v>
      </c>
      <c r="C277" s="7">
        <f>VLOOKUP(B277,'Run Reconcile'!A$2:B809,2,FALSE)</f>
        <v>44587</v>
      </c>
      <c r="D277" s="12">
        <f>IFERROR(__xludf.DUMMYFUNCTION("""COMPUTED_VALUE"""),44587.0)</f>
        <v>44587</v>
      </c>
      <c r="E277" s="13">
        <f>IFERROR(__xludf.DUMMYFUNCTION("""COMPUTED_VALUE"""),0.35023148148320615)</f>
        <v>0.3502314815</v>
      </c>
      <c r="F277" s="10" t="str">
        <f>IFERROR(__xludf.DUMMYFUNCTION("""COMPUTED_VALUE"""),"Negative")</f>
        <v>Negative</v>
      </c>
      <c r="G277" s="10">
        <f>IFERROR(__xludf.DUMMYFUNCTION("""COMPUTED_VALUE"""),1.0)</f>
        <v>1</v>
      </c>
    </row>
    <row r="278">
      <c r="A278" s="6" t="str">
        <f>IFERROR(__xludf.DUMMYFUNCTION("""COMPUTED_VALUE"""),"MA524")</f>
        <v>MA524</v>
      </c>
      <c r="B278" s="6" t="str">
        <f>IFERROR(__xludf.DUMMYFUNCTION("""COMPUTED_VALUE"""),"RUN-BEND_2022-01-26_RFR-020")</f>
        <v>RUN-BEND_2022-01-26_RFR-020</v>
      </c>
      <c r="C278" s="7">
        <f>VLOOKUP(B278,'Run Reconcile'!A$2:B809,2,FALSE)</f>
        <v>44587</v>
      </c>
      <c r="D278" s="12">
        <f>IFERROR(__xludf.DUMMYFUNCTION("""COMPUTED_VALUE"""),44587.0)</f>
        <v>44587</v>
      </c>
      <c r="E278" s="13">
        <f>IFERROR(__xludf.DUMMYFUNCTION("""COMPUTED_VALUE"""),0.356689814816491)</f>
        <v>0.3566898148</v>
      </c>
      <c r="F278" s="10" t="str">
        <f>IFERROR(__xludf.DUMMYFUNCTION("""COMPUTED_VALUE"""),"Negative")</f>
        <v>Negative</v>
      </c>
      <c r="G278" s="10">
        <f>IFERROR(__xludf.DUMMYFUNCTION("""COMPUTED_VALUE"""),1.0)</f>
        <v>1</v>
      </c>
    </row>
    <row r="279">
      <c r="A279" s="6" t="str">
        <f>IFERROR(__xludf.DUMMYFUNCTION("""COMPUTED_VALUE"""),"MAX123")</f>
        <v>MAX123</v>
      </c>
      <c r="B279" s="6" t="str">
        <f>IFERROR(__xludf.DUMMYFUNCTION("""COMPUTED_VALUE"""),"RUN-BEND_2022-01-26_RFR-020")</f>
        <v>RUN-BEND_2022-01-26_RFR-020</v>
      </c>
      <c r="C279" s="7">
        <f>VLOOKUP(B279,'Run Reconcile'!A$2:B809,2,FALSE)</f>
        <v>44587</v>
      </c>
      <c r="D279" s="12">
        <f>IFERROR(__xludf.DUMMYFUNCTION("""COMPUTED_VALUE"""),44587.0)</f>
        <v>44587</v>
      </c>
      <c r="E279" s="13">
        <f>IFERROR(__xludf.DUMMYFUNCTION("""COMPUTED_VALUE"""),0.3889467592598521)</f>
        <v>0.3889467593</v>
      </c>
      <c r="F279" s="10" t="str">
        <f>IFERROR(__xludf.DUMMYFUNCTION("""COMPUTED_VALUE"""),"Negative")</f>
        <v>Negative</v>
      </c>
      <c r="G279" s="10">
        <f>IFERROR(__xludf.DUMMYFUNCTION("""COMPUTED_VALUE"""),1.0)</f>
        <v>1</v>
      </c>
    </row>
    <row r="280">
      <c r="A280" s="6" t="str">
        <f>IFERROR(__xludf.DUMMYFUNCTION("""COMPUTED_VALUE"""),"MA271")</f>
        <v>MA271</v>
      </c>
      <c r="B280" s="6" t="str">
        <f>IFERROR(__xludf.DUMMYFUNCTION("""COMPUTED_VALUE"""),"RUN-BEND_2022-01-28_RFR-022")</f>
        <v>RUN-BEND_2022-01-28_RFR-022</v>
      </c>
      <c r="C280" s="7">
        <f>VLOOKUP(B280,'Run Reconcile'!A$2:B809,2,FALSE)</f>
        <v>44589</v>
      </c>
      <c r="D280" s="12">
        <f>IFERROR(__xludf.DUMMYFUNCTION("""COMPUTED_VALUE"""),44589.0)</f>
        <v>44589</v>
      </c>
      <c r="E280" s="13">
        <f>IFERROR(__xludf.DUMMYFUNCTION("""COMPUTED_VALUE"""),0.3145370370366436)</f>
        <v>0.314537037</v>
      </c>
      <c r="F280" s="10" t="str">
        <f>IFERROR(__xludf.DUMMYFUNCTION("""COMPUTED_VALUE"""),"Negative")</f>
        <v>Negative</v>
      </c>
      <c r="G280" s="10">
        <f>IFERROR(__xludf.DUMMYFUNCTION("""COMPUTED_VALUE"""),1.0)</f>
        <v>1</v>
      </c>
    </row>
    <row r="281">
      <c r="A281" s="6" t="str">
        <f>IFERROR(__xludf.DUMMYFUNCTION("""COMPUTED_VALUE"""),"MA247")</f>
        <v>MA247</v>
      </c>
      <c r="B281" s="6" t="str">
        <f>IFERROR(__xludf.DUMMYFUNCTION("""COMPUTED_VALUE"""),"RUN-BEND_2022-01-28_RFR-022")</f>
        <v>RUN-BEND_2022-01-28_RFR-022</v>
      </c>
      <c r="C281" s="7">
        <f>VLOOKUP(B281,'Run Reconcile'!A$2:B809,2,FALSE)</f>
        <v>44589</v>
      </c>
      <c r="D281" s="12">
        <f>IFERROR(__xludf.DUMMYFUNCTION("""COMPUTED_VALUE"""),44589.0)</f>
        <v>44589</v>
      </c>
      <c r="E281" s="13">
        <f>IFERROR(__xludf.DUMMYFUNCTION("""COMPUTED_VALUE"""),0.3303703703713836)</f>
        <v>0.3303703704</v>
      </c>
      <c r="F281" s="10" t="str">
        <f>IFERROR(__xludf.DUMMYFUNCTION("""COMPUTED_VALUE"""),"Negative")</f>
        <v>Negative</v>
      </c>
      <c r="G281" s="10">
        <f>IFERROR(__xludf.DUMMYFUNCTION("""COMPUTED_VALUE"""),1.0)</f>
        <v>1</v>
      </c>
    </row>
    <row r="282">
      <c r="A282" s="6" t="str">
        <f>IFERROR(__xludf.DUMMYFUNCTION("""COMPUTED_VALUE"""),"MA607")</f>
        <v>MA607</v>
      </c>
      <c r="B282" s="6" t="str">
        <f>IFERROR(__xludf.DUMMYFUNCTION("""COMPUTED_VALUE"""),"RUN-BEND_2022-01-28_RFR-022")</f>
        <v>RUN-BEND_2022-01-28_RFR-022</v>
      </c>
      <c r="C282" s="7">
        <f>VLOOKUP(B282,'Run Reconcile'!A$2:B809,2,FALSE)</f>
        <v>44589</v>
      </c>
      <c r="D282" s="12">
        <f>IFERROR(__xludf.DUMMYFUNCTION("""COMPUTED_VALUE"""),44589.0)</f>
        <v>44589</v>
      </c>
      <c r="E282" s="13">
        <f>IFERROR(__xludf.DUMMYFUNCTION("""COMPUTED_VALUE"""),0.33152777777650044)</f>
        <v>0.3315277778</v>
      </c>
      <c r="F282" s="10" t="str">
        <f>IFERROR(__xludf.DUMMYFUNCTION("""COMPUTED_VALUE"""),"Negative")</f>
        <v>Negative</v>
      </c>
      <c r="G282" s="10">
        <f>IFERROR(__xludf.DUMMYFUNCTION("""COMPUTED_VALUE"""),1.0)</f>
        <v>1</v>
      </c>
    </row>
    <row r="283">
      <c r="A283" s="6" t="str">
        <f>IFERROR(__xludf.DUMMYFUNCTION("""COMPUTED_VALUE"""),"MA1120")</f>
        <v>MA1120</v>
      </c>
      <c r="B283" s="6" t="str">
        <f>IFERROR(__xludf.DUMMYFUNCTION("""COMPUTED_VALUE"""),"RUN-BEND_2022-01-28_RFR-022")</f>
        <v>RUN-BEND_2022-01-28_RFR-022</v>
      </c>
      <c r="C283" s="7">
        <f>VLOOKUP(B283,'Run Reconcile'!A$2:B809,2,FALSE)</f>
        <v>44589</v>
      </c>
      <c r="D283" s="12">
        <f>IFERROR(__xludf.DUMMYFUNCTION("""COMPUTED_VALUE"""),44589.0)</f>
        <v>44589</v>
      </c>
      <c r="E283" s="13">
        <f>IFERROR(__xludf.DUMMYFUNCTION("""COMPUTED_VALUE"""),0.3320833333345945)</f>
        <v>0.3320833333</v>
      </c>
      <c r="F283" s="10" t="str">
        <f>IFERROR(__xludf.DUMMYFUNCTION("""COMPUTED_VALUE"""),"Negative")</f>
        <v>Negative</v>
      </c>
      <c r="G283" s="10">
        <f>IFERROR(__xludf.DUMMYFUNCTION("""COMPUTED_VALUE"""),1.0)</f>
        <v>1</v>
      </c>
    </row>
    <row r="284">
      <c r="A284" s="6" t="str">
        <f>IFERROR(__xludf.DUMMYFUNCTION("""COMPUTED_VALUE"""),"MA283")</f>
        <v>MA283</v>
      </c>
      <c r="B284" s="6" t="str">
        <f>IFERROR(__xludf.DUMMYFUNCTION("""COMPUTED_VALUE"""),"RUN-BEND_2022-01-28_RFR-022")</f>
        <v>RUN-BEND_2022-01-28_RFR-022</v>
      </c>
      <c r="C284" s="7">
        <f>VLOOKUP(B284,'Run Reconcile'!A$2:B809,2,FALSE)</f>
        <v>44589</v>
      </c>
      <c r="D284" s="12">
        <f>IFERROR(__xludf.DUMMYFUNCTION("""COMPUTED_VALUE"""),44589.0)</f>
        <v>44589</v>
      </c>
      <c r="E284" s="13">
        <f>IFERROR(__xludf.DUMMYFUNCTION("""COMPUTED_VALUE"""),0.34420138888890506)</f>
        <v>0.3442013889</v>
      </c>
      <c r="F284" s="10" t="str">
        <f>IFERROR(__xludf.DUMMYFUNCTION("""COMPUTED_VALUE"""),"Negative")</f>
        <v>Negative</v>
      </c>
      <c r="G284" s="10">
        <f>IFERROR(__xludf.DUMMYFUNCTION("""COMPUTED_VALUE"""),1.0)</f>
        <v>1</v>
      </c>
    </row>
    <row r="285">
      <c r="A285" s="6" t="str">
        <f>IFERROR(__xludf.DUMMYFUNCTION("""COMPUTED_VALUE"""),"MA1135")</f>
        <v>MA1135</v>
      </c>
      <c r="B285" s="6" t="str">
        <f>IFERROR(__xludf.DUMMYFUNCTION("""COMPUTED_VALUE"""),"RUN-BEND_2022-01-28_RFR-022")</f>
        <v>RUN-BEND_2022-01-28_RFR-022</v>
      </c>
      <c r="C285" s="7">
        <f>VLOOKUP(B285,'Run Reconcile'!A$2:B809,2,FALSE)</f>
        <v>44589</v>
      </c>
      <c r="D285" s="12">
        <f>IFERROR(__xludf.DUMMYFUNCTION("""COMPUTED_VALUE"""),44589.0)</f>
        <v>44589</v>
      </c>
      <c r="E285" s="13">
        <f>IFERROR(__xludf.DUMMYFUNCTION("""COMPUTED_VALUE"""),0.34788194444263354)</f>
        <v>0.3478819444</v>
      </c>
      <c r="F285" s="10" t="str">
        <f>IFERROR(__xludf.DUMMYFUNCTION("""COMPUTED_VALUE"""),"Negative")</f>
        <v>Negative</v>
      </c>
      <c r="G285" s="10">
        <f>IFERROR(__xludf.DUMMYFUNCTION("""COMPUTED_VALUE"""),1.0)</f>
        <v>1</v>
      </c>
    </row>
    <row r="286">
      <c r="A286" s="6" t="str">
        <f>IFERROR(__xludf.DUMMYFUNCTION("""COMPUTED_VALUE"""),"MA276")</f>
        <v>MA276</v>
      </c>
      <c r="B286" s="6" t="str">
        <f>IFERROR(__xludf.DUMMYFUNCTION("""COMPUTED_VALUE"""),"RUN-BEND_2022-01-28_RFR-022")</f>
        <v>RUN-BEND_2022-01-28_RFR-022</v>
      </c>
      <c r="C286" s="7">
        <f>VLOOKUP(B286,'Run Reconcile'!A$2:B809,2,FALSE)</f>
        <v>44589</v>
      </c>
      <c r="D286" s="12">
        <f>IFERROR(__xludf.DUMMYFUNCTION("""COMPUTED_VALUE"""),44589.0)</f>
        <v>44589</v>
      </c>
      <c r="E286" s="13">
        <f>IFERROR(__xludf.DUMMYFUNCTION("""COMPUTED_VALUE"""),0.36568287037152913)</f>
        <v>0.3656828704</v>
      </c>
      <c r="F286" s="10" t="str">
        <f>IFERROR(__xludf.DUMMYFUNCTION("""COMPUTED_VALUE"""),"Negative")</f>
        <v>Negative</v>
      </c>
      <c r="G286" s="10">
        <f>IFERROR(__xludf.DUMMYFUNCTION("""COMPUTED_VALUE"""),1.0)</f>
        <v>1</v>
      </c>
    </row>
    <row r="287">
      <c r="A287" s="6" t="str">
        <f>IFERROR(__xludf.DUMMYFUNCTION("""COMPUTED_VALUE"""),"MA917")</f>
        <v>MA917</v>
      </c>
      <c r="B287" s="6" t="str">
        <f>IFERROR(__xludf.DUMMYFUNCTION("""COMPUTED_VALUE"""),"RUN-BEND_2022-01-31_RFR-024")</f>
        <v>RUN-BEND_2022-01-31_RFR-024</v>
      </c>
      <c r="C287" s="7">
        <f>VLOOKUP(B287,'Run Reconcile'!A$2:B809,2,FALSE)</f>
        <v>44592</v>
      </c>
      <c r="D287" s="12">
        <f>IFERROR(__xludf.DUMMYFUNCTION("""COMPUTED_VALUE"""),44592.0)</f>
        <v>44592</v>
      </c>
      <c r="E287" s="13">
        <f>IFERROR(__xludf.DUMMYFUNCTION("""COMPUTED_VALUE"""),0.3242708333345945)</f>
        <v>0.3242708333</v>
      </c>
      <c r="F287" s="10" t="str">
        <f>IFERROR(__xludf.DUMMYFUNCTION("""COMPUTED_VALUE"""),"Negative")</f>
        <v>Negative</v>
      </c>
      <c r="G287" s="10">
        <f>IFERROR(__xludf.DUMMYFUNCTION("""COMPUTED_VALUE"""),1.0)</f>
        <v>1</v>
      </c>
    </row>
    <row r="288">
      <c r="A288" s="6" t="str">
        <f>IFERROR(__xludf.DUMMYFUNCTION("""COMPUTED_VALUE"""),"MA256")</f>
        <v>MA256</v>
      </c>
      <c r="B288" s="6" t="str">
        <f>IFERROR(__xludf.DUMMYFUNCTION("""COMPUTED_VALUE"""),"RUN-BEND_2022-01-31_RFR-024")</f>
        <v>RUN-BEND_2022-01-31_RFR-024</v>
      </c>
      <c r="C288" s="7">
        <f>VLOOKUP(B288,'Run Reconcile'!A$2:B809,2,FALSE)</f>
        <v>44592</v>
      </c>
      <c r="D288" s="12">
        <f>IFERROR(__xludf.DUMMYFUNCTION("""COMPUTED_VALUE"""),44592.0)</f>
        <v>44592</v>
      </c>
      <c r="E288" s="13">
        <f>IFERROR(__xludf.DUMMYFUNCTION("""COMPUTED_VALUE"""),0.32604166666715173)</f>
        <v>0.3260416667</v>
      </c>
      <c r="F288" s="10" t="str">
        <f>IFERROR(__xludf.DUMMYFUNCTION("""COMPUTED_VALUE"""),"Negative")</f>
        <v>Negative</v>
      </c>
      <c r="G288" s="10">
        <f>IFERROR(__xludf.DUMMYFUNCTION("""COMPUTED_VALUE"""),1.0)</f>
        <v>1</v>
      </c>
    </row>
    <row r="289">
      <c r="A289" s="6" t="str">
        <f>IFERROR(__xludf.DUMMYFUNCTION("""COMPUTED_VALUE"""),"MA1158")</f>
        <v>MA1158</v>
      </c>
      <c r="B289" s="6" t="str">
        <f>IFERROR(__xludf.DUMMYFUNCTION("""COMPUTED_VALUE"""),"RUN-BEND_2022-01-31_RFR-024")</f>
        <v>RUN-BEND_2022-01-31_RFR-024</v>
      </c>
      <c r="C289" s="7">
        <f>VLOOKUP(B289,'Run Reconcile'!A$2:B809,2,FALSE)</f>
        <v>44592</v>
      </c>
      <c r="D289" s="12">
        <f>IFERROR(__xludf.DUMMYFUNCTION("""COMPUTED_VALUE"""),44592.0)</f>
        <v>44592</v>
      </c>
      <c r="E289" s="13">
        <f>IFERROR(__xludf.DUMMYFUNCTION("""COMPUTED_VALUE"""),0.3271759259259852)</f>
        <v>0.3271759259</v>
      </c>
      <c r="F289" s="10" t="str">
        <f>IFERROR(__xludf.DUMMYFUNCTION("""COMPUTED_VALUE"""),"Negative")</f>
        <v>Negative</v>
      </c>
      <c r="G289" s="10">
        <f>IFERROR(__xludf.DUMMYFUNCTION("""COMPUTED_VALUE"""),1.0)</f>
        <v>1</v>
      </c>
    </row>
    <row r="290">
      <c r="A290" s="6" t="str">
        <f>IFERROR(__xludf.DUMMYFUNCTION("""COMPUTED_VALUE"""),"MA619")</f>
        <v>MA619</v>
      </c>
      <c r="B290" s="6" t="str">
        <f>IFERROR(__xludf.DUMMYFUNCTION("""COMPUTED_VALUE"""),"RUN-BEND_2022-01-31_RFR-024")</f>
        <v>RUN-BEND_2022-01-31_RFR-024</v>
      </c>
      <c r="C290" s="7">
        <f>VLOOKUP(B290,'Run Reconcile'!A$2:B809,2,FALSE)</f>
        <v>44592</v>
      </c>
      <c r="D290" s="12">
        <f>IFERROR(__xludf.DUMMYFUNCTION("""COMPUTED_VALUE"""),44592.0)</f>
        <v>44592</v>
      </c>
      <c r="E290" s="13">
        <f>IFERROR(__xludf.DUMMYFUNCTION("""COMPUTED_VALUE"""),0.3274421296300716)</f>
        <v>0.3274421296</v>
      </c>
      <c r="F290" s="10" t="str">
        <f>IFERROR(__xludf.DUMMYFUNCTION("""COMPUTED_VALUE"""),"Negative")</f>
        <v>Negative</v>
      </c>
      <c r="G290" s="10">
        <f>IFERROR(__xludf.DUMMYFUNCTION("""COMPUTED_VALUE"""),1.0)</f>
        <v>1</v>
      </c>
    </row>
    <row r="291">
      <c r="A291" s="6" t="str">
        <f>IFERROR(__xludf.DUMMYFUNCTION("""COMPUTED_VALUE"""),"MA348")</f>
        <v>MA348</v>
      </c>
      <c r="B291" s="6" t="str">
        <f>IFERROR(__xludf.DUMMYFUNCTION("""COMPUTED_VALUE"""),"RUN-BEND_2022-01-31_RFR-024")</f>
        <v>RUN-BEND_2022-01-31_RFR-024</v>
      </c>
      <c r="C291" s="7">
        <f>VLOOKUP(B291,'Run Reconcile'!A$2:B809,2,FALSE)</f>
        <v>44592</v>
      </c>
      <c r="D291" s="12">
        <f>IFERROR(__xludf.DUMMYFUNCTION("""COMPUTED_VALUE"""),44592.0)</f>
        <v>44592</v>
      </c>
      <c r="E291" s="13">
        <f>IFERROR(__xludf.DUMMYFUNCTION("""COMPUTED_VALUE"""),0.32973379629765986)</f>
        <v>0.3297337963</v>
      </c>
      <c r="F291" s="10" t="str">
        <f>IFERROR(__xludf.DUMMYFUNCTION("""COMPUTED_VALUE"""),"Negative")</f>
        <v>Negative</v>
      </c>
      <c r="G291" s="10">
        <f>IFERROR(__xludf.DUMMYFUNCTION("""COMPUTED_VALUE"""),1.0)</f>
        <v>1</v>
      </c>
    </row>
    <row r="292">
      <c r="A292" s="6" t="str">
        <f>IFERROR(__xludf.DUMMYFUNCTION("""COMPUTED_VALUE"""),"MA615")</f>
        <v>MA615</v>
      </c>
      <c r="B292" s="6" t="str">
        <f>IFERROR(__xludf.DUMMYFUNCTION("""COMPUTED_VALUE"""),"RUN-BEND_2022-01-31_RFR-024")</f>
        <v>RUN-BEND_2022-01-31_RFR-024</v>
      </c>
      <c r="C292" s="7">
        <f>VLOOKUP(B292,'Run Reconcile'!A$2:B809,2,FALSE)</f>
        <v>44592</v>
      </c>
      <c r="D292" s="12">
        <f>IFERROR(__xludf.DUMMYFUNCTION("""COMPUTED_VALUE"""),44592.0)</f>
        <v>44592</v>
      </c>
      <c r="E292" s="13">
        <f>IFERROR(__xludf.DUMMYFUNCTION("""COMPUTED_VALUE"""),0.33358796296306537)</f>
        <v>0.333587963</v>
      </c>
      <c r="F292" s="10" t="str">
        <f>IFERROR(__xludf.DUMMYFUNCTION("""COMPUTED_VALUE"""),"Negative")</f>
        <v>Negative</v>
      </c>
      <c r="G292" s="10">
        <f>IFERROR(__xludf.DUMMYFUNCTION("""COMPUTED_VALUE"""),1.0)</f>
        <v>1</v>
      </c>
    </row>
    <row r="293">
      <c r="A293" s="6" t="str">
        <f>IFERROR(__xludf.DUMMYFUNCTION("""COMPUTED_VALUE"""),"MA613")</f>
        <v>MA613</v>
      </c>
      <c r="B293" s="6" t="str">
        <f>IFERROR(__xludf.DUMMYFUNCTION("""COMPUTED_VALUE"""),"RUN-BEND_2022-01-31_RFR-024")</f>
        <v>RUN-BEND_2022-01-31_RFR-024</v>
      </c>
      <c r="C293" s="7">
        <f>VLOOKUP(B293,'Run Reconcile'!A$2:B809,2,FALSE)</f>
        <v>44592</v>
      </c>
      <c r="D293" s="12">
        <f>IFERROR(__xludf.DUMMYFUNCTION("""COMPUTED_VALUE"""),44592.0)</f>
        <v>44592</v>
      </c>
      <c r="E293" s="13">
        <f>IFERROR(__xludf.DUMMYFUNCTION("""COMPUTED_VALUE"""),0.3336805555554747)</f>
        <v>0.3336805556</v>
      </c>
      <c r="F293" s="10" t="str">
        <f>IFERROR(__xludf.DUMMYFUNCTION("""COMPUTED_VALUE"""),"Negative")</f>
        <v>Negative</v>
      </c>
      <c r="G293" s="10">
        <f>IFERROR(__xludf.DUMMYFUNCTION("""COMPUTED_VALUE"""),1.0)</f>
        <v>1</v>
      </c>
    </row>
    <row r="294">
      <c r="A294" s="6" t="str">
        <f>IFERROR(__xludf.DUMMYFUNCTION("""COMPUTED_VALUE"""),"MA625")</f>
        <v>MA625</v>
      </c>
      <c r="B294" s="6" t="str">
        <f>IFERROR(__xludf.DUMMYFUNCTION("""COMPUTED_VALUE"""),"RUN-BEND_2022-01-31_RFR-024")</f>
        <v>RUN-BEND_2022-01-31_RFR-024</v>
      </c>
      <c r="C294" s="7">
        <f>VLOOKUP(B294,'Run Reconcile'!A$2:B809,2,FALSE)</f>
        <v>44592</v>
      </c>
      <c r="D294" s="12">
        <f>IFERROR(__xludf.DUMMYFUNCTION("""COMPUTED_VALUE"""),44592.0)</f>
        <v>44592</v>
      </c>
      <c r="E294" s="13">
        <f>IFERROR(__xludf.DUMMYFUNCTION("""COMPUTED_VALUE"""),0.3434606481496303)</f>
        <v>0.3434606481</v>
      </c>
      <c r="F294" s="10" t="str">
        <f>IFERROR(__xludf.DUMMYFUNCTION("""COMPUTED_VALUE"""),"Negative")</f>
        <v>Negative</v>
      </c>
      <c r="G294" s="10">
        <f>IFERROR(__xludf.DUMMYFUNCTION("""COMPUTED_VALUE"""),1.0)</f>
        <v>1</v>
      </c>
    </row>
    <row r="295">
      <c r="A295" s="6" t="str">
        <f>IFERROR(__xludf.DUMMYFUNCTION("""COMPUTED_VALUE"""),"MA397")</f>
        <v>MA397</v>
      </c>
      <c r="B295" s="6" t="str">
        <f>IFERROR(__xludf.DUMMYFUNCTION("""COMPUTED_VALUE"""),"RUN-BEND_2022-01-31_RFR-024")</f>
        <v>RUN-BEND_2022-01-31_RFR-024</v>
      </c>
      <c r="C295" s="7">
        <f>VLOOKUP(B295,'Run Reconcile'!A$2:B809,2,FALSE)</f>
        <v>44592</v>
      </c>
      <c r="D295" s="12">
        <f>IFERROR(__xludf.DUMMYFUNCTION("""COMPUTED_VALUE"""),44592.0)</f>
        <v>44592</v>
      </c>
      <c r="E295" s="13">
        <f>IFERROR(__xludf.DUMMYFUNCTION("""COMPUTED_VALUE"""),0.3622800925913907)</f>
        <v>0.3622800926</v>
      </c>
      <c r="F295" s="10" t="str">
        <f>IFERROR(__xludf.DUMMYFUNCTION("""COMPUTED_VALUE"""),"Negative")</f>
        <v>Negative</v>
      </c>
      <c r="G295" s="10">
        <f>IFERROR(__xludf.DUMMYFUNCTION("""COMPUTED_VALUE"""),1.0)</f>
        <v>1</v>
      </c>
    </row>
    <row r="296">
      <c r="A296" s="6" t="str">
        <f>IFERROR(__xludf.DUMMYFUNCTION("""COMPUTED_VALUE"""),"MAX85")</f>
        <v>MAX85</v>
      </c>
      <c r="B296" s="6" t="str">
        <f>IFERROR(__xludf.DUMMYFUNCTION("""COMPUTED_VALUE"""),"RUN-BEND_2022-01-31_RFR-024")</f>
        <v>RUN-BEND_2022-01-31_RFR-024</v>
      </c>
      <c r="C296" s="7">
        <f>VLOOKUP(B296,'Run Reconcile'!A$2:B809,2,FALSE)</f>
        <v>44592</v>
      </c>
      <c r="D296" s="12">
        <f>IFERROR(__xludf.DUMMYFUNCTION("""COMPUTED_VALUE"""),44592.0)</f>
        <v>44592</v>
      </c>
      <c r="E296" s="13">
        <f>IFERROR(__xludf.DUMMYFUNCTION("""COMPUTED_VALUE"""),0.4298379629617557)</f>
        <v>0.429837963</v>
      </c>
      <c r="F296" s="10" t="str">
        <f>IFERROR(__xludf.DUMMYFUNCTION("""COMPUTED_VALUE"""),"Negative")</f>
        <v>Negative</v>
      </c>
      <c r="G296" s="10">
        <f>IFERROR(__xludf.DUMMYFUNCTION("""COMPUTED_VALUE"""),1.0)</f>
        <v>1</v>
      </c>
    </row>
    <row r="297">
      <c r="A297" s="6" t="str">
        <f>IFERROR(__xludf.DUMMYFUNCTION("""COMPUTED_VALUE"""),"MA310")</f>
        <v>MA310</v>
      </c>
      <c r="B297" s="6" t="str">
        <f>IFERROR(__xludf.DUMMYFUNCTION("""COMPUTED_VALUE"""),"RUN-BEND_2022-02-02_RFR-025")</f>
        <v>RUN-BEND_2022-02-02_RFR-025</v>
      </c>
      <c r="C297" s="7">
        <f>VLOOKUP(B297,'Run Reconcile'!A$2:B809,2,FALSE)</f>
        <v>44594</v>
      </c>
      <c r="D297" s="12">
        <f>IFERROR(__xludf.DUMMYFUNCTION("""COMPUTED_VALUE"""),44594.0)</f>
        <v>44594</v>
      </c>
      <c r="E297" s="13">
        <f>IFERROR(__xludf.DUMMYFUNCTION("""COMPUTED_VALUE"""),0.32446759259255487)</f>
        <v>0.3244675926</v>
      </c>
      <c r="F297" s="10" t="str">
        <f>IFERROR(__xludf.DUMMYFUNCTION("""COMPUTED_VALUE"""),"Positive")</f>
        <v>Positive</v>
      </c>
      <c r="G297" s="10">
        <f>IFERROR(__xludf.DUMMYFUNCTION("""COMPUTED_VALUE"""),1.0)</f>
        <v>1</v>
      </c>
    </row>
    <row r="298">
      <c r="A298" s="6" t="str">
        <f>IFERROR(__xludf.DUMMYFUNCTION("""COMPUTED_VALUE"""),"MA1209")</f>
        <v>MA1209</v>
      </c>
      <c r="B298" s="6" t="str">
        <f>IFERROR(__xludf.DUMMYFUNCTION("""COMPUTED_VALUE"""),"RUN-BEND_2022-02-02_RFR-025")</f>
        <v>RUN-BEND_2022-02-02_RFR-025</v>
      </c>
      <c r="C298" s="7">
        <f>VLOOKUP(B298,'Run Reconcile'!A$2:B809,2,FALSE)</f>
        <v>44594</v>
      </c>
      <c r="D298" s="12">
        <f>IFERROR(__xludf.DUMMYFUNCTION("""COMPUTED_VALUE"""),44594.0)</f>
        <v>44594</v>
      </c>
      <c r="E298" s="13">
        <f>IFERROR(__xludf.DUMMYFUNCTION("""COMPUTED_VALUE"""),0.33482638888744987)</f>
        <v>0.3348263889</v>
      </c>
      <c r="F298" s="10" t="str">
        <f>IFERROR(__xludf.DUMMYFUNCTION("""COMPUTED_VALUE"""),"Negative")</f>
        <v>Negative</v>
      </c>
      <c r="G298" s="10">
        <f>IFERROR(__xludf.DUMMYFUNCTION("""COMPUTED_VALUE"""),1.0)</f>
        <v>1</v>
      </c>
    </row>
    <row r="299">
      <c r="A299" s="6" t="str">
        <f>IFERROR(__xludf.DUMMYFUNCTION("""COMPUTED_VALUE"""),"MA604")</f>
        <v>MA604</v>
      </c>
      <c r="B299" s="6" t="str">
        <f>IFERROR(__xludf.DUMMYFUNCTION("""COMPUTED_VALUE"""),"RUN-BEND_2022-02-02_RFR-025")</f>
        <v>RUN-BEND_2022-02-02_RFR-025</v>
      </c>
      <c r="C299" s="7">
        <f>VLOOKUP(B299,'Run Reconcile'!A$2:B809,2,FALSE)</f>
        <v>44594</v>
      </c>
      <c r="D299" s="12">
        <f>IFERROR(__xludf.DUMMYFUNCTION("""COMPUTED_VALUE"""),44594.0)</f>
        <v>44594</v>
      </c>
      <c r="E299" s="13">
        <f>IFERROR(__xludf.DUMMYFUNCTION("""COMPUTED_VALUE"""),0.33846064814861165)</f>
        <v>0.3384606481</v>
      </c>
      <c r="F299" s="10" t="str">
        <f>IFERROR(__xludf.DUMMYFUNCTION("""COMPUTED_VALUE"""),"Negative")</f>
        <v>Negative</v>
      </c>
      <c r="G299" s="10">
        <f>IFERROR(__xludf.DUMMYFUNCTION("""COMPUTED_VALUE"""),1.0)</f>
        <v>1</v>
      </c>
    </row>
    <row r="300">
      <c r="A300" s="6" t="str">
        <f>IFERROR(__xludf.DUMMYFUNCTION("""COMPUTED_VALUE"""),"MA1136")</f>
        <v>MA1136</v>
      </c>
      <c r="B300" s="6" t="str">
        <f>IFERROR(__xludf.DUMMYFUNCTION("""COMPUTED_VALUE"""),"RUN-BEND_2022-02-02_RFR-025")</f>
        <v>RUN-BEND_2022-02-02_RFR-025</v>
      </c>
      <c r="C300" s="7">
        <f>VLOOKUP(B300,'Run Reconcile'!A$2:B809,2,FALSE)</f>
        <v>44594</v>
      </c>
      <c r="D300" s="12">
        <f>IFERROR(__xludf.DUMMYFUNCTION("""COMPUTED_VALUE"""),44594.0)</f>
        <v>44594</v>
      </c>
      <c r="E300" s="13">
        <f>IFERROR(__xludf.DUMMYFUNCTION("""COMPUTED_VALUE"""),0.3437731481499213)</f>
        <v>0.3437731481</v>
      </c>
      <c r="F300" s="10" t="str">
        <f>IFERROR(__xludf.DUMMYFUNCTION("""COMPUTED_VALUE"""),"Negative")</f>
        <v>Negative</v>
      </c>
      <c r="G300" s="10">
        <f>IFERROR(__xludf.DUMMYFUNCTION("""COMPUTED_VALUE"""),1.0)</f>
        <v>1</v>
      </c>
    </row>
    <row r="301">
      <c r="A301" s="6" t="str">
        <f>IFERROR(__xludf.DUMMYFUNCTION("""COMPUTED_VALUE"""),"MA1033")</f>
        <v>MA1033</v>
      </c>
      <c r="B301" s="6" t="str">
        <f>IFERROR(__xludf.DUMMYFUNCTION("""COMPUTED_VALUE"""),"RUN-BEND_2022-02-02_RFR-025")</f>
        <v>RUN-BEND_2022-02-02_RFR-025</v>
      </c>
      <c r="C301" s="7">
        <f>VLOOKUP(B301,'Run Reconcile'!A$2:B809,2,FALSE)</f>
        <v>44594</v>
      </c>
      <c r="D301" s="12">
        <f>IFERROR(__xludf.DUMMYFUNCTION("""COMPUTED_VALUE"""),44594.0)</f>
        <v>44594</v>
      </c>
      <c r="E301" s="13">
        <f>IFERROR(__xludf.DUMMYFUNCTION("""COMPUTED_VALUE"""),0.34423611111196806)</f>
        <v>0.3442361111</v>
      </c>
      <c r="F301" s="10" t="str">
        <f>IFERROR(__xludf.DUMMYFUNCTION("""COMPUTED_VALUE"""),"Negative")</f>
        <v>Negative</v>
      </c>
      <c r="G301" s="10">
        <f>IFERROR(__xludf.DUMMYFUNCTION("""COMPUTED_VALUE"""),1.0)</f>
        <v>1</v>
      </c>
    </row>
    <row r="302">
      <c r="A302" s="6" t="str">
        <f>IFERROR(__xludf.DUMMYFUNCTION("""COMPUTED_VALUE"""),"MA1195")</f>
        <v>MA1195</v>
      </c>
      <c r="B302" s="6" t="str">
        <f>IFERROR(__xludf.DUMMYFUNCTION("""COMPUTED_VALUE"""),"RUN-BEND_2022-02-02_RFR-025")</f>
        <v>RUN-BEND_2022-02-02_RFR-025</v>
      </c>
      <c r="C302" s="7">
        <f>VLOOKUP(B302,'Run Reconcile'!A$2:B809,2,FALSE)</f>
        <v>44594</v>
      </c>
      <c r="D302" s="12">
        <f>IFERROR(__xludf.DUMMYFUNCTION("""COMPUTED_VALUE"""),44594.0)</f>
        <v>44594</v>
      </c>
      <c r="E302" s="13">
        <f>IFERROR(__xludf.DUMMYFUNCTION("""COMPUTED_VALUE"""),0.34739583333430346)</f>
        <v>0.3473958333</v>
      </c>
      <c r="F302" s="10" t="str">
        <f>IFERROR(__xludf.DUMMYFUNCTION("""COMPUTED_VALUE"""),"Negative")</f>
        <v>Negative</v>
      </c>
      <c r="G302" s="10">
        <f>IFERROR(__xludf.DUMMYFUNCTION("""COMPUTED_VALUE"""),1.0)</f>
        <v>1</v>
      </c>
    </row>
    <row r="303">
      <c r="A303" s="6" t="str">
        <f>IFERROR(__xludf.DUMMYFUNCTION("""COMPUTED_VALUE"""),"MA1161")</f>
        <v>MA1161</v>
      </c>
      <c r="B303" s="6" t="str">
        <f>IFERROR(__xludf.DUMMYFUNCTION("""COMPUTED_VALUE"""),"RUN-BEND_2022-02-02_RFR-025")</f>
        <v>RUN-BEND_2022-02-02_RFR-025</v>
      </c>
      <c r="C303" s="7">
        <f>VLOOKUP(B303,'Run Reconcile'!A$2:B809,2,FALSE)</f>
        <v>44594</v>
      </c>
      <c r="D303" s="12">
        <f>IFERROR(__xludf.DUMMYFUNCTION("""COMPUTED_VALUE"""),44594.0)</f>
        <v>44594</v>
      </c>
      <c r="E303" s="13">
        <f>IFERROR(__xludf.DUMMYFUNCTION("""COMPUTED_VALUE"""),0.35393518518685596)</f>
        <v>0.3539351852</v>
      </c>
      <c r="F303" s="10" t="str">
        <f>IFERROR(__xludf.DUMMYFUNCTION("""COMPUTED_VALUE"""),"Negative")</f>
        <v>Negative</v>
      </c>
      <c r="G303" s="10">
        <f>IFERROR(__xludf.DUMMYFUNCTION("""COMPUTED_VALUE"""),1.0)</f>
        <v>1</v>
      </c>
    </row>
    <row r="304">
      <c r="A304" s="6" t="str">
        <f>IFERROR(__xludf.DUMMYFUNCTION("""COMPUTED_VALUE"""),"MAX105")</f>
        <v>MAX105</v>
      </c>
      <c r="B304" s="6" t="str">
        <f>IFERROR(__xludf.DUMMYFUNCTION("""COMPUTED_VALUE"""),"RUN-BEND_2022-02-02_RFR-025")</f>
        <v>RUN-BEND_2022-02-02_RFR-025</v>
      </c>
      <c r="C304" s="7">
        <f>VLOOKUP(B304,'Run Reconcile'!A$2:B809,2,FALSE)</f>
        <v>44594</v>
      </c>
      <c r="D304" s="12">
        <f>IFERROR(__xludf.DUMMYFUNCTION("""COMPUTED_VALUE"""),44594.0)</f>
        <v>44594</v>
      </c>
      <c r="E304" s="13">
        <f>IFERROR(__xludf.DUMMYFUNCTION("""COMPUTED_VALUE"""),0.37511574074233067)</f>
        <v>0.3751157407</v>
      </c>
      <c r="F304" s="10" t="str">
        <f>IFERROR(__xludf.DUMMYFUNCTION("""COMPUTED_VALUE"""),"Negative")</f>
        <v>Negative</v>
      </c>
      <c r="G304" s="10">
        <f>IFERROR(__xludf.DUMMYFUNCTION("""COMPUTED_VALUE"""),1.0)</f>
        <v>1</v>
      </c>
    </row>
    <row r="305">
      <c r="A305" s="6" t="str">
        <f>IFERROR(__xludf.DUMMYFUNCTION("""COMPUTED_VALUE"""),"MAX138")</f>
        <v>MAX138</v>
      </c>
      <c r="B305" s="6" t="str">
        <f>IFERROR(__xludf.DUMMYFUNCTION("""COMPUTED_VALUE"""),"RUN-BEND_2022-02-02_RFR-025")</f>
        <v>RUN-BEND_2022-02-02_RFR-025</v>
      </c>
      <c r="C305" s="7">
        <f>VLOOKUP(B305,'Run Reconcile'!A$2:B809,2,FALSE)</f>
        <v>44594</v>
      </c>
      <c r="D305" s="12">
        <f>IFERROR(__xludf.DUMMYFUNCTION("""COMPUTED_VALUE"""),44594.0)</f>
        <v>44594</v>
      </c>
      <c r="E305" s="13">
        <f>IFERROR(__xludf.DUMMYFUNCTION("""COMPUTED_VALUE"""),0.3755555555544561)</f>
        <v>0.3755555556</v>
      </c>
      <c r="F305" s="10" t="str">
        <f>IFERROR(__xludf.DUMMYFUNCTION("""COMPUTED_VALUE"""),"Negative")</f>
        <v>Negative</v>
      </c>
      <c r="G305" s="10">
        <f>IFERROR(__xludf.DUMMYFUNCTION("""COMPUTED_VALUE"""),1.0)</f>
        <v>1</v>
      </c>
    </row>
    <row r="306">
      <c r="A306" s="6" t="str">
        <f>IFERROR(__xludf.DUMMYFUNCTION("""COMPUTED_VALUE"""),"MAX108")</f>
        <v>MAX108</v>
      </c>
      <c r="B306" s="6" t="str">
        <f>IFERROR(__xludf.DUMMYFUNCTION("""COMPUTED_VALUE"""),"RUN-BEND_2022-02-04_RFR-026")</f>
        <v>RUN-BEND_2022-02-04_RFR-026</v>
      </c>
      <c r="C306" s="7">
        <f>VLOOKUP(B306,'Run Reconcile'!A$2:B809,2,FALSE)</f>
        <v>44596</v>
      </c>
      <c r="D306" s="12">
        <f>IFERROR(__xludf.DUMMYFUNCTION("""COMPUTED_VALUE"""),44596.0)</f>
        <v>44596</v>
      </c>
      <c r="E306" s="13">
        <f>IFERROR(__xludf.DUMMYFUNCTION("""COMPUTED_VALUE"""),0.30917824073912925)</f>
        <v>0.3091782407</v>
      </c>
      <c r="F306" s="10" t="str">
        <f>IFERROR(__xludf.DUMMYFUNCTION("""COMPUTED_VALUE"""),"Negative")</f>
        <v>Negative</v>
      </c>
      <c r="G306" s="10">
        <f>IFERROR(__xludf.DUMMYFUNCTION("""COMPUTED_VALUE"""),1.0)</f>
        <v>1</v>
      </c>
    </row>
    <row r="307">
      <c r="A307" s="6" t="str">
        <f>IFERROR(__xludf.DUMMYFUNCTION("""COMPUTED_VALUE"""),"MA1257")</f>
        <v>MA1257</v>
      </c>
      <c r="B307" s="6" t="str">
        <f>IFERROR(__xludf.DUMMYFUNCTION("""COMPUTED_VALUE"""),"RUN-BEND_2022-02-04_RFR-026")</f>
        <v>RUN-BEND_2022-02-04_RFR-026</v>
      </c>
      <c r="C307" s="7">
        <f>VLOOKUP(B307,'Run Reconcile'!A$2:B809,2,FALSE)</f>
        <v>44596</v>
      </c>
      <c r="D307" s="12">
        <f>IFERROR(__xludf.DUMMYFUNCTION("""COMPUTED_VALUE"""),44596.0)</f>
        <v>44596</v>
      </c>
      <c r="E307" s="13">
        <f>IFERROR(__xludf.DUMMYFUNCTION("""COMPUTED_VALUE"""),0.3431712962956226)</f>
        <v>0.3431712963</v>
      </c>
      <c r="F307" s="10" t="str">
        <f>IFERROR(__xludf.DUMMYFUNCTION("""COMPUTED_VALUE"""),"Negative")</f>
        <v>Negative</v>
      </c>
      <c r="G307" s="10">
        <f>IFERROR(__xludf.DUMMYFUNCTION("""COMPUTED_VALUE"""),1.0)</f>
        <v>1</v>
      </c>
    </row>
    <row r="308">
      <c r="A308" s="6" t="str">
        <f>IFERROR(__xludf.DUMMYFUNCTION("""COMPUTED_VALUE"""),"MAX142")</f>
        <v>MAX142</v>
      </c>
      <c r="B308" s="6" t="str">
        <f>IFERROR(__xludf.DUMMYFUNCTION("""COMPUTED_VALUE"""),"RUN-BEND_2022-02-04_RFR-026")</f>
        <v>RUN-BEND_2022-02-04_RFR-026</v>
      </c>
      <c r="C308" s="7">
        <f>VLOOKUP(B308,'Run Reconcile'!A$2:B809,2,FALSE)</f>
        <v>44596</v>
      </c>
      <c r="D308" s="12">
        <f>IFERROR(__xludf.DUMMYFUNCTION("""COMPUTED_VALUE"""),44596.0)</f>
        <v>44596</v>
      </c>
      <c r="E308" s="13">
        <f>IFERROR(__xludf.DUMMYFUNCTION("""COMPUTED_VALUE"""),0.35187500000029104)</f>
        <v>0.351875</v>
      </c>
      <c r="F308" s="10" t="str">
        <f>IFERROR(__xludf.DUMMYFUNCTION("""COMPUTED_VALUE"""),"Negative")</f>
        <v>Negative</v>
      </c>
      <c r="G308" s="10">
        <f>IFERROR(__xludf.DUMMYFUNCTION("""COMPUTED_VALUE"""),1.0)</f>
        <v>1</v>
      </c>
    </row>
    <row r="309">
      <c r="A309" s="6" t="str">
        <f>IFERROR(__xludf.DUMMYFUNCTION("""COMPUTED_VALUE"""),"MA635")</f>
        <v>MA635</v>
      </c>
      <c r="B309" s="6" t="str">
        <f>IFERROR(__xludf.DUMMYFUNCTION("""COMPUTED_VALUE"""),"RUN-BEND_2022-02-04_RFR-026")</f>
        <v>RUN-BEND_2022-02-04_RFR-026</v>
      </c>
      <c r="C309" s="7">
        <f>VLOOKUP(B309,'Run Reconcile'!A$2:B809,2,FALSE)</f>
        <v>44596</v>
      </c>
      <c r="D309" s="12">
        <f>IFERROR(__xludf.DUMMYFUNCTION("""COMPUTED_VALUE"""),44596.0)</f>
        <v>44596</v>
      </c>
      <c r="E309" s="13">
        <f>IFERROR(__xludf.DUMMYFUNCTION("""COMPUTED_VALUE"""),0.3522569444430701)</f>
        <v>0.3522569444</v>
      </c>
      <c r="F309" s="10" t="str">
        <f>IFERROR(__xludf.DUMMYFUNCTION("""COMPUTED_VALUE"""),"Negative")</f>
        <v>Negative</v>
      </c>
      <c r="G309" s="10">
        <f>IFERROR(__xludf.DUMMYFUNCTION("""COMPUTED_VALUE"""),1.0)</f>
        <v>1</v>
      </c>
    </row>
    <row r="310">
      <c r="A310" s="6" t="str">
        <f>IFERROR(__xludf.DUMMYFUNCTION("""COMPUTED_VALUE"""),"MAX134")</f>
        <v>MAX134</v>
      </c>
      <c r="B310" s="6" t="str">
        <f>IFERROR(__xludf.DUMMYFUNCTION("""COMPUTED_VALUE"""),"RUN-BEND_2022-02-04_RFR-026")</f>
        <v>RUN-BEND_2022-02-04_RFR-026</v>
      </c>
      <c r="C310" s="7">
        <f>VLOOKUP(B310,'Run Reconcile'!A$2:B809,2,FALSE)</f>
        <v>44596</v>
      </c>
      <c r="D310" s="12">
        <f>IFERROR(__xludf.DUMMYFUNCTION("""COMPUTED_VALUE"""),44596.0)</f>
        <v>44596</v>
      </c>
      <c r="E310" s="13">
        <f>IFERROR(__xludf.DUMMYFUNCTION("""COMPUTED_VALUE"""),0.35241898148160544)</f>
        <v>0.3524189815</v>
      </c>
      <c r="F310" s="10" t="str">
        <f>IFERROR(__xludf.DUMMYFUNCTION("""COMPUTED_VALUE"""),"Negative")</f>
        <v>Negative</v>
      </c>
      <c r="G310" s="10">
        <f>IFERROR(__xludf.DUMMYFUNCTION("""COMPUTED_VALUE"""),1.0)</f>
        <v>1</v>
      </c>
    </row>
    <row r="311">
      <c r="A311" s="6" t="str">
        <f>IFERROR(__xludf.DUMMYFUNCTION("""COMPUTED_VALUE"""),"MA390")</f>
        <v>MA390</v>
      </c>
      <c r="B311" s="6" t="str">
        <f>IFERROR(__xludf.DUMMYFUNCTION("""COMPUTED_VALUE"""),"RUN-BEND_2022-02-07_RFR-027")</f>
        <v>RUN-BEND_2022-02-07_RFR-027</v>
      </c>
      <c r="C311" s="7">
        <f>VLOOKUP(B311,'Run Reconcile'!A$2:B809,2,FALSE)</f>
        <v>44599</v>
      </c>
      <c r="D311" s="12">
        <f>IFERROR(__xludf.DUMMYFUNCTION("""COMPUTED_VALUE"""),44599.0)</f>
        <v>44599</v>
      </c>
      <c r="E311" s="13">
        <f>IFERROR(__xludf.DUMMYFUNCTION("""COMPUTED_VALUE"""),0.27635416666817036)</f>
        <v>0.2763541667</v>
      </c>
      <c r="F311" s="10" t="str">
        <f>IFERROR(__xludf.DUMMYFUNCTION("""COMPUTED_VALUE"""),"Negative")</f>
        <v>Negative</v>
      </c>
      <c r="G311" s="10">
        <f>IFERROR(__xludf.DUMMYFUNCTION("""COMPUTED_VALUE"""),1.0)</f>
        <v>1</v>
      </c>
    </row>
    <row r="312">
      <c r="A312" s="6" t="str">
        <f>IFERROR(__xludf.DUMMYFUNCTION("""COMPUTED_VALUE"""),"MA368")</f>
        <v>MA368</v>
      </c>
      <c r="B312" s="6" t="str">
        <f>IFERROR(__xludf.DUMMYFUNCTION("""COMPUTED_VALUE"""),"RUN-BEND_2022-02-07_RFR-027")</f>
        <v>RUN-BEND_2022-02-07_RFR-027</v>
      </c>
      <c r="C312" s="7">
        <f>VLOOKUP(B312,'Run Reconcile'!A$2:B809,2,FALSE)</f>
        <v>44599</v>
      </c>
      <c r="D312" s="12">
        <f>IFERROR(__xludf.DUMMYFUNCTION("""COMPUTED_VALUE"""),44599.0)</f>
        <v>44599</v>
      </c>
      <c r="E312" s="13">
        <f>IFERROR(__xludf.DUMMYFUNCTION("""COMPUTED_VALUE"""),0.3005902777767915)</f>
        <v>0.3005902778</v>
      </c>
      <c r="F312" s="10" t="str">
        <f>IFERROR(__xludf.DUMMYFUNCTION("""COMPUTED_VALUE"""),"Negative")</f>
        <v>Negative</v>
      </c>
      <c r="G312" s="10">
        <f>IFERROR(__xludf.DUMMYFUNCTION("""COMPUTED_VALUE"""),1.0)</f>
        <v>1</v>
      </c>
    </row>
    <row r="313">
      <c r="A313" s="6" t="str">
        <f>IFERROR(__xludf.DUMMYFUNCTION("""COMPUTED_VALUE"""),"MA1190")</f>
        <v>MA1190</v>
      </c>
      <c r="B313" s="6" t="str">
        <f>IFERROR(__xludf.DUMMYFUNCTION("""COMPUTED_VALUE"""),"RUN-BEND_2022-02-07_RFR-027")</f>
        <v>RUN-BEND_2022-02-07_RFR-027</v>
      </c>
      <c r="C313" s="7">
        <f>VLOOKUP(B313,'Run Reconcile'!A$2:B809,2,FALSE)</f>
        <v>44599</v>
      </c>
      <c r="D313" s="12">
        <f>IFERROR(__xludf.DUMMYFUNCTION("""COMPUTED_VALUE"""),44599.0)</f>
        <v>44599</v>
      </c>
      <c r="E313" s="13">
        <f>IFERROR(__xludf.DUMMYFUNCTION("""COMPUTED_VALUE"""),0.3059143518512428)</f>
        <v>0.3059143519</v>
      </c>
      <c r="F313" s="10" t="str">
        <f>IFERROR(__xludf.DUMMYFUNCTION("""COMPUTED_VALUE"""),"Negative")</f>
        <v>Negative</v>
      </c>
      <c r="G313" s="10">
        <f>IFERROR(__xludf.DUMMYFUNCTION("""COMPUTED_VALUE"""),1.0)</f>
        <v>1</v>
      </c>
    </row>
    <row r="314">
      <c r="A314" s="6" t="str">
        <f>IFERROR(__xludf.DUMMYFUNCTION("""COMPUTED_VALUE"""),"MA1174")</f>
        <v>MA1174</v>
      </c>
      <c r="B314" s="6" t="str">
        <f>IFERROR(__xludf.DUMMYFUNCTION("""COMPUTED_VALUE"""),"RUN-BEND_2022-02-07_RFR-027")</f>
        <v>RUN-BEND_2022-02-07_RFR-027</v>
      </c>
      <c r="C314" s="7">
        <f>VLOOKUP(B314,'Run Reconcile'!A$2:B809,2,FALSE)</f>
        <v>44599</v>
      </c>
      <c r="D314" s="12">
        <f>IFERROR(__xludf.DUMMYFUNCTION("""COMPUTED_VALUE"""),44599.0)</f>
        <v>44599</v>
      </c>
      <c r="E314" s="13">
        <f>IFERROR(__xludf.DUMMYFUNCTION("""COMPUTED_VALUE"""),0.3065393518518249)</f>
        <v>0.3065393519</v>
      </c>
      <c r="F314" s="10" t="str">
        <f>IFERROR(__xludf.DUMMYFUNCTION("""COMPUTED_VALUE"""),"Negative")</f>
        <v>Negative</v>
      </c>
      <c r="G314" s="10">
        <f>IFERROR(__xludf.DUMMYFUNCTION("""COMPUTED_VALUE"""),1.0)</f>
        <v>1</v>
      </c>
    </row>
    <row r="315">
      <c r="A315" s="6" t="str">
        <f>IFERROR(__xludf.DUMMYFUNCTION("""COMPUTED_VALUE"""),"MA440")</f>
        <v>MA440</v>
      </c>
      <c r="B315" s="6" t="str">
        <f>IFERROR(__xludf.DUMMYFUNCTION("""COMPUTED_VALUE"""),"RUN-BEND_2022-02-07_RFR-027")</f>
        <v>RUN-BEND_2022-02-07_RFR-027</v>
      </c>
      <c r="C315" s="7">
        <f>VLOOKUP(B315,'Run Reconcile'!A$2:B809,2,FALSE)</f>
        <v>44599</v>
      </c>
      <c r="D315" s="12">
        <f>IFERROR(__xludf.DUMMYFUNCTION("""COMPUTED_VALUE"""),44599.0)</f>
        <v>44599</v>
      </c>
      <c r="E315" s="13">
        <f>IFERROR(__xludf.DUMMYFUNCTION("""COMPUTED_VALUE"""),0.3181365740747424)</f>
        <v>0.3181365741</v>
      </c>
      <c r="F315" s="10" t="str">
        <f>IFERROR(__xludf.DUMMYFUNCTION("""COMPUTED_VALUE"""),"Negative")</f>
        <v>Negative</v>
      </c>
      <c r="G315" s="10">
        <f>IFERROR(__xludf.DUMMYFUNCTION("""COMPUTED_VALUE"""),1.0)</f>
        <v>1</v>
      </c>
    </row>
    <row r="316">
      <c r="A316" s="6" t="str">
        <f>IFERROR(__xludf.DUMMYFUNCTION("""COMPUTED_VALUE"""),"MA959")</f>
        <v>MA959</v>
      </c>
      <c r="B316" s="6" t="str">
        <f>IFERROR(__xludf.DUMMYFUNCTION("""COMPUTED_VALUE"""),"RUN-BEND_2022-02-07_RFR-027")</f>
        <v>RUN-BEND_2022-02-07_RFR-027</v>
      </c>
      <c r="C316" s="7">
        <f>VLOOKUP(B316,'Run Reconcile'!A$2:B809,2,FALSE)</f>
        <v>44599</v>
      </c>
      <c r="D316" s="12">
        <f>IFERROR(__xludf.DUMMYFUNCTION("""COMPUTED_VALUE"""),44599.0)</f>
        <v>44599</v>
      </c>
      <c r="E316" s="13">
        <f>IFERROR(__xludf.DUMMYFUNCTION("""COMPUTED_VALUE"""),0.31884259259095415)</f>
        <v>0.3188425926</v>
      </c>
      <c r="F316" s="10" t="str">
        <f>IFERROR(__xludf.DUMMYFUNCTION("""COMPUTED_VALUE"""),"Negative")</f>
        <v>Negative</v>
      </c>
      <c r="G316" s="10">
        <f>IFERROR(__xludf.DUMMYFUNCTION("""COMPUTED_VALUE"""),1.0)</f>
        <v>1</v>
      </c>
    </row>
    <row r="317">
      <c r="A317" s="6" t="str">
        <f>IFERROR(__xludf.DUMMYFUNCTION("""COMPUTED_VALUE"""),"MA274")</f>
        <v>MA274</v>
      </c>
      <c r="B317" s="6" t="str">
        <f>IFERROR(__xludf.DUMMYFUNCTION("""COMPUTED_VALUE"""),"RUN-BEND_2022-02-07_RFR-027")</f>
        <v>RUN-BEND_2022-02-07_RFR-027</v>
      </c>
      <c r="C317" s="7">
        <f>VLOOKUP(B317,'Run Reconcile'!A$2:B809,2,FALSE)</f>
        <v>44599</v>
      </c>
      <c r="D317" s="12">
        <f>IFERROR(__xludf.DUMMYFUNCTION("""COMPUTED_VALUE"""),44599.0)</f>
        <v>44599</v>
      </c>
      <c r="E317" s="13">
        <f>IFERROR(__xludf.DUMMYFUNCTION("""COMPUTED_VALUE"""),0.3245949074080272)</f>
        <v>0.3245949074</v>
      </c>
      <c r="F317" s="10" t="str">
        <f>IFERROR(__xludf.DUMMYFUNCTION("""COMPUTED_VALUE"""),"Negative")</f>
        <v>Negative</v>
      </c>
      <c r="G317" s="10">
        <f>IFERROR(__xludf.DUMMYFUNCTION("""COMPUTED_VALUE"""),1.0)</f>
        <v>1</v>
      </c>
    </row>
    <row r="318">
      <c r="A318" s="6" t="str">
        <f>IFERROR(__xludf.DUMMYFUNCTION("""COMPUTED_VALUE"""),"MA253")</f>
        <v>MA253</v>
      </c>
      <c r="B318" s="6" t="str">
        <f>IFERROR(__xludf.DUMMYFUNCTION("""COMPUTED_VALUE"""),"RUN-BEND_2022-02-07_RFR-027")</f>
        <v>RUN-BEND_2022-02-07_RFR-027</v>
      </c>
      <c r="C318" s="7">
        <f>VLOOKUP(B318,'Run Reconcile'!A$2:B809,2,FALSE)</f>
        <v>44599</v>
      </c>
      <c r="D318" s="12">
        <f>IFERROR(__xludf.DUMMYFUNCTION("""COMPUTED_VALUE"""),44599.0)</f>
        <v>44599</v>
      </c>
      <c r="E318" s="13">
        <f>IFERROR(__xludf.DUMMYFUNCTION("""COMPUTED_VALUE"""),0.3328819444432156)</f>
        <v>0.3328819444</v>
      </c>
      <c r="F318" s="10" t="str">
        <f>IFERROR(__xludf.DUMMYFUNCTION("""COMPUTED_VALUE"""),"Positive")</f>
        <v>Positive</v>
      </c>
      <c r="G318" s="10">
        <f>IFERROR(__xludf.DUMMYFUNCTION("""COMPUTED_VALUE"""),1.0)</f>
        <v>1</v>
      </c>
    </row>
    <row r="319">
      <c r="A319" s="6" t="str">
        <f>IFERROR(__xludf.DUMMYFUNCTION("""COMPUTED_VALUE"""),"MA423")</f>
        <v>MA423</v>
      </c>
      <c r="B319" s="6" t="str">
        <f>IFERROR(__xludf.DUMMYFUNCTION("""COMPUTED_VALUE"""),"RUN-BEND_2022-02-07_RFR-027")</f>
        <v>RUN-BEND_2022-02-07_RFR-027</v>
      </c>
      <c r="C319" s="7">
        <f>VLOOKUP(B319,'Run Reconcile'!A$2:B809,2,FALSE)</f>
        <v>44599</v>
      </c>
      <c r="D319" s="12">
        <f>IFERROR(__xludf.DUMMYFUNCTION("""COMPUTED_VALUE"""),44599.0)</f>
        <v>44599</v>
      </c>
      <c r="E319" s="13">
        <f>IFERROR(__xludf.DUMMYFUNCTION("""COMPUTED_VALUE"""),0.33767361110949423)</f>
        <v>0.3376736111</v>
      </c>
      <c r="F319" s="10" t="str">
        <f>IFERROR(__xludf.DUMMYFUNCTION("""COMPUTED_VALUE"""),"Negative")</f>
        <v>Negative</v>
      </c>
      <c r="G319" s="10">
        <f>IFERROR(__xludf.DUMMYFUNCTION("""COMPUTED_VALUE"""),1.0)</f>
        <v>1</v>
      </c>
    </row>
    <row r="320">
      <c r="A320" s="6" t="str">
        <f>IFERROR(__xludf.DUMMYFUNCTION("""COMPUTED_VALUE"""),"MA1229")</f>
        <v>MA1229</v>
      </c>
      <c r="B320" s="6" t="str">
        <f>IFERROR(__xludf.DUMMYFUNCTION("""COMPUTED_VALUE"""),"RUN-BEND_2022-02-07_RFR-027")</f>
        <v>RUN-BEND_2022-02-07_RFR-027</v>
      </c>
      <c r="C320" s="7">
        <f>VLOOKUP(B320,'Run Reconcile'!A$2:B809,2,FALSE)</f>
        <v>44599</v>
      </c>
      <c r="D320" s="12">
        <f>IFERROR(__xludf.DUMMYFUNCTION("""COMPUTED_VALUE"""),44599.0)</f>
        <v>44599</v>
      </c>
      <c r="E320" s="13">
        <f>IFERROR(__xludf.DUMMYFUNCTION("""COMPUTED_VALUE"""),0.34703703703780775)</f>
        <v>0.347037037</v>
      </c>
      <c r="F320" s="10" t="str">
        <f>IFERROR(__xludf.DUMMYFUNCTION("""COMPUTED_VALUE"""),"Negative")</f>
        <v>Negative</v>
      </c>
      <c r="G320" s="10">
        <f>IFERROR(__xludf.DUMMYFUNCTION("""COMPUTED_VALUE"""),1.0)</f>
        <v>1</v>
      </c>
    </row>
    <row r="321">
      <c r="A321" s="6" t="str">
        <f>IFERROR(__xludf.DUMMYFUNCTION("""COMPUTED_VALUE"""),"MA424")</f>
        <v>MA424</v>
      </c>
      <c r="B321" s="6" t="str">
        <f>IFERROR(__xludf.DUMMYFUNCTION("""COMPUTED_VALUE"""),"RUN-BEND_2022-02-07_RFR-027")</f>
        <v>RUN-BEND_2022-02-07_RFR-027</v>
      </c>
      <c r="C321" s="7">
        <f>VLOOKUP(B321,'Run Reconcile'!A$2:B809,2,FALSE)</f>
        <v>44599</v>
      </c>
      <c r="D321" s="12">
        <f>IFERROR(__xludf.DUMMYFUNCTION("""COMPUTED_VALUE"""),44599.0)</f>
        <v>44599</v>
      </c>
      <c r="E321" s="13">
        <f>IFERROR(__xludf.DUMMYFUNCTION("""COMPUTED_VALUE"""),0.4626388888900692)</f>
        <v>0.4626388889</v>
      </c>
      <c r="F321" s="10" t="str">
        <f>IFERROR(__xludf.DUMMYFUNCTION("""COMPUTED_VALUE"""),"Negative")</f>
        <v>Negative</v>
      </c>
      <c r="G321" s="10">
        <f>IFERROR(__xludf.DUMMYFUNCTION("""COMPUTED_VALUE"""),1.0)</f>
        <v>1</v>
      </c>
    </row>
    <row r="322">
      <c r="A322" s="6" t="str">
        <f>IFERROR(__xludf.DUMMYFUNCTION("""COMPUTED_VALUE"""),"MA659")</f>
        <v>MA659</v>
      </c>
      <c r="B322" s="6" t="str">
        <f>IFERROR(__xludf.DUMMYFUNCTION("""COMPUTED_VALUE"""),"RUN-BEND_2022-02-07_RFR-027")</f>
        <v>RUN-BEND_2022-02-07_RFR-027</v>
      </c>
      <c r="C322" s="7">
        <f>VLOOKUP(B322,'Run Reconcile'!A$2:B809,2,FALSE)</f>
        <v>44599</v>
      </c>
      <c r="D322" s="12">
        <f>IFERROR(__xludf.DUMMYFUNCTION("""COMPUTED_VALUE"""),44599.0)</f>
        <v>44599</v>
      </c>
      <c r="E322" s="13">
        <f>IFERROR(__xludf.DUMMYFUNCTION("""COMPUTED_VALUE"""),0.4630439814827696)</f>
        <v>0.4630439815</v>
      </c>
      <c r="F322" s="10" t="str">
        <f>IFERROR(__xludf.DUMMYFUNCTION("""COMPUTED_VALUE"""),"Negative")</f>
        <v>Negative</v>
      </c>
      <c r="G322" s="10">
        <f>IFERROR(__xludf.DUMMYFUNCTION("""COMPUTED_VALUE"""),1.0)</f>
        <v>1</v>
      </c>
    </row>
    <row r="323">
      <c r="A323" s="6" t="str">
        <f>IFERROR(__xludf.DUMMYFUNCTION("""COMPUTED_VALUE"""),"MA426")</f>
        <v>MA426</v>
      </c>
      <c r="B323" s="6" t="str">
        <f>IFERROR(__xludf.DUMMYFUNCTION("""COMPUTED_VALUE"""),"RUN-BEND_2022-02-07_RFR-027")</f>
        <v>RUN-BEND_2022-02-07_RFR-027</v>
      </c>
      <c r="C323" s="7">
        <f>VLOOKUP(B323,'Run Reconcile'!A$2:B809,2,FALSE)</f>
        <v>44599</v>
      </c>
      <c r="D323" s="12">
        <f>IFERROR(__xludf.DUMMYFUNCTION("""COMPUTED_VALUE"""),44599.0)</f>
        <v>44599</v>
      </c>
      <c r="E323" s="13">
        <f>IFERROR(__xludf.DUMMYFUNCTION("""COMPUTED_VALUE"""),0.47069444444423425)</f>
        <v>0.4706944444</v>
      </c>
      <c r="F323" s="10" t="str">
        <f>IFERROR(__xludf.DUMMYFUNCTION("""COMPUTED_VALUE"""),"Negative")</f>
        <v>Negative</v>
      </c>
      <c r="G323" s="10">
        <f>IFERROR(__xludf.DUMMYFUNCTION("""COMPUTED_VALUE"""),1.0)</f>
        <v>1</v>
      </c>
    </row>
    <row r="324">
      <c r="A324" s="6" t="str">
        <f>IFERROR(__xludf.DUMMYFUNCTION("""COMPUTED_VALUE"""),"FM501")</f>
        <v>FM501</v>
      </c>
      <c r="B324" s="6" t="str">
        <f>IFERROR(__xludf.DUMMYFUNCTION("""COMPUTED_VALUE"""),"RUN-BEND_2022-02-09_RFR-028")</f>
        <v>RUN-BEND_2022-02-09_RFR-028</v>
      </c>
      <c r="C324" s="7">
        <f>VLOOKUP(B324,'Run Reconcile'!A$2:B809,2,FALSE)</f>
        <v>44601</v>
      </c>
      <c r="D324" s="12">
        <f>IFERROR(__xludf.DUMMYFUNCTION("""COMPUTED_VALUE"""),44601.0)</f>
        <v>44601</v>
      </c>
      <c r="E324" s="13">
        <f>IFERROR(__xludf.DUMMYFUNCTION("""COMPUTED_VALUE"""),0.26310185185138835)</f>
        <v>0.2631018519</v>
      </c>
      <c r="F324" s="10" t="str">
        <f>IFERROR(__xludf.DUMMYFUNCTION("""COMPUTED_VALUE"""),"Negative")</f>
        <v>Negative</v>
      </c>
      <c r="G324" s="10">
        <f>IFERROR(__xludf.DUMMYFUNCTION("""COMPUTED_VALUE"""),1.0)</f>
        <v>1</v>
      </c>
    </row>
    <row r="325">
      <c r="A325" s="6" t="str">
        <f>IFERROR(__xludf.DUMMYFUNCTION("""COMPUTED_VALUE"""),"FM431")</f>
        <v>FM431</v>
      </c>
      <c r="B325" s="6" t="str">
        <f>IFERROR(__xludf.DUMMYFUNCTION("""COMPUTED_VALUE"""),"RUN-BEND_2022-02-09_RFR-028")</f>
        <v>RUN-BEND_2022-02-09_RFR-028</v>
      </c>
      <c r="C325" s="7">
        <f>VLOOKUP(B325,'Run Reconcile'!A$2:B809,2,FALSE)</f>
        <v>44601</v>
      </c>
      <c r="D325" s="12">
        <f>IFERROR(__xludf.DUMMYFUNCTION("""COMPUTED_VALUE"""),44601.0)</f>
        <v>44601</v>
      </c>
      <c r="E325" s="13">
        <f>IFERROR(__xludf.DUMMYFUNCTION("""COMPUTED_VALUE"""),0.26346064814788406)</f>
        <v>0.2634606481</v>
      </c>
      <c r="F325" s="10" t="str">
        <f>IFERROR(__xludf.DUMMYFUNCTION("""COMPUTED_VALUE"""),"Positive")</f>
        <v>Positive</v>
      </c>
      <c r="G325" s="10">
        <f>IFERROR(__xludf.DUMMYFUNCTION("""COMPUTED_VALUE"""),1.0)</f>
        <v>1</v>
      </c>
    </row>
    <row r="326">
      <c r="A326" s="6" t="str">
        <f>IFERROR(__xludf.DUMMYFUNCTION("""COMPUTED_VALUE"""),"MAX60")</f>
        <v>MAX60</v>
      </c>
      <c r="B326" s="6" t="str">
        <f>IFERROR(__xludf.DUMMYFUNCTION("""COMPUTED_VALUE"""),"RUN-BEND_2022-02-09_RFR-028")</f>
        <v>RUN-BEND_2022-02-09_RFR-028</v>
      </c>
      <c r="C326" s="7">
        <f>VLOOKUP(B326,'Run Reconcile'!A$2:B809,2,FALSE)</f>
        <v>44601</v>
      </c>
      <c r="D326" s="12">
        <f>IFERROR(__xludf.DUMMYFUNCTION("""COMPUTED_VALUE"""),44601.0)</f>
        <v>44601</v>
      </c>
      <c r="E326" s="13">
        <f>IFERROR(__xludf.DUMMYFUNCTION("""COMPUTED_VALUE"""),0.3012037037042319)</f>
        <v>0.3012037037</v>
      </c>
      <c r="F326" s="10" t="str">
        <f>IFERROR(__xludf.DUMMYFUNCTION("""COMPUTED_VALUE"""),"Negative")</f>
        <v>Negative</v>
      </c>
      <c r="G326" s="10">
        <f>IFERROR(__xludf.DUMMYFUNCTION("""COMPUTED_VALUE"""),1.0)</f>
        <v>1</v>
      </c>
    </row>
    <row r="327">
      <c r="A327" s="6" t="str">
        <f>IFERROR(__xludf.DUMMYFUNCTION("""COMPUTED_VALUE"""),"MAX132")</f>
        <v>MAX132</v>
      </c>
      <c r="B327" s="6" t="str">
        <f>IFERROR(__xludf.DUMMYFUNCTION("""COMPUTED_VALUE"""),"RUN-BEND_2022-02-09_RFR-028")</f>
        <v>RUN-BEND_2022-02-09_RFR-028</v>
      </c>
      <c r="C327" s="7">
        <f>VLOOKUP(B327,'Run Reconcile'!A$2:B809,2,FALSE)</f>
        <v>44601</v>
      </c>
      <c r="D327" s="12">
        <f>IFERROR(__xludf.DUMMYFUNCTION("""COMPUTED_VALUE"""),44601.0)</f>
        <v>44601</v>
      </c>
      <c r="E327" s="13">
        <f>IFERROR(__xludf.DUMMYFUNCTION("""COMPUTED_VALUE"""),0.30150462963138125)</f>
        <v>0.3015046296</v>
      </c>
      <c r="F327" s="10" t="str">
        <f>IFERROR(__xludf.DUMMYFUNCTION("""COMPUTED_VALUE"""),"Negative")</f>
        <v>Negative</v>
      </c>
      <c r="G327" s="10">
        <f>IFERROR(__xludf.DUMMYFUNCTION("""COMPUTED_VALUE"""),1.0)</f>
        <v>1</v>
      </c>
    </row>
    <row r="328">
      <c r="A328" s="6" t="str">
        <f>IFERROR(__xludf.DUMMYFUNCTION("""COMPUTED_VALUE"""),"FM87")</f>
        <v>FM87</v>
      </c>
      <c r="B328" s="6" t="str">
        <f>IFERROR(__xludf.DUMMYFUNCTION("""COMPUTED_VALUE"""),"RUN-BEND_2022-02-09_RFR-028")</f>
        <v>RUN-BEND_2022-02-09_RFR-028</v>
      </c>
      <c r="C328" s="7">
        <f>VLOOKUP(B328,'Run Reconcile'!A$2:B809,2,FALSE)</f>
        <v>44601</v>
      </c>
      <c r="D328" s="12">
        <f>IFERROR(__xludf.DUMMYFUNCTION("""COMPUTED_VALUE"""),44601.0)</f>
        <v>44601</v>
      </c>
      <c r="E328" s="13">
        <f>IFERROR(__xludf.DUMMYFUNCTION("""COMPUTED_VALUE"""),0.3118171296300716)</f>
        <v>0.3118171296</v>
      </c>
      <c r="F328" s="10" t="str">
        <f>IFERROR(__xludf.DUMMYFUNCTION("""COMPUTED_VALUE"""),"Negative")</f>
        <v>Negative</v>
      </c>
      <c r="G328" s="10">
        <f>IFERROR(__xludf.DUMMYFUNCTION("""COMPUTED_VALUE"""),1.0)</f>
        <v>1</v>
      </c>
    </row>
    <row r="329">
      <c r="A329" s="6" t="str">
        <f>IFERROR(__xludf.DUMMYFUNCTION("""COMPUTED_VALUE"""),"MA252")</f>
        <v>MA252</v>
      </c>
      <c r="B329" s="6" t="str">
        <f>IFERROR(__xludf.DUMMYFUNCTION("""COMPUTED_VALUE"""),"RUN-BEND_2022-02-09_RFR-028")</f>
        <v>RUN-BEND_2022-02-09_RFR-028</v>
      </c>
      <c r="C329" s="7">
        <f>VLOOKUP(B329,'Run Reconcile'!A$2:B809,2,FALSE)</f>
        <v>44601</v>
      </c>
      <c r="D329" s="12">
        <f>IFERROR(__xludf.DUMMYFUNCTION("""COMPUTED_VALUE"""),44601.0)</f>
        <v>44601</v>
      </c>
      <c r="E329" s="13">
        <f>IFERROR(__xludf.DUMMYFUNCTION("""COMPUTED_VALUE"""),0.3174074074086093)</f>
        <v>0.3174074074</v>
      </c>
      <c r="F329" s="10" t="str">
        <f>IFERROR(__xludf.DUMMYFUNCTION("""COMPUTED_VALUE"""),"Negative")</f>
        <v>Negative</v>
      </c>
      <c r="G329" s="10">
        <f>IFERROR(__xludf.DUMMYFUNCTION("""COMPUTED_VALUE"""),1.0)</f>
        <v>1</v>
      </c>
    </row>
    <row r="330">
      <c r="A330" s="6" t="str">
        <f>IFERROR(__xludf.DUMMYFUNCTION("""COMPUTED_VALUE"""),"MAX124")</f>
        <v>MAX124</v>
      </c>
      <c r="B330" s="6" t="str">
        <f>IFERROR(__xludf.DUMMYFUNCTION("""COMPUTED_VALUE"""),"RUN-BEND_2022-02-09_RFR-028")</f>
        <v>RUN-BEND_2022-02-09_RFR-028</v>
      </c>
      <c r="C330" s="7">
        <f>VLOOKUP(B330,'Run Reconcile'!A$2:B809,2,FALSE)</f>
        <v>44601</v>
      </c>
      <c r="D330" s="12">
        <f>IFERROR(__xludf.DUMMYFUNCTION("""COMPUTED_VALUE"""),44601.0)</f>
        <v>44601</v>
      </c>
      <c r="E330" s="13">
        <f>IFERROR(__xludf.DUMMYFUNCTION("""COMPUTED_VALUE"""),0.3438310185192677)</f>
        <v>0.3438310185</v>
      </c>
      <c r="F330" s="10" t="str">
        <f>IFERROR(__xludf.DUMMYFUNCTION("""COMPUTED_VALUE"""),"Negative")</f>
        <v>Negative</v>
      </c>
      <c r="G330" s="10">
        <f>IFERROR(__xludf.DUMMYFUNCTION("""COMPUTED_VALUE"""),1.0)</f>
        <v>1</v>
      </c>
    </row>
    <row r="331">
      <c r="A331" s="6" t="str">
        <f>IFERROR(__xludf.DUMMYFUNCTION("""COMPUTED_VALUE"""),"MAX12")</f>
        <v>MAX12</v>
      </c>
      <c r="B331" s="6" t="str">
        <f>IFERROR(__xludf.DUMMYFUNCTION("""COMPUTED_VALUE"""),"RUN-BEND_2022-02-09_RFR-028")</f>
        <v>RUN-BEND_2022-02-09_RFR-028</v>
      </c>
      <c r="C331" s="7">
        <f>VLOOKUP(B331,'Run Reconcile'!A$2:B809,2,FALSE)</f>
        <v>44601</v>
      </c>
      <c r="D331" s="12">
        <f>IFERROR(__xludf.DUMMYFUNCTION("""COMPUTED_VALUE"""),44601.0)</f>
        <v>44601</v>
      </c>
      <c r="E331" s="13">
        <f>IFERROR(__xludf.DUMMYFUNCTION("""COMPUTED_VALUE"""),0.34442129629678675)</f>
        <v>0.3444212963</v>
      </c>
      <c r="F331" s="10" t="str">
        <f>IFERROR(__xludf.DUMMYFUNCTION("""COMPUTED_VALUE"""),"Negative")</f>
        <v>Negative</v>
      </c>
      <c r="G331" s="10">
        <f>IFERROR(__xludf.DUMMYFUNCTION("""COMPUTED_VALUE"""),1.0)</f>
        <v>1</v>
      </c>
    </row>
    <row r="332">
      <c r="A332" s="6" t="str">
        <f>IFERROR(__xludf.DUMMYFUNCTION("""COMPUTED_VALUE"""),"MAX116")</f>
        <v>MAX116</v>
      </c>
      <c r="B332" s="6" t="str">
        <f>IFERROR(__xludf.DUMMYFUNCTION("""COMPUTED_VALUE"""),"RUN-BEND_2022-02-09_RFR-028")</f>
        <v>RUN-BEND_2022-02-09_RFR-028</v>
      </c>
      <c r="C332" s="7">
        <f>VLOOKUP(B332,'Run Reconcile'!A$2:B809,2,FALSE)</f>
        <v>44601</v>
      </c>
      <c r="D332" s="12">
        <f>IFERROR(__xludf.DUMMYFUNCTION("""COMPUTED_VALUE"""),44601.0)</f>
        <v>44601</v>
      </c>
      <c r="E332" s="13">
        <f>IFERROR(__xludf.DUMMYFUNCTION("""COMPUTED_VALUE"""),0.3448726851856918)</f>
        <v>0.3448726852</v>
      </c>
      <c r="F332" s="10" t="str">
        <f>IFERROR(__xludf.DUMMYFUNCTION("""COMPUTED_VALUE"""),"Negative")</f>
        <v>Negative</v>
      </c>
      <c r="G332" s="10">
        <f>IFERROR(__xludf.DUMMYFUNCTION("""COMPUTED_VALUE"""),1.0)</f>
        <v>1</v>
      </c>
    </row>
    <row r="333">
      <c r="A333" s="6" t="str">
        <f>IFERROR(__xludf.DUMMYFUNCTION("""COMPUTED_VALUE"""),"MAX67")</f>
        <v>MAX67</v>
      </c>
      <c r="B333" s="6" t="str">
        <f>IFERROR(__xludf.DUMMYFUNCTION("""COMPUTED_VALUE"""),"RUN-BEND_2022-02-09_RFR-028")</f>
        <v>RUN-BEND_2022-02-09_RFR-028</v>
      </c>
      <c r="C333" s="7">
        <f>VLOOKUP(B333,'Run Reconcile'!A$2:B809,2,FALSE)</f>
        <v>44601</v>
      </c>
      <c r="D333" s="12">
        <f>IFERROR(__xludf.DUMMYFUNCTION("""COMPUTED_VALUE"""),44601.0)</f>
        <v>44601</v>
      </c>
      <c r="E333" s="13">
        <f>IFERROR(__xludf.DUMMYFUNCTION("""COMPUTED_VALUE"""),0.3454629629632109)</f>
        <v>0.345462963</v>
      </c>
      <c r="F333" s="10" t="str">
        <f>IFERROR(__xludf.DUMMYFUNCTION("""COMPUTED_VALUE"""),"Negative")</f>
        <v>Negative</v>
      </c>
      <c r="G333" s="10">
        <f>IFERROR(__xludf.DUMMYFUNCTION("""COMPUTED_VALUE"""),1.0)</f>
        <v>1</v>
      </c>
    </row>
    <row r="334">
      <c r="A334" s="6" t="str">
        <f>IFERROR(__xludf.DUMMYFUNCTION("""COMPUTED_VALUE"""),"MAX75")</f>
        <v>MAX75</v>
      </c>
      <c r="B334" s="6" t="str">
        <f>IFERROR(__xludf.DUMMYFUNCTION("""COMPUTED_VALUE"""),"RUN-BEND_2022-02-09_RFR-028")</f>
        <v>RUN-BEND_2022-02-09_RFR-028</v>
      </c>
      <c r="C334" s="7">
        <f>VLOOKUP(B334,'Run Reconcile'!A$2:B809,2,FALSE)</f>
        <v>44601</v>
      </c>
      <c r="D334" s="12">
        <f>IFERROR(__xludf.DUMMYFUNCTION("""COMPUTED_VALUE"""),44601.0)</f>
        <v>44601</v>
      </c>
      <c r="E334" s="13">
        <f>IFERROR(__xludf.DUMMYFUNCTION("""COMPUTED_VALUE"""),0.3457870370366436)</f>
        <v>0.345787037</v>
      </c>
      <c r="F334" s="10" t="str">
        <f>IFERROR(__xludf.DUMMYFUNCTION("""COMPUTED_VALUE"""),"Negative")</f>
        <v>Negative</v>
      </c>
      <c r="G334" s="10">
        <f>IFERROR(__xludf.DUMMYFUNCTION("""COMPUTED_VALUE"""),1.0)</f>
        <v>1</v>
      </c>
    </row>
    <row r="335">
      <c r="A335" s="6" t="str">
        <f>IFERROR(__xludf.DUMMYFUNCTION("""COMPUTED_VALUE"""),"MAX131")</f>
        <v>MAX131</v>
      </c>
      <c r="B335" s="6" t="str">
        <f>IFERROR(__xludf.DUMMYFUNCTION("""COMPUTED_VALUE"""),"RUN-BEND_2022-02-09_RFR-028")</f>
        <v>RUN-BEND_2022-02-09_RFR-028</v>
      </c>
      <c r="C335" s="7">
        <f>VLOOKUP(B335,'Run Reconcile'!A$2:B809,2,FALSE)</f>
        <v>44601</v>
      </c>
      <c r="D335" s="12">
        <f>IFERROR(__xludf.DUMMYFUNCTION("""COMPUTED_VALUE"""),44601.0)</f>
        <v>44601</v>
      </c>
      <c r="E335" s="13">
        <f>IFERROR(__xludf.DUMMYFUNCTION("""COMPUTED_VALUE"""),0.346192129629344)</f>
        <v>0.3461921296</v>
      </c>
      <c r="F335" s="10" t="str">
        <f>IFERROR(__xludf.DUMMYFUNCTION("""COMPUTED_VALUE"""),"Negative")</f>
        <v>Negative</v>
      </c>
      <c r="G335" s="10">
        <f>IFERROR(__xludf.DUMMYFUNCTION("""COMPUTED_VALUE"""),1.0)</f>
        <v>1</v>
      </c>
    </row>
    <row r="336">
      <c r="A336" s="6" t="str">
        <f>IFERROR(__xludf.DUMMYFUNCTION("""COMPUTED_VALUE"""),"MAX120")</f>
        <v>MAX120</v>
      </c>
      <c r="B336" s="6" t="str">
        <f>IFERROR(__xludf.DUMMYFUNCTION("""COMPUTED_VALUE"""),"RUN-BEND_2022-02-09_RFR-028")</f>
        <v>RUN-BEND_2022-02-09_RFR-028</v>
      </c>
      <c r="C336" s="7">
        <f>VLOOKUP(B336,'Run Reconcile'!A$2:B809,2,FALSE)</f>
        <v>44601</v>
      </c>
      <c r="D336" s="12">
        <f>IFERROR(__xludf.DUMMYFUNCTION("""COMPUTED_VALUE"""),44601.0)</f>
        <v>44601</v>
      </c>
      <c r="E336" s="13">
        <f>IFERROR(__xludf.DUMMYFUNCTION("""COMPUTED_VALUE"""),0.39089120370408637)</f>
        <v>0.3908912037</v>
      </c>
      <c r="F336" s="10" t="str">
        <f>IFERROR(__xludf.DUMMYFUNCTION("""COMPUTED_VALUE"""),"Negative")</f>
        <v>Negative</v>
      </c>
      <c r="G336" s="10">
        <f>IFERROR(__xludf.DUMMYFUNCTION("""COMPUTED_VALUE"""),1.0)</f>
        <v>1</v>
      </c>
    </row>
    <row r="337">
      <c r="A337" s="6" t="str">
        <f>IFERROR(__xludf.DUMMYFUNCTION("""COMPUTED_VALUE"""),"MA1490")</f>
        <v>MA1490</v>
      </c>
      <c r="B337" s="6" t="str">
        <f>IFERROR(__xludf.DUMMYFUNCTION("""COMPUTED_VALUE"""),"RUN-BEND_2022-02-09_RFR-028")</f>
        <v>RUN-BEND_2022-02-09_RFR-028</v>
      </c>
      <c r="C337" s="7">
        <f>VLOOKUP(B337,'Run Reconcile'!A$2:B809,2,FALSE)</f>
        <v>44601</v>
      </c>
      <c r="D337" s="12">
        <f>IFERROR(__xludf.DUMMYFUNCTION("""COMPUTED_VALUE"""),44601.0)</f>
        <v>44601</v>
      </c>
      <c r="E337" s="13">
        <f>IFERROR(__xludf.DUMMYFUNCTION("""COMPUTED_VALUE"""),0.3924884259249666)</f>
        <v>0.3924884259</v>
      </c>
      <c r="F337" s="10" t="str">
        <f>IFERROR(__xludf.DUMMYFUNCTION("""COMPUTED_VALUE"""),"Negative")</f>
        <v>Negative</v>
      </c>
      <c r="G337" s="10">
        <f>IFERROR(__xludf.DUMMYFUNCTION("""COMPUTED_VALUE"""),1.0)</f>
        <v>1</v>
      </c>
    </row>
    <row r="338">
      <c r="A338" s="6" t="str">
        <f>IFERROR(__xludf.DUMMYFUNCTION("""COMPUTED_VALUE"""),"MA203")</f>
        <v>MA203</v>
      </c>
      <c r="B338" s="6" t="str">
        <f>IFERROR(__xludf.DUMMYFUNCTION("""COMPUTED_VALUE"""),"RUN-BEND_2022-02-11_RFR-030")</f>
        <v>RUN-BEND_2022-02-11_RFR-030</v>
      </c>
      <c r="C338" s="7">
        <f>VLOOKUP(B338,'Run Reconcile'!A$2:B809,2,FALSE)</f>
        <v>44603</v>
      </c>
      <c r="D338" s="12">
        <f>IFERROR(__xludf.DUMMYFUNCTION("""COMPUTED_VALUE"""),44603.0)</f>
        <v>44603</v>
      </c>
      <c r="E338" s="13">
        <f>IFERROR(__xludf.DUMMYFUNCTION("""COMPUTED_VALUE"""),0.28810185185284354)</f>
        <v>0.2881018519</v>
      </c>
      <c r="F338" s="10" t="str">
        <f>IFERROR(__xludf.DUMMYFUNCTION("""COMPUTED_VALUE"""),"Negative")</f>
        <v>Negative</v>
      </c>
      <c r="G338" s="10">
        <f>IFERROR(__xludf.DUMMYFUNCTION("""COMPUTED_VALUE"""),1.0)</f>
        <v>1</v>
      </c>
    </row>
    <row r="339">
      <c r="A339" s="6" t="str">
        <f>IFERROR(__xludf.DUMMYFUNCTION("""COMPUTED_VALUE"""),"FM804")</f>
        <v>FM804</v>
      </c>
      <c r="B339" s="6" t="str">
        <f>IFERROR(__xludf.DUMMYFUNCTION("""COMPUTED_VALUE"""),"RUN-BEND_2022-02-11_RFR-030")</f>
        <v>RUN-BEND_2022-02-11_RFR-030</v>
      </c>
      <c r="C339" s="7">
        <f>VLOOKUP(B339,'Run Reconcile'!A$2:B809,2,FALSE)</f>
        <v>44603</v>
      </c>
      <c r="D339" s="12">
        <f>IFERROR(__xludf.DUMMYFUNCTION("""COMPUTED_VALUE"""),44603.0)</f>
        <v>44603</v>
      </c>
      <c r="E339" s="13">
        <f>IFERROR(__xludf.DUMMYFUNCTION("""COMPUTED_VALUE"""),0.31517361111036735)</f>
        <v>0.3151736111</v>
      </c>
      <c r="F339" s="10" t="str">
        <f>IFERROR(__xludf.DUMMYFUNCTION("""COMPUTED_VALUE"""),"Negative")</f>
        <v>Negative</v>
      </c>
      <c r="G339" s="10">
        <f>IFERROR(__xludf.DUMMYFUNCTION("""COMPUTED_VALUE"""),1.0)</f>
        <v>1</v>
      </c>
    </row>
    <row r="340">
      <c r="A340" s="6" t="str">
        <f>IFERROR(__xludf.DUMMYFUNCTION("""COMPUTED_VALUE"""),"MA1233")</f>
        <v>MA1233</v>
      </c>
      <c r="B340" s="6" t="str">
        <f>IFERROR(__xludf.DUMMYFUNCTION("""COMPUTED_VALUE"""),"RUN-BEND_2022-02-11_RFR-030")</f>
        <v>RUN-BEND_2022-02-11_RFR-030</v>
      </c>
      <c r="C340" s="7">
        <f>VLOOKUP(B340,'Run Reconcile'!A$2:B809,2,FALSE)</f>
        <v>44603</v>
      </c>
      <c r="D340" s="12">
        <f>IFERROR(__xludf.DUMMYFUNCTION("""COMPUTED_VALUE"""),44603.0)</f>
        <v>44603</v>
      </c>
      <c r="E340" s="13">
        <f>IFERROR(__xludf.DUMMYFUNCTION("""COMPUTED_VALUE"""),0.3179861111093487)</f>
        <v>0.3179861111</v>
      </c>
      <c r="F340" s="10" t="str">
        <f>IFERROR(__xludf.DUMMYFUNCTION("""COMPUTED_VALUE"""),"Negative")</f>
        <v>Negative</v>
      </c>
      <c r="G340" s="10">
        <f>IFERROR(__xludf.DUMMYFUNCTION("""COMPUTED_VALUE"""),1.0)</f>
        <v>1</v>
      </c>
    </row>
    <row r="341">
      <c r="A341" s="6" t="str">
        <f>IFERROR(__xludf.DUMMYFUNCTION("""COMPUTED_VALUE"""),"FM90")</f>
        <v>FM90</v>
      </c>
      <c r="B341" s="6" t="str">
        <f>IFERROR(__xludf.DUMMYFUNCTION("""COMPUTED_VALUE"""),"RUN-BEND_2022-02-11_RFR-030")</f>
        <v>RUN-BEND_2022-02-11_RFR-030</v>
      </c>
      <c r="C341" s="7">
        <f>VLOOKUP(B341,'Run Reconcile'!A$2:B809,2,FALSE)</f>
        <v>44603</v>
      </c>
      <c r="D341" s="12">
        <f>IFERROR(__xludf.DUMMYFUNCTION("""COMPUTED_VALUE"""),44603.0)</f>
        <v>44603</v>
      </c>
      <c r="E341" s="13">
        <f>IFERROR(__xludf.DUMMYFUNCTION("""COMPUTED_VALUE"""),0.31909722222189885)</f>
        <v>0.3190972222</v>
      </c>
      <c r="F341" s="10" t="str">
        <f>IFERROR(__xludf.DUMMYFUNCTION("""COMPUTED_VALUE"""),"Negative")</f>
        <v>Negative</v>
      </c>
      <c r="G341" s="10">
        <f>IFERROR(__xludf.DUMMYFUNCTION("""COMPUTED_VALUE"""),1.0)</f>
        <v>1</v>
      </c>
    </row>
    <row r="342">
      <c r="A342" s="6" t="str">
        <f>IFERROR(__xludf.DUMMYFUNCTION("""COMPUTED_VALUE"""),"FM71")</f>
        <v>FM71</v>
      </c>
      <c r="B342" s="6" t="str">
        <f>IFERROR(__xludf.DUMMYFUNCTION("""COMPUTED_VALUE"""),"RUN-BEND_2022-02-11_RFR-030")</f>
        <v>RUN-BEND_2022-02-11_RFR-030</v>
      </c>
      <c r="C342" s="7">
        <f>VLOOKUP(B342,'Run Reconcile'!A$2:B809,2,FALSE)</f>
        <v>44603</v>
      </c>
      <c r="D342" s="12">
        <f>IFERROR(__xludf.DUMMYFUNCTION("""COMPUTED_VALUE"""),44603.0)</f>
        <v>44603</v>
      </c>
      <c r="E342" s="13">
        <f>IFERROR(__xludf.DUMMYFUNCTION("""COMPUTED_VALUE"""),0.3376851851862739)</f>
        <v>0.3376851852</v>
      </c>
      <c r="F342" s="10" t="str">
        <f>IFERROR(__xludf.DUMMYFUNCTION("""COMPUTED_VALUE"""),"Negative")</f>
        <v>Negative</v>
      </c>
      <c r="G342" s="10">
        <f>IFERROR(__xludf.DUMMYFUNCTION("""COMPUTED_VALUE"""),1.0)</f>
        <v>1</v>
      </c>
    </row>
    <row r="343">
      <c r="A343" s="6" t="str">
        <f>IFERROR(__xludf.DUMMYFUNCTION("""COMPUTED_VALUE"""),"MA632")</f>
        <v>MA632</v>
      </c>
      <c r="B343" s="6" t="str">
        <f>IFERROR(__xludf.DUMMYFUNCTION("""COMPUTED_VALUE"""),"RUN-BEND_2022-02-11_RFR-030")</f>
        <v>RUN-BEND_2022-02-11_RFR-030</v>
      </c>
      <c r="C343" s="7">
        <f>VLOOKUP(B343,'Run Reconcile'!A$2:B809,2,FALSE)</f>
        <v>44603</v>
      </c>
      <c r="D343" s="12">
        <f>IFERROR(__xludf.DUMMYFUNCTION("""COMPUTED_VALUE"""),44603.0)</f>
        <v>44603</v>
      </c>
      <c r="E343" s="13">
        <f>IFERROR(__xludf.DUMMYFUNCTION("""COMPUTED_VALUE"""),0.33915509259168175)</f>
        <v>0.3391550926</v>
      </c>
      <c r="F343" s="10" t="str">
        <f>IFERROR(__xludf.DUMMYFUNCTION("""COMPUTED_VALUE"""),"Positive")</f>
        <v>Positive</v>
      </c>
      <c r="G343" s="10">
        <f>IFERROR(__xludf.DUMMYFUNCTION("""COMPUTED_VALUE"""),1.0)</f>
        <v>1</v>
      </c>
    </row>
    <row r="344">
      <c r="A344" s="6" t="str">
        <f>IFERROR(__xludf.DUMMYFUNCTION("""COMPUTED_VALUE"""),"MA620")</f>
        <v>MA620</v>
      </c>
      <c r="B344" s="6" t="str">
        <f>IFERROR(__xludf.DUMMYFUNCTION("""COMPUTED_VALUE"""),"RUN-BEND_2022-02-11_RFR-030")</f>
        <v>RUN-BEND_2022-02-11_RFR-030</v>
      </c>
      <c r="C344" s="7">
        <f>VLOOKUP(B344,'Run Reconcile'!A$2:B809,2,FALSE)</f>
        <v>44603</v>
      </c>
      <c r="D344" s="12">
        <f>IFERROR(__xludf.DUMMYFUNCTION("""COMPUTED_VALUE"""),44603.0)</f>
        <v>44603</v>
      </c>
      <c r="E344" s="13">
        <f>IFERROR(__xludf.DUMMYFUNCTION("""COMPUTED_VALUE"""),0.3394675925919728)</f>
        <v>0.3394675926</v>
      </c>
      <c r="F344" s="10" t="str">
        <f>IFERROR(__xludf.DUMMYFUNCTION("""COMPUTED_VALUE"""),"Positive")</f>
        <v>Positive</v>
      </c>
      <c r="G344" s="10">
        <f>IFERROR(__xludf.DUMMYFUNCTION("""COMPUTED_VALUE"""),1.0)</f>
        <v>1</v>
      </c>
    </row>
    <row r="345">
      <c r="A345" s="6" t="str">
        <f>IFERROR(__xludf.DUMMYFUNCTION("""COMPUTED_VALUE"""),"MAX102")</f>
        <v>MAX102</v>
      </c>
      <c r="B345" s="6" t="str">
        <f>IFERROR(__xludf.DUMMYFUNCTION("""COMPUTED_VALUE"""),"RUN-BEND_2022-02-11_RFR-030")</f>
        <v>RUN-BEND_2022-02-11_RFR-030</v>
      </c>
      <c r="C345" s="7">
        <f>VLOOKUP(B345,'Run Reconcile'!A$2:B809,2,FALSE)</f>
        <v>44603</v>
      </c>
      <c r="D345" s="12">
        <f>IFERROR(__xludf.DUMMYFUNCTION("""COMPUTED_VALUE"""),44603.0)</f>
        <v>44603</v>
      </c>
      <c r="E345" s="13">
        <f>IFERROR(__xludf.DUMMYFUNCTION("""COMPUTED_VALUE"""),0.3788888888884685)</f>
        <v>0.3788888889</v>
      </c>
      <c r="F345" s="10" t="str">
        <f>IFERROR(__xludf.DUMMYFUNCTION("""COMPUTED_VALUE"""),"Negative")</f>
        <v>Negative</v>
      </c>
      <c r="G345" s="10">
        <f>IFERROR(__xludf.DUMMYFUNCTION("""COMPUTED_VALUE"""),1.0)</f>
        <v>1</v>
      </c>
    </row>
    <row r="346">
      <c r="A346" s="6" t="str">
        <f>IFERROR(__xludf.DUMMYFUNCTION("""COMPUTED_VALUE"""),"MA1032")</f>
        <v>MA1032</v>
      </c>
      <c r="B346" s="6" t="str">
        <f>IFERROR(__xludf.DUMMYFUNCTION("""COMPUTED_VALUE"""),"RUN-BEND_2022-02-11_RFR-030")</f>
        <v>RUN-BEND_2022-02-11_RFR-030</v>
      </c>
      <c r="C346" s="7">
        <f>VLOOKUP(B346,'Run Reconcile'!A$2:B809,2,FALSE)</f>
        <v>44603</v>
      </c>
      <c r="D346" s="12">
        <f>IFERROR(__xludf.DUMMYFUNCTION("""COMPUTED_VALUE"""),44603.0)</f>
        <v>44603</v>
      </c>
      <c r="E346" s="13">
        <f>IFERROR(__xludf.DUMMYFUNCTION("""COMPUTED_VALUE"""),0.4231134259243845)</f>
        <v>0.4231134259</v>
      </c>
      <c r="F346" s="10" t="str">
        <f>IFERROR(__xludf.DUMMYFUNCTION("""COMPUTED_VALUE"""),"Negative")</f>
        <v>Negative</v>
      </c>
      <c r="G346" s="10">
        <f>IFERROR(__xludf.DUMMYFUNCTION("""COMPUTED_VALUE"""),1.0)</f>
        <v>1</v>
      </c>
    </row>
    <row r="347">
      <c r="A347" s="6" t="str">
        <f>IFERROR(__xludf.DUMMYFUNCTION("""COMPUTED_VALUE"""),"MA1079")</f>
        <v>MA1079</v>
      </c>
      <c r="B347" s="6" t="str">
        <f>IFERROR(__xludf.DUMMYFUNCTION("""COMPUTED_VALUE"""),"RUN-BEND_2022-02-12_RFR-031")</f>
        <v>RUN-BEND_2022-02-12_RFR-031</v>
      </c>
      <c r="C347" s="7">
        <f>VLOOKUP(B347,'Run Reconcile'!A$2:B809,2,FALSE)</f>
        <v>44604</v>
      </c>
      <c r="D347" s="12">
        <f>IFERROR(__xludf.DUMMYFUNCTION("""COMPUTED_VALUE"""),44604.0)</f>
        <v>44604</v>
      </c>
      <c r="E347" s="13">
        <f>IFERROR(__xludf.DUMMYFUNCTION("""COMPUTED_VALUE"""),0.3235763888878864)</f>
        <v>0.3235763889</v>
      </c>
      <c r="F347" s="10" t="str">
        <f>IFERROR(__xludf.DUMMYFUNCTION("""COMPUTED_VALUE"""),"Positive")</f>
        <v>Positive</v>
      </c>
      <c r="G347" s="10">
        <f>IFERROR(__xludf.DUMMYFUNCTION("""COMPUTED_VALUE"""),1.0)</f>
        <v>1</v>
      </c>
    </row>
    <row r="348">
      <c r="A348" s="6" t="str">
        <f>IFERROR(__xludf.DUMMYFUNCTION("""COMPUTED_VALUE"""),"MA1111")</f>
        <v>MA1111</v>
      </c>
      <c r="B348" s="6" t="str">
        <f>IFERROR(__xludf.DUMMYFUNCTION("""COMPUTED_VALUE"""),"RUN-BEND_2022-02-12_RFR-031")</f>
        <v>RUN-BEND_2022-02-12_RFR-031</v>
      </c>
      <c r="C348" s="7">
        <f>VLOOKUP(B348,'Run Reconcile'!A$2:B809,2,FALSE)</f>
        <v>44604</v>
      </c>
      <c r="D348" s="12">
        <f>IFERROR(__xludf.DUMMYFUNCTION("""COMPUTED_VALUE"""),44604.0)</f>
        <v>44604</v>
      </c>
      <c r="E348" s="13">
        <f>IFERROR(__xludf.DUMMYFUNCTION("""COMPUTED_VALUE"""),0.3247569444429246)</f>
        <v>0.3247569444</v>
      </c>
      <c r="F348" s="10" t="str">
        <f>IFERROR(__xludf.DUMMYFUNCTION("""COMPUTED_VALUE"""),"Positive")</f>
        <v>Positive</v>
      </c>
      <c r="G348" s="10">
        <f>IFERROR(__xludf.DUMMYFUNCTION("""COMPUTED_VALUE"""),1.0)</f>
        <v>1</v>
      </c>
    </row>
    <row r="349">
      <c r="A349" s="6" t="str">
        <f>IFERROR(__xludf.DUMMYFUNCTION("""COMPUTED_VALUE"""),"FM1")</f>
        <v>FM1</v>
      </c>
      <c r="B349" s="6" t="str">
        <f>IFERROR(__xludf.DUMMYFUNCTION("""COMPUTED_VALUE"""),"RUN-BEND_2022-02-15_RFR-032")</f>
        <v>RUN-BEND_2022-02-15_RFR-032</v>
      </c>
      <c r="C349" s="7">
        <f>VLOOKUP(B349,'Run Reconcile'!A$2:B809,2,FALSE)</f>
        <v>44607</v>
      </c>
      <c r="D349" s="12">
        <f>IFERROR(__xludf.DUMMYFUNCTION("""COMPUTED_VALUE"""),44607.0)</f>
        <v>44607</v>
      </c>
      <c r="E349" s="13">
        <f>IFERROR(__xludf.DUMMYFUNCTION("""COMPUTED_VALUE"""),0.2629282407397113)</f>
        <v>0.2629282407</v>
      </c>
      <c r="F349" s="10" t="str">
        <f>IFERROR(__xludf.DUMMYFUNCTION("""COMPUTED_VALUE"""),"Negative")</f>
        <v>Negative</v>
      </c>
      <c r="G349" s="10">
        <f>IFERROR(__xludf.DUMMYFUNCTION("""COMPUTED_VALUE"""),1.0)</f>
        <v>1</v>
      </c>
    </row>
    <row r="350">
      <c r="A350" s="6" t="str">
        <f>IFERROR(__xludf.DUMMYFUNCTION("""COMPUTED_VALUE"""),"MA362")</f>
        <v>MA362</v>
      </c>
      <c r="B350" s="6" t="str">
        <f>IFERROR(__xludf.DUMMYFUNCTION("""COMPUTED_VALUE"""),"RUN-BEND_2022-02-15_RFR-032")</f>
        <v>RUN-BEND_2022-02-15_RFR-032</v>
      </c>
      <c r="C350" s="7">
        <f>VLOOKUP(B350,'Run Reconcile'!A$2:B809,2,FALSE)</f>
        <v>44607</v>
      </c>
      <c r="D350" s="12">
        <f>IFERROR(__xludf.DUMMYFUNCTION("""COMPUTED_VALUE"""),44607.0)</f>
        <v>44607</v>
      </c>
      <c r="E350" s="13">
        <f>IFERROR(__xludf.DUMMYFUNCTION("""COMPUTED_VALUE"""),0.28214120370466844)</f>
        <v>0.2821412037</v>
      </c>
      <c r="F350" s="10" t="str">
        <f>IFERROR(__xludf.DUMMYFUNCTION("""COMPUTED_VALUE"""),"Negative")</f>
        <v>Negative</v>
      </c>
      <c r="G350" s="10">
        <f>IFERROR(__xludf.DUMMYFUNCTION("""COMPUTED_VALUE"""),1.0)</f>
        <v>1</v>
      </c>
    </row>
    <row r="351">
      <c r="A351" s="6" t="str">
        <f>IFERROR(__xludf.DUMMYFUNCTION("""COMPUTED_VALUE"""),"MA1050")</f>
        <v>MA1050</v>
      </c>
      <c r="B351" s="6" t="str">
        <f>IFERROR(__xludf.DUMMYFUNCTION("""COMPUTED_VALUE"""),"RUN-BEND_2022-02-15_RFR-032")</f>
        <v>RUN-BEND_2022-02-15_RFR-032</v>
      </c>
      <c r="C351" s="7">
        <f>VLOOKUP(B351,'Run Reconcile'!A$2:B809,2,FALSE)</f>
        <v>44607</v>
      </c>
      <c r="D351" s="12">
        <f>IFERROR(__xludf.DUMMYFUNCTION("""COMPUTED_VALUE"""),44607.0)</f>
        <v>44607</v>
      </c>
      <c r="E351" s="13">
        <f>IFERROR(__xludf.DUMMYFUNCTION("""COMPUTED_VALUE"""),0.29532407407532446)</f>
        <v>0.2953240741</v>
      </c>
      <c r="F351" s="10" t="str">
        <f>IFERROR(__xludf.DUMMYFUNCTION("""COMPUTED_VALUE"""),"Negative")</f>
        <v>Negative</v>
      </c>
      <c r="G351" s="10">
        <f>IFERROR(__xludf.DUMMYFUNCTION("""COMPUTED_VALUE"""),1.0)</f>
        <v>1</v>
      </c>
    </row>
    <row r="352">
      <c r="A352" s="6" t="str">
        <f>IFERROR(__xludf.DUMMYFUNCTION("""COMPUTED_VALUE"""),"MA398")</f>
        <v>MA398</v>
      </c>
      <c r="B352" s="6" t="str">
        <f>IFERROR(__xludf.DUMMYFUNCTION("""COMPUTED_VALUE"""),"RUN-BEND_2022-02-15_RFR-032")</f>
        <v>RUN-BEND_2022-02-15_RFR-032</v>
      </c>
      <c r="C352" s="7">
        <f>VLOOKUP(B352,'Run Reconcile'!A$2:B809,2,FALSE)</f>
        <v>44607</v>
      </c>
      <c r="D352" s="12">
        <f>IFERROR(__xludf.DUMMYFUNCTION("""COMPUTED_VALUE"""),44607.0)</f>
        <v>44607</v>
      </c>
      <c r="E352" s="13">
        <f>IFERROR(__xludf.DUMMYFUNCTION("""COMPUTED_VALUE"""),0.2986226851862739)</f>
        <v>0.2986226852</v>
      </c>
      <c r="F352" s="10" t="str">
        <f>IFERROR(__xludf.DUMMYFUNCTION("""COMPUTED_VALUE"""),"Negative")</f>
        <v>Negative</v>
      </c>
      <c r="G352" s="10">
        <f>IFERROR(__xludf.DUMMYFUNCTION("""COMPUTED_VALUE"""),1.0)</f>
        <v>1</v>
      </c>
    </row>
    <row r="353">
      <c r="A353" s="6" t="str">
        <f>IFERROR(__xludf.DUMMYFUNCTION("""COMPUTED_VALUE"""),"FM459")</f>
        <v>FM459</v>
      </c>
      <c r="B353" s="6" t="str">
        <f>IFERROR(__xludf.DUMMYFUNCTION("""COMPUTED_VALUE"""),"RUN-BEND_2022-02-15_RFR-032")</f>
        <v>RUN-BEND_2022-02-15_RFR-032</v>
      </c>
      <c r="C353" s="7">
        <f>VLOOKUP(B353,'Run Reconcile'!A$2:B809,2,FALSE)</f>
        <v>44607</v>
      </c>
      <c r="D353" s="12">
        <f>IFERROR(__xludf.DUMMYFUNCTION("""COMPUTED_VALUE"""),44607.0)</f>
        <v>44607</v>
      </c>
      <c r="E353" s="13">
        <f>IFERROR(__xludf.DUMMYFUNCTION("""COMPUTED_VALUE"""),0.29895833333284827)</f>
        <v>0.2989583333</v>
      </c>
      <c r="F353" s="10" t="str">
        <f>IFERROR(__xludf.DUMMYFUNCTION("""COMPUTED_VALUE"""),"Negative")</f>
        <v>Negative</v>
      </c>
      <c r="G353" s="10">
        <f>IFERROR(__xludf.DUMMYFUNCTION("""COMPUTED_VALUE"""),1.0)</f>
        <v>1</v>
      </c>
    </row>
    <row r="354">
      <c r="A354" s="6" t="str">
        <f>IFERROR(__xludf.DUMMYFUNCTION("""COMPUTED_VALUE"""),"FM485")</f>
        <v>FM485</v>
      </c>
      <c r="B354" s="6" t="str">
        <f>IFERROR(__xludf.DUMMYFUNCTION("""COMPUTED_VALUE"""),"RUN-BEND_2022-02-15_RFR-032")</f>
        <v>RUN-BEND_2022-02-15_RFR-032</v>
      </c>
      <c r="C354" s="7">
        <f>VLOOKUP(B354,'Run Reconcile'!A$2:B809,2,FALSE)</f>
        <v>44607</v>
      </c>
      <c r="D354" s="12">
        <f>IFERROR(__xludf.DUMMYFUNCTION("""COMPUTED_VALUE"""),44607.0)</f>
        <v>44607</v>
      </c>
      <c r="E354" s="13">
        <f>IFERROR(__xludf.DUMMYFUNCTION("""COMPUTED_VALUE"""),0.30033564814948477)</f>
        <v>0.3003356481</v>
      </c>
      <c r="F354" s="10" t="str">
        <f>IFERROR(__xludf.DUMMYFUNCTION("""COMPUTED_VALUE"""),"Negative")</f>
        <v>Negative</v>
      </c>
      <c r="G354" s="10">
        <f>IFERROR(__xludf.DUMMYFUNCTION("""COMPUTED_VALUE"""),1.0)</f>
        <v>1</v>
      </c>
    </row>
    <row r="355">
      <c r="A355" s="6" t="str">
        <f>IFERROR(__xludf.DUMMYFUNCTION("""COMPUTED_VALUE"""),"MA189")</f>
        <v>MA189</v>
      </c>
      <c r="B355" s="6" t="str">
        <f>IFERROR(__xludf.DUMMYFUNCTION("""COMPUTED_VALUE"""),"RUN-BEND_2022-02-15_RFR-032")</f>
        <v>RUN-BEND_2022-02-15_RFR-032</v>
      </c>
      <c r="C355" s="7">
        <f>VLOOKUP(B355,'Run Reconcile'!A$2:B809,2,FALSE)</f>
        <v>44607</v>
      </c>
      <c r="D355" s="12">
        <f>IFERROR(__xludf.DUMMYFUNCTION("""COMPUTED_VALUE"""),44607.0)</f>
        <v>44607</v>
      </c>
      <c r="E355" s="13">
        <f>IFERROR(__xludf.DUMMYFUNCTION("""COMPUTED_VALUE"""),0.31167824074145756)</f>
        <v>0.3116782407</v>
      </c>
      <c r="F355" s="10" t="str">
        <f>IFERROR(__xludf.DUMMYFUNCTION("""COMPUTED_VALUE"""),"Negative")</f>
        <v>Negative</v>
      </c>
      <c r="G355" s="10">
        <f>IFERROR(__xludf.DUMMYFUNCTION("""COMPUTED_VALUE"""),1.0)</f>
        <v>1</v>
      </c>
    </row>
    <row r="356">
      <c r="A356" s="6" t="str">
        <f>IFERROR(__xludf.DUMMYFUNCTION("""COMPUTED_VALUE"""),"FM73")</f>
        <v>FM73</v>
      </c>
      <c r="B356" s="6" t="str">
        <f>IFERROR(__xludf.DUMMYFUNCTION("""COMPUTED_VALUE"""),"RUN-BEND_2022-02-15_RFR-032")</f>
        <v>RUN-BEND_2022-02-15_RFR-032</v>
      </c>
      <c r="C356" s="7">
        <f>VLOOKUP(B356,'Run Reconcile'!A$2:B809,2,FALSE)</f>
        <v>44607</v>
      </c>
      <c r="D356" s="12">
        <f>IFERROR(__xludf.DUMMYFUNCTION("""COMPUTED_VALUE"""),44607.0)</f>
        <v>44607</v>
      </c>
      <c r="E356" s="13">
        <f>IFERROR(__xludf.DUMMYFUNCTION("""COMPUTED_VALUE"""),0.31270833333474)</f>
        <v>0.3127083333</v>
      </c>
      <c r="F356" s="10" t="str">
        <f>IFERROR(__xludf.DUMMYFUNCTION("""COMPUTED_VALUE"""),"Negative")</f>
        <v>Negative</v>
      </c>
      <c r="G356" s="10">
        <f>IFERROR(__xludf.DUMMYFUNCTION("""COMPUTED_VALUE"""),1.0)</f>
        <v>1</v>
      </c>
    </row>
    <row r="357">
      <c r="A357" s="6" t="str">
        <f>IFERROR(__xludf.DUMMYFUNCTION("""COMPUTED_VALUE"""),"MA294")</f>
        <v>MA294</v>
      </c>
      <c r="B357" s="6" t="str">
        <f>IFERROR(__xludf.DUMMYFUNCTION("""COMPUTED_VALUE"""),"RUN-BEND_2022-02-15_RFR-032")</f>
        <v>RUN-BEND_2022-02-15_RFR-032</v>
      </c>
      <c r="C357" s="7">
        <f>VLOOKUP(B357,'Run Reconcile'!A$2:B809,2,FALSE)</f>
        <v>44607</v>
      </c>
      <c r="D357" s="12">
        <f>IFERROR(__xludf.DUMMYFUNCTION("""COMPUTED_VALUE"""),44607.0)</f>
        <v>44607</v>
      </c>
      <c r="E357" s="13">
        <f>IFERROR(__xludf.DUMMYFUNCTION("""COMPUTED_VALUE"""),0.31320601851984975)</f>
        <v>0.3132060185</v>
      </c>
      <c r="F357" s="10" t="str">
        <f>IFERROR(__xludf.DUMMYFUNCTION("""COMPUTED_VALUE"""),"Negative")</f>
        <v>Negative</v>
      </c>
      <c r="G357" s="10">
        <f>IFERROR(__xludf.DUMMYFUNCTION("""COMPUTED_VALUE"""),1.0)</f>
        <v>1</v>
      </c>
    </row>
    <row r="358">
      <c r="A358" s="6" t="str">
        <f>IFERROR(__xludf.DUMMYFUNCTION("""COMPUTED_VALUE"""),"MA290")</f>
        <v>MA290</v>
      </c>
      <c r="B358" s="6" t="str">
        <f>IFERROR(__xludf.DUMMYFUNCTION("""COMPUTED_VALUE"""),"RUN-BEND_2022-02-15_RFR-032")</f>
        <v>RUN-BEND_2022-02-15_RFR-032</v>
      </c>
      <c r="C358" s="7">
        <f>VLOOKUP(B358,'Run Reconcile'!A$2:B809,2,FALSE)</f>
        <v>44607</v>
      </c>
      <c r="D358" s="12">
        <f>IFERROR(__xludf.DUMMYFUNCTION("""COMPUTED_VALUE"""),44607.0)</f>
        <v>44607</v>
      </c>
      <c r="E358" s="13">
        <f>IFERROR(__xludf.DUMMYFUNCTION("""COMPUTED_VALUE"""),0.31328703703547944)</f>
        <v>0.313287037</v>
      </c>
      <c r="F358" s="10" t="str">
        <f>IFERROR(__xludf.DUMMYFUNCTION("""COMPUTED_VALUE"""),"Negative")</f>
        <v>Negative</v>
      </c>
      <c r="G358" s="10">
        <f>IFERROR(__xludf.DUMMYFUNCTION("""COMPUTED_VALUE"""),1.0)</f>
        <v>1</v>
      </c>
    </row>
    <row r="359">
      <c r="A359" s="6" t="str">
        <f>IFERROR(__xludf.DUMMYFUNCTION("""COMPUTED_VALUE"""),"FM19")</f>
        <v>FM19</v>
      </c>
      <c r="B359" s="6" t="str">
        <f>IFERROR(__xludf.DUMMYFUNCTION("""COMPUTED_VALUE"""),"RUN-BEND_2022-02-15_RFR-032")</f>
        <v>RUN-BEND_2022-02-15_RFR-032</v>
      </c>
      <c r="C359" s="7">
        <f>VLOOKUP(B359,'Run Reconcile'!A$2:B809,2,FALSE)</f>
        <v>44607</v>
      </c>
      <c r="D359" s="12">
        <f>IFERROR(__xludf.DUMMYFUNCTION("""COMPUTED_VALUE"""),44607.0)</f>
        <v>44607</v>
      </c>
      <c r="E359" s="13">
        <f>IFERROR(__xludf.DUMMYFUNCTION("""COMPUTED_VALUE"""),0.31342592592773144)</f>
        <v>0.3134259259</v>
      </c>
      <c r="F359" s="10" t="str">
        <f>IFERROR(__xludf.DUMMYFUNCTION("""COMPUTED_VALUE"""),"Negative")</f>
        <v>Negative</v>
      </c>
      <c r="G359" s="10">
        <f>IFERROR(__xludf.DUMMYFUNCTION("""COMPUTED_VALUE"""),1.0)</f>
        <v>1</v>
      </c>
    </row>
    <row r="360">
      <c r="A360" s="6" t="str">
        <f>IFERROR(__xludf.DUMMYFUNCTION("""COMPUTED_VALUE"""),"FM782")</f>
        <v>FM782</v>
      </c>
      <c r="B360" s="6" t="str">
        <f>IFERROR(__xludf.DUMMYFUNCTION("""COMPUTED_VALUE"""),"RUN-BEND_2022-02-15_RFR-032")</f>
        <v>RUN-BEND_2022-02-15_RFR-032</v>
      </c>
      <c r="C360" s="7">
        <f>VLOOKUP(B360,'Run Reconcile'!A$2:B809,2,FALSE)</f>
        <v>44607</v>
      </c>
      <c r="D360" s="12">
        <f>IFERROR(__xludf.DUMMYFUNCTION("""COMPUTED_VALUE"""),44607.0)</f>
        <v>44607</v>
      </c>
      <c r="E360" s="13">
        <f>IFERROR(__xludf.DUMMYFUNCTION("""COMPUTED_VALUE"""),0.31349537037021946)</f>
        <v>0.3134953704</v>
      </c>
      <c r="F360" s="10" t="str">
        <f>IFERROR(__xludf.DUMMYFUNCTION("""COMPUTED_VALUE"""),"Negative")</f>
        <v>Negative</v>
      </c>
      <c r="G360" s="10">
        <f>IFERROR(__xludf.DUMMYFUNCTION("""COMPUTED_VALUE"""),1.0)</f>
        <v>1</v>
      </c>
    </row>
    <row r="361">
      <c r="A361" s="6" t="str">
        <f>IFERROR(__xludf.DUMMYFUNCTION("""COMPUTED_VALUE"""),"MA1064")</f>
        <v>MA1064</v>
      </c>
      <c r="B361" s="6" t="str">
        <f>IFERROR(__xludf.DUMMYFUNCTION("""COMPUTED_VALUE"""),"RUN-BEND_2022-02-15_RFR-032")</f>
        <v>RUN-BEND_2022-02-15_RFR-032</v>
      </c>
      <c r="C361" s="7">
        <f>VLOOKUP(B361,'Run Reconcile'!A$2:B809,2,FALSE)</f>
        <v>44607</v>
      </c>
      <c r="D361" s="12">
        <f>IFERROR(__xludf.DUMMYFUNCTION("""COMPUTED_VALUE"""),44607.0)</f>
        <v>44607</v>
      </c>
      <c r="E361" s="13">
        <f>IFERROR(__xludf.DUMMYFUNCTION("""COMPUTED_VALUE"""),0.31422453703635256)</f>
        <v>0.314224537</v>
      </c>
      <c r="F361" s="10" t="str">
        <f>IFERROR(__xludf.DUMMYFUNCTION("""COMPUTED_VALUE"""),"Negative")</f>
        <v>Negative</v>
      </c>
      <c r="G361" s="10">
        <f>IFERROR(__xludf.DUMMYFUNCTION("""COMPUTED_VALUE"""),1.0)</f>
        <v>1</v>
      </c>
    </row>
    <row r="362">
      <c r="A362" s="6" t="str">
        <f>IFERROR(__xludf.DUMMYFUNCTION("""COMPUTED_VALUE"""),"MA1103")</f>
        <v>MA1103</v>
      </c>
      <c r="B362" s="6" t="str">
        <f>IFERROR(__xludf.DUMMYFUNCTION("""COMPUTED_VALUE"""),"RUN-BEND_2022-02-15_RFR-032")</f>
        <v>RUN-BEND_2022-02-15_RFR-032</v>
      </c>
      <c r="C362" s="7">
        <f>VLOOKUP(B362,'Run Reconcile'!A$2:B809,2,FALSE)</f>
        <v>44607</v>
      </c>
      <c r="D362" s="12">
        <f>IFERROR(__xludf.DUMMYFUNCTION("""COMPUTED_VALUE"""),44607.0)</f>
        <v>44607</v>
      </c>
      <c r="E362" s="13">
        <f>IFERROR(__xludf.DUMMYFUNCTION("""COMPUTED_VALUE"""),0.31473379629460396)</f>
        <v>0.3147337963</v>
      </c>
      <c r="F362" s="10" t="str">
        <f>IFERROR(__xludf.DUMMYFUNCTION("""COMPUTED_VALUE"""),"Negative")</f>
        <v>Negative</v>
      </c>
      <c r="G362" s="10">
        <f>IFERROR(__xludf.DUMMYFUNCTION("""COMPUTED_VALUE"""),1.0)</f>
        <v>1</v>
      </c>
    </row>
    <row r="363">
      <c r="A363" s="6" t="str">
        <f>IFERROR(__xludf.DUMMYFUNCTION("""COMPUTED_VALUE"""),"MA1259")</f>
        <v>MA1259</v>
      </c>
      <c r="B363" s="6" t="str">
        <f>IFERROR(__xludf.DUMMYFUNCTION("""COMPUTED_VALUE"""),"RUN-BEND_2022-02-15_RFR-032")</f>
        <v>RUN-BEND_2022-02-15_RFR-032</v>
      </c>
      <c r="C363" s="7">
        <f>VLOOKUP(B363,'Run Reconcile'!A$2:B809,2,FALSE)</f>
        <v>44607</v>
      </c>
      <c r="D363" s="12">
        <f>IFERROR(__xludf.DUMMYFUNCTION("""COMPUTED_VALUE"""),44607.0)</f>
        <v>44607</v>
      </c>
      <c r="E363" s="13">
        <f>IFERROR(__xludf.DUMMYFUNCTION("""COMPUTED_VALUE"""),0.3195833333338669)</f>
        <v>0.3195833333</v>
      </c>
      <c r="F363" s="10" t="str">
        <f>IFERROR(__xludf.DUMMYFUNCTION("""COMPUTED_VALUE"""),"Negative")</f>
        <v>Negative</v>
      </c>
      <c r="G363" s="10">
        <f>IFERROR(__xludf.DUMMYFUNCTION("""COMPUTED_VALUE"""),1.0)</f>
        <v>1</v>
      </c>
    </row>
    <row r="364">
      <c r="A364" s="6" t="str">
        <f>IFERROR(__xludf.DUMMYFUNCTION("""COMPUTED_VALUE"""),"MA1261")</f>
        <v>MA1261</v>
      </c>
      <c r="B364" s="6" t="str">
        <f>IFERROR(__xludf.DUMMYFUNCTION("""COMPUTED_VALUE"""),"RUN-BEND_2022-02-15_RFR-032")</f>
        <v>RUN-BEND_2022-02-15_RFR-032</v>
      </c>
      <c r="C364" s="7">
        <f>VLOOKUP(B364,'Run Reconcile'!A$2:B809,2,FALSE)</f>
        <v>44607</v>
      </c>
      <c r="D364" s="12">
        <f>IFERROR(__xludf.DUMMYFUNCTION("""COMPUTED_VALUE"""),44607.0)</f>
        <v>44607</v>
      </c>
      <c r="E364" s="13">
        <f>IFERROR(__xludf.DUMMYFUNCTION("""COMPUTED_VALUE"""),0.320243055553874)</f>
        <v>0.3202430556</v>
      </c>
      <c r="F364" s="10" t="str">
        <f>IFERROR(__xludf.DUMMYFUNCTION("""COMPUTED_VALUE"""),"Negative")</f>
        <v>Negative</v>
      </c>
      <c r="G364" s="10">
        <f>IFERROR(__xludf.DUMMYFUNCTION("""COMPUTED_VALUE"""),1.0)</f>
        <v>1</v>
      </c>
    </row>
    <row r="365">
      <c r="A365" s="6" t="str">
        <f>IFERROR(__xludf.DUMMYFUNCTION("""COMPUTED_VALUE"""),"FM513")</f>
        <v>FM513</v>
      </c>
      <c r="B365" s="6" t="str">
        <f>IFERROR(__xludf.DUMMYFUNCTION("""COMPUTED_VALUE"""),"RUN-BEND_2022-02-15_RFR-032")</f>
        <v>RUN-BEND_2022-02-15_RFR-032</v>
      </c>
      <c r="C365" s="7">
        <f>VLOOKUP(B365,'Run Reconcile'!A$2:B809,2,FALSE)</f>
        <v>44607</v>
      </c>
      <c r="D365" s="12">
        <f>IFERROR(__xludf.DUMMYFUNCTION("""COMPUTED_VALUE"""),44607.0)</f>
        <v>44607</v>
      </c>
      <c r="E365" s="13">
        <f>IFERROR(__xludf.DUMMYFUNCTION("""COMPUTED_VALUE"""),0.3231481481489027)</f>
        <v>0.3231481481</v>
      </c>
      <c r="F365" s="10" t="str">
        <f>IFERROR(__xludf.DUMMYFUNCTION("""COMPUTED_VALUE"""),"Negative")</f>
        <v>Negative</v>
      </c>
      <c r="G365" s="10">
        <f>IFERROR(__xludf.DUMMYFUNCTION("""COMPUTED_VALUE"""),1.0)</f>
        <v>1</v>
      </c>
    </row>
    <row r="366">
      <c r="A366" s="6" t="str">
        <f>IFERROR(__xludf.DUMMYFUNCTION("""COMPUTED_VALUE"""),"MA296")</f>
        <v>MA296</v>
      </c>
      <c r="B366" s="6" t="str">
        <f>IFERROR(__xludf.DUMMYFUNCTION("""COMPUTED_VALUE"""),"RUN-BEND_2022-02-15_RFR-032")</f>
        <v>RUN-BEND_2022-02-15_RFR-032</v>
      </c>
      <c r="C366" s="7">
        <f>VLOOKUP(B366,'Run Reconcile'!A$2:B809,2,FALSE)</f>
        <v>44607</v>
      </c>
      <c r="D366" s="12">
        <f>IFERROR(__xludf.DUMMYFUNCTION("""COMPUTED_VALUE"""),44607.0)</f>
        <v>44607</v>
      </c>
      <c r="E366" s="13">
        <f>IFERROR(__xludf.DUMMYFUNCTION("""COMPUTED_VALUE"""),0.3235069444453984)</f>
        <v>0.3235069444</v>
      </c>
      <c r="F366" s="10" t="str">
        <f>IFERROR(__xludf.DUMMYFUNCTION("""COMPUTED_VALUE"""),"Negative")</f>
        <v>Negative</v>
      </c>
      <c r="G366" s="10">
        <f>IFERROR(__xludf.DUMMYFUNCTION("""COMPUTED_VALUE"""),1.0)</f>
        <v>1</v>
      </c>
    </row>
    <row r="367">
      <c r="A367" s="6" t="str">
        <f>IFERROR(__xludf.DUMMYFUNCTION("""COMPUTED_VALUE"""),"MAX135")</f>
        <v>MAX135</v>
      </c>
      <c r="B367" s="6" t="str">
        <f>IFERROR(__xludf.DUMMYFUNCTION("""COMPUTED_VALUE"""),"RUN-BEND_2022-02-15_RFR-032")</f>
        <v>RUN-BEND_2022-02-15_RFR-032</v>
      </c>
      <c r="C367" s="7">
        <f>VLOOKUP(B367,'Run Reconcile'!A$2:B809,2,FALSE)</f>
        <v>44607</v>
      </c>
      <c r="D367" s="12">
        <f>IFERROR(__xludf.DUMMYFUNCTION("""COMPUTED_VALUE"""),44607.0)</f>
        <v>44607</v>
      </c>
      <c r="E367" s="13">
        <f>IFERROR(__xludf.DUMMYFUNCTION("""COMPUTED_VALUE"""),0.32487268518525525)</f>
        <v>0.3248726852</v>
      </c>
      <c r="F367" s="10" t="str">
        <f>IFERROR(__xludf.DUMMYFUNCTION("""COMPUTED_VALUE"""),"Negative")</f>
        <v>Negative</v>
      </c>
      <c r="G367" s="10">
        <f>IFERROR(__xludf.DUMMYFUNCTION("""COMPUTED_VALUE"""),1.0)</f>
        <v>1</v>
      </c>
    </row>
    <row r="368">
      <c r="A368" s="6" t="str">
        <f>IFERROR(__xludf.DUMMYFUNCTION("""COMPUTED_VALUE"""),"MA1069")</f>
        <v>MA1069</v>
      </c>
      <c r="B368" s="6" t="str">
        <f>IFERROR(__xludf.DUMMYFUNCTION("""COMPUTED_VALUE"""),"RUN-BEND_2022-02-15_RFR-032")</f>
        <v>RUN-BEND_2022-02-15_RFR-032</v>
      </c>
      <c r="C368" s="7">
        <f>VLOOKUP(B368,'Run Reconcile'!A$2:B809,2,FALSE)</f>
        <v>44607</v>
      </c>
      <c r="D368" s="12">
        <f>IFERROR(__xludf.DUMMYFUNCTION("""COMPUTED_VALUE"""),44607.0)</f>
        <v>44607</v>
      </c>
      <c r="E368" s="13">
        <f>IFERROR(__xludf.DUMMYFUNCTION("""COMPUTED_VALUE"""),0.32538194444350665)</f>
        <v>0.3253819444</v>
      </c>
      <c r="F368" s="10" t="str">
        <f>IFERROR(__xludf.DUMMYFUNCTION("""COMPUTED_VALUE"""),"Negative")</f>
        <v>Negative</v>
      </c>
      <c r="G368" s="10">
        <f>IFERROR(__xludf.DUMMYFUNCTION("""COMPUTED_VALUE"""),1.0)</f>
        <v>1</v>
      </c>
    </row>
    <row r="369">
      <c r="A369" s="6" t="str">
        <f>IFERROR(__xludf.DUMMYFUNCTION("""COMPUTED_VALUE"""),"MA391")</f>
        <v>MA391</v>
      </c>
      <c r="B369" s="6" t="str">
        <f>IFERROR(__xludf.DUMMYFUNCTION("""COMPUTED_VALUE"""),"RUN-BEND_2022-02-15_RFR-032")</f>
        <v>RUN-BEND_2022-02-15_RFR-032</v>
      </c>
      <c r="C369" s="7">
        <f>VLOOKUP(B369,'Run Reconcile'!A$2:B809,2,FALSE)</f>
        <v>44607</v>
      </c>
      <c r="D369" s="12">
        <f>IFERROR(__xludf.DUMMYFUNCTION("""COMPUTED_VALUE"""),44607.0)</f>
        <v>44607</v>
      </c>
      <c r="E369" s="13">
        <f>IFERROR(__xludf.DUMMYFUNCTION("""COMPUTED_VALUE"""),0.325439814816491)</f>
        <v>0.3254398148</v>
      </c>
      <c r="F369" s="10" t="str">
        <f>IFERROR(__xludf.DUMMYFUNCTION("""COMPUTED_VALUE"""),"Negative")</f>
        <v>Negative</v>
      </c>
      <c r="G369" s="10">
        <f>IFERROR(__xludf.DUMMYFUNCTION("""COMPUTED_VALUE"""),1.0)</f>
        <v>1</v>
      </c>
    </row>
    <row r="370">
      <c r="A370" s="6" t="str">
        <f>IFERROR(__xludf.DUMMYFUNCTION("""COMPUTED_VALUE"""),"FM452")</f>
        <v>FM452</v>
      </c>
      <c r="B370" s="6" t="str">
        <f>IFERROR(__xludf.DUMMYFUNCTION("""COMPUTED_VALUE"""),"RUN-BEND_2022-02-15_RFR-032")</f>
        <v>RUN-BEND_2022-02-15_RFR-032</v>
      </c>
      <c r="C370" s="7">
        <f>VLOOKUP(B370,'Run Reconcile'!A$2:B809,2,FALSE)</f>
        <v>44607</v>
      </c>
      <c r="D370" s="12">
        <f>IFERROR(__xludf.DUMMYFUNCTION("""COMPUTED_VALUE"""),44607.0)</f>
        <v>44607</v>
      </c>
      <c r="E370" s="13">
        <f>IFERROR(__xludf.DUMMYFUNCTION("""COMPUTED_VALUE"""),0.3266666666677338)</f>
        <v>0.3266666667</v>
      </c>
      <c r="F370" s="10" t="str">
        <f>IFERROR(__xludf.DUMMYFUNCTION("""COMPUTED_VALUE"""),"Negative")</f>
        <v>Negative</v>
      </c>
      <c r="G370" s="10">
        <f>IFERROR(__xludf.DUMMYFUNCTION("""COMPUTED_VALUE"""),1.0)</f>
        <v>1</v>
      </c>
    </row>
    <row r="371">
      <c r="A371" s="6" t="str">
        <f>IFERROR(__xludf.DUMMYFUNCTION("""COMPUTED_VALUE"""),"FM59")</f>
        <v>FM59</v>
      </c>
      <c r="B371" s="6" t="str">
        <f>IFERROR(__xludf.DUMMYFUNCTION("""COMPUTED_VALUE"""),"RUN-BEND_2022-02-15_RFR-032")</f>
        <v>RUN-BEND_2022-02-15_RFR-032</v>
      </c>
      <c r="C371" s="7">
        <f>VLOOKUP(B371,'Run Reconcile'!A$2:B809,2,FALSE)</f>
        <v>44607</v>
      </c>
      <c r="D371" s="12">
        <f>IFERROR(__xludf.DUMMYFUNCTION("""COMPUTED_VALUE"""),44607.0)</f>
        <v>44607</v>
      </c>
      <c r="E371" s="13">
        <f>IFERROR(__xludf.DUMMYFUNCTION("""COMPUTED_VALUE"""),0.3287384259274404)</f>
        <v>0.3287384259</v>
      </c>
      <c r="F371" s="10" t="str">
        <f>IFERROR(__xludf.DUMMYFUNCTION("""COMPUTED_VALUE"""),"Negative")</f>
        <v>Negative</v>
      </c>
      <c r="G371" s="10">
        <f>IFERROR(__xludf.DUMMYFUNCTION("""COMPUTED_VALUE"""),1.0)</f>
        <v>1</v>
      </c>
    </row>
    <row r="372">
      <c r="A372" s="6" t="str">
        <f>IFERROR(__xludf.DUMMYFUNCTION("""COMPUTED_VALUE"""),"MA211")</f>
        <v>MA211</v>
      </c>
      <c r="B372" s="6" t="str">
        <f>IFERROR(__xludf.DUMMYFUNCTION("""COMPUTED_VALUE"""),"RUN-BEND_2022-02-15_RFR-032")</f>
        <v>RUN-BEND_2022-02-15_RFR-032</v>
      </c>
      <c r="C372" s="7">
        <f>VLOOKUP(B372,'Run Reconcile'!A$2:B809,2,FALSE)</f>
        <v>44607</v>
      </c>
      <c r="D372" s="12">
        <f>IFERROR(__xludf.DUMMYFUNCTION("""COMPUTED_VALUE"""),44607.0)</f>
        <v>44607</v>
      </c>
      <c r="E372" s="13">
        <f>IFERROR(__xludf.DUMMYFUNCTION("""COMPUTED_VALUE"""),0.3297685185170849)</f>
        <v>0.3297685185</v>
      </c>
      <c r="F372" s="10" t="str">
        <f>IFERROR(__xludf.DUMMYFUNCTION("""COMPUTED_VALUE"""),"Negative")</f>
        <v>Negative</v>
      </c>
      <c r="G372" s="10">
        <f>IFERROR(__xludf.DUMMYFUNCTION("""COMPUTED_VALUE"""),1.0)</f>
        <v>1</v>
      </c>
    </row>
    <row r="373">
      <c r="A373" s="6" t="str">
        <f>IFERROR(__xludf.DUMMYFUNCTION("""COMPUTED_VALUE"""),"MA1055")</f>
        <v>MA1055</v>
      </c>
      <c r="B373" s="6" t="str">
        <f>IFERROR(__xludf.DUMMYFUNCTION("""COMPUTED_VALUE"""),"RUN-BEND_2022-02-15_RFR-032")</f>
        <v>RUN-BEND_2022-02-15_RFR-032</v>
      </c>
      <c r="C373" s="7">
        <f>VLOOKUP(B373,'Run Reconcile'!A$2:B809,2,FALSE)</f>
        <v>44607</v>
      </c>
      <c r="D373" s="12">
        <f>IFERROR(__xludf.DUMMYFUNCTION("""COMPUTED_VALUE"""),44607.0)</f>
        <v>44607</v>
      </c>
      <c r="E373" s="13">
        <f>IFERROR(__xludf.DUMMYFUNCTION("""COMPUTED_VALUE"""),0.33239583333488554)</f>
        <v>0.3323958333</v>
      </c>
      <c r="F373" s="10" t="str">
        <f>IFERROR(__xludf.DUMMYFUNCTION("""COMPUTED_VALUE"""),"Negative")</f>
        <v>Negative</v>
      </c>
      <c r="G373" s="10">
        <f>IFERROR(__xludf.DUMMYFUNCTION("""COMPUTED_VALUE"""),1.0)</f>
        <v>1</v>
      </c>
    </row>
    <row r="374">
      <c r="A374" s="6" t="str">
        <f>IFERROR(__xludf.DUMMYFUNCTION("""COMPUTED_VALUE"""),"FM442")</f>
        <v>FM442</v>
      </c>
      <c r="B374" s="6" t="str">
        <f>IFERROR(__xludf.DUMMYFUNCTION("""COMPUTED_VALUE"""),"RUN-BEND_2022-02-15_RFR-032")</f>
        <v>RUN-BEND_2022-02-15_RFR-032</v>
      </c>
      <c r="C374" s="7">
        <f>VLOOKUP(B374,'Run Reconcile'!A$2:B809,2,FALSE)</f>
        <v>44607</v>
      </c>
      <c r="D374" s="12">
        <f>IFERROR(__xludf.DUMMYFUNCTION("""COMPUTED_VALUE"""),44607.0)</f>
        <v>44607</v>
      </c>
      <c r="E374" s="13">
        <f>IFERROR(__xludf.DUMMYFUNCTION("""COMPUTED_VALUE"""),0.33417824074058444)</f>
        <v>0.3341782407</v>
      </c>
      <c r="F374" s="10" t="str">
        <f>IFERROR(__xludf.DUMMYFUNCTION("""COMPUTED_VALUE"""),"Negative")</f>
        <v>Negative</v>
      </c>
      <c r="G374" s="10">
        <f>IFERROR(__xludf.DUMMYFUNCTION("""COMPUTED_VALUE"""),1.0)</f>
        <v>1</v>
      </c>
    </row>
    <row r="375">
      <c r="A375" s="6" t="str">
        <f>IFERROR(__xludf.DUMMYFUNCTION("""COMPUTED_VALUE"""),"MA301")</f>
        <v>MA301</v>
      </c>
      <c r="B375" s="6" t="str">
        <f>IFERROR(__xludf.DUMMYFUNCTION("""COMPUTED_VALUE"""),"RUN-BEND_2022-02-15_RFR-032")</f>
        <v>RUN-BEND_2022-02-15_RFR-032</v>
      </c>
      <c r="C375" s="7">
        <f>VLOOKUP(B375,'Run Reconcile'!A$2:B809,2,FALSE)</f>
        <v>44607</v>
      </c>
      <c r="D375" s="12">
        <f>IFERROR(__xludf.DUMMYFUNCTION("""COMPUTED_VALUE"""),44607.0)</f>
        <v>44607</v>
      </c>
      <c r="E375" s="13">
        <f>IFERROR(__xludf.DUMMYFUNCTION("""COMPUTED_VALUE"""),0.3381481481483206)</f>
        <v>0.3381481481</v>
      </c>
      <c r="F375" s="10" t="str">
        <f>IFERROR(__xludf.DUMMYFUNCTION("""COMPUTED_VALUE"""),"Negative")</f>
        <v>Negative</v>
      </c>
      <c r="G375" s="10">
        <f>IFERROR(__xludf.DUMMYFUNCTION("""COMPUTED_VALUE"""),1.0)</f>
        <v>1</v>
      </c>
    </row>
    <row r="376">
      <c r="A376" s="6" t="str">
        <f>IFERROR(__xludf.DUMMYFUNCTION("""COMPUTED_VALUE"""),"MA412")</f>
        <v>MA412</v>
      </c>
      <c r="B376" s="6" t="str">
        <f>IFERROR(__xludf.DUMMYFUNCTION("""COMPUTED_VALUE"""),"RUN-BEND_2022-02-15_RFR-032")</f>
        <v>RUN-BEND_2022-02-15_RFR-032</v>
      </c>
      <c r="C376" s="7">
        <f>VLOOKUP(B376,'Run Reconcile'!A$2:B809,2,FALSE)</f>
        <v>44607</v>
      </c>
      <c r="D376" s="12">
        <f>IFERROR(__xludf.DUMMYFUNCTION("""COMPUTED_VALUE"""),44607.0)</f>
        <v>44607</v>
      </c>
      <c r="E376" s="13">
        <f>IFERROR(__xludf.DUMMYFUNCTION("""COMPUTED_VALUE"""),0.3416435185172304)</f>
        <v>0.3416435185</v>
      </c>
      <c r="F376" s="10" t="str">
        <f>IFERROR(__xludf.DUMMYFUNCTION("""COMPUTED_VALUE"""),"Negative")</f>
        <v>Negative</v>
      </c>
      <c r="G376" s="10">
        <f>IFERROR(__xludf.DUMMYFUNCTION("""COMPUTED_VALUE"""),1.0)</f>
        <v>1</v>
      </c>
    </row>
    <row r="377">
      <c r="A377" s="6" t="str">
        <f>IFERROR(__xludf.DUMMYFUNCTION("""COMPUTED_VALUE"""),"FM34")</f>
        <v>FM34</v>
      </c>
      <c r="B377" s="6" t="str">
        <f>IFERROR(__xludf.DUMMYFUNCTION("""COMPUTED_VALUE"""),"RUN-BEND_2022-02-15_RFR-032")</f>
        <v>RUN-BEND_2022-02-15_RFR-032</v>
      </c>
      <c r="C377" s="7">
        <f>VLOOKUP(B377,'Run Reconcile'!A$2:B809,2,FALSE)</f>
        <v>44607</v>
      </c>
      <c r="D377" s="12">
        <f>IFERROR(__xludf.DUMMYFUNCTION("""COMPUTED_VALUE"""),44607.0)</f>
        <v>44607</v>
      </c>
      <c r="E377" s="13">
        <f>IFERROR(__xludf.DUMMYFUNCTION("""COMPUTED_VALUE"""),0.3449537037049595)</f>
        <v>0.3449537037</v>
      </c>
      <c r="F377" s="10" t="str">
        <f>IFERROR(__xludf.DUMMYFUNCTION("""COMPUTED_VALUE"""),"Negative")</f>
        <v>Negative</v>
      </c>
      <c r="G377" s="10">
        <f>IFERROR(__xludf.DUMMYFUNCTION("""COMPUTED_VALUE"""),1.0)</f>
        <v>1</v>
      </c>
    </row>
    <row r="378">
      <c r="A378" s="6" t="str">
        <f>IFERROR(__xludf.DUMMYFUNCTION("""COMPUTED_VALUE"""),"MA1029")</f>
        <v>MA1029</v>
      </c>
      <c r="B378" s="6" t="str">
        <f>IFERROR(__xludf.DUMMYFUNCTION("""COMPUTED_VALUE"""),"RUN-BEND_2022-02-15_RFR-032")</f>
        <v>RUN-BEND_2022-02-15_RFR-032</v>
      </c>
      <c r="C378" s="7">
        <f>VLOOKUP(B378,'Run Reconcile'!A$2:B809,2,FALSE)</f>
        <v>44607</v>
      </c>
      <c r="D378" s="12">
        <f>IFERROR(__xludf.DUMMYFUNCTION("""COMPUTED_VALUE"""),44607.0)</f>
        <v>44607</v>
      </c>
      <c r="E378" s="13">
        <f>IFERROR(__xludf.DUMMYFUNCTION("""COMPUTED_VALUE"""),0.3477546296307992)</f>
        <v>0.3477546296</v>
      </c>
      <c r="F378" s="10" t="str">
        <f>IFERROR(__xludf.DUMMYFUNCTION("""COMPUTED_VALUE"""),"Negative")</f>
        <v>Negative</v>
      </c>
      <c r="G378" s="10">
        <f>IFERROR(__xludf.DUMMYFUNCTION("""COMPUTED_VALUE"""),1.0)</f>
        <v>1</v>
      </c>
    </row>
    <row r="379">
      <c r="A379" s="6" t="str">
        <f>IFERROR(__xludf.DUMMYFUNCTION("""COMPUTED_VALUE"""),"FM428")</f>
        <v>FM428</v>
      </c>
      <c r="B379" s="6" t="str">
        <f>IFERROR(__xludf.DUMMYFUNCTION("""COMPUTED_VALUE"""),"RUN-BEND_2022-02-15_RFR-032")</f>
        <v>RUN-BEND_2022-02-15_RFR-032</v>
      </c>
      <c r="C379" s="7">
        <f>VLOOKUP(B379,'Run Reconcile'!A$2:B809,2,FALSE)</f>
        <v>44607</v>
      </c>
      <c r="D379" s="12">
        <f>IFERROR(__xludf.DUMMYFUNCTION("""COMPUTED_VALUE"""),44607.0)</f>
        <v>44607</v>
      </c>
      <c r="E379" s="13">
        <f>IFERROR(__xludf.DUMMYFUNCTION("""COMPUTED_VALUE"""),0.3717361111121136)</f>
        <v>0.3717361111</v>
      </c>
      <c r="F379" s="10" t="str">
        <f>IFERROR(__xludf.DUMMYFUNCTION("""COMPUTED_VALUE"""),"Negative")</f>
        <v>Negative</v>
      </c>
      <c r="G379" s="10">
        <f>IFERROR(__xludf.DUMMYFUNCTION("""COMPUTED_VALUE"""),1.0)</f>
        <v>1</v>
      </c>
    </row>
    <row r="380">
      <c r="A380" s="6" t="str">
        <f>IFERROR(__xludf.DUMMYFUNCTION("""COMPUTED_VALUE"""),"MA312")</f>
        <v>MA312</v>
      </c>
      <c r="B380" s="6" t="str">
        <f>IFERROR(__xludf.DUMMYFUNCTION("""COMPUTED_VALUE"""),"RUN-BEND_2022-02-15_RFR-032")</f>
        <v>RUN-BEND_2022-02-15_RFR-032</v>
      </c>
      <c r="C380" s="7">
        <f>VLOOKUP(B380,'Run Reconcile'!A$2:B809,2,FALSE)</f>
        <v>44607</v>
      </c>
      <c r="D380" s="12">
        <f>IFERROR(__xludf.DUMMYFUNCTION("""COMPUTED_VALUE"""),44607.0)</f>
        <v>44607</v>
      </c>
      <c r="E380" s="13">
        <f>IFERROR(__xludf.DUMMYFUNCTION("""COMPUTED_VALUE"""),0.3924884259249666)</f>
        <v>0.3924884259</v>
      </c>
      <c r="F380" s="10" t="str">
        <f>IFERROR(__xludf.DUMMYFUNCTION("""COMPUTED_VALUE"""),"Negative")</f>
        <v>Negative</v>
      </c>
      <c r="G380" s="10">
        <f>IFERROR(__xludf.DUMMYFUNCTION("""COMPUTED_VALUE"""),1.0)</f>
        <v>1</v>
      </c>
    </row>
    <row r="381">
      <c r="A381" s="6" t="str">
        <f>IFERROR(__xludf.DUMMYFUNCTION("""COMPUTED_VALUE"""),"FM50")</f>
        <v>FM50</v>
      </c>
      <c r="B381" s="6" t="str">
        <f>IFERROR(__xludf.DUMMYFUNCTION("""COMPUTED_VALUE"""),"RUN-BEND_2022-02-15_RFR-032")</f>
        <v>RUN-BEND_2022-02-15_RFR-032</v>
      </c>
      <c r="C381" s="7">
        <f>VLOOKUP(B381,'Run Reconcile'!A$2:B809,2,FALSE)</f>
        <v>44607</v>
      </c>
      <c r="D381" s="12">
        <f>IFERROR(__xludf.DUMMYFUNCTION("""COMPUTED_VALUE"""),44607.0)</f>
        <v>44607</v>
      </c>
      <c r="E381" s="13">
        <f>IFERROR(__xludf.DUMMYFUNCTION("""COMPUTED_VALUE"""),0.5372106481481751)</f>
        <v>0.5372106481</v>
      </c>
      <c r="F381" s="10" t="str">
        <f>IFERROR(__xludf.DUMMYFUNCTION("""COMPUTED_VALUE"""),"Negative")</f>
        <v>Negative</v>
      </c>
      <c r="G381" s="10">
        <f>IFERROR(__xludf.DUMMYFUNCTION("""COMPUTED_VALUE"""),1.0)</f>
        <v>1</v>
      </c>
    </row>
    <row r="382">
      <c r="A382" s="6" t="str">
        <f>IFERROR(__xludf.DUMMYFUNCTION("""COMPUTED_VALUE"""),"MA408")</f>
        <v>MA408</v>
      </c>
      <c r="B382" s="6" t="str">
        <f>IFERROR(__xludf.DUMMYFUNCTION("""COMPUTED_VALUE"""),"RUN-BEND_2022-02-17_RFR-035")</f>
        <v>RUN-BEND_2022-02-17_RFR-035</v>
      </c>
      <c r="C382" s="7">
        <f>VLOOKUP(B382,'Run Reconcile'!A$2:B809,2,FALSE)</f>
        <v>44609</v>
      </c>
      <c r="D382" s="12">
        <f>IFERROR(__xludf.DUMMYFUNCTION("""COMPUTED_VALUE"""),44609.0)</f>
        <v>44609</v>
      </c>
      <c r="E382" s="13">
        <f>IFERROR(__xludf.DUMMYFUNCTION("""COMPUTED_VALUE"""),0.28282407407459687)</f>
        <v>0.2828240741</v>
      </c>
      <c r="F382" s="10" t="str">
        <f>IFERROR(__xludf.DUMMYFUNCTION("""COMPUTED_VALUE"""),"Negative")</f>
        <v>Negative</v>
      </c>
      <c r="G382" s="10">
        <f>IFERROR(__xludf.DUMMYFUNCTION("""COMPUTED_VALUE"""),1.0)</f>
        <v>1</v>
      </c>
    </row>
    <row r="383">
      <c r="A383" s="6" t="str">
        <f>IFERROR(__xludf.DUMMYFUNCTION("""COMPUTED_VALUE"""),"MA226")</f>
        <v>MA226</v>
      </c>
      <c r="B383" s="6" t="str">
        <f>IFERROR(__xludf.DUMMYFUNCTION("""COMPUTED_VALUE"""),"RUN-BEND_2022-02-17_RFR-035")</f>
        <v>RUN-BEND_2022-02-17_RFR-035</v>
      </c>
      <c r="C383" s="7">
        <f>VLOOKUP(B383,'Run Reconcile'!A$2:B809,2,FALSE)</f>
        <v>44609</v>
      </c>
      <c r="D383" s="12">
        <f>IFERROR(__xludf.DUMMYFUNCTION("""COMPUTED_VALUE"""),44609.0)</f>
        <v>44609</v>
      </c>
      <c r="E383" s="13">
        <f>IFERROR(__xludf.DUMMYFUNCTION("""COMPUTED_VALUE"""),0.2925578703689098)</f>
        <v>0.2925578704</v>
      </c>
      <c r="F383" s="10" t="str">
        <f>IFERROR(__xludf.DUMMYFUNCTION("""COMPUTED_VALUE"""),"Negative")</f>
        <v>Negative</v>
      </c>
      <c r="G383" s="10">
        <f>IFERROR(__xludf.DUMMYFUNCTION("""COMPUTED_VALUE"""),1.0)</f>
        <v>1</v>
      </c>
    </row>
    <row r="384">
      <c r="A384" s="6" t="str">
        <f>IFERROR(__xludf.DUMMYFUNCTION("""COMPUTED_VALUE"""),"MAX117")</f>
        <v>MAX117</v>
      </c>
      <c r="B384" s="6" t="str">
        <f>IFERROR(__xludf.DUMMYFUNCTION("""COMPUTED_VALUE"""),"RUN-BEND_2022-02-17_RFR-035")</f>
        <v>RUN-BEND_2022-02-17_RFR-035</v>
      </c>
      <c r="C384" s="7">
        <f>VLOOKUP(B384,'Run Reconcile'!A$2:B809,2,FALSE)</f>
        <v>44609</v>
      </c>
      <c r="D384" s="12">
        <f>IFERROR(__xludf.DUMMYFUNCTION("""COMPUTED_VALUE"""),44609.0)</f>
        <v>44609</v>
      </c>
      <c r="E384" s="13">
        <f>IFERROR(__xludf.DUMMYFUNCTION("""COMPUTED_VALUE"""),0.29351851851970423)</f>
        <v>0.2935185185</v>
      </c>
      <c r="F384" s="10" t="str">
        <f>IFERROR(__xludf.DUMMYFUNCTION("""COMPUTED_VALUE"""),"Negative")</f>
        <v>Negative</v>
      </c>
      <c r="G384" s="10">
        <f>IFERROR(__xludf.DUMMYFUNCTION("""COMPUTED_VALUE"""),1.0)</f>
        <v>1</v>
      </c>
    </row>
    <row r="385">
      <c r="A385" s="6" t="str">
        <f>IFERROR(__xludf.DUMMYFUNCTION("""COMPUTED_VALUE"""),"MAX115")</f>
        <v>MAX115</v>
      </c>
      <c r="B385" s="6" t="str">
        <f>IFERROR(__xludf.DUMMYFUNCTION("""COMPUTED_VALUE"""),"RUN-BEND_2022-02-17_RFR-035")</f>
        <v>RUN-BEND_2022-02-17_RFR-035</v>
      </c>
      <c r="C385" s="7">
        <f>VLOOKUP(B385,'Run Reconcile'!A$2:B809,2,FALSE)</f>
        <v>44609</v>
      </c>
      <c r="D385" s="12">
        <f>IFERROR(__xludf.DUMMYFUNCTION("""COMPUTED_VALUE"""),44609.0)</f>
        <v>44609</v>
      </c>
      <c r="E385" s="13">
        <f>IFERROR(__xludf.DUMMYFUNCTION("""COMPUTED_VALUE"""),0.2938541666662786)</f>
        <v>0.2938541667</v>
      </c>
      <c r="F385" s="10" t="str">
        <f>IFERROR(__xludf.DUMMYFUNCTION("""COMPUTED_VALUE"""),"Negative")</f>
        <v>Negative</v>
      </c>
      <c r="G385" s="10">
        <f>IFERROR(__xludf.DUMMYFUNCTION("""COMPUTED_VALUE"""),1.0)</f>
        <v>1</v>
      </c>
    </row>
    <row r="386">
      <c r="A386" s="6" t="str">
        <f>IFERROR(__xludf.DUMMYFUNCTION("""COMPUTED_VALUE"""),"MAX8")</f>
        <v>MAX8</v>
      </c>
      <c r="B386" s="6" t="str">
        <f>IFERROR(__xludf.DUMMYFUNCTION("""COMPUTED_VALUE"""),"RUN-BEND_2022-02-17_RFR-035")</f>
        <v>RUN-BEND_2022-02-17_RFR-035</v>
      </c>
      <c r="C386" s="7">
        <f>VLOOKUP(B386,'Run Reconcile'!A$2:B809,2,FALSE)</f>
        <v>44609</v>
      </c>
      <c r="D386" s="12">
        <f>IFERROR(__xludf.DUMMYFUNCTION("""COMPUTED_VALUE"""),44609.0)</f>
        <v>44609</v>
      </c>
      <c r="E386" s="13">
        <f>IFERROR(__xludf.DUMMYFUNCTION("""COMPUTED_VALUE"""),0.2951736111099308)</f>
        <v>0.2951736111</v>
      </c>
      <c r="F386" s="10" t="str">
        <f>IFERROR(__xludf.DUMMYFUNCTION("""COMPUTED_VALUE"""),"Negative")</f>
        <v>Negative</v>
      </c>
      <c r="G386" s="10">
        <f>IFERROR(__xludf.DUMMYFUNCTION("""COMPUTED_VALUE"""),1.0)</f>
        <v>1</v>
      </c>
    </row>
    <row r="387">
      <c r="A387" s="6" t="str">
        <f>IFERROR(__xludf.DUMMYFUNCTION("""COMPUTED_VALUE"""),"FM3")</f>
        <v>FM3</v>
      </c>
      <c r="B387" s="6" t="str">
        <f>IFERROR(__xludf.DUMMYFUNCTION("""COMPUTED_VALUE"""),"RUN-BEND_2022-02-17_RFR-035")</f>
        <v>RUN-BEND_2022-02-17_RFR-035</v>
      </c>
      <c r="C387" s="7">
        <f>VLOOKUP(B387,'Run Reconcile'!A$2:B809,2,FALSE)</f>
        <v>44609</v>
      </c>
      <c r="D387" s="12">
        <f>IFERROR(__xludf.DUMMYFUNCTION("""COMPUTED_VALUE"""),44609.0)</f>
        <v>44609</v>
      </c>
      <c r="E387" s="13">
        <f>IFERROR(__xludf.DUMMYFUNCTION("""COMPUTED_VALUE"""),0.3042824074072996)</f>
        <v>0.3042824074</v>
      </c>
      <c r="F387" s="10" t="str">
        <f>IFERROR(__xludf.DUMMYFUNCTION("""COMPUTED_VALUE"""),"Negative")</f>
        <v>Negative</v>
      </c>
      <c r="G387" s="10">
        <f>IFERROR(__xludf.DUMMYFUNCTION("""COMPUTED_VALUE"""),1.0)</f>
        <v>1</v>
      </c>
    </row>
    <row r="388">
      <c r="A388" s="6" t="str">
        <f>IFERROR(__xludf.DUMMYFUNCTION("""COMPUTED_VALUE"""),"FM57")</f>
        <v>FM57</v>
      </c>
      <c r="B388" s="6" t="str">
        <f>IFERROR(__xludf.DUMMYFUNCTION("""COMPUTED_VALUE"""),"RUN-BEND_2022-02-17_RFR-035")</f>
        <v>RUN-BEND_2022-02-17_RFR-035</v>
      </c>
      <c r="C388" s="7">
        <f>VLOOKUP(B388,'Run Reconcile'!A$2:B809,2,FALSE)</f>
        <v>44609</v>
      </c>
      <c r="D388" s="12">
        <f>IFERROR(__xludf.DUMMYFUNCTION("""COMPUTED_VALUE"""),44609.0)</f>
        <v>44609</v>
      </c>
      <c r="E388" s="13">
        <f>IFERROR(__xludf.DUMMYFUNCTION("""COMPUTED_VALUE"""),0.3059953703705105)</f>
        <v>0.3059953704</v>
      </c>
      <c r="F388" s="10" t="str">
        <f>IFERROR(__xludf.DUMMYFUNCTION("""COMPUTED_VALUE"""),"Negative")</f>
        <v>Negative</v>
      </c>
      <c r="G388" s="10">
        <f>IFERROR(__xludf.DUMMYFUNCTION("""COMPUTED_VALUE"""),1.0)</f>
        <v>1</v>
      </c>
    </row>
    <row r="389">
      <c r="A389" s="6" t="str">
        <f>IFERROR(__xludf.DUMMYFUNCTION("""COMPUTED_VALUE"""),"FM432")</f>
        <v>FM432</v>
      </c>
      <c r="B389" s="6" t="str">
        <f>IFERROR(__xludf.DUMMYFUNCTION("""COMPUTED_VALUE"""),"RUN-BEND_2022-02-17_RFR-035")</f>
        <v>RUN-BEND_2022-02-17_RFR-035</v>
      </c>
      <c r="C389" s="7">
        <f>VLOOKUP(B389,'Run Reconcile'!A$2:B809,2,FALSE)</f>
        <v>44609</v>
      </c>
      <c r="D389" s="12">
        <f>IFERROR(__xludf.DUMMYFUNCTION("""COMPUTED_VALUE"""),44609.0)</f>
        <v>44609</v>
      </c>
      <c r="E389" s="13">
        <f>IFERROR(__xludf.DUMMYFUNCTION("""COMPUTED_VALUE"""),0.30836805555736646)</f>
        <v>0.3083680556</v>
      </c>
      <c r="F389" s="10" t="str">
        <f>IFERROR(__xludf.DUMMYFUNCTION("""COMPUTED_VALUE"""),"Negative")</f>
        <v>Negative</v>
      </c>
      <c r="G389" s="10">
        <f>IFERROR(__xludf.DUMMYFUNCTION("""COMPUTED_VALUE"""),1.0)</f>
        <v>1</v>
      </c>
    </row>
    <row r="390">
      <c r="A390" s="6" t="str">
        <f>IFERROR(__xludf.DUMMYFUNCTION("""COMPUTED_VALUE"""),"FM429")</f>
        <v>FM429</v>
      </c>
      <c r="B390" s="6" t="str">
        <f>IFERROR(__xludf.DUMMYFUNCTION("""COMPUTED_VALUE"""),"RUN-BEND_2022-02-17_RFR-035")</f>
        <v>RUN-BEND_2022-02-17_RFR-035</v>
      </c>
      <c r="C390" s="7">
        <f>VLOOKUP(B390,'Run Reconcile'!A$2:B809,2,FALSE)</f>
        <v>44609</v>
      </c>
      <c r="D390" s="12">
        <f>IFERROR(__xludf.DUMMYFUNCTION("""COMPUTED_VALUE"""),44609.0)</f>
        <v>44609</v>
      </c>
      <c r="E390" s="13">
        <f>IFERROR(__xludf.DUMMYFUNCTION("""COMPUTED_VALUE"""),0.30958333333182964)</f>
        <v>0.3095833333</v>
      </c>
      <c r="F390" s="10" t="str">
        <f>IFERROR(__xludf.DUMMYFUNCTION("""COMPUTED_VALUE"""),"Negative")</f>
        <v>Negative</v>
      </c>
      <c r="G390" s="10">
        <f>IFERROR(__xludf.DUMMYFUNCTION("""COMPUTED_VALUE"""),1.0)</f>
        <v>1</v>
      </c>
    </row>
    <row r="391">
      <c r="A391" s="6" t="str">
        <f>IFERROR(__xludf.DUMMYFUNCTION("""COMPUTED_VALUE"""),"FM443")</f>
        <v>FM443</v>
      </c>
      <c r="B391" s="6" t="str">
        <f>IFERROR(__xludf.DUMMYFUNCTION("""COMPUTED_VALUE"""),"RUN-BEND_2022-02-17_RFR-035")</f>
        <v>RUN-BEND_2022-02-17_RFR-035</v>
      </c>
      <c r="C391" s="7">
        <f>VLOOKUP(B391,'Run Reconcile'!A$2:B809,2,FALSE)</f>
        <v>44609</v>
      </c>
      <c r="D391" s="12">
        <f>IFERROR(__xludf.DUMMYFUNCTION("""COMPUTED_VALUE"""),44609.0)</f>
        <v>44609</v>
      </c>
      <c r="E391" s="13">
        <f>IFERROR(__xludf.DUMMYFUNCTION("""COMPUTED_VALUE"""),0.3115624999991269)</f>
        <v>0.3115625</v>
      </c>
      <c r="F391" s="10" t="str">
        <f>IFERROR(__xludf.DUMMYFUNCTION("""COMPUTED_VALUE"""),"Negative")</f>
        <v>Negative</v>
      </c>
      <c r="G391" s="10">
        <f>IFERROR(__xludf.DUMMYFUNCTION("""COMPUTED_VALUE"""),1.0)</f>
        <v>1</v>
      </c>
    </row>
    <row r="392">
      <c r="A392" s="6" t="str">
        <f>IFERROR(__xludf.DUMMYFUNCTION("""COMPUTED_VALUE"""),"FM9")</f>
        <v>FM9</v>
      </c>
      <c r="B392" s="6" t="str">
        <f>IFERROR(__xludf.DUMMYFUNCTION("""COMPUTED_VALUE"""),"RUN-BEND_2022-02-17_RFR-035")</f>
        <v>RUN-BEND_2022-02-17_RFR-035</v>
      </c>
      <c r="C392" s="7">
        <f>VLOOKUP(B392,'Run Reconcile'!A$2:B809,2,FALSE)</f>
        <v>44609</v>
      </c>
      <c r="D392" s="12">
        <f>IFERROR(__xludf.DUMMYFUNCTION("""COMPUTED_VALUE"""),44609.0)</f>
        <v>44609</v>
      </c>
      <c r="E392" s="13">
        <f>IFERROR(__xludf.DUMMYFUNCTION("""COMPUTED_VALUE"""),0.31168981481459923)</f>
        <v>0.3116898148</v>
      </c>
      <c r="F392" s="10" t="str">
        <f>IFERROR(__xludf.DUMMYFUNCTION("""COMPUTED_VALUE"""),"Negative")</f>
        <v>Negative</v>
      </c>
      <c r="G392" s="10">
        <f>IFERROR(__xludf.DUMMYFUNCTION("""COMPUTED_VALUE"""),1.0)</f>
        <v>1</v>
      </c>
    </row>
    <row r="393">
      <c r="A393" s="6" t="str">
        <f>IFERROR(__xludf.DUMMYFUNCTION("""COMPUTED_VALUE"""),"MA182")</f>
        <v>MA182</v>
      </c>
      <c r="B393" s="6" t="str">
        <f>IFERROR(__xludf.DUMMYFUNCTION("""COMPUTED_VALUE"""),"RUN-BEND_2022-02-17_RFR-035")</f>
        <v>RUN-BEND_2022-02-17_RFR-035</v>
      </c>
      <c r="C393" s="7">
        <f>VLOOKUP(B393,'Run Reconcile'!A$2:B809,2,FALSE)</f>
        <v>44609</v>
      </c>
      <c r="D393" s="12">
        <f>IFERROR(__xludf.DUMMYFUNCTION("""COMPUTED_VALUE"""),44609.0)</f>
        <v>44609</v>
      </c>
      <c r="E393" s="13">
        <f>IFERROR(__xludf.DUMMYFUNCTION("""COMPUTED_VALUE"""),0.3155902777762094)</f>
        <v>0.3155902778</v>
      </c>
      <c r="F393" s="10" t="str">
        <f>IFERROR(__xludf.DUMMYFUNCTION("""COMPUTED_VALUE"""),"Negative")</f>
        <v>Negative</v>
      </c>
      <c r="G393" s="10">
        <f>IFERROR(__xludf.DUMMYFUNCTION("""COMPUTED_VALUE"""),1.0)</f>
        <v>1</v>
      </c>
    </row>
    <row r="394">
      <c r="A394" s="6" t="str">
        <f>IFERROR(__xludf.DUMMYFUNCTION("""COMPUTED_VALUE"""),"MA206")</f>
        <v>MA206</v>
      </c>
      <c r="B394" s="6" t="str">
        <f>IFERROR(__xludf.DUMMYFUNCTION("""COMPUTED_VALUE"""),"RUN-BEND_2022-02-17_RFR-035")</f>
        <v>RUN-BEND_2022-02-17_RFR-035</v>
      </c>
      <c r="C394" s="7">
        <f>VLOOKUP(B394,'Run Reconcile'!A$2:B809,2,FALSE)</f>
        <v>44609</v>
      </c>
      <c r="D394" s="12">
        <f>IFERROR(__xludf.DUMMYFUNCTION("""COMPUTED_VALUE"""),44609.0)</f>
        <v>44609</v>
      </c>
      <c r="E394" s="13">
        <f>IFERROR(__xludf.DUMMYFUNCTION("""COMPUTED_VALUE"""),0.3156365740724141)</f>
        <v>0.3156365741</v>
      </c>
      <c r="F394" s="10" t="str">
        <f>IFERROR(__xludf.DUMMYFUNCTION("""COMPUTED_VALUE"""),"Negative")</f>
        <v>Negative</v>
      </c>
      <c r="G394" s="10">
        <f>IFERROR(__xludf.DUMMYFUNCTION("""COMPUTED_VALUE"""),1.0)</f>
        <v>1</v>
      </c>
    </row>
    <row r="395">
      <c r="A395" s="6" t="str">
        <f>IFERROR(__xludf.DUMMYFUNCTION("""COMPUTED_VALUE"""),"MA255")</f>
        <v>MA255</v>
      </c>
      <c r="B395" s="6" t="str">
        <f>IFERROR(__xludf.DUMMYFUNCTION("""COMPUTED_VALUE"""),"RUN-BEND_2022-02-17_RFR-035")</f>
        <v>RUN-BEND_2022-02-17_RFR-035</v>
      </c>
      <c r="C395" s="7">
        <f>VLOOKUP(B395,'Run Reconcile'!A$2:B809,2,FALSE)</f>
        <v>44609</v>
      </c>
      <c r="D395" s="12">
        <f>IFERROR(__xludf.DUMMYFUNCTION("""COMPUTED_VALUE"""),44609.0)</f>
        <v>44609</v>
      </c>
      <c r="E395" s="13">
        <f>IFERROR(__xludf.DUMMYFUNCTION("""COMPUTED_VALUE"""),0.3160300925919728)</f>
        <v>0.3160300926</v>
      </c>
      <c r="F395" s="10" t="str">
        <f>IFERROR(__xludf.DUMMYFUNCTION("""COMPUTED_VALUE"""),"Negative")</f>
        <v>Negative</v>
      </c>
      <c r="G395" s="10">
        <f>IFERROR(__xludf.DUMMYFUNCTION("""COMPUTED_VALUE"""),1.0)</f>
        <v>1</v>
      </c>
    </row>
    <row r="396">
      <c r="A396" s="6" t="str">
        <f>IFERROR(__xludf.DUMMYFUNCTION("""COMPUTED_VALUE"""),"FM819")</f>
        <v>FM819</v>
      </c>
      <c r="B396" s="6" t="str">
        <f>IFERROR(__xludf.DUMMYFUNCTION("""COMPUTED_VALUE"""),"RUN-BEND_2022-02-17_RFR-035")</f>
        <v>RUN-BEND_2022-02-17_RFR-035</v>
      </c>
      <c r="C396" s="7">
        <f>VLOOKUP(B396,'Run Reconcile'!A$2:B809,2,FALSE)</f>
        <v>44609</v>
      </c>
      <c r="D396" s="12">
        <f>IFERROR(__xludf.DUMMYFUNCTION("""COMPUTED_VALUE"""),44609.0)</f>
        <v>44609</v>
      </c>
      <c r="E396" s="13">
        <f>IFERROR(__xludf.DUMMYFUNCTION("""COMPUTED_VALUE"""),0.31753472222044365)</f>
        <v>0.3175347222</v>
      </c>
      <c r="F396" s="10" t="str">
        <f>IFERROR(__xludf.DUMMYFUNCTION("""COMPUTED_VALUE"""),"Negative")</f>
        <v>Negative</v>
      </c>
      <c r="G396" s="10">
        <f>IFERROR(__xludf.DUMMYFUNCTION("""COMPUTED_VALUE"""),1.0)</f>
        <v>1</v>
      </c>
    </row>
    <row r="397">
      <c r="A397" s="6" t="str">
        <f>IFERROR(__xludf.DUMMYFUNCTION("""COMPUTED_VALUE"""),"MA259")</f>
        <v>MA259</v>
      </c>
      <c r="B397" s="6" t="str">
        <f>IFERROR(__xludf.DUMMYFUNCTION("""COMPUTED_VALUE"""),"RUN-BEND_2022-02-17_RFR-035")</f>
        <v>RUN-BEND_2022-02-17_RFR-035</v>
      </c>
      <c r="C397" s="7">
        <f>VLOOKUP(B397,'Run Reconcile'!A$2:B809,2,FALSE)</f>
        <v>44609</v>
      </c>
      <c r="D397" s="12">
        <f>IFERROR(__xludf.DUMMYFUNCTION("""COMPUTED_VALUE"""),44609.0)</f>
        <v>44609</v>
      </c>
      <c r="E397" s="13">
        <f>IFERROR(__xludf.DUMMYFUNCTION("""COMPUTED_VALUE"""),0.31873842592540313)</f>
        <v>0.3187384259</v>
      </c>
      <c r="F397" s="10" t="str">
        <f>IFERROR(__xludf.DUMMYFUNCTION("""COMPUTED_VALUE"""),"Negative")</f>
        <v>Negative</v>
      </c>
      <c r="G397" s="10">
        <f>IFERROR(__xludf.DUMMYFUNCTION("""COMPUTED_VALUE"""),1.0)</f>
        <v>1</v>
      </c>
    </row>
    <row r="398">
      <c r="A398" s="6" t="str">
        <f>IFERROR(__xludf.DUMMYFUNCTION("""COMPUTED_VALUE"""),"MA181")</f>
        <v>MA181</v>
      </c>
      <c r="B398" s="6" t="str">
        <f>IFERROR(__xludf.DUMMYFUNCTION("""COMPUTED_VALUE"""),"RUN-BEND_2022-02-17_RFR-035")</f>
        <v>RUN-BEND_2022-02-17_RFR-035</v>
      </c>
      <c r="C398" s="7">
        <f>VLOOKUP(B398,'Run Reconcile'!A$2:B809,2,FALSE)</f>
        <v>44609</v>
      </c>
      <c r="D398" s="12">
        <f>IFERROR(__xludf.DUMMYFUNCTION("""COMPUTED_VALUE"""),44609.0)</f>
        <v>44609</v>
      </c>
      <c r="E398" s="13">
        <f>IFERROR(__xludf.DUMMYFUNCTION("""COMPUTED_VALUE"""),0.3194328703721112)</f>
        <v>0.3194328704</v>
      </c>
      <c r="F398" s="10" t="str">
        <f>IFERROR(__xludf.DUMMYFUNCTION("""COMPUTED_VALUE"""),"Negative")</f>
        <v>Negative</v>
      </c>
      <c r="G398" s="10">
        <f>IFERROR(__xludf.DUMMYFUNCTION("""COMPUTED_VALUE"""),1.0)</f>
        <v>1</v>
      </c>
    </row>
    <row r="399">
      <c r="A399" s="6" t="str">
        <f>IFERROR(__xludf.DUMMYFUNCTION("""COMPUTED_VALUE"""),"MAX101")</f>
        <v>MAX101</v>
      </c>
      <c r="B399" s="6" t="str">
        <f>IFERROR(__xludf.DUMMYFUNCTION("""COMPUTED_VALUE"""),"RUN-BEND_2022-02-17_RFR-035")</f>
        <v>RUN-BEND_2022-02-17_RFR-035</v>
      </c>
      <c r="C399" s="7">
        <f>VLOOKUP(B399,'Run Reconcile'!A$2:B809,2,FALSE)</f>
        <v>44609</v>
      </c>
      <c r="D399" s="12">
        <f>IFERROR(__xludf.DUMMYFUNCTION("""COMPUTED_VALUE"""),44609.0)</f>
        <v>44609</v>
      </c>
      <c r="E399" s="13">
        <f>IFERROR(__xludf.DUMMYFUNCTION("""COMPUTED_VALUE"""),0.3199768518534256)</f>
        <v>0.3199768519</v>
      </c>
      <c r="F399" s="10" t="str">
        <f>IFERROR(__xludf.DUMMYFUNCTION("""COMPUTED_VALUE"""),"Negative")</f>
        <v>Negative</v>
      </c>
      <c r="G399" s="10">
        <f>IFERROR(__xludf.DUMMYFUNCTION("""COMPUTED_VALUE"""),1.0)</f>
        <v>1</v>
      </c>
    </row>
    <row r="400">
      <c r="A400" s="6" t="str">
        <f>IFERROR(__xludf.DUMMYFUNCTION("""COMPUTED_VALUE"""),"FM996")</f>
        <v>FM996</v>
      </c>
      <c r="B400" s="6" t="str">
        <f>IFERROR(__xludf.DUMMYFUNCTION("""COMPUTED_VALUE"""),"RUN-BEND_2022-02-17_RFR-035")</f>
        <v>RUN-BEND_2022-02-17_RFR-035</v>
      </c>
      <c r="C400" s="7">
        <f>VLOOKUP(B400,'Run Reconcile'!A$2:B809,2,FALSE)</f>
        <v>44609</v>
      </c>
      <c r="D400" s="12">
        <f>IFERROR(__xludf.DUMMYFUNCTION("""COMPUTED_VALUE"""),44609.0)</f>
        <v>44609</v>
      </c>
      <c r="E400" s="13">
        <f>IFERROR(__xludf.DUMMYFUNCTION("""COMPUTED_VALUE"""),0.32748842592627625)</f>
        <v>0.3274884259</v>
      </c>
      <c r="F400" s="10" t="str">
        <f>IFERROR(__xludf.DUMMYFUNCTION("""COMPUTED_VALUE"""),"Inconclusive")</f>
        <v>Inconclusive</v>
      </c>
      <c r="G400" s="10">
        <f>IFERROR(__xludf.DUMMYFUNCTION("""COMPUTED_VALUE"""),1.0)</f>
        <v>1</v>
      </c>
    </row>
    <row r="401">
      <c r="A401" s="6" t="str">
        <f>IFERROR(__xludf.DUMMYFUNCTION("""COMPUTED_VALUE"""),"FM56")</f>
        <v>FM56</v>
      </c>
      <c r="B401" s="6" t="str">
        <f>IFERROR(__xludf.DUMMYFUNCTION("""COMPUTED_VALUE"""),"RUN-BEND_2022-02-17_RFR-035")</f>
        <v>RUN-BEND_2022-02-17_RFR-035</v>
      </c>
      <c r="C401" s="7">
        <f>VLOOKUP(B401,'Run Reconcile'!A$2:B809,2,FALSE)</f>
        <v>44609</v>
      </c>
      <c r="D401" s="12">
        <f>IFERROR(__xludf.DUMMYFUNCTION("""COMPUTED_VALUE"""),44609.0)</f>
        <v>44609</v>
      </c>
      <c r="E401" s="13">
        <f>IFERROR(__xludf.DUMMYFUNCTION("""COMPUTED_VALUE"""),0.32755787036876427)</f>
        <v>0.3275578704</v>
      </c>
      <c r="F401" s="10" t="str">
        <f>IFERROR(__xludf.DUMMYFUNCTION("""COMPUTED_VALUE"""),"Negative")</f>
        <v>Negative</v>
      </c>
      <c r="G401" s="10">
        <f>IFERROR(__xludf.DUMMYFUNCTION("""COMPUTED_VALUE"""),1.0)</f>
        <v>1</v>
      </c>
    </row>
    <row r="402">
      <c r="A402" s="6" t="str">
        <f>IFERROR(__xludf.DUMMYFUNCTION("""COMPUTED_VALUE"""),"FM33")</f>
        <v>FM33</v>
      </c>
      <c r="B402" s="6" t="str">
        <f>IFERROR(__xludf.DUMMYFUNCTION("""COMPUTED_VALUE"""),"RUN-BEND_2022-02-17_RFR-035")</f>
        <v>RUN-BEND_2022-02-17_RFR-035</v>
      </c>
      <c r="C402" s="7">
        <f>VLOOKUP(B402,'Run Reconcile'!A$2:B809,2,FALSE)</f>
        <v>44609</v>
      </c>
      <c r="D402" s="12">
        <f>IFERROR(__xludf.DUMMYFUNCTION("""COMPUTED_VALUE"""),44609.0)</f>
        <v>44609</v>
      </c>
      <c r="E402" s="13">
        <f>IFERROR(__xludf.DUMMYFUNCTION("""COMPUTED_VALUE"""),0.32760416666496894)</f>
        <v>0.3276041667</v>
      </c>
      <c r="F402" s="10" t="str">
        <f>IFERROR(__xludf.DUMMYFUNCTION("""COMPUTED_VALUE"""),"Negative")</f>
        <v>Negative</v>
      </c>
      <c r="G402" s="10">
        <f>IFERROR(__xludf.DUMMYFUNCTION("""COMPUTED_VALUE"""),1.0)</f>
        <v>1</v>
      </c>
    </row>
    <row r="403">
      <c r="A403" s="6" t="str">
        <f>IFERROR(__xludf.DUMMYFUNCTION("""COMPUTED_VALUE"""),"FM472")</f>
        <v>FM472</v>
      </c>
      <c r="B403" s="6" t="str">
        <f>IFERROR(__xludf.DUMMYFUNCTION("""COMPUTED_VALUE"""),"RUN-BEND_2022-02-17_RFR-035")</f>
        <v>RUN-BEND_2022-02-17_RFR-035</v>
      </c>
      <c r="C403" s="7">
        <f>VLOOKUP(B403,'Run Reconcile'!A$2:B809,2,FALSE)</f>
        <v>44609</v>
      </c>
      <c r="D403" s="12">
        <f>IFERROR(__xludf.DUMMYFUNCTION("""COMPUTED_VALUE"""),44609.0)</f>
        <v>44609</v>
      </c>
      <c r="E403" s="13">
        <f>IFERROR(__xludf.DUMMYFUNCTION("""COMPUTED_VALUE"""),0.32766203703795327)</f>
        <v>0.327662037</v>
      </c>
      <c r="F403" s="10" t="str">
        <f>IFERROR(__xludf.DUMMYFUNCTION("""COMPUTED_VALUE"""),"Negative")</f>
        <v>Negative</v>
      </c>
      <c r="G403" s="10">
        <f>IFERROR(__xludf.DUMMYFUNCTION("""COMPUTED_VALUE"""),1.0)</f>
        <v>1</v>
      </c>
    </row>
    <row r="404">
      <c r="A404" s="6" t="str">
        <f>IFERROR(__xludf.DUMMYFUNCTION("""COMPUTED_VALUE"""),"FM967")</f>
        <v>FM967</v>
      </c>
      <c r="B404" s="6" t="str">
        <f>IFERROR(__xludf.DUMMYFUNCTION("""COMPUTED_VALUE"""),"RUN-BEND_2022-02-17_RFR-035")</f>
        <v>RUN-BEND_2022-02-17_RFR-035</v>
      </c>
      <c r="C404" s="7">
        <f>VLOOKUP(B404,'Run Reconcile'!A$2:B809,2,FALSE)</f>
        <v>44609</v>
      </c>
      <c r="D404" s="12">
        <f>IFERROR(__xludf.DUMMYFUNCTION("""COMPUTED_VALUE"""),44609.0)</f>
        <v>44609</v>
      </c>
      <c r="E404" s="13">
        <f>IFERROR(__xludf.DUMMYFUNCTION("""COMPUTED_VALUE"""),0.3283101851848187)</f>
        <v>0.3283101852</v>
      </c>
      <c r="F404" s="10" t="str">
        <f>IFERROR(__xludf.DUMMYFUNCTION("""COMPUTED_VALUE"""),"Negative")</f>
        <v>Negative</v>
      </c>
      <c r="G404" s="10">
        <f>IFERROR(__xludf.DUMMYFUNCTION("""COMPUTED_VALUE"""),1.0)</f>
        <v>1</v>
      </c>
    </row>
    <row r="405">
      <c r="A405" s="6" t="str">
        <f>IFERROR(__xludf.DUMMYFUNCTION("""COMPUTED_VALUE"""),"FM816")</f>
        <v>FM816</v>
      </c>
      <c r="B405" s="6" t="str">
        <f>IFERROR(__xludf.DUMMYFUNCTION("""COMPUTED_VALUE"""),"RUN-BEND_2022-02-17_RFR-035")</f>
        <v>RUN-BEND_2022-02-17_RFR-035</v>
      </c>
      <c r="C405" s="7">
        <f>VLOOKUP(B405,'Run Reconcile'!A$2:B809,2,FALSE)</f>
        <v>44609</v>
      </c>
      <c r="D405" s="12">
        <f>IFERROR(__xludf.DUMMYFUNCTION("""COMPUTED_VALUE"""),44609.0)</f>
        <v>44609</v>
      </c>
      <c r="E405" s="13">
        <f>IFERROR(__xludf.DUMMYFUNCTION("""COMPUTED_VALUE"""),0.3318981481497758)</f>
        <v>0.3318981481</v>
      </c>
      <c r="F405" s="10" t="str">
        <f>IFERROR(__xludf.DUMMYFUNCTION("""COMPUTED_VALUE"""),"Negative")</f>
        <v>Negative</v>
      </c>
      <c r="G405" s="10">
        <f>IFERROR(__xludf.DUMMYFUNCTION("""COMPUTED_VALUE"""),1.0)</f>
        <v>1</v>
      </c>
    </row>
    <row r="406">
      <c r="A406" s="6" t="str">
        <f>IFERROR(__xludf.DUMMYFUNCTION("""COMPUTED_VALUE"""),"FM972")</f>
        <v>FM972</v>
      </c>
      <c r="B406" s="6" t="str">
        <f>IFERROR(__xludf.DUMMYFUNCTION("""COMPUTED_VALUE"""),"RUN-BEND_2022-02-17_RFR-035")</f>
        <v>RUN-BEND_2022-02-17_RFR-035</v>
      </c>
      <c r="C406" s="7">
        <f>VLOOKUP(B406,'Run Reconcile'!A$2:B809,2,FALSE)</f>
        <v>44609</v>
      </c>
      <c r="D406" s="12">
        <f>IFERROR(__xludf.DUMMYFUNCTION("""COMPUTED_VALUE"""),44609.0)</f>
        <v>44609</v>
      </c>
      <c r="E406" s="13">
        <f>IFERROR(__xludf.DUMMYFUNCTION("""COMPUTED_VALUE"""),0.33271990740831825)</f>
        <v>0.3327199074</v>
      </c>
      <c r="F406" s="10" t="str">
        <f>IFERROR(__xludf.DUMMYFUNCTION("""COMPUTED_VALUE"""),"Negative")</f>
        <v>Negative</v>
      </c>
      <c r="G406" s="10">
        <f>IFERROR(__xludf.DUMMYFUNCTION("""COMPUTED_VALUE"""),1.0)</f>
        <v>1</v>
      </c>
    </row>
    <row r="407">
      <c r="A407" s="6" t="str">
        <f>IFERROR(__xludf.DUMMYFUNCTION("""COMPUTED_VALUE"""),"MA292")</f>
        <v>MA292</v>
      </c>
      <c r="B407" s="6" t="str">
        <f>IFERROR(__xludf.DUMMYFUNCTION("""COMPUTED_VALUE"""),"RUN-BEND_2022-02-17_RFR-035")</f>
        <v>RUN-BEND_2022-02-17_RFR-035</v>
      </c>
      <c r="C407" s="7">
        <f>VLOOKUP(B407,'Run Reconcile'!A$2:B809,2,FALSE)</f>
        <v>44609</v>
      </c>
      <c r="D407" s="12">
        <f>IFERROR(__xludf.DUMMYFUNCTION("""COMPUTED_VALUE"""),44609.0)</f>
        <v>44609</v>
      </c>
      <c r="E407" s="13">
        <f>IFERROR(__xludf.DUMMYFUNCTION("""COMPUTED_VALUE"""),0.33399305555576575)</f>
        <v>0.3339930556</v>
      </c>
      <c r="F407" s="10" t="str">
        <f>IFERROR(__xludf.DUMMYFUNCTION("""COMPUTED_VALUE"""),"Negative")</f>
        <v>Negative</v>
      </c>
      <c r="G407" s="10">
        <f>IFERROR(__xludf.DUMMYFUNCTION("""COMPUTED_VALUE"""),1.0)</f>
        <v>1</v>
      </c>
    </row>
    <row r="408">
      <c r="A408" s="6" t="str">
        <f>IFERROR(__xludf.DUMMYFUNCTION("""COMPUTED_VALUE"""),"MA291")</f>
        <v>MA291</v>
      </c>
      <c r="B408" s="6" t="str">
        <f>IFERROR(__xludf.DUMMYFUNCTION("""COMPUTED_VALUE"""),"RUN-BEND_2022-02-17_RFR-035")</f>
        <v>RUN-BEND_2022-02-17_RFR-035</v>
      </c>
      <c r="C408" s="7">
        <f>VLOOKUP(B408,'Run Reconcile'!A$2:B809,2,FALSE)</f>
        <v>44609</v>
      </c>
      <c r="D408" s="12">
        <f>IFERROR(__xludf.DUMMYFUNCTION("""COMPUTED_VALUE"""),44609.0)</f>
        <v>44609</v>
      </c>
      <c r="E408" s="13">
        <f>IFERROR(__xludf.DUMMYFUNCTION("""COMPUTED_VALUE"""),0.33414351851752144)</f>
        <v>0.3341435185</v>
      </c>
      <c r="F408" s="10" t="str">
        <f>IFERROR(__xludf.DUMMYFUNCTION("""COMPUTED_VALUE"""),"Negative")</f>
        <v>Negative</v>
      </c>
      <c r="G408" s="10">
        <f>IFERROR(__xludf.DUMMYFUNCTION("""COMPUTED_VALUE"""),1.0)</f>
        <v>1</v>
      </c>
    </row>
    <row r="409">
      <c r="A409" s="6" t="str">
        <f>IFERROR(__xludf.DUMMYFUNCTION("""COMPUTED_VALUE"""),"MA1054")</f>
        <v>MA1054</v>
      </c>
      <c r="B409" s="6" t="str">
        <f>IFERROR(__xludf.DUMMYFUNCTION("""COMPUTED_VALUE"""),"RUN-BEND_2022-02-17_RFR-035")</f>
        <v>RUN-BEND_2022-02-17_RFR-035</v>
      </c>
      <c r="C409" s="7">
        <f>VLOOKUP(B409,'Run Reconcile'!A$2:B809,2,FALSE)</f>
        <v>44609</v>
      </c>
      <c r="D409" s="12">
        <f>IFERROR(__xludf.DUMMYFUNCTION("""COMPUTED_VALUE"""),44609.0)</f>
        <v>44609</v>
      </c>
      <c r="E409" s="13">
        <f>IFERROR(__xludf.DUMMYFUNCTION("""COMPUTED_VALUE"""),0.3371990740743058)</f>
        <v>0.3371990741</v>
      </c>
      <c r="F409" s="10" t="str">
        <f>IFERROR(__xludf.DUMMYFUNCTION("""COMPUTED_VALUE"""),"Negative")</f>
        <v>Negative</v>
      </c>
      <c r="G409" s="10">
        <f>IFERROR(__xludf.DUMMYFUNCTION("""COMPUTED_VALUE"""),1.0)</f>
        <v>1</v>
      </c>
    </row>
    <row r="410">
      <c r="A410" s="6" t="str">
        <f>IFERROR(__xludf.DUMMYFUNCTION("""COMPUTED_VALUE"""),"MA1087")</f>
        <v>MA1087</v>
      </c>
      <c r="B410" s="6" t="str">
        <f>IFERROR(__xludf.DUMMYFUNCTION("""COMPUTED_VALUE"""),"RUN-BEND_2022-02-17_RFR-035")</f>
        <v>RUN-BEND_2022-02-17_RFR-035</v>
      </c>
      <c r="C410" s="7">
        <f>VLOOKUP(B410,'Run Reconcile'!A$2:B809,2,FALSE)</f>
        <v>44609</v>
      </c>
      <c r="D410" s="12">
        <f>IFERROR(__xludf.DUMMYFUNCTION("""COMPUTED_VALUE"""),44609.0)</f>
        <v>44609</v>
      </c>
      <c r="E410" s="13">
        <f>IFERROR(__xludf.DUMMYFUNCTION("""COMPUTED_VALUE"""),0.3401967592581059)</f>
        <v>0.3401967593</v>
      </c>
      <c r="F410" s="10" t="str">
        <f>IFERROR(__xludf.DUMMYFUNCTION("""COMPUTED_VALUE"""),"Negative")</f>
        <v>Negative</v>
      </c>
      <c r="G410" s="10">
        <f>IFERROR(__xludf.DUMMYFUNCTION("""COMPUTED_VALUE"""),1.0)</f>
        <v>1</v>
      </c>
    </row>
    <row r="411">
      <c r="A411" s="6" t="str">
        <f>IFERROR(__xludf.DUMMYFUNCTION("""COMPUTED_VALUE"""),"MA237")</f>
        <v>MA237</v>
      </c>
      <c r="B411" s="6" t="str">
        <f>IFERROR(__xludf.DUMMYFUNCTION("""COMPUTED_VALUE"""),"RUN-BEND_2022-02-17_RFR-035")</f>
        <v>RUN-BEND_2022-02-17_RFR-035</v>
      </c>
      <c r="C411" s="7">
        <f>VLOOKUP(B411,'Run Reconcile'!A$2:B809,2,FALSE)</f>
        <v>44609</v>
      </c>
      <c r="D411" s="12">
        <f>IFERROR(__xludf.DUMMYFUNCTION("""COMPUTED_VALUE"""),44609.0)</f>
        <v>44609</v>
      </c>
      <c r="E411" s="13">
        <f>IFERROR(__xludf.DUMMYFUNCTION("""COMPUTED_VALUE"""),0.34398148148102337)</f>
        <v>0.3439814815</v>
      </c>
      <c r="F411" s="10" t="str">
        <f>IFERROR(__xludf.DUMMYFUNCTION("""COMPUTED_VALUE"""),"Negative")</f>
        <v>Negative</v>
      </c>
      <c r="G411" s="10">
        <f>IFERROR(__xludf.DUMMYFUNCTION("""COMPUTED_VALUE"""),1.0)</f>
        <v>1</v>
      </c>
    </row>
    <row r="412">
      <c r="A412" s="6" t="str">
        <f>IFERROR(__xludf.DUMMYFUNCTION("""COMPUTED_VALUE"""),"FM55")</f>
        <v>FM55</v>
      </c>
      <c r="B412" s="6" t="str">
        <f>IFERROR(__xludf.DUMMYFUNCTION("""COMPUTED_VALUE"""),"RUN-BEND_2022-02-17_RFR-035")</f>
        <v>RUN-BEND_2022-02-17_RFR-035</v>
      </c>
      <c r="C412" s="7">
        <f>VLOOKUP(B412,'Run Reconcile'!A$2:B809,2,FALSE)</f>
        <v>44609</v>
      </c>
      <c r="D412" s="12">
        <f>IFERROR(__xludf.DUMMYFUNCTION("""COMPUTED_VALUE"""),44609.0)</f>
        <v>44609</v>
      </c>
      <c r="E412" s="13">
        <f>IFERROR(__xludf.DUMMYFUNCTION("""COMPUTED_VALUE"""),0.34416666666584206)</f>
        <v>0.3441666667</v>
      </c>
      <c r="F412" s="10" t="str">
        <f>IFERROR(__xludf.DUMMYFUNCTION("""COMPUTED_VALUE"""),"Negative")</f>
        <v>Negative</v>
      </c>
      <c r="G412" s="10">
        <f>IFERROR(__xludf.DUMMYFUNCTION("""COMPUTED_VALUE"""),1.0)</f>
        <v>1</v>
      </c>
    </row>
    <row r="413">
      <c r="A413" s="6" t="str">
        <f>IFERROR(__xludf.DUMMYFUNCTION("""COMPUTED_VALUE"""),"FM26")</f>
        <v>FM26</v>
      </c>
      <c r="B413" s="6" t="str">
        <f>IFERROR(__xludf.DUMMYFUNCTION("""COMPUTED_VALUE"""),"RUN-BEND_2022-02-17_RFR-035")</f>
        <v>RUN-BEND_2022-02-17_RFR-035</v>
      </c>
      <c r="C413" s="7">
        <f>VLOOKUP(B413,'Run Reconcile'!A$2:B809,2,FALSE)</f>
        <v>44609</v>
      </c>
      <c r="D413" s="12">
        <f>IFERROR(__xludf.DUMMYFUNCTION("""COMPUTED_VALUE"""),44609.0)</f>
        <v>44609</v>
      </c>
      <c r="E413" s="13">
        <f>IFERROR(__xludf.DUMMYFUNCTION("""COMPUTED_VALUE"""),0.3549768518532801)</f>
        <v>0.3549768519</v>
      </c>
      <c r="F413" s="10" t="str">
        <f>IFERROR(__xludf.DUMMYFUNCTION("""COMPUTED_VALUE"""),"Negative")</f>
        <v>Negative</v>
      </c>
      <c r="G413" s="10">
        <f>IFERROR(__xludf.DUMMYFUNCTION("""COMPUTED_VALUE"""),1.0)</f>
        <v>1</v>
      </c>
    </row>
    <row r="414">
      <c r="A414" s="6" t="str">
        <f>IFERROR(__xludf.DUMMYFUNCTION("""COMPUTED_VALUE"""),"MA1139")</f>
        <v>MA1139</v>
      </c>
      <c r="B414" s="6" t="str">
        <f>IFERROR(__xludf.DUMMYFUNCTION("""COMPUTED_VALUE"""),"RUN-BEND_2022-02-17_RFR-035")</f>
        <v>RUN-BEND_2022-02-17_RFR-035</v>
      </c>
      <c r="C414" s="7">
        <f>VLOOKUP(B414,'Run Reconcile'!A$2:B809,2,FALSE)</f>
        <v>44609</v>
      </c>
      <c r="D414" s="12">
        <f>IFERROR(__xludf.DUMMYFUNCTION("""COMPUTED_VALUE"""),44609.0)</f>
        <v>44609</v>
      </c>
      <c r="E414" s="13">
        <f>IFERROR(__xludf.DUMMYFUNCTION("""COMPUTED_VALUE"""),0.38726851851970423)</f>
        <v>0.3872685185</v>
      </c>
      <c r="F414" s="10" t="str">
        <f>IFERROR(__xludf.DUMMYFUNCTION("""COMPUTED_VALUE"""),"Negative")</f>
        <v>Negative</v>
      </c>
      <c r="G414" s="10">
        <f>IFERROR(__xludf.DUMMYFUNCTION("""COMPUTED_VALUE"""),1.0)</f>
        <v>1</v>
      </c>
    </row>
    <row r="415">
      <c r="A415" s="6" t="str">
        <f>IFERROR(__xludf.DUMMYFUNCTION("""COMPUTED_VALUE"""),"MA1067")</f>
        <v>MA1067</v>
      </c>
      <c r="B415" s="6" t="str">
        <f>IFERROR(__xludf.DUMMYFUNCTION("""COMPUTED_VALUE"""),"RUN-BEND_2022-02-19_RFR-036")</f>
        <v>RUN-BEND_2022-02-19_RFR-036</v>
      </c>
      <c r="C415" s="7">
        <f>VLOOKUP(B415,'Run Reconcile'!A$2:B809,2,FALSE)</f>
        <v>44611</v>
      </c>
      <c r="D415" s="12">
        <f>IFERROR(__xludf.DUMMYFUNCTION("""COMPUTED_VALUE"""),44611.0)</f>
        <v>44611</v>
      </c>
      <c r="E415" s="13">
        <f>IFERROR(__xludf.DUMMYFUNCTION("""COMPUTED_VALUE"""),0.2972337962964957)</f>
        <v>0.2972337963</v>
      </c>
      <c r="F415" s="10" t="str">
        <f>IFERROR(__xludf.DUMMYFUNCTION("""COMPUTED_VALUE"""),"Negative")</f>
        <v>Negative</v>
      </c>
      <c r="G415" s="10">
        <f>IFERROR(__xludf.DUMMYFUNCTION("""COMPUTED_VALUE"""),1.0)</f>
        <v>1</v>
      </c>
    </row>
    <row r="416">
      <c r="A416" s="6" t="str">
        <f>IFERROR(__xludf.DUMMYFUNCTION("""COMPUTED_VALUE"""),"FM828")</f>
        <v>FM828</v>
      </c>
      <c r="B416" s="6" t="str">
        <f>IFERROR(__xludf.DUMMYFUNCTION("""COMPUTED_VALUE"""),"RUN-BEND_2022-02-19_RFR-036")</f>
        <v>RUN-BEND_2022-02-19_RFR-036</v>
      </c>
      <c r="C416" s="7">
        <f>VLOOKUP(B416,'Run Reconcile'!A$2:B809,2,FALSE)</f>
        <v>44611</v>
      </c>
      <c r="D416" s="12">
        <f>IFERROR(__xludf.DUMMYFUNCTION("""COMPUTED_VALUE"""),44611.0)</f>
        <v>44611</v>
      </c>
      <c r="E416" s="13">
        <f>IFERROR(__xludf.DUMMYFUNCTION("""COMPUTED_VALUE"""),0.3006944444459805)</f>
        <v>0.3006944444</v>
      </c>
      <c r="F416" s="10" t="str">
        <f>IFERROR(__xludf.DUMMYFUNCTION("""COMPUTED_VALUE"""),"Negative")</f>
        <v>Negative</v>
      </c>
      <c r="G416" s="10">
        <f>IFERROR(__xludf.DUMMYFUNCTION("""COMPUTED_VALUE"""),1.0)</f>
        <v>1</v>
      </c>
    </row>
    <row r="417">
      <c r="A417" s="6" t="str">
        <f>IFERROR(__xludf.DUMMYFUNCTION("""COMPUTED_VALUE"""),"MA239")</f>
        <v>MA239</v>
      </c>
      <c r="B417" s="6" t="str">
        <f>IFERROR(__xludf.DUMMYFUNCTION("""COMPUTED_VALUE"""),"RUN-BEND_2022-02-19_RFR-036")</f>
        <v>RUN-BEND_2022-02-19_RFR-036</v>
      </c>
      <c r="C417" s="7">
        <f>VLOOKUP(B417,'Run Reconcile'!A$2:B809,2,FALSE)</f>
        <v>44611</v>
      </c>
      <c r="D417" s="12">
        <f>IFERROR(__xludf.DUMMYFUNCTION("""COMPUTED_VALUE"""),44611.0)</f>
        <v>44611</v>
      </c>
      <c r="E417" s="13">
        <f>IFERROR(__xludf.DUMMYFUNCTION("""COMPUTED_VALUE"""),0.30855324074218515)</f>
        <v>0.3085532407</v>
      </c>
      <c r="F417" s="10" t="str">
        <f>IFERROR(__xludf.DUMMYFUNCTION("""COMPUTED_VALUE"""),"Negative")</f>
        <v>Negative</v>
      </c>
      <c r="G417" s="10">
        <f>IFERROR(__xludf.DUMMYFUNCTION("""COMPUTED_VALUE"""),1.0)</f>
        <v>1</v>
      </c>
    </row>
    <row r="418">
      <c r="A418" s="6" t="str">
        <f>IFERROR(__xludf.DUMMYFUNCTION("""COMPUTED_VALUE"""),"FM537")</f>
        <v>FM537</v>
      </c>
      <c r="B418" s="6" t="str">
        <f>IFERROR(__xludf.DUMMYFUNCTION("""COMPUTED_VALUE"""),"RUN-BEND_2022-02-19_RFR-036")</f>
        <v>RUN-BEND_2022-02-19_RFR-036</v>
      </c>
      <c r="C418" s="7">
        <f>VLOOKUP(B418,'Run Reconcile'!A$2:B809,2,FALSE)</f>
        <v>44611</v>
      </c>
      <c r="D418" s="12">
        <f>IFERROR(__xludf.DUMMYFUNCTION("""COMPUTED_VALUE"""),44611.0)</f>
        <v>44611</v>
      </c>
      <c r="E418" s="13">
        <f>IFERROR(__xludf.DUMMYFUNCTION("""COMPUTED_VALUE"""),0.3107523148137261)</f>
        <v>0.3107523148</v>
      </c>
      <c r="F418" s="10" t="str">
        <f>IFERROR(__xludf.DUMMYFUNCTION("""COMPUTED_VALUE"""),"Negative")</f>
        <v>Negative</v>
      </c>
      <c r="G418" s="10">
        <f>IFERROR(__xludf.DUMMYFUNCTION("""COMPUTED_VALUE"""),1.0)</f>
        <v>1</v>
      </c>
    </row>
    <row r="419">
      <c r="A419" s="6" t="str">
        <f>IFERROR(__xludf.DUMMYFUNCTION("""COMPUTED_VALUE"""),"FM537A")</f>
        <v>FM537A</v>
      </c>
      <c r="B419" s="6" t="str">
        <f>IFERROR(__xludf.DUMMYFUNCTION("""COMPUTED_VALUE"""),"RUN-BEND_2022-02-19_RFR-036")</f>
        <v>RUN-BEND_2022-02-19_RFR-036</v>
      </c>
      <c r="C419" s="7">
        <f>VLOOKUP(B419,'Run Reconcile'!A$2:B809,2,FALSE)</f>
        <v>44611</v>
      </c>
      <c r="D419" s="12">
        <f>IFERROR(__xludf.DUMMYFUNCTION("""COMPUTED_VALUE"""),44611.0)</f>
        <v>44611</v>
      </c>
      <c r="E419" s="13">
        <f>IFERROR(__xludf.DUMMYFUNCTION("""COMPUTED_VALUE"""),0.3107523148137261)</f>
        <v>0.3107523148</v>
      </c>
      <c r="F419" s="10" t="str">
        <f>IFERROR(__xludf.DUMMYFUNCTION("""COMPUTED_VALUE"""),"Negative")</f>
        <v>Negative</v>
      </c>
      <c r="G419" s="10">
        <f>IFERROR(__xludf.DUMMYFUNCTION("""COMPUTED_VALUE"""),1.0)</f>
        <v>1</v>
      </c>
    </row>
    <row r="420">
      <c r="A420" s="6" t="str">
        <f>IFERROR(__xludf.DUMMYFUNCTION("""COMPUTED_VALUE"""),"MA1071")</f>
        <v>MA1071</v>
      </c>
      <c r="B420" s="6" t="str">
        <f>IFERROR(__xludf.DUMMYFUNCTION("""COMPUTED_VALUE"""),"RUN-BEND_2022-02-19_RFR-036")</f>
        <v>RUN-BEND_2022-02-19_RFR-036</v>
      </c>
      <c r="C420" s="7">
        <f>VLOOKUP(B420,'Run Reconcile'!A$2:B809,2,FALSE)</f>
        <v>44611</v>
      </c>
      <c r="D420" s="12">
        <f>IFERROR(__xludf.DUMMYFUNCTION("""COMPUTED_VALUE"""),44611.0)</f>
        <v>44611</v>
      </c>
      <c r="E420" s="13">
        <f>IFERROR(__xludf.DUMMYFUNCTION("""COMPUTED_VALUE"""),0.31142361111051287)</f>
        <v>0.3114236111</v>
      </c>
      <c r="F420" s="10" t="str">
        <f>IFERROR(__xludf.DUMMYFUNCTION("""COMPUTED_VALUE"""),"Negative")</f>
        <v>Negative</v>
      </c>
      <c r="G420" s="10">
        <f>IFERROR(__xludf.DUMMYFUNCTION("""COMPUTED_VALUE"""),1.0)</f>
        <v>1</v>
      </c>
    </row>
    <row r="421">
      <c r="A421" s="6" t="str">
        <f>IFERROR(__xludf.DUMMYFUNCTION("""COMPUTED_VALUE"""),"MA277")</f>
        <v>MA277</v>
      </c>
      <c r="B421" s="6" t="str">
        <f>IFERROR(__xludf.DUMMYFUNCTION("""COMPUTED_VALUE"""),"RUN-BEND_2022-02-19_RFR-036")</f>
        <v>RUN-BEND_2022-02-19_RFR-036</v>
      </c>
      <c r="C421" s="7">
        <f>VLOOKUP(B421,'Run Reconcile'!A$2:B809,2,FALSE)</f>
        <v>44611</v>
      </c>
      <c r="D421" s="12">
        <f>IFERROR(__xludf.DUMMYFUNCTION("""COMPUTED_VALUE"""),44611.0)</f>
        <v>44611</v>
      </c>
      <c r="E421" s="13">
        <f>IFERROR(__xludf.DUMMYFUNCTION("""COMPUTED_VALUE"""),0.31165509259153623)</f>
        <v>0.3116550926</v>
      </c>
      <c r="F421" s="10" t="str">
        <f>IFERROR(__xludf.DUMMYFUNCTION("""COMPUTED_VALUE"""),"Negative")</f>
        <v>Negative</v>
      </c>
      <c r="G421" s="10">
        <f>IFERROR(__xludf.DUMMYFUNCTION("""COMPUTED_VALUE"""),1.0)</f>
        <v>1</v>
      </c>
    </row>
    <row r="422">
      <c r="A422" s="6" t="str">
        <f>IFERROR(__xludf.DUMMYFUNCTION("""COMPUTED_VALUE"""),"MA1303")</f>
        <v>MA1303</v>
      </c>
      <c r="B422" s="6" t="str">
        <f>IFERROR(__xludf.DUMMYFUNCTION("""COMPUTED_VALUE"""),"RUN-BEND_2022-02-19_RFR-036")</f>
        <v>RUN-BEND_2022-02-19_RFR-036</v>
      </c>
      <c r="C422" s="7">
        <f>VLOOKUP(B422,'Run Reconcile'!A$2:B809,2,FALSE)</f>
        <v>44611</v>
      </c>
      <c r="D422" s="12">
        <f>IFERROR(__xludf.DUMMYFUNCTION("""COMPUTED_VALUE"""),44611.0)</f>
        <v>44611</v>
      </c>
      <c r="E422" s="13">
        <f>IFERROR(__xludf.DUMMYFUNCTION("""COMPUTED_VALUE"""),0.3137962962973688)</f>
        <v>0.3137962963</v>
      </c>
      <c r="F422" s="10" t="str">
        <f>IFERROR(__xludf.DUMMYFUNCTION("""COMPUTED_VALUE"""),"Negative")</f>
        <v>Negative</v>
      </c>
      <c r="G422" s="10">
        <f>IFERROR(__xludf.DUMMYFUNCTION("""COMPUTED_VALUE"""),1.0)</f>
        <v>1</v>
      </c>
    </row>
    <row r="423">
      <c r="A423" s="6" t="str">
        <f>IFERROR(__xludf.DUMMYFUNCTION("""COMPUTED_VALUE"""),"FM44")</f>
        <v>FM44</v>
      </c>
      <c r="B423" s="6" t="str">
        <f>IFERROR(__xludf.DUMMYFUNCTION("""COMPUTED_VALUE"""),"RUN-BEND_2022-02-19_RFR-036")</f>
        <v>RUN-BEND_2022-02-19_RFR-036</v>
      </c>
      <c r="C423" s="7">
        <f>VLOOKUP(B423,'Run Reconcile'!A$2:B809,2,FALSE)</f>
        <v>44611</v>
      </c>
      <c r="D423" s="12">
        <f>IFERROR(__xludf.DUMMYFUNCTION("""COMPUTED_VALUE"""),44611.0)</f>
        <v>44611</v>
      </c>
      <c r="E423" s="13">
        <f>IFERROR(__xludf.DUMMYFUNCTION("""COMPUTED_VALUE"""),0.31488425925999763)</f>
        <v>0.3148842593</v>
      </c>
      <c r="F423" s="10" t="str">
        <f>IFERROR(__xludf.DUMMYFUNCTION("""COMPUTED_VALUE"""),"Negative")</f>
        <v>Negative</v>
      </c>
      <c r="G423" s="10">
        <f>IFERROR(__xludf.DUMMYFUNCTION("""COMPUTED_VALUE"""),1.0)</f>
        <v>1</v>
      </c>
    </row>
    <row r="424">
      <c r="A424" s="6" t="str">
        <f>IFERROR(__xludf.DUMMYFUNCTION("""COMPUTED_VALUE"""),"FM408")</f>
        <v>FM408</v>
      </c>
      <c r="B424" s="6" t="str">
        <f>IFERROR(__xludf.DUMMYFUNCTION("""COMPUTED_VALUE"""),"RUN-BEND_2022-02-19_RFR-036")</f>
        <v>RUN-BEND_2022-02-19_RFR-036</v>
      </c>
      <c r="C424" s="7">
        <f>VLOOKUP(B424,'Run Reconcile'!A$2:B809,2,FALSE)</f>
        <v>44611</v>
      </c>
      <c r="D424" s="12">
        <f>IFERROR(__xludf.DUMMYFUNCTION("""COMPUTED_VALUE"""),44611.0)</f>
        <v>44611</v>
      </c>
      <c r="E424" s="13">
        <f>IFERROR(__xludf.DUMMYFUNCTION("""COMPUTED_VALUE"""),0.31535879629518604)</f>
        <v>0.3153587963</v>
      </c>
      <c r="F424" s="10" t="str">
        <f>IFERROR(__xludf.DUMMYFUNCTION("""COMPUTED_VALUE"""),"Negative")</f>
        <v>Negative</v>
      </c>
      <c r="G424" s="10">
        <f>IFERROR(__xludf.DUMMYFUNCTION("""COMPUTED_VALUE"""),1.0)</f>
        <v>1</v>
      </c>
    </row>
    <row r="425">
      <c r="A425" s="6" t="str">
        <f>IFERROR(__xludf.DUMMYFUNCTION("""COMPUTED_VALUE"""),"FM66")</f>
        <v>FM66</v>
      </c>
      <c r="B425" s="6" t="str">
        <f>IFERROR(__xludf.DUMMYFUNCTION("""COMPUTED_VALUE"""),"RUN-BEND_2022-02-19_RFR-036")</f>
        <v>RUN-BEND_2022-02-19_RFR-036</v>
      </c>
      <c r="C425" s="7">
        <f>VLOOKUP(B425,'Run Reconcile'!A$2:B809,2,FALSE)</f>
        <v>44611</v>
      </c>
      <c r="D425" s="12">
        <f>IFERROR(__xludf.DUMMYFUNCTION("""COMPUTED_VALUE"""),44611.0)</f>
        <v>44611</v>
      </c>
      <c r="E425" s="13">
        <f>IFERROR(__xludf.DUMMYFUNCTION("""COMPUTED_VALUE"""),0.31542824074131204)</f>
        <v>0.3154282407</v>
      </c>
      <c r="F425" s="10" t="str">
        <f>IFERROR(__xludf.DUMMYFUNCTION("""COMPUTED_VALUE"""),"Negative")</f>
        <v>Negative</v>
      </c>
      <c r="G425" s="10">
        <f>IFERROR(__xludf.DUMMYFUNCTION("""COMPUTED_VALUE"""),1.0)</f>
        <v>1</v>
      </c>
    </row>
    <row r="426">
      <c r="A426" s="6" t="str">
        <f>IFERROR(__xludf.DUMMYFUNCTION("""COMPUTED_VALUE"""),"MA1225")</f>
        <v>MA1225</v>
      </c>
      <c r="B426" s="6" t="str">
        <f>IFERROR(__xludf.DUMMYFUNCTION("""COMPUTED_VALUE"""),"RUN-BEND_2022-02-19_RFR-036")</f>
        <v>RUN-BEND_2022-02-19_RFR-036</v>
      </c>
      <c r="C426" s="7">
        <f>VLOOKUP(B426,'Run Reconcile'!A$2:B809,2,FALSE)</f>
        <v>44611</v>
      </c>
      <c r="D426" s="12">
        <f>IFERROR(__xludf.DUMMYFUNCTION("""COMPUTED_VALUE"""),44611.0)</f>
        <v>44611</v>
      </c>
      <c r="E426" s="13">
        <f>IFERROR(__xludf.DUMMYFUNCTION("""COMPUTED_VALUE"""),0.3158101851840911)</f>
        <v>0.3158101852</v>
      </c>
      <c r="F426" s="10" t="str">
        <f>IFERROR(__xludf.DUMMYFUNCTION("""COMPUTED_VALUE"""),"Negative")</f>
        <v>Negative</v>
      </c>
      <c r="G426" s="10">
        <f>IFERROR(__xludf.DUMMYFUNCTION("""COMPUTED_VALUE"""),1.0)</f>
        <v>1</v>
      </c>
    </row>
    <row r="427">
      <c r="A427" s="6" t="str">
        <f>IFERROR(__xludf.DUMMYFUNCTION("""COMPUTED_VALUE"""),"MA1296")</f>
        <v>MA1296</v>
      </c>
      <c r="B427" s="6" t="str">
        <f>IFERROR(__xludf.DUMMYFUNCTION("""COMPUTED_VALUE"""),"RUN-BEND_2022-02-19_RFR-036")</f>
        <v>RUN-BEND_2022-02-19_RFR-036</v>
      </c>
      <c r="C427" s="7">
        <f>VLOOKUP(B427,'Run Reconcile'!A$2:B809,2,FALSE)</f>
        <v>44611</v>
      </c>
      <c r="D427" s="12">
        <f>IFERROR(__xludf.DUMMYFUNCTION("""COMPUTED_VALUE"""),44611.0)</f>
        <v>44611</v>
      </c>
      <c r="E427" s="13">
        <f>IFERROR(__xludf.DUMMYFUNCTION("""COMPUTED_VALUE"""),0.3173611111124046)</f>
        <v>0.3173611111</v>
      </c>
      <c r="F427" s="10" t="str">
        <f>IFERROR(__xludf.DUMMYFUNCTION("""COMPUTED_VALUE"""),"Negative")</f>
        <v>Negative</v>
      </c>
      <c r="G427" s="10">
        <f>IFERROR(__xludf.DUMMYFUNCTION("""COMPUTED_VALUE"""),1.0)</f>
        <v>1</v>
      </c>
    </row>
    <row r="428">
      <c r="A428" s="6" t="str">
        <f>IFERROR(__xludf.DUMMYFUNCTION("""COMPUTED_VALUE"""),"MA193")</f>
        <v>MA193</v>
      </c>
      <c r="B428" s="6" t="str">
        <f>IFERROR(__xludf.DUMMYFUNCTION("""COMPUTED_VALUE"""),"RUN-BEND_2022-02-19_RFR-036")</f>
        <v>RUN-BEND_2022-02-19_RFR-036</v>
      </c>
      <c r="C428" s="7">
        <f>VLOOKUP(B428,'Run Reconcile'!A$2:B809,2,FALSE)</f>
        <v>44611</v>
      </c>
      <c r="D428" s="12">
        <f>IFERROR(__xludf.DUMMYFUNCTION("""COMPUTED_VALUE"""),44611.0)</f>
        <v>44611</v>
      </c>
      <c r="E428" s="13">
        <f>IFERROR(__xludf.DUMMYFUNCTION("""COMPUTED_VALUE"""),0.31804398148233304)</f>
        <v>0.3180439815</v>
      </c>
      <c r="F428" s="10" t="str">
        <f>IFERROR(__xludf.DUMMYFUNCTION("""COMPUTED_VALUE"""),"Negative")</f>
        <v>Negative</v>
      </c>
      <c r="G428" s="10">
        <f>IFERROR(__xludf.DUMMYFUNCTION("""COMPUTED_VALUE"""),1.0)</f>
        <v>1</v>
      </c>
    </row>
    <row r="429">
      <c r="A429" s="6" t="str">
        <f>IFERROR(__xludf.DUMMYFUNCTION("""COMPUTED_VALUE"""),"FM497")</f>
        <v>FM497</v>
      </c>
      <c r="B429" s="6" t="str">
        <f>IFERROR(__xludf.DUMMYFUNCTION("""COMPUTED_VALUE"""),"RUN-BEND_2022-02-19_RFR-036")</f>
        <v>RUN-BEND_2022-02-19_RFR-036</v>
      </c>
      <c r="C429" s="7">
        <f>VLOOKUP(B429,'Run Reconcile'!A$2:B809,2,FALSE)</f>
        <v>44611</v>
      </c>
      <c r="D429" s="12">
        <f>IFERROR(__xludf.DUMMYFUNCTION("""COMPUTED_VALUE"""),44611.0)</f>
        <v>44611</v>
      </c>
      <c r="E429" s="13">
        <f>IFERROR(__xludf.DUMMYFUNCTION("""COMPUTED_VALUE"""),0.31891203703708015)</f>
        <v>0.318912037</v>
      </c>
      <c r="F429" s="10" t="str">
        <f>IFERROR(__xludf.DUMMYFUNCTION("""COMPUTED_VALUE"""),"Negative")</f>
        <v>Negative</v>
      </c>
      <c r="G429" s="10">
        <f>IFERROR(__xludf.DUMMYFUNCTION("""COMPUTED_VALUE"""),1.0)</f>
        <v>1</v>
      </c>
    </row>
    <row r="430">
      <c r="A430" s="6" t="str">
        <f>IFERROR(__xludf.DUMMYFUNCTION("""COMPUTED_VALUE"""),"MA209")</f>
        <v>MA209</v>
      </c>
      <c r="B430" s="6" t="str">
        <f>IFERROR(__xludf.DUMMYFUNCTION("""COMPUTED_VALUE"""),"RUN-BEND_2022-02-19_RFR-036")</f>
        <v>RUN-BEND_2022-02-19_RFR-036</v>
      </c>
      <c r="C430" s="7">
        <f>VLOOKUP(B430,'Run Reconcile'!A$2:B809,2,FALSE)</f>
        <v>44611</v>
      </c>
      <c r="D430" s="12">
        <f>IFERROR(__xludf.DUMMYFUNCTION("""COMPUTED_VALUE"""),44611.0)</f>
        <v>44611</v>
      </c>
      <c r="E430" s="13">
        <f>IFERROR(__xludf.DUMMYFUNCTION("""COMPUTED_VALUE"""),0.3209606481468654)</f>
        <v>0.3209606481</v>
      </c>
      <c r="F430" s="10" t="str">
        <f>IFERROR(__xludf.DUMMYFUNCTION("""COMPUTED_VALUE"""),"Negative")</f>
        <v>Negative</v>
      </c>
      <c r="G430" s="10">
        <f>IFERROR(__xludf.DUMMYFUNCTION("""COMPUTED_VALUE"""),1.0)</f>
        <v>1</v>
      </c>
    </row>
    <row r="431">
      <c r="A431" s="6" t="str">
        <f>IFERROR(__xludf.DUMMYFUNCTION("""COMPUTED_VALUE"""),"MA281")</f>
        <v>MA281</v>
      </c>
      <c r="B431" s="6" t="str">
        <f>IFERROR(__xludf.DUMMYFUNCTION("""COMPUTED_VALUE"""),"RUN-BEND_2022-02-19_RFR-036")</f>
        <v>RUN-BEND_2022-02-19_RFR-036</v>
      </c>
      <c r="C431" s="7">
        <f>VLOOKUP(B431,'Run Reconcile'!A$2:B809,2,FALSE)</f>
        <v>44611</v>
      </c>
      <c r="D431" s="12">
        <f>IFERROR(__xludf.DUMMYFUNCTION("""COMPUTED_VALUE"""),44611.0)</f>
        <v>44611</v>
      </c>
      <c r="E431" s="13">
        <f>IFERROR(__xludf.DUMMYFUNCTION("""COMPUTED_VALUE"""),0.32259259259080864)</f>
        <v>0.3225925926</v>
      </c>
      <c r="F431" s="10" t="str">
        <f>IFERROR(__xludf.DUMMYFUNCTION("""COMPUTED_VALUE"""),"Negative")</f>
        <v>Negative</v>
      </c>
      <c r="G431" s="10">
        <f>IFERROR(__xludf.DUMMYFUNCTION("""COMPUTED_VALUE"""),1.0)</f>
        <v>1</v>
      </c>
    </row>
    <row r="432">
      <c r="A432" s="6" t="str">
        <f>IFERROR(__xludf.DUMMYFUNCTION("""COMPUTED_VALUE"""),"MA268")</f>
        <v>MA268</v>
      </c>
      <c r="B432" s="6" t="str">
        <f>IFERROR(__xludf.DUMMYFUNCTION("""COMPUTED_VALUE"""),"RUN-BEND_2022-02-19_RFR-036")</f>
        <v>RUN-BEND_2022-02-19_RFR-036</v>
      </c>
      <c r="C432" s="7">
        <f>VLOOKUP(B432,'Run Reconcile'!A$2:B809,2,FALSE)</f>
        <v>44611</v>
      </c>
      <c r="D432" s="12">
        <f>IFERROR(__xludf.DUMMYFUNCTION("""COMPUTED_VALUE"""),44611.0)</f>
        <v>44611</v>
      </c>
      <c r="E432" s="13">
        <f>IFERROR(__xludf.DUMMYFUNCTION("""COMPUTED_VALUE"""),0.3233333333337214)</f>
        <v>0.3233333333</v>
      </c>
      <c r="F432" s="10" t="str">
        <f>IFERROR(__xludf.DUMMYFUNCTION("""COMPUTED_VALUE"""),"Negative")</f>
        <v>Negative</v>
      </c>
      <c r="G432" s="10">
        <f>IFERROR(__xludf.DUMMYFUNCTION("""COMPUTED_VALUE"""),1.0)</f>
        <v>1</v>
      </c>
    </row>
    <row r="433">
      <c r="A433" s="6" t="str">
        <f>IFERROR(__xludf.DUMMYFUNCTION("""COMPUTED_VALUE"""),"MA1027")</f>
        <v>MA1027</v>
      </c>
      <c r="B433" s="6" t="str">
        <f>IFERROR(__xludf.DUMMYFUNCTION("""COMPUTED_VALUE"""),"RUN-BEND_2022-02-19_RFR-036")</f>
        <v>RUN-BEND_2022-02-19_RFR-036</v>
      </c>
      <c r="C433" s="7">
        <f>VLOOKUP(B433,'Run Reconcile'!A$2:B809,2,FALSE)</f>
        <v>44611</v>
      </c>
      <c r="D433" s="12">
        <f>IFERROR(__xludf.DUMMYFUNCTION("""COMPUTED_VALUE"""),44611.0)</f>
        <v>44611</v>
      </c>
      <c r="E433" s="13">
        <f>IFERROR(__xludf.DUMMYFUNCTION("""COMPUTED_VALUE"""),0.3257986111093487)</f>
        <v>0.3257986111</v>
      </c>
      <c r="F433" s="10" t="str">
        <f>IFERROR(__xludf.DUMMYFUNCTION("""COMPUTED_VALUE"""),"Negative")</f>
        <v>Negative</v>
      </c>
      <c r="G433" s="10">
        <f>IFERROR(__xludf.DUMMYFUNCTION("""COMPUTED_VALUE"""),1.0)</f>
        <v>1</v>
      </c>
    </row>
    <row r="434">
      <c r="A434" s="6" t="str">
        <f>IFERROR(__xludf.DUMMYFUNCTION("""COMPUTED_VALUE"""),"FM787")</f>
        <v>FM787</v>
      </c>
      <c r="B434" s="6" t="str">
        <f>IFERROR(__xludf.DUMMYFUNCTION("""COMPUTED_VALUE"""),"RUN-BEND_2022-02-19_RFR-036")</f>
        <v>RUN-BEND_2022-02-19_RFR-036</v>
      </c>
      <c r="C434" s="7">
        <f>VLOOKUP(B434,'Run Reconcile'!A$2:B809,2,FALSE)</f>
        <v>44611</v>
      </c>
      <c r="D434" s="12">
        <f>IFERROR(__xludf.DUMMYFUNCTION("""COMPUTED_VALUE"""),44611.0)</f>
        <v>44611</v>
      </c>
      <c r="E434" s="13">
        <f>IFERROR(__xludf.DUMMYFUNCTION("""COMPUTED_VALUE"""),0.32633101851752144)</f>
        <v>0.3263310185</v>
      </c>
      <c r="F434" s="10" t="str">
        <f>IFERROR(__xludf.DUMMYFUNCTION("""COMPUTED_VALUE"""),"Negative")</f>
        <v>Negative</v>
      </c>
      <c r="G434" s="10">
        <f>IFERROR(__xludf.DUMMYFUNCTION("""COMPUTED_VALUE"""),1.0)</f>
        <v>1</v>
      </c>
    </row>
    <row r="435">
      <c r="A435" s="6" t="str">
        <f>IFERROR(__xludf.DUMMYFUNCTION("""COMPUTED_VALUE"""),"FM836")</f>
        <v>FM836</v>
      </c>
      <c r="B435" s="6" t="str">
        <f>IFERROR(__xludf.DUMMYFUNCTION("""COMPUTED_VALUE"""),"RUN-BEND_2022-02-19_RFR-036")</f>
        <v>RUN-BEND_2022-02-19_RFR-036</v>
      </c>
      <c r="C435" s="7">
        <f>VLOOKUP(B435,'Run Reconcile'!A$2:B809,2,FALSE)</f>
        <v>44611</v>
      </c>
      <c r="D435" s="12">
        <f>IFERROR(__xludf.DUMMYFUNCTION("""COMPUTED_VALUE"""),44611.0)</f>
        <v>44611</v>
      </c>
      <c r="E435" s="13">
        <f>IFERROR(__xludf.DUMMYFUNCTION("""COMPUTED_VALUE"""),0.32788194444583496)</f>
        <v>0.3278819444</v>
      </c>
      <c r="F435" s="10" t="str">
        <f>IFERROR(__xludf.DUMMYFUNCTION("""COMPUTED_VALUE"""),"Negative")</f>
        <v>Negative</v>
      </c>
      <c r="G435" s="10">
        <f>IFERROR(__xludf.DUMMYFUNCTION("""COMPUTED_VALUE"""),1.0)</f>
        <v>1</v>
      </c>
    </row>
    <row r="436">
      <c r="A436" s="6" t="str">
        <f>IFERROR(__xludf.DUMMYFUNCTION("""COMPUTED_VALUE"""),"FM89")</f>
        <v>FM89</v>
      </c>
      <c r="B436" s="6" t="str">
        <f>IFERROR(__xludf.DUMMYFUNCTION("""COMPUTED_VALUE"""),"RUN-BEND_2022-02-19_RFR-036")</f>
        <v>RUN-BEND_2022-02-19_RFR-036</v>
      </c>
      <c r="C436" s="7">
        <f>VLOOKUP(B436,'Run Reconcile'!A$2:B809,2,FALSE)</f>
        <v>44611</v>
      </c>
      <c r="D436" s="12">
        <f>IFERROR(__xludf.DUMMYFUNCTION("""COMPUTED_VALUE"""),44611.0)</f>
        <v>44611</v>
      </c>
      <c r="E436" s="13">
        <f>IFERROR(__xludf.DUMMYFUNCTION("""COMPUTED_VALUE"""),0.32890046296233777)</f>
        <v>0.328900463</v>
      </c>
      <c r="F436" s="10" t="str">
        <f>IFERROR(__xludf.DUMMYFUNCTION("""COMPUTED_VALUE"""),"Negative")</f>
        <v>Negative</v>
      </c>
      <c r="G436" s="10">
        <f>IFERROR(__xludf.DUMMYFUNCTION("""COMPUTED_VALUE"""),1.0)</f>
        <v>1</v>
      </c>
    </row>
    <row r="437">
      <c r="A437" s="6" t="str">
        <f>IFERROR(__xludf.DUMMYFUNCTION("""COMPUTED_VALUE"""),"FM834")</f>
        <v>FM834</v>
      </c>
      <c r="B437" s="6" t="str">
        <f>IFERROR(__xludf.DUMMYFUNCTION("""COMPUTED_VALUE"""),"RUN-BEND_2022-02-19_RFR-036")</f>
        <v>RUN-BEND_2022-02-19_RFR-036</v>
      </c>
      <c r="C437" s="7">
        <f>VLOOKUP(B437,'Run Reconcile'!A$2:B809,2,FALSE)</f>
        <v>44611</v>
      </c>
      <c r="D437" s="12">
        <f>IFERROR(__xludf.DUMMYFUNCTION("""COMPUTED_VALUE"""),44611.0)</f>
        <v>44611</v>
      </c>
      <c r="E437" s="13">
        <f>IFERROR(__xludf.DUMMYFUNCTION("""COMPUTED_VALUE"""),0.3321875000001455)</f>
        <v>0.3321875</v>
      </c>
      <c r="F437" s="10" t="str">
        <f>IFERROR(__xludf.DUMMYFUNCTION("""COMPUTED_VALUE"""),"Negative")</f>
        <v>Negative</v>
      </c>
      <c r="G437" s="10">
        <f>IFERROR(__xludf.DUMMYFUNCTION("""COMPUTED_VALUE"""),1.0)</f>
        <v>1</v>
      </c>
    </row>
    <row r="438">
      <c r="A438" s="6" t="str">
        <f>IFERROR(__xludf.DUMMYFUNCTION("""COMPUTED_VALUE"""),"MA1116")</f>
        <v>MA1116</v>
      </c>
      <c r="B438" s="6" t="str">
        <f>IFERROR(__xludf.DUMMYFUNCTION("""COMPUTED_VALUE"""),"RUN-BEND_2022-02-19_RFR-036")</f>
        <v>RUN-BEND_2022-02-19_RFR-036</v>
      </c>
      <c r="C438" s="7">
        <f>VLOOKUP(B438,'Run Reconcile'!A$2:B809,2,FALSE)</f>
        <v>44611</v>
      </c>
      <c r="D438" s="12">
        <f>IFERROR(__xludf.DUMMYFUNCTION("""COMPUTED_VALUE"""),44611.0)</f>
        <v>44611</v>
      </c>
      <c r="E438" s="13">
        <f>IFERROR(__xludf.DUMMYFUNCTION("""COMPUTED_VALUE"""),0.3321875000001455)</f>
        <v>0.3321875</v>
      </c>
      <c r="F438" s="10" t="str">
        <f>IFERROR(__xludf.DUMMYFUNCTION("""COMPUTED_VALUE"""),"Negative")</f>
        <v>Negative</v>
      </c>
      <c r="G438" s="10">
        <f>IFERROR(__xludf.DUMMYFUNCTION("""COMPUTED_VALUE"""),1.0)</f>
        <v>1</v>
      </c>
    </row>
    <row r="439">
      <c r="A439" s="6" t="str">
        <f>IFERROR(__xludf.DUMMYFUNCTION("""COMPUTED_VALUE"""),"MA1040")</f>
        <v>MA1040</v>
      </c>
      <c r="B439" s="6" t="str">
        <f>IFERROR(__xludf.DUMMYFUNCTION("""COMPUTED_VALUE"""),"RUN-BEND_2022-02-19_RFR-036")</f>
        <v>RUN-BEND_2022-02-19_RFR-036</v>
      </c>
      <c r="C439" s="7">
        <f>VLOOKUP(B439,'Run Reconcile'!A$2:B809,2,FALSE)</f>
        <v>44611</v>
      </c>
      <c r="D439" s="12">
        <f>IFERROR(__xludf.DUMMYFUNCTION("""COMPUTED_VALUE"""),44611.0)</f>
        <v>44611</v>
      </c>
      <c r="E439" s="13">
        <f>IFERROR(__xludf.DUMMYFUNCTION("""COMPUTED_VALUE"""),0.3335763888899237)</f>
        <v>0.3335763889</v>
      </c>
      <c r="F439" s="10" t="str">
        <f>IFERROR(__xludf.DUMMYFUNCTION("""COMPUTED_VALUE"""),"Negative")</f>
        <v>Negative</v>
      </c>
      <c r="G439" s="10">
        <f>IFERROR(__xludf.DUMMYFUNCTION("""COMPUTED_VALUE"""),1.0)</f>
        <v>1</v>
      </c>
    </row>
    <row r="440">
      <c r="A440" s="6" t="str">
        <f>IFERROR(__xludf.DUMMYFUNCTION("""COMPUTED_VALUE"""),"FM839")</f>
        <v>FM839</v>
      </c>
      <c r="B440" s="6" t="str">
        <f>IFERROR(__xludf.DUMMYFUNCTION("""COMPUTED_VALUE"""),"RUN-BEND_2022-02-19_RFR-036")</f>
        <v>RUN-BEND_2022-02-19_RFR-036</v>
      </c>
      <c r="C440" s="7">
        <f>VLOOKUP(B440,'Run Reconcile'!A$2:B809,2,FALSE)</f>
        <v>44611</v>
      </c>
      <c r="D440" s="12">
        <f>IFERROR(__xludf.DUMMYFUNCTION("""COMPUTED_VALUE"""),44611.0)</f>
        <v>44611</v>
      </c>
      <c r="E440" s="13">
        <f>IFERROR(__xludf.DUMMYFUNCTION("""COMPUTED_VALUE"""),0.33428240740613546)</f>
        <v>0.3342824074</v>
      </c>
      <c r="F440" s="10" t="str">
        <f>IFERROR(__xludf.DUMMYFUNCTION("""COMPUTED_VALUE"""),"Negative")</f>
        <v>Negative</v>
      </c>
      <c r="G440" s="10">
        <f>IFERROR(__xludf.DUMMYFUNCTION("""COMPUTED_VALUE"""),1.0)</f>
        <v>1</v>
      </c>
    </row>
    <row r="441">
      <c r="A441" s="6" t="str">
        <f>IFERROR(__xludf.DUMMYFUNCTION("""COMPUTED_VALUE"""),"FM803")</f>
        <v>FM803</v>
      </c>
      <c r="B441" s="6" t="str">
        <f>IFERROR(__xludf.DUMMYFUNCTION("""COMPUTED_VALUE"""),"RUN-BEND_2022-02-19_RFR-036")</f>
        <v>RUN-BEND_2022-02-19_RFR-036</v>
      </c>
      <c r="C441" s="7">
        <f>VLOOKUP(B441,'Run Reconcile'!A$2:B809,2,FALSE)</f>
        <v>44611</v>
      </c>
      <c r="D441" s="12">
        <f>IFERROR(__xludf.DUMMYFUNCTION("""COMPUTED_VALUE"""),44611.0)</f>
        <v>44611</v>
      </c>
      <c r="E441" s="13">
        <f>IFERROR(__xludf.DUMMYFUNCTION("""COMPUTED_VALUE"""),0.3347106481487572)</f>
        <v>0.3347106481</v>
      </c>
      <c r="F441" s="10" t="str">
        <f>IFERROR(__xludf.DUMMYFUNCTION("""COMPUTED_VALUE"""),"Negative")</f>
        <v>Negative</v>
      </c>
      <c r="G441" s="10">
        <f>IFERROR(__xludf.DUMMYFUNCTION("""COMPUTED_VALUE"""),1.0)</f>
        <v>1</v>
      </c>
    </row>
    <row r="442">
      <c r="A442" s="6" t="str">
        <f>IFERROR(__xludf.DUMMYFUNCTION("""COMPUTED_VALUE"""),"MA608")</f>
        <v>MA608</v>
      </c>
      <c r="B442" s="6" t="str">
        <f>IFERROR(__xludf.DUMMYFUNCTION("""COMPUTED_VALUE"""),"RUN-BEND_2022-02-19_RFR-036")</f>
        <v>RUN-BEND_2022-02-19_RFR-036</v>
      </c>
      <c r="C442" s="7">
        <f>VLOOKUP(B442,'Run Reconcile'!A$2:B809,2,FALSE)</f>
        <v>44611</v>
      </c>
      <c r="D442" s="12">
        <f>IFERROR(__xludf.DUMMYFUNCTION("""COMPUTED_VALUE"""),44611.0)</f>
        <v>44611</v>
      </c>
      <c r="E442" s="13">
        <f>IFERROR(__xludf.DUMMYFUNCTION("""COMPUTED_VALUE"""),0.3349537037029222)</f>
        <v>0.3349537037</v>
      </c>
      <c r="F442" s="10" t="str">
        <f>IFERROR(__xludf.DUMMYFUNCTION("""COMPUTED_VALUE"""),"Negative")</f>
        <v>Negative</v>
      </c>
      <c r="G442" s="10">
        <f>IFERROR(__xludf.DUMMYFUNCTION("""COMPUTED_VALUE"""),1.0)</f>
        <v>1</v>
      </c>
    </row>
    <row r="443">
      <c r="A443" s="6" t="str">
        <f>IFERROR(__xludf.DUMMYFUNCTION("""COMPUTED_VALUE"""),"FM35")</f>
        <v>FM35</v>
      </c>
      <c r="B443" s="6" t="str">
        <f>IFERROR(__xludf.DUMMYFUNCTION("""COMPUTED_VALUE"""),"RUN-BEND_2022-02-19_RFR-036")</f>
        <v>RUN-BEND_2022-02-19_RFR-036</v>
      </c>
      <c r="C443" s="7">
        <f>VLOOKUP(B443,'Run Reconcile'!A$2:B809,2,FALSE)</f>
        <v>44611</v>
      </c>
      <c r="D443" s="12">
        <f>IFERROR(__xludf.DUMMYFUNCTION("""COMPUTED_VALUE"""),44611.0)</f>
        <v>44611</v>
      </c>
      <c r="E443" s="13">
        <f>IFERROR(__xludf.DUMMYFUNCTION("""COMPUTED_VALUE"""),0.34528935185153387)</f>
        <v>0.3452893519</v>
      </c>
      <c r="F443" s="10" t="str">
        <f>IFERROR(__xludf.DUMMYFUNCTION("""COMPUTED_VALUE"""),"Negative")</f>
        <v>Negative</v>
      </c>
      <c r="G443" s="10">
        <f>IFERROR(__xludf.DUMMYFUNCTION("""COMPUTED_VALUE"""),1.0)</f>
        <v>1</v>
      </c>
    </row>
    <row r="444">
      <c r="A444" s="6" t="str">
        <f>IFERROR(__xludf.DUMMYFUNCTION("""COMPUTED_VALUE"""),"FM38")</f>
        <v>FM38</v>
      </c>
      <c r="B444" s="6" t="str">
        <f>IFERROR(__xludf.DUMMYFUNCTION("""COMPUTED_VALUE"""),"RUN-BEND_2022-02-19_RFR-036")</f>
        <v>RUN-BEND_2022-02-19_RFR-036</v>
      </c>
      <c r="C444" s="7">
        <f>VLOOKUP(B444,'Run Reconcile'!A$2:B809,2,FALSE)</f>
        <v>44611</v>
      </c>
      <c r="D444" s="12">
        <f>IFERROR(__xludf.DUMMYFUNCTION("""COMPUTED_VALUE"""),44611.0)</f>
        <v>44611</v>
      </c>
      <c r="E444" s="13">
        <f>IFERROR(__xludf.DUMMYFUNCTION("""COMPUTED_VALUE"""),0.3456018518518249)</f>
        <v>0.3456018519</v>
      </c>
      <c r="F444" s="10" t="str">
        <f>IFERROR(__xludf.DUMMYFUNCTION("""COMPUTED_VALUE"""),"Negative")</f>
        <v>Negative</v>
      </c>
      <c r="G444" s="10">
        <f>IFERROR(__xludf.DUMMYFUNCTION("""COMPUTED_VALUE"""),1.0)</f>
        <v>1</v>
      </c>
    </row>
    <row r="445">
      <c r="A445" s="6" t="str">
        <f>IFERROR(__xludf.DUMMYFUNCTION("""COMPUTED_VALUE"""),"MA229")</f>
        <v>MA229</v>
      </c>
      <c r="B445" s="6" t="str">
        <f>IFERROR(__xludf.DUMMYFUNCTION("""COMPUTED_VALUE"""),"RUN-BEND_2022-02-19_RFR-036")</f>
        <v>RUN-BEND_2022-02-19_RFR-036</v>
      </c>
      <c r="C445" s="7">
        <f>VLOOKUP(B445,'Run Reconcile'!A$2:B809,2,FALSE)</f>
        <v>44611</v>
      </c>
      <c r="D445" s="12">
        <f>IFERROR(__xludf.DUMMYFUNCTION("""COMPUTED_VALUE"""),44611.0)</f>
        <v>44611</v>
      </c>
      <c r="E445" s="13">
        <f>IFERROR(__xludf.DUMMYFUNCTION("""COMPUTED_VALUE"""),0.47353009259313694)</f>
        <v>0.4735300926</v>
      </c>
      <c r="F445" s="10" t="str">
        <f>IFERROR(__xludf.DUMMYFUNCTION("""COMPUTED_VALUE"""),"Negative")</f>
        <v>Negative</v>
      </c>
      <c r="G445" s="10">
        <f>IFERROR(__xludf.DUMMYFUNCTION("""COMPUTED_VALUE"""),1.0)</f>
        <v>1</v>
      </c>
    </row>
    <row r="446">
      <c r="A446" s="6" t="str">
        <f>IFERROR(__xludf.DUMMYFUNCTION("""COMPUTED_VALUE"""),"FM117")</f>
        <v>FM117</v>
      </c>
      <c r="B446" s="6" t="str">
        <f>IFERROR(__xludf.DUMMYFUNCTION("""COMPUTED_VALUE"""),"RUN-BEND_2022-02-21_RFR-037")</f>
        <v>RUN-BEND_2022-02-21_RFR-037</v>
      </c>
      <c r="C446" s="7">
        <f>VLOOKUP(B446,'Run Reconcile'!A$2:B809,2,FALSE)</f>
        <v>44613</v>
      </c>
      <c r="D446" s="12">
        <f>IFERROR(__xludf.DUMMYFUNCTION("""COMPUTED_VALUE"""),44613.0)</f>
        <v>44613</v>
      </c>
      <c r="E446" s="13">
        <f>IFERROR(__xludf.DUMMYFUNCTION("""COMPUTED_VALUE"""),0.26121527777650044)</f>
        <v>0.2612152778</v>
      </c>
      <c r="F446" s="10" t="str">
        <f>IFERROR(__xludf.DUMMYFUNCTION("""COMPUTED_VALUE"""),"Negative")</f>
        <v>Negative</v>
      </c>
      <c r="G446" s="10">
        <f>IFERROR(__xludf.DUMMYFUNCTION("""COMPUTED_VALUE"""),1.0)</f>
        <v>1</v>
      </c>
    </row>
    <row r="447">
      <c r="A447" s="6" t="str">
        <f>IFERROR(__xludf.DUMMYFUNCTION("""COMPUTED_VALUE"""),"FM437")</f>
        <v>FM437</v>
      </c>
      <c r="B447" s="6" t="str">
        <f>IFERROR(__xludf.DUMMYFUNCTION("""COMPUTED_VALUE"""),"RUN-BEND_2022-02-21_RFR-037")</f>
        <v>RUN-BEND_2022-02-21_RFR-037</v>
      </c>
      <c r="C447" s="7">
        <f>VLOOKUP(B447,'Run Reconcile'!A$2:B809,2,FALSE)</f>
        <v>44613</v>
      </c>
      <c r="D447" s="12">
        <f>IFERROR(__xludf.DUMMYFUNCTION("""COMPUTED_VALUE"""),44613.0)</f>
        <v>44613</v>
      </c>
      <c r="E447" s="13">
        <f>IFERROR(__xludf.DUMMYFUNCTION("""COMPUTED_VALUE"""),0.26516203703795327)</f>
        <v>0.265162037</v>
      </c>
      <c r="F447" s="10" t="str">
        <f>IFERROR(__xludf.DUMMYFUNCTION("""COMPUTED_VALUE"""),"Negative")</f>
        <v>Negative</v>
      </c>
      <c r="G447" s="10">
        <f>IFERROR(__xludf.DUMMYFUNCTION("""COMPUTED_VALUE"""),1.0)</f>
        <v>1</v>
      </c>
    </row>
    <row r="448">
      <c r="A448" s="6" t="str">
        <f>IFERROR(__xludf.DUMMYFUNCTION("""COMPUTED_VALUE"""),"FM980")</f>
        <v>FM980</v>
      </c>
      <c r="B448" s="6" t="str">
        <f>IFERROR(__xludf.DUMMYFUNCTION("""COMPUTED_VALUE"""),"RUN-BEND_2022-02-21_RFR-037")</f>
        <v>RUN-BEND_2022-02-21_RFR-037</v>
      </c>
      <c r="C448" s="7">
        <f>VLOOKUP(B448,'Run Reconcile'!A$2:B809,2,FALSE)</f>
        <v>44613</v>
      </c>
      <c r="D448" s="12">
        <f>IFERROR(__xludf.DUMMYFUNCTION("""COMPUTED_VALUE"""),44613.0)</f>
        <v>44613</v>
      </c>
      <c r="E448" s="13">
        <f>IFERROR(__xludf.DUMMYFUNCTION("""COMPUTED_VALUE"""),0.2667245370357705)</f>
        <v>0.266724537</v>
      </c>
      <c r="F448" s="10" t="str">
        <f>IFERROR(__xludf.DUMMYFUNCTION("""COMPUTED_VALUE"""),"Negative")</f>
        <v>Negative</v>
      </c>
      <c r="G448" s="10">
        <f>IFERROR(__xludf.DUMMYFUNCTION("""COMPUTED_VALUE"""),1.0)</f>
        <v>1</v>
      </c>
    </row>
    <row r="449">
      <c r="A449" s="6" t="str">
        <f>IFERROR(__xludf.DUMMYFUNCTION("""COMPUTED_VALUE"""),"FM824")</f>
        <v>FM824</v>
      </c>
      <c r="B449" s="6" t="str">
        <f>IFERROR(__xludf.DUMMYFUNCTION("""COMPUTED_VALUE"""),"RUN-BEND_2022-02-21_RFR-037")</f>
        <v>RUN-BEND_2022-02-21_RFR-037</v>
      </c>
      <c r="C449" s="7">
        <f>VLOOKUP(B449,'Run Reconcile'!A$2:B809,2,FALSE)</f>
        <v>44613</v>
      </c>
      <c r="D449" s="12">
        <f>IFERROR(__xludf.DUMMYFUNCTION("""COMPUTED_VALUE"""),44613.0)</f>
        <v>44613</v>
      </c>
      <c r="E449" s="13">
        <f>IFERROR(__xludf.DUMMYFUNCTION("""COMPUTED_VALUE"""),0.2760995370372257)</f>
        <v>0.276099537</v>
      </c>
      <c r="F449" s="10" t="str">
        <f>IFERROR(__xludf.DUMMYFUNCTION("""COMPUTED_VALUE"""),"Negative")</f>
        <v>Negative</v>
      </c>
      <c r="G449" s="10">
        <f>IFERROR(__xludf.DUMMYFUNCTION("""COMPUTED_VALUE"""),1.0)</f>
        <v>1</v>
      </c>
    </row>
    <row r="450">
      <c r="A450" s="6" t="str">
        <f>IFERROR(__xludf.DUMMYFUNCTION("""COMPUTED_VALUE"""),"FM478")</f>
        <v>FM478</v>
      </c>
      <c r="B450" s="6" t="str">
        <f>IFERROR(__xludf.DUMMYFUNCTION("""COMPUTED_VALUE"""),"RUN-BEND_2022-02-21_RFR-037")</f>
        <v>RUN-BEND_2022-02-21_RFR-037</v>
      </c>
      <c r="C450" s="7">
        <f>VLOOKUP(B450,'Run Reconcile'!A$2:B809,2,FALSE)</f>
        <v>44613</v>
      </c>
      <c r="D450" s="12">
        <f>IFERROR(__xludf.DUMMYFUNCTION("""COMPUTED_VALUE"""),44613.0)</f>
        <v>44613</v>
      </c>
      <c r="E450" s="13">
        <f>IFERROR(__xludf.DUMMYFUNCTION("""COMPUTED_VALUE"""),0.2888425925921183)</f>
        <v>0.2888425926</v>
      </c>
      <c r="F450" s="10" t="str">
        <f>IFERROR(__xludf.DUMMYFUNCTION("""COMPUTED_VALUE"""),"Negative")</f>
        <v>Negative</v>
      </c>
      <c r="G450" s="10">
        <f>IFERROR(__xludf.DUMMYFUNCTION("""COMPUTED_VALUE"""),1.0)</f>
        <v>1</v>
      </c>
    </row>
    <row r="451">
      <c r="A451" s="6" t="str">
        <f>IFERROR(__xludf.DUMMYFUNCTION("""COMPUTED_VALUE"""),"MA279")</f>
        <v>MA279</v>
      </c>
      <c r="B451" s="6" t="str">
        <f>IFERROR(__xludf.DUMMYFUNCTION("""COMPUTED_VALUE"""),"RUN-BEND_2022-02-21_RFR-037")</f>
        <v>RUN-BEND_2022-02-21_RFR-037</v>
      </c>
      <c r="C451" s="7">
        <f>VLOOKUP(B451,'Run Reconcile'!A$2:B809,2,FALSE)</f>
        <v>44613</v>
      </c>
      <c r="D451" s="12">
        <f>IFERROR(__xludf.DUMMYFUNCTION("""COMPUTED_VALUE"""),44613.0)</f>
        <v>44613</v>
      </c>
      <c r="E451" s="13">
        <f>IFERROR(__xludf.DUMMYFUNCTION("""COMPUTED_VALUE"""),0.2935763888890506)</f>
        <v>0.2935763889</v>
      </c>
      <c r="F451" s="10" t="str">
        <f>IFERROR(__xludf.DUMMYFUNCTION("""COMPUTED_VALUE"""),"Negative")</f>
        <v>Negative</v>
      </c>
      <c r="G451" s="10">
        <f>IFERROR(__xludf.DUMMYFUNCTION("""COMPUTED_VALUE"""),1.0)</f>
        <v>1</v>
      </c>
    </row>
    <row r="452">
      <c r="A452" s="6" t="str">
        <f>IFERROR(__xludf.DUMMYFUNCTION("""COMPUTED_VALUE"""),"FM486")</f>
        <v>FM486</v>
      </c>
      <c r="B452" s="6" t="str">
        <f>IFERROR(__xludf.DUMMYFUNCTION("""COMPUTED_VALUE"""),"RUN-BEND_2022-02-21_RFR-037")</f>
        <v>RUN-BEND_2022-02-21_RFR-037</v>
      </c>
      <c r="C452" s="7">
        <f>VLOOKUP(B452,'Run Reconcile'!A$2:B809,2,FALSE)</f>
        <v>44613</v>
      </c>
      <c r="D452" s="12">
        <f>IFERROR(__xludf.DUMMYFUNCTION("""COMPUTED_VALUE"""),44613.0)</f>
        <v>44613</v>
      </c>
      <c r="E452" s="13">
        <f>IFERROR(__xludf.DUMMYFUNCTION("""COMPUTED_VALUE"""),0.3007175925922638)</f>
        <v>0.3007175926</v>
      </c>
      <c r="F452" s="10" t="str">
        <f>IFERROR(__xludf.DUMMYFUNCTION("""COMPUTED_VALUE"""),"Negative")</f>
        <v>Negative</v>
      </c>
      <c r="G452" s="10">
        <f>IFERROR(__xludf.DUMMYFUNCTION("""COMPUTED_VALUE"""),1.0)</f>
        <v>1</v>
      </c>
    </row>
    <row r="453">
      <c r="A453" s="6" t="str">
        <f>IFERROR(__xludf.DUMMYFUNCTION("""COMPUTED_VALUE"""),"FM28")</f>
        <v>FM28</v>
      </c>
      <c r="B453" s="6" t="str">
        <f>IFERROR(__xludf.DUMMYFUNCTION("""COMPUTED_VALUE"""),"RUN-BEND_2022-02-21_RFR-037")</f>
        <v>RUN-BEND_2022-02-21_RFR-037</v>
      </c>
      <c r="C453" s="7">
        <f>VLOOKUP(B453,'Run Reconcile'!A$2:B809,2,FALSE)</f>
        <v>44613</v>
      </c>
      <c r="D453" s="12">
        <f>IFERROR(__xludf.DUMMYFUNCTION("""COMPUTED_VALUE"""),44613.0)</f>
        <v>44613</v>
      </c>
      <c r="E453" s="13">
        <f>IFERROR(__xludf.DUMMYFUNCTION("""COMPUTED_VALUE"""),0.3065509259249666)</f>
        <v>0.3065509259</v>
      </c>
      <c r="F453" s="10" t="str">
        <f>IFERROR(__xludf.DUMMYFUNCTION("""COMPUTED_VALUE"""),"Negative")</f>
        <v>Negative</v>
      </c>
      <c r="G453" s="10">
        <f>IFERROR(__xludf.DUMMYFUNCTION("""COMPUTED_VALUE"""),1.0)</f>
        <v>1</v>
      </c>
    </row>
    <row r="454">
      <c r="A454" s="6" t="str">
        <f>IFERROR(__xludf.DUMMYFUNCTION("""COMPUTED_VALUE"""),"FM32")</f>
        <v>FM32</v>
      </c>
      <c r="B454" s="6" t="str">
        <f>IFERROR(__xludf.DUMMYFUNCTION("""COMPUTED_VALUE"""),"RUN-BEND_2022-02-21_RFR-037")</f>
        <v>RUN-BEND_2022-02-21_RFR-037</v>
      </c>
      <c r="C454" s="7">
        <f>VLOOKUP(B454,'Run Reconcile'!A$2:B809,2,FALSE)</f>
        <v>44613</v>
      </c>
      <c r="D454" s="12">
        <f>IFERROR(__xludf.DUMMYFUNCTION("""COMPUTED_VALUE"""),44613.0)</f>
        <v>44613</v>
      </c>
      <c r="E454" s="13">
        <f>IFERROR(__xludf.DUMMYFUNCTION("""COMPUTED_VALUE"""),0.307337962964084)</f>
        <v>0.307337963</v>
      </c>
      <c r="F454" s="10" t="str">
        <f>IFERROR(__xludf.DUMMYFUNCTION("""COMPUTED_VALUE"""),"Negative")</f>
        <v>Negative</v>
      </c>
      <c r="G454" s="10">
        <f>IFERROR(__xludf.DUMMYFUNCTION("""COMPUTED_VALUE"""),1.0)</f>
        <v>1</v>
      </c>
    </row>
    <row r="455">
      <c r="A455" s="6" t="str">
        <f>IFERROR(__xludf.DUMMYFUNCTION("""COMPUTED_VALUE"""),"MA1127")</f>
        <v>MA1127</v>
      </c>
      <c r="B455" s="6" t="str">
        <f>IFERROR(__xludf.DUMMYFUNCTION("""COMPUTED_VALUE"""),"RUN-BEND_2022-02-21_RFR-037")</f>
        <v>RUN-BEND_2022-02-21_RFR-037</v>
      </c>
      <c r="C455" s="7">
        <f>VLOOKUP(B455,'Run Reconcile'!A$2:B809,2,FALSE)</f>
        <v>44613</v>
      </c>
      <c r="D455" s="12">
        <f>IFERROR(__xludf.DUMMYFUNCTION("""COMPUTED_VALUE"""),44613.0)</f>
        <v>44613</v>
      </c>
      <c r="E455" s="13">
        <f>IFERROR(__xludf.DUMMYFUNCTION("""COMPUTED_VALUE"""),0.3089351851849642)</f>
        <v>0.3089351852</v>
      </c>
      <c r="F455" s="10" t="str">
        <f>IFERROR(__xludf.DUMMYFUNCTION("""COMPUTED_VALUE"""),"Negative")</f>
        <v>Negative</v>
      </c>
      <c r="G455" s="10">
        <f>IFERROR(__xludf.DUMMYFUNCTION("""COMPUTED_VALUE"""),1.0)</f>
        <v>1</v>
      </c>
    </row>
    <row r="456">
      <c r="A456" s="6" t="str">
        <f>IFERROR(__xludf.DUMMYFUNCTION("""COMPUTED_VALUE"""),"FM11")</f>
        <v>FM11</v>
      </c>
      <c r="B456" s="6" t="str">
        <f>IFERROR(__xludf.DUMMYFUNCTION("""COMPUTED_VALUE"""),"RUN-BEND_2022-02-21_RFR-037")</f>
        <v>RUN-BEND_2022-02-21_RFR-037</v>
      </c>
      <c r="C456" s="7">
        <f>VLOOKUP(B456,'Run Reconcile'!A$2:B809,2,FALSE)</f>
        <v>44613</v>
      </c>
      <c r="D456" s="12">
        <f>IFERROR(__xludf.DUMMYFUNCTION("""COMPUTED_VALUE"""),44613.0)</f>
        <v>44613</v>
      </c>
      <c r="E456" s="13">
        <f>IFERROR(__xludf.DUMMYFUNCTION("""COMPUTED_VALUE"""),0.3109027777791198)</f>
        <v>0.3109027778</v>
      </c>
      <c r="F456" s="10" t="str">
        <f>IFERROR(__xludf.DUMMYFUNCTION("""COMPUTED_VALUE"""),"Negative")</f>
        <v>Negative</v>
      </c>
      <c r="G456" s="10">
        <f>IFERROR(__xludf.DUMMYFUNCTION("""COMPUTED_VALUE"""),1.0)</f>
        <v>1</v>
      </c>
    </row>
    <row r="457">
      <c r="A457" s="6" t="str">
        <f>IFERROR(__xludf.DUMMYFUNCTION("""COMPUTED_VALUE"""),"MA219")</f>
        <v>MA219</v>
      </c>
      <c r="B457" s="6" t="str">
        <f>IFERROR(__xludf.DUMMYFUNCTION("""COMPUTED_VALUE"""),"RUN-BEND_2022-02-21_RFR-037")</f>
        <v>RUN-BEND_2022-02-21_RFR-037</v>
      </c>
      <c r="C457" s="7">
        <f>VLOOKUP(B457,'Run Reconcile'!A$2:B809,2,FALSE)</f>
        <v>44613</v>
      </c>
      <c r="D457" s="12">
        <f>IFERROR(__xludf.DUMMYFUNCTION("""COMPUTED_VALUE"""),44613.0)</f>
        <v>44613</v>
      </c>
      <c r="E457" s="13">
        <f>IFERROR(__xludf.DUMMYFUNCTION("""COMPUTED_VALUE"""),0.31487268518685596)</f>
        <v>0.3148726852</v>
      </c>
      <c r="F457" s="10" t="str">
        <f>IFERROR(__xludf.DUMMYFUNCTION("""COMPUTED_VALUE"""),"Negative")</f>
        <v>Negative</v>
      </c>
      <c r="G457" s="10">
        <f>IFERROR(__xludf.DUMMYFUNCTION("""COMPUTED_VALUE"""),1.0)</f>
        <v>1</v>
      </c>
    </row>
    <row r="458">
      <c r="A458" s="6" t="str">
        <f>IFERROR(__xludf.DUMMYFUNCTION("""COMPUTED_VALUE"""),"MA1072")</f>
        <v>MA1072</v>
      </c>
      <c r="B458" s="6" t="str">
        <f>IFERROR(__xludf.DUMMYFUNCTION("""COMPUTED_VALUE"""),"RUN-BEND_2022-02-21_RFR-037")</f>
        <v>RUN-BEND_2022-02-21_RFR-037</v>
      </c>
      <c r="C458" s="7">
        <f>VLOOKUP(B458,'Run Reconcile'!A$2:B809,2,FALSE)</f>
        <v>44613</v>
      </c>
      <c r="D458" s="12">
        <f>IFERROR(__xludf.DUMMYFUNCTION("""COMPUTED_VALUE"""),44613.0)</f>
        <v>44613</v>
      </c>
      <c r="E458" s="13">
        <f>IFERROR(__xludf.DUMMYFUNCTION("""COMPUTED_VALUE"""),0.31501157407547)</f>
        <v>0.3150115741</v>
      </c>
      <c r="F458" s="10" t="str">
        <f>IFERROR(__xludf.DUMMYFUNCTION("""COMPUTED_VALUE"""),"Negative")</f>
        <v>Negative</v>
      </c>
      <c r="G458" s="10">
        <f>IFERROR(__xludf.DUMMYFUNCTION("""COMPUTED_VALUE"""),1.0)</f>
        <v>1</v>
      </c>
    </row>
    <row r="459">
      <c r="A459" s="6" t="str">
        <f>IFERROR(__xludf.DUMMYFUNCTION("""COMPUTED_VALUE"""),"MA1096")</f>
        <v>MA1096</v>
      </c>
      <c r="B459" s="6" t="str">
        <f>IFERROR(__xludf.DUMMYFUNCTION("""COMPUTED_VALUE"""),"RUN-BEND_2022-02-21_RFR-037")</f>
        <v>RUN-BEND_2022-02-21_RFR-037</v>
      </c>
      <c r="C459" s="7">
        <f>VLOOKUP(B459,'Run Reconcile'!A$2:B809,2,FALSE)</f>
        <v>44613</v>
      </c>
      <c r="D459" s="12">
        <f>IFERROR(__xludf.DUMMYFUNCTION("""COMPUTED_VALUE"""),44613.0)</f>
        <v>44613</v>
      </c>
      <c r="E459" s="13">
        <f>IFERROR(__xludf.DUMMYFUNCTION("""COMPUTED_VALUE"""),0.31597222222262644)</f>
        <v>0.3159722222</v>
      </c>
      <c r="F459" s="10" t="str">
        <f>IFERROR(__xludf.DUMMYFUNCTION("""COMPUTED_VALUE"""),"Negative")</f>
        <v>Negative</v>
      </c>
      <c r="G459" s="10">
        <f>IFERROR(__xludf.DUMMYFUNCTION("""COMPUTED_VALUE"""),1.0)</f>
        <v>1</v>
      </c>
    </row>
    <row r="460">
      <c r="A460" s="6" t="str">
        <f>IFERROR(__xludf.DUMMYFUNCTION("""COMPUTED_VALUE"""),"MA1312")</f>
        <v>MA1312</v>
      </c>
      <c r="B460" s="6" t="str">
        <f>IFERROR(__xludf.DUMMYFUNCTION("""COMPUTED_VALUE"""),"RUN-BEND_2022-02-21_RFR-037")</f>
        <v>RUN-BEND_2022-02-21_RFR-037</v>
      </c>
      <c r="C460" s="7">
        <f>VLOOKUP(B460,'Run Reconcile'!A$2:B809,2,FALSE)</f>
        <v>44613</v>
      </c>
      <c r="D460" s="12">
        <f>IFERROR(__xludf.DUMMYFUNCTION("""COMPUTED_VALUE"""),44613.0)</f>
        <v>44613</v>
      </c>
      <c r="E460" s="13">
        <f>IFERROR(__xludf.DUMMYFUNCTION("""COMPUTED_VALUE"""),0.31672453703868086)</f>
        <v>0.316724537</v>
      </c>
      <c r="F460" s="10" t="str">
        <f>IFERROR(__xludf.DUMMYFUNCTION("""COMPUTED_VALUE"""),"Negative")</f>
        <v>Negative</v>
      </c>
      <c r="G460" s="10">
        <f>IFERROR(__xludf.DUMMYFUNCTION("""COMPUTED_VALUE"""),1.0)</f>
        <v>1</v>
      </c>
    </row>
    <row r="461">
      <c r="A461" s="6" t="str">
        <f>IFERROR(__xludf.DUMMYFUNCTION("""COMPUTED_VALUE"""),"MA1295")</f>
        <v>MA1295</v>
      </c>
      <c r="B461" s="6" t="str">
        <f>IFERROR(__xludf.DUMMYFUNCTION("""COMPUTED_VALUE"""),"RUN-BEND_2022-02-21_RFR-037")</f>
        <v>RUN-BEND_2022-02-21_RFR-037</v>
      </c>
      <c r="C461" s="7">
        <f>VLOOKUP(B461,'Run Reconcile'!A$2:B809,2,FALSE)</f>
        <v>44613</v>
      </c>
      <c r="D461" s="12">
        <f>IFERROR(__xludf.DUMMYFUNCTION("""COMPUTED_VALUE"""),44613.0)</f>
        <v>44613</v>
      </c>
      <c r="E461" s="13">
        <f>IFERROR(__xludf.DUMMYFUNCTION("""COMPUTED_VALUE"""),0.31746527777795563)</f>
        <v>0.3174652778</v>
      </c>
      <c r="F461" s="10" t="str">
        <f>IFERROR(__xludf.DUMMYFUNCTION("""COMPUTED_VALUE"""),"Negative")</f>
        <v>Negative</v>
      </c>
      <c r="G461" s="10">
        <f>IFERROR(__xludf.DUMMYFUNCTION("""COMPUTED_VALUE"""),1.0)</f>
        <v>1</v>
      </c>
    </row>
    <row r="462">
      <c r="A462" s="6" t="str">
        <f>IFERROR(__xludf.DUMMYFUNCTION("""COMPUTED_VALUE"""),"MA210")</f>
        <v>MA210</v>
      </c>
      <c r="B462" s="6" t="str">
        <f>IFERROR(__xludf.DUMMYFUNCTION("""COMPUTED_VALUE"""),"RUN-BEND_2022-02-21_RFR-037")</f>
        <v>RUN-BEND_2022-02-21_RFR-037</v>
      </c>
      <c r="C462" s="7">
        <f>VLOOKUP(B462,'Run Reconcile'!A$2:B809,2,FALSE)</f>
        <v>44613</v>
      </c>
      <c r="D462" s="12">
        <f>IFERROR(__xludf.DUMMYFUNCTION("""COMPUTED_VALUE"""),44613.0)</f>
        <v>44613</v>
      </c>
      <c r="E462" s="13">
        <f>IFERROR(__xludf.DUMMYFUNCTION("""COMPUTED_VALUE"""),0.3193634259259852)</f>
        <v>0.3193634259</v>
      </c>
      <c r="F462" s="10" t="str">
        <f>IFERROR(__xludf.DUMMYFUNCTION("""COMPUTED_VALUE"""),"Negative")</f>
        <v>Negative</v>
      </c>
      <c r="G462" s="10">
        <f>IFERROR(__xludf.DUMMYFUNCTION("""COMPUTED_VALUE"""),1.0)</f>
        <v>1</v>
      </c>
    </row>
    <row r="463">
      <c r="A463" s="6" t="str">
        <f>IFERROR(__xludf.DUMMYFUNCTION("""COMPUTED_VALUE"""),"MA1271")</f>
        <v>MA1271</v>
      </c>
      <c r="B463" s="6" t="str">
        <f>IFERROR(__xludf.DUMMYFUNCTION("""COMPUTED_VALUE"""),"RUN-BEND_2022-02-21_RFR-037")</f>
        <v>RUN-BEND_2022-02-21_RFR-037</v>
      </c>
      <c r="C463" s="7">
        <f>VLOOKUP(B463,'Run Reconcile'!A$2:B809,2,FALSE)</f>
        <v>44613</v>
      </c>
      <c r="D463" s="12">
        <f>IFERROR(__xludf.DUMMYFUNCTION("""COMPUTED_VALUE"""),44613.0)</f>
        <v>44613</v>
      </c>
      <c r="E463" s="13">
        <f>IFERROR(__xludf.DUMMYFUNCTION("""COMPUTED_VALUE"""),0.31986111111109494)</f>
        <v>0.3198611111</v>
      </c>
      <c r="F463" s="10" t="str">
        <f>IFERROR(__xludf.DUMMYFUNCTION("""COMPUTED_VALUE"""),"Negative")</f>
        <v>Negative</v>
      </c>
      <c r="G463" s="10">
        <f>IFERROR(__xludf.DUMMYFUNCTION("""COMPUTED_VALUE"""),1.0)</f>
        <v>1</v>
      </c>
    </row>
    <row r="464">
      <c r="A464" s="6" t="str">
        <f>IFERROR(__xludf.DUMMYFUNCTION("""COMPUTED_VALUE"""),"MA202")</f>
        <v>MA202</v>
      </c>
      <c r="B464" s="6" t="str">
        <f>IFERROR(__xludf.DUMMYFUNCTION("""COMPUTED_VALUE"""),"RUN-BEND_2022-02-21_RFR-037")</f>
        <v>RUN-BEND_2022-02-21_RFR-037</v>
      </c>
      <c r="C464" s="7">
        <f>VLOOKUP(B464,'Run Reconcile'!A$2:B809,2,FALSE)</f>
        <v>44613</v>
      </c>
      <c r="D464" s="12">
        <f>IFERROR(__xludf.DUMMYFUNCTION("""COMPUTED_VALUE"""),44613.0)</f>
        <v>44613</v>
      </c>
      <c r="E464" s="13">
        <f>IFERROR(__xludf.DUMMYFUNCTION("""COMPUTED_VALUE"""),0.32069444444277906)</f>
        <v>0.3206944444</v>
      </c>
      <c r="F464" s="10" t="str">
        <f>IFERROR(__xludf.DUMMYFUNCTION("""COMPUTED_VALUE"""),"Negative")</f>
        <v>Negative</v>
      </c>
      <c r="G464" s="10">
        <f>IFERROR(__xludf.DUMMYFUNCTION("""COMPUTED_VALUE"""),1.0)</f>
        <v>1</v>
      </c>
    </row>
    <row r="465">
      <c r="A465" s="6" t="str">
        <f>IFERROR(__xludf.DUMMYFUNCTION("""COMPUTED_VALUE"""),"FM1020")</f>
        <v>FM1020</v>
      </c>
      <c r="B465" s="6" t="str">
        <f>IFERROR(__xludf.DUMMYFUNCTION("""COMPUTED_VALUE"""),"RUN-BEND_2022-02-21_RFR-037")</f>
        <v>RUN-BEND_2022-02-21_RFR-037</v>
      </c>
      <c r="C465" s="7">
        <f>VLOOKUP(B465,'Run Reconcile'!A$2:B809,2,FALSE)</f>
        <v>44613</v>
      </c>
      <c r="D465" s="12">
        <f>IFERROR(__xludf.DUMMYFUNCTION("""COMPUTED_VALUE"""),44613.0)</f>
        <v>44613</v>
      </c>
      <c r="E465" s="13">
        <f>IFERROR(__xludf.DUMMYFUNCTION("""COMPUTED_VALUE"""),0.32101851851984975)</f>
        <v>0.3210185185</v>
      </c>
      <c r="F465" s="10" t="str">
        <f>IFERROR(__xludf.DUMMYFUNCTION("""COMPUTED_VALUE"""),"Negative")</f>
        <v>Negative</v>
      </c>
      <c r="G465" s="10">
        <f>IFERROR(__xludf.DUMMYFUNCTION("""COMPUTED_VALUE"""),1.0)</f>
        <v>1</v>
      </c>
    </row>
    <row r="466">
      <c r="A466" s="6" t="str">
        <f>IFERROR(__xludf.DUMMYFUNCTION("""COMPUTED_VALUE"""),"FM823")</f>
        <v>FM823</v>
      </c>
      <c r="B466" s="6" t="str">
        <f>IFERROR(__xludf.DUMMYFUNCTION("""COMPUTED_VALUE"""),"RUN-BEND_2022-02-21_RFR-037")</f>
        <v>RUN-BEND_2022-02-21_RFR-037</v>
      </c>
      <c r="C466" s="7">
        <f>VLOOKUP(B466,'Run Reconcile'!A$2:B809,2,FALSE)</f>
        <v>44613</v>
      </c>
      <c r="D466" s="12">
        <f>IFERROR(__xludf.DUMMYFUNCTION("""COMPUTED_VALUE"""),44613.0)</f>
        <v>44613</v>
      </c>
      <c r="E466" s="13">
        <f>IFERROR(__xludf.DUMMYFUNCTION("""COMPUTED_VALUE"""),0.32120370370466844)</f>
        <v>0.3212037037</v>
      </c>
      <c r="F466" s="10" t="str">
        <f>IFERROR(__xludf.DUMMYFUNCTION("""COMPUTED_VALUE"""),"Negative")</f>
        <v>Negative</v>
      </c>
      <c r="G466" s="10">
        <f>IFERROR(__xludf.DUMMYFUNCTION("""COMPUTED_VALUE"""),1.0)</f>
        <v>1</v>
      </c>
    </row>
    <row r="467">
      <c r="A467" s="6" t="str">
        <f>IFERROR(__xludf.DUMMYFUNCTION("""COMPUTED_VALUE"""),"MA227")</f>
        <v>MA227</v>
      </c>
      <c r="B467" s="6" t="str">
        <f>IFERROR(__xludf.DUMMYFUNCTION("""COMPUTED_VALUE"""),"RUN-BEND_2022-02-21_RFR-037")</f>
        <v>RUN-BEND_2022-02-21_RFR-037</v>
      </c>
      <c r="C467" s="7">
        <f>VLOOKUP(B467,'Run Reconcile'!A$2:B809,2,FALSE)</f>
        <v>44613</v>
      </c>
      <c r="D467" s="12">
        <f>IFERROR(__xludf.DUMMYFUNCTION("""COMPUTED_VALUE"""),44613.0)</f>
        <v>44613</v>
      </c>
      <c r="E467" s="13">
        <f>IFERROR(__xludf.DUMMYFUNCTION("""COMPUTED_VALUE"""),0.3221643518518249)</f>
        <v>0.3221643519</v>
      </c>
      <c r="F467" s="10" t="str">
        <f>IFERROR(__xludf.DUMMYFUNCTION("""COMPUTED_VALUE"""),"Negative")</f>
        <v>Negative</v>
      </c>
      <c r="G467" s="10">
        <f>IFERROR(__xludf.DUMMYFUNCTION("""COMPUTED_VALUE"""),1.0)</f>
        <v>1</v>
      </c>
    </row>
    <row r="468">
      <c r="A468" s="6" t="str">
        <f>IFERROR(__xludf.DUMMYFUNCTION("""COMPUTED_VALUE"""),"MAX100")</f>
        <v>MAX100</v>
      </c>
      <c r="B468" s="6" t="str">
        <f>IFERROR(__xludf.DUMMYFUNCTION("""COMPUTED_VALUE"""),"RUN-BEND_2022-02-21_RFR-037")</f>
        <v>RUN-BEND_2022-02-21_RFR-037</v>
      </c>
      <c r="C468" s="7">
        <f>VLOOKUP(B468,'Run Reconcile'!A$2:B809,2,FALSE)</f>
        <v>44613</v>
      </c>
      <c r="D468" s="12">
        <f>IFERROR(__xludf.DUMMYFUNCTION("""COMPUTED_VALUE"""),44613.0)</f>
        <v>44613</v>
      </c>
      <c r="E468" s="13">
        <f>IFERROR(__xludf.DUMMYFUNCTION("""COMPUTED_VALUE"""),0.3222685185173759)</f>
        <v>0.3222685185</v>
      </c>
      <c r="F468" s="10" t="str">
        <f>IFERROR(__xludf.DUMMYFUNCTION("""COMPUTED_VALUE"""),"Negative")</f>
        <v>Negative</v>
      </c>
      <c r="G468" s="10">
        <f>IFERROR(__xludf.DUMMYFUNCTION("""COMPUTED_VALUE"""),1.0)</f>
        <v>1</v>
      </c>
    </row>
    <row r="469">
      <c r="A469" s="6" t="str">
        <f>IFERROR(__xludf.DUMMYFUNCTION("""COMPUTED_VALUE"""),"FM1010")</f>
        <v>FM1010</v>
      </c>
      <c r="B469" s="6" t="str">
        <f>IFERROR(__xludf.DUMMYFUNCTION("""COMPUTED_VALUE"""),"RUN-BEND_2022-02-21_RFR-037")</f>
        <v>RUN-BEND_2022-02-21_RFR-037</v>
      </c>
      <c r="C469" s="7">
        <f>VLOOKUP(B469,'Run Reconcile'!A$2:B809,2,FALSE)</f>
        <v>44613</v>
      </c>
      <c r="D469" s="12">
        <f>IFERROR(__xludf.DUMMYFUNCTION("""COMPUTED_VALUE"""),44613.0)</f>
        <v>44613</v>
      </c>
      <c r="E469" s="13">
        <f>IFERROR(__xludf.DUMMYFUNCTION("""COMPUTED_VALUE"""),0.3244097222232085)</f>
        <v>0.3244097222</v>
      </c>
      <c r="F469" s="10" t="str">
        <f>IFERROR(__xludf.DUMMYFUNCTION("""COMPUTED_VALUE"""),"Negative")</f>
        <v>Negative</v>
      </c>
      <c r="G469" s="10">
        <f>IFERROR(__xludf.DUMMYFUNCTION("""COMPUTED_VALUE"""),1.0)</f>
        <v>1</v>
      </c>
    </row>
    <row r="470">
      <c r="A470" s="6" t="str">
        <f>IFERROR(__xludf.DUMMYFUNCTION("""COMPUTED_VALUE"""),"FM509")</f>
        <v>FM509</v>
      </c>
      <c r="B470" s="6" t="str">
        <f>IFERROR(__xludf.DUMMYFUNCTION("""COMPUTED_VALUE"""),"RUN-BEND_2022-02-21_RFR-037")</f>
        <v>RUN-BEND_2022-02-21_RFR-037</v>
      </c>
      <c r="C470" s="7">
        <f>VLOOKUP(B470,'Run Reconcile'!A$2:B809,2,FALSE)</f>
        <v>44613</v>
      </c>
      <c r="D470" s="12">
        <f>IFERROR(__xludf.DUMMYFUNCTION("""COMPUTED_VALUE"""),44613.0)</f>
        <v>44613</v>
      </c>
      <c r="E470" s="13">
        <f>IFERROR(__xludf.DUMMYFUNCTION("""COMPUTED_VALUE"""),0.3271874999991269)</f>
        <v>0.3271875</v>
      </c>
      <c r="F470" s="10" t="str">
        <f>IFERROR(__xludf.DUMMYFUNCTION("""COMPUTED_VALUE"""),"Negative")</f>
        <v>Negative</v>
      </c>
      <c r="G470" s="10">
        <f>IFERROR(__xludf.DUMMYFUNCTION("""COMPUTED_VALUE"""),1.0)</f>
        <v>1</v>
      </c>
    </row>
    <row r="471">
      <c r="A471" s="6" t="str">
        <f>IFERROR(__xludf.DUMMYFUNCTION("""COMPUTED_VALUE"""),"MA1044")</f>
        <v>MA1044</v>
      </c>
      <c r="B471" s="6" t="str">
        <f>IFERROR(__xludf.DUMMYFUNCTION("""COMPUTED_VALUE"""),"RUN-BEND_2022-02-21_RFR-037")</f>
        <v>RUN-BEND_2022-02-21_RFR-037</v>
      </c>
      <c r="C471" s="7">
        <f>VLOOKUP(B471,'Run Reconcile'!A$2:B809,2,FALSE)</f>
        <v>44613</v>
      </c>
      <c r="D471" s="12">
        <f>IFERROR(__xludf.DUMMYFUNCTION("""COMPUTED_VALUE"""),44613.0)</f>
        <v>44613</v>
      </c>
      <c r="E471" s="13">
        <f>IFERROR(__xludf.DUMMYFUNCTION("""COMPUTED_VALUE"""),0.32894675925854244)</f>
        <v>0.3289467593</v>
      </c>
      <c r="F471" s="10" t="str">
        <f>IFERROR(__xludf.DUMMYFUNCTION("""COMPUTED_VALUE"""),"Negative")</f>
        <v>Negative</v>
      </c>
      <c r="G471" s="10">
        <f>IFERROR(__xludf.DUMMYFUNCTION("""COMPUTED_VALUE"""),1.0)</f>
        <v>1</v>
      </c>
    </row>
    <row r="472">
      <c r="A472" s="6" t="str">
        <f>IFERROR(__xludf.DUMMYFUNCTION("""COMPUTED_VALUE"""),"FM461")</f>
        <v>FM461</v>
      </c>
      <c r="B472" s="6" t="str">
        <f>IFERROR(__xludf.DUMMYFUNCTION("""COMPUTED_VALUE"""),"RUN-BEND_2022-02-21_RFR-037")</f>
        <v>RUN-BEND_2022-02-21_RFR-037</v>
      </c>
      <c r="C472" s="7">
        <f>VLOOKUP(B472,'Run Reconcile'!A$2:B809,2,FALSE)</f>
        <v>44613</v>
      </c>
      <c r="D472" s="12">
        <f>IFERROR(__xludf.DUMMYFUNCTION("""COMPUTED_VALUE"""),44613.0)</f>
        <v>44613</v>
      </c>
      <c r="E472" s="13">
        <f>IFERROR(__xludf.DUMMYFUNCTION("""COMPUTED_VALUE"""),0.3421064814829151)</f>
        <v>0.3421064815</v>
      </c>
      <c r="F472" s="10" t="str">
        <f>IFERROR(__xludf.DUMMYFUNCTION("""COMPUTED_VALUE"""),"Negative")</f>
        <v>Negative</v>
      </c>
      <c r="G472" s="10">
        <f>IFERROR(__xludf.DUMMYFUNCTION("""COMPUTED_VALUE"""),1.0)</f>
        <v>1</v>
      </c>
    </row>
    <row r="473">
      <c r="A473" s="6" t="str">
        <f>IFERROR(__xludf.DUMMYFUNCTION("""COMPUTED_VALUE"""),"FM70")</f>
        <v>FM70</v>
      </c>
      <c r="B473" s="6" t="str">
        <f>IFERROR(__xludf.DUMMYFUNCTION("""COMPUTED_VALUE"""),"RUN-BEND_2022-02-21_RFR-037")</f>
        <v>RUN-BEND_2022-02-21_RFR-037</v>
      </c>
      <c r="C473" s="7">
        <f>VLOOKUP(B473,'Run Reconcile'!A$2:B809,2,FALSE)</f>
        <v>44613</v>
      </c>
      <c r="D473" s="12">
        <f>IFERROR(__xludf.DUMMYFUNCTION("""COMPUTED_VALUE"""),44613.0)</f>
        <v>44613</v>
      </c>
      <c r="E473" s="13">
        <f>IFERROR(__xludf.DUMMYFUNCTION("""COMPUTED_VALUE"""),0.356689814816491)</f>
        <v>0.3566898148</v>
      </c>
      <c r="F473" s="10" t="str">
        <f>IFERROR(__xludf.DUMMYFUNCTION("""COMPUTED_VALUE"""),"Negative")</f>
        <v>Negative</v>
      </c>
      <c r="G473" s="10">
        <f>IFERROR(__xludf.DUMMYFUNCTION("""COMPUTED_VALUE"""),1.0)</f>
        <v>1</v>
      </c>
    </row>
    <row r="474">
      <c r="A474" s="6" t="str">
        <f>IFERROR(__xludf.DUMMYFUNCTION("""COMPUTED_VALUE"""),"MA1045")</f>
        <v>MA1045</v>
      </c>
      <c r="B474" s="6" t="str">
        <f>IFERROR(__xludf.DUMMYFUNCTION("""COMPUTED_VALUE"""),"RUN-BEND_2022-02-22_RFR-038")</f>
        <v>RUN-BEND_2022-02-22_RFR-038</v>
      </c>
      <c r="C474" s="7">
        <f>VLOOKUP(B474,'Run Reconcile'!A$2:B809,2,FALSE)</f>
        <v>44614</v>
      </c>
      <c r="D474" s="12">
        <f>IFERROR(__xludf.DUMMYFUNCTION("""COMPUTED_VALUE"""),44614.0)</f>
        <v>44614</v>
      </c>
      <c r="E474" s="13">
        <f>IFERROR(__xludf.DUMMYFUNCTION("""COMPUTED_VALUE"""),0.356689814816491)</f>
        <v>0.3566898148</v>
      </c>
      <c r="F474" s="10" t="str">
        <f>IFERROR(__xludf.DUMMYFUNCTION("""COMPUTED_VALUE"""),"Positive")</f>
        <v>Positive</v>
      </c>
      <c r="G474" s="10">
        <f>IFERROR(__xludf.DUMMYFUNCTION("""COMPUTED_VALUE"""),1.0)</f>
        <v>1</v>
      </c>
    </row>
    <row r="475">
      <c r="A475" s="6" t="str">
        <f>IFERROR(__xludf.DUMMYFUNCTION("""COMPUTED_VALUE"""),"MAX24")</f>
        <v>MAX24</v>
      </c>
      <c r="B475" s="6" t="str">
        <f>IFERROR(__xludf.DUMMYFUNCTION("""COMPUTED_VALUE"""),"RUN-BEND_2022-02-23_RFR-039")</f>
        <v>RUN-BEND_2022-02-23_RFR-039</v>
      </c>
      <c r="C475" s="7">
        <f>VLOOKUP(B475,'Run Reconcile'!A$2:B809,2,FALSE)</f>
        <v>44615</v>
      </c>
      <c r="D475" s="12">
        <f>IFERROR(__xludf.DUMMYFUNCTION("""COMPUTED_VALUE"""),44615.0)</f>
        <v>44615</v>
      </c>
      <c r="E475" s="13">
        <f>IFERROR(__xludf.DUMMYFUNCTION("""COMPUTED_VALUE"""),0.26325231481314404)</f>
        <v>0.2632523148</v>
      </c>
      <c r="F475" s="10" t="str">
        <f>IFERROR(__xludf.DUMMYFUNCTION("""COMPUTED_VALUE"""),"Negative")</f>
        <v>Negative</v>
      </c>
      <c r="G475" s="10">
        <f>IFERROR(__xludf.DUMMYFUNCTION("""COMPUTED_VALUE"""),1.0)</f>
        <v>1</v>
      </c>
    </row>
    <row r="476">
      <c r="A476" s="6" t="str">
        <f>IFERROR(__xludf.DUMMYFUNCTION("""COMPUTED_VALUE"""),"FM81")</f>
        <v>FM81</v>
      </c>
      <c r="B476" s="6" t="str">
        <f>IFERROR(__xludf.DUMMYFUNCTION("""COMPUTED_VALUE"""),"RUN-BEND_2022-02-23_RFR-039")</f>
        <v>RUN-BEND_2022-02-23_RFR-039</v>
      </c>
      <c r="C476" s="7">
        <f>VLOOKUP(B476,'Run Reconcile'!A$2:B809,2,FALSE)</f>
        <v>44615</v>
      </c>
      <c r="D476" s="12">
        <f>IFERROR(__xludf.DUMMYFUNCTION("""COMPUTED_VALUE"""),44615.0)</f>
        <v>44615</v>
      </c>
      <c r="E476" s="13">
        <f>IFERROR(__xludf.DUMMYFUNCTION("""COMPUTED_VALUE"""),0.29224537036861875)</f>
        <v>0.2922453704</v>
      </c>
      <c r="F476" s="10" t="str">
        <f>IFERROR(__xludf.DUMMYFUNCTION("""COMPUTED_VALUE"""),"Negative")</f>
        <v>Negative</v>
      </c>
      <c r="G476" s="10">
        <f>IFERROR(__xludf.DUMMYFUNCTION("""COMPUTED_VALUE"""),1.0)</f>
        <v>1</v>
      </c>
    </row>
    <row r="477">
      <c r="A477" s="6" t="str">
        <f>IFERROR(__xludf.DUMMYFUNCTION("""COMPUTED_VALUE"""),"MA300")</f>
        <v>MA300</v>
      </c>
      <c r="B477" s="6" t="str">
        <f>IFERROR(__xludf.DUMMYFUNCTION("""COMPUTED_VALUE"""),"RUN-BEND_2022-02-23_RFR-039")</f>
        <v>RUN-BEND_2022-02-23_RFR-039</v>
      </c>
      <c r="C477" s="7">
        <f>VLOOKUP(B477,'Run Reconcile'!A$2:B809,2,FALSE)</f>
        <v>44615</v>
      </c>
      <c r="D477" s="12">
        <f>IFERROR(__xludf.DUMMYFUNCTION("""COMPUTED_VALUE"""),44615.0)</f>
        <v>44615</v>
      </c>
      <c r="E477" s="13">
        <f>IFERROR(__xludf.DUMMYFUNCTION("""COMPUTED_VALUE"""),0.2953587962947495)</f>
        <v>0.2953587963</v>
      </c>
      <c r="F477" s="10" t="str">
        <f>IFERROR(__xludf.DUMMYFUNCTION("""COMPUTED_VALUE"""),"Negative")</f>
        <v>Negative</v>
      </c>
      <c r="G477" s="10">
        <f>IFERROR(__xludf.DUMMYFUNCTION("""COMPUTED_VALUE"""),1.0)</f>
        <v>1</v>
      </c>
    </row>
    <row r="478">
      <c r="A478" s="6" t="str">
        <f>IFERROR(__xludf.DUMMYFUNCTION("""COMPUTED_VALUE"""),"FM505")</f>
        <v>FM505</v>
      </c>
      <c r="B478" s="6" t="str">
        <f>IFERROR(__xludf.DUMMYFUNCTION("""COMPUTED_VALUE"""),"RUN-BEND_2022-02-23_RFR-039")</f>
        <v>RUN-BEND_2022-02-23_RFR-039</v>
      </c>
      <c r="C478" s="7">
        <f>VLOOKUP(B478,'Run Reconcile'!A$2:B809,2,FALSE)</f>
        <v>44615</v>
      </c>
      <c r="D478" s="12">
        <f>IFERROR(__xludf.DUMMYFUNCTION("""COMPUTED_VALUE"""),44615.0)</f>
        <v>44615</v>
      </c>
      <c r="E478" s="13">
        <f>IFERROR(__xludf.DUMMYFUNCTION("""COMPUTED_VALUE"""),0.3012384259272949)</f>
        <v>0.3012384259</v>
      </c>
      <c r="F478" s="10" t="str">
        <f>IFERROR(__xludf.DUMMYFUNCTION("""COMPUTED_VALUE"""),"Negative")</f>
        <v>Negative</v>
      </c>
      <c r="G478" s="10">
        <f>IFERROR(__xludf.DUMMYFUNCTION("""COMPUTED_VALUE"""),1.0)</f>
        <v>1</v>
      </c>
    </row>
    <row r="479">
      <c r="A479" s="6" t="str">
        <f>IFERROR(__xludf.DUMMYFUNCTION("""COMPUTED_VALUE"""),"FM5")</f>
        <v>FM5</v>
      </c>
      <c r="B479" s="6" t="str">
        <f>IFERROR(__xludf.DUMMYFUNCTION("""COMPUTED_VALUE"""),"RUN-BEND_2022-02-23_RFR-039")</f>
        <v>RUN-BEND_2022-02-23_RFR-039</v>
      </c>
      <c r="C479" s="7">
        <f>VLOOKUP(B479,'Run Reconcile'!A$2:B809,2,FALSE)</f>
        <v>44615</v>
      </c>
      <c r="D479" s="12">
        <f>IFERROR(__xludf.DUMMYFUNCTION("""COMPUTED_VALUE"""),44615.0)</f>
        <v>44615</v>
      </c>
      <c r="E479" s="13">
        <f>IFERROR(__xludf.DUMMYFUNCTION("""COMPUTED_VALUE"""),0.3067939814827696)</f>
        <v>0.3067939815</v>
      </c>
      <c r="F479" s="10" t="str">
        <f>IFERROR(__xludf.DUMMYFUNCTION("""COMPUTED_VALUE"""),"Negative")</f>
        <v>Negative</v>
      </c>
      <c r="G479" s="10">
        <f>IFERROR(__xludf.DUMMYFUNCTION("""COMPUTED_VALUE"""),1.0)</f>
        <v>1</v>
      </c>
    </row>
    <row r="480">
      <c r="A480" s="6" t="str">
        <f>IFERROR(__xludf.DUMMYFUNCTION("""COMPUTED_VALUE"""),"MA222")</f>
        <v>MA222</v>
      </c>
      <c r="B480" s="6" t="str">
        <f>IFERROR(__xludf.DUMMYFUNCTION("""COMPUTED_VALUE"""),"RUN-BEND_2022-02-23_RFR-039")</f>
        <v>RUN-BEND_2022-02-23_RFR-039</v>
      </c>
      <c r="C480" s="7">
        <f>VLOOKUP(B480,'Run Reconcile'!A$2:B809,2,FALSE)</f>
        <v>44615</v>
      </c>
      <c r="D480" s="12">
        <f>IFERROR(__xludf.DUMMYFUNCTION("""COMPUTED_VALUE"""),44615.0)</f>
        <v>44615</v>
      </c>
      <c r="E480" s="13">
        <f>IFERROR(__xludf.DUMMYFUNCTION("""COMPUTED_VALUE"""),0.30866898148087785)</f>
        <v>0.3086689815</v>
      </c>
      <c r="F480" s="10" t="str">
        <f>IFERROR(__xludf.DUMMYFUNCTION("""COMPUTED_VALUE"""),"Negative")</f>
        <v>Negative</v>
      </c>
      <c r="G480" s="10">
        <f>IFERROR(__xludf.DUMMYFUNCTION("""COMPUTED_VALUE"""),1.0)</f>
        <v>1</v>
      </c>
    </row>
    <row r="481">
      <c r="A481" s="6" t="str">
        <f>IFERROR(__xludf.DUMMYFUNCTION("""COMPUTED_VALUE"""),"MA231")</f>
        <v>MA231</v>
      </c>
      <c r="B481" s="6" t="str">
        <f>IFERROR(__xludf.DUMMYFUNCTION("""COMPUTED_VALUE"""),"RUN-BEND_2022-02-23_RFR-039")</f>
        <v>RUN-BEND_2022-02-23_RFR-039</v>
      </c>
      <c r="C481" s="7">
        <f>VLOOKUP(B481,'Run Reconcile'!A$2:B809,2,FALSE)</f>
        <v>44615</v>
      </c>
      <c r="D481" s="12">
        <f>IFERROR(__xludf.DUMMYFUNCTION("""COMPUTED_VALUE"""),44615.0)</f>
        <v>44615</v>
      </c>
      <c r="E481" s="13">
        <f>IFERROR(__xludf.DUMMYFUNCTION("""COMPUTED_VALUE"""),0.3092361111121136)</f>
        <v>0.3092361111</v>
      </c>
      <c r="F481" s="10" t="str">
        <f>IFERROR(__xludf.DUMMYFUNCTION("""COMPUTED_VALUE"""),"Negative")</f>
        <v>Negative</v>
      </c>
      <c r="G481" s="10">
        <f>IFERROR(__xludf.DUMMYFUNCTION("""COMPUTED_VALUE"""),1.0)</f>
        <v>1</v>
      </c>
    </row>
    <row r="482">
      <c r="A482" s="6" t="str">
        <f>IFERROR(__xludf.DUMMYFUNCTION("""COMPUTED_VALUE"""),"MA214")</f>
        <v>MA214</v>
      </c>
      <c r="B482" s="6" t="str">
        <f>IFERROR(__xludf.DUMMYFUNCTION("""COMPUTED_VALUE"""),"RUN-BEND_2022-02-23_RFR-039")</f>
        <v>RUN-BEND_2022-02-23_RFR-039</v>
      </c>
      <c r="C482" s="7">
        <f>VLOOKUP(B482,'Run Reconcile'!A$2:B809,2,FALSE)</f>
        <v>44615</v>
      </c>
      <c r="D482" s="12">
        <f>IFERROR(__xludf.DUMMYFUNCTION("""COMPUTED_VALUE"""),44615.0)</f>
        <v>44615</v>
      </c>
      <c r="E482" s="13">
        <f>IFERROR(__xludf.DUMMYFUNCTION("""COMPUTED_VALUE"""),0.30931712963138125)</f>
        <v>0.3093171296</v>
      </c>
      <c r="F482" s="10" t="str">
        <f>IFERROR(__xludf.DUMMYFUNCTION("""COMPUTED_VALUE"""),"Negative")</f>
        <v>Negative</v>
      </c>
      <c r="G482" s="10">
        <f>IFERROR(__xludf.DUMMYFUNCTION("""COMPUTED_VALUE"""),1.0)</f>
        <v>1</v>
      </c>
    </row>
    <row r="483">
      <c r="A483" s="6" t="str">
        <f>IFERROR(__xludf.DUMMYFUNCTION("""COMPUTED_VALUE"""),"FM827")</f>
        <v>FM827</v>
      </c>
      <c r="B483" s="6" t="str">
        <f>IFERROR(__xludf.DUMMYFUNCTION("""COMPUTED_VALUE"""),"RUN-BEND_2022-02-23_RFR-039")</f>
        <v>RUN-BEND_2022-02-23_RFR-039</v>
      </c>
      <c r="C483" s="7">
        <f>VLOOKUP(B483,'Run Reconcile'!A$2:B809,2,FALSE)</f>
        <v>44615</v>
      </c>
      <c r="D483" s="12">
        <f>IFERROR(__xludf.DUMMYFUNCTION("""COMPUTED_VALUE"""),44615.0)</f>
        <v>44615</v>
      </c>
      <c r="E483" s="13">
        <f>IFERROR(__xludf.DUMMYFUNCTION("""COMPUTED_VALUE"""),0.309780092593428)</f>
        <v>0.3097800926</v>
      </c>
      <c r="F483" s="10" t="str">
        <f>IFERROR(__xludf.DUMMYFUNCTION("""COMPUTED_VALUE"""),"Negative")</f>
        <v>Negative</v>
      </c>
      <c r="G483" s="10">
        <f>IFERROR(__xludf.DUMMYFUNCTION("""COMPUTED_VALUE"""),1.0)</f>
        <v>1</v>
      </c>
    </row>
    <row r="484">
      <c r="A484" s="6" t="str">
        <f>IFERROR(__xludf.DUMMYFUNCTION("""COMPUTED_VALUE"""),"MA299")</f>
        <v>MA299</v>
      </c>
      <c r="B484" s="6" t="str">
        <f>IFERROR(__xludf.DUMMYFUNCTION("""COMPUTED_VALUE"""),"RUN-BEND_2022-02-23_RFR-039")</f>
        <v>RUN-BEND_2022-02-23_RFR-039</v>
      </c>
      <c r="C484" s="7">
        <f>VLOOKUP(B484,'Run Reconcile'!A$2:B809,2,FALSE)</f>
        <v>44615</v>
      </c>
      <c r="D484" s="12">
        <f>IFERROR(__xludf.DUMMYFUNCTION("""COMPUTED_VALUE"""),44615.0)</f>
        <v>44615</v>
      </c>
      <c r="E484" s="13">
        <f>IFERROR(__xludf.DUMMYFUNCTION("""COMPUTED_VALUE"""),0.31089120370234014)</f>
        <v>0.3108912037</v>
      </c>
      <c r="F484" s="10" t="str">
        <f>IFERROR(__xludf.DUMMYFUNCTION("""COMPUTED_VALUE"""),"Negative")</f>
        <v>Negative</v>
      </c>
      <c r="G484" s="10">
        <f>IFERROR(__xludf.DUMMYFUNCTION("""COMPUTED_VALUE"""),1.0)</f>
        <v>1</v>
      </c>
    </row>
    <row r="485">
      <c r="A485" s="6" t="str">
        <f>IFERROR(__xludf.DUMMYFUNCTION("""COMPUTED_VALUE"""),"MA1104")</f>
        <v>MA1104</v>
      </c>
      <c r="B485" s="6" t="str">
        <f>IFERROR(__xludf.DUMMYFUNCTION("""COMPUTED_VALUE"""),"RUN-BEND_2022-02-23_RFR-039")</f>
        <v>RUN-BEND_2022-02-23_RFR-039</v>
      </c>
      <c r="C485" s="7">
        <f>VLOOKUP(B485,'Run Reconcile'!A$2:B809,2,FALSE)</f>
        <v>44615</v>
      </c>
      <c r="D485" s="12">
        <f>IFERROR(__xludf.DUMMYFUNCTION("""COMPUTED_VALUE"""),44615.0)</f>
        <v>44615</v>
      </c>
      <c r="E485" s="13">
        <f>IFERROR(__xludf.DUMMYFUNCTION("""COMPUTED_VALUE"""),0.3144907407404389)</f>
        <v>0.3144907407</v>
      </c>
      <c r="F485" s="10" t="str">
        <f>IFERROR(__xludf.DUMMYFUNCTION("""COMPUTED_VALUE"""),"Negative")</f>
        <v>Negative</v>
      </c>
      <c r="G485" s="10">
        <f>IFERROR(__xludf.DUMMYFUNCTION("""COMPUTED_VALUE"""),1.0)</f>
        <v>1</v>
      </c>
    </row>
    <row r="486">
      <c r="A486" s="6" t="str">
        <f>IFERROR(__xludf.DUMMYFUNCTION("""COMPUTED_VALUE"""),"MA1026")</f>
        <v>MA1026</v>
      </c>
      <c r="B486" s="6" t="str">
        <f>IFERROR(__xludf.DUMMYFUNCTION("""COMPUTED_VALUE"""),"RUN-BEND_2022-02-23_RFR-039")</f>
        <v>RUN-BEND_2022-02-23_RFR-039</v>
      </c>
      <c r="C486" s="7">
        <f>VLOOKUP(B486,'Run Reconcile'!A$2:B809,2,FALSE)</f>
        <v>44615</v>
      </c>
      <c r="D486" s="12">
        <f>IFERROR(__xludf.DUMMYFUNCTION("""COMPUTED_VALUE"""),44615.0)</f>
        <v>44615</v>
      </c>
      <c r="E486" s="13">
        <f>IFERROR(__xludf.DUMMYFUNCTION("""COMPUTED_VALUE"""),0.3146412037021946)</f>
        <v>0.3146412037</v>
      </c>
      <c r="F486" s="10" t="str">
        <f>IFERROR(__xludf.DUMMYFUNCTION("""COMPUTED_VALUE"""),"Negative")</f>
        <v>Negative</v>
      </c>
      <c r="G486" s="10">
        <f>IFERROR(__xludf.DUMMYFUNCTION("""COMPUTED_VALUE"""),1.0)</f>
        <v>1</v>
      </c>
    </row>
    <row r="487">
      <c r="A487" s="6" t="str">
        <f>IFERROR(__xludf.DUMMYFUNCTION("""COMPUTED_VALUE"""),"FM533")</f>
        <v>FM533</v>
      </c>
      <c r="B487" s="6" t="str">
        <f>IFERROR(__xludf.DUMMYFUNCTION("""COMPUTED_VALUE"""),"RUN-BEND_2022-02-23_RFR-039")</f>
        <v>RUN-BEND_2022-02-23_RFR-039</v>
      </c>
      <c r="C487" s="7">
        <f>VLOOKUP(B487,'Run Reconcile'!A$2:B809,2,FALSE)</f>
        <v>44615</v>
      </c>
      <c r="D487" s="12">
        <f>IFERROR(__xludf.DUMMYFUNCTION("""COMPUTED_VALUE"""),44615.0)</f>
        <v>44615</v>
      </c>
      <c r="E487" s="13">
        <f>IFERROR(__xludf.DUMMYFUNCTION("""COMPUTED_VALUE"""),0.3195833333338669)</f>
        <v>0.3195833333</v>
      </c>
      <c r="F487" s="10" t="str">
        <f>IFERROR(__xludf.DUMMYFUNCTION("""COMPUTED_VALUE"""),"Negative")</f>
        <v>Negative</v>
      </c>
      <c r="G487" s="10">
        <f>IFERROR(__xludf.DUMMYFUNCTION("""COMPUTED_VALUE"""),1.0)</f>
        <v>1</v>
      </c>
    </row>
    <row r="488">
      <c r="A488" s="6" t="str">
        <f>IFERROR(__xludf.DUMMYFUNCTION("""COMPUTED_VALUE"""),"MA1038")</f>
        <v>MA1038</v>
      </c>
      <c r="B488" s="6" t="str">
        <f>IFERROR(__xludf.DUMMYFUNCTION("""COMPUTED_VALUE"""),"RUN-BEND_2022-02-23_RFR-039")</f>
        <v>RUN-BEND_2022-02-23_RFR-039</v>
      </c>
      <c r="C488" s="7">
        <f>VLOOKUP(B488,'Run Reconcile'!A$2:B809,2,FALSE)</f>
        <v>44615</v>
      </c>
      <c r="D488" s="12">
        <f>IFERROR(__xludf.DUMMYFUNCTION("""COMPUTED_VALUE"""),44615.0)</f>
        <v>44615</v>
      </c>
      <c r="E488" s="13">
        <f>IFERROR(__xludf.DUMMYFUNCTION("""COMPUTED_VALUE"""),0.3210416666661331)</f>
        <v>0.3210416667</v>
      </c>
      <c r="F488" s="10" t="str">
        <f>IFERROR(__xludf.DUMMYFUNCTION("""COMPUTED_VALUE"""),"Negative")</f>
        <v>Negative</v>
      </c>
      <c r="G488" s="10">
        <f>IFERROR(__xludf.DUMMYFUNCTION("""COMPUTED_VALUE"""),1.0)</f>
        <v>1</v>
      </c>
    </row>
    <row r="489">
      <c r="A489" s="6" t="str">
        <f>IFERROR(__xludf.DUMMYFUNCTION("""COMPUTED_VALUE"""),"FM1008")</f>
        <v>FM1008</v>
      </c>
      <c r="B489" s="6" t="str">
        <f>IFERROR(__xludf.DUMMYFUNCTION("""COMPUTED_VALUE"""),"RUN-BEND_2022-02-23_RFR-039")</f>
        <v>RUN-BEND_2022-02-23_RFR-039</v>
      </c>
      <c r="C489" s="7">
        <f>VLOOKUP(B489,'Run Reconcile'!A$2:B809,2,FALSE)</f>
        <v>44615</v>
      </c>
      <c r="D489" s="12">
        <f>IFERROR(__xludf.DUMMYFUNCTION("""COMPUTED_VALUE"""),44615.0)</f>
        <v>44615</v>
      </c>
      <c r="E489" s="13">
        <f>IFERROR(__xludf.DUMMYFUNCTION("""COMPUTED_VALUE"""),0.32171296296291985)</f>
        <v>0.321712963</v>
      </c>
      <c r="F489" s="10" t="str">
        <f>IFERROR(__xludf.DUMMYFUNCTION("""COMPUTED_VALUE"""),"Negative")</f>
        <v>Negative</v>
      </c>
      <c r="G489" s="10">
        <f>IFERROR(__xludf.DUMMYFUNCTION("""COMPUTED_VALUE"""),1.0)</f>
        <v>1</v>
      </c>
    </row>
    <row r="490">
      <c r="A490" s="6" t="str">
        <f>IFERROR(__xludf.DUMMYFUNCTION("""COMPUTED_VALUE"""),"MA251")</f>
        <v>MA251</v>
      </c>
      <c r="B490" s="6" t="str">
        <f>IFERROR(__xludf.DUMMYFUNCTION("""COMPUTED_VALUE"""),"RUN-BEND_2022-02-23_RFR-039")</f>
        <v>RUN-BEND_2022-02-23_RFR-039</v>
      </c>
      <c r="C490" s="7">
        <f>VLOOKUP(B490,'Run Reconcile'!A$2:B809,2,FALSE)</f>
        <v>44615</v>
      </c>
      <c r="D490" s="12">
        <f>IFERROR(__xludf.DUMMYFUNCTION("""COMPUTED_VALUE"""),44615.0)</f>
        <v>44615</v>
      </c>
      <c r="E490" s="13">
        <f>IFERROR(__xludf.DUMMYFUNCTION("""COMPUTED_VALUE"""),0.3237962962957681)</f>
        <v>0.3237962963</v>
      </c>
      <c r="F490" s="10" t="str">
        <f>IFERROR(__xludf.DUMMYFUNCTION("""COMPUTED_VALUE"""),"Negative")</f>
        <v>Negative</v>
      </c>
      <c r="G490" s="10">
        <f>IFERROR(__xludf.DUMMYFUNCTION("""COMPUTED_VALUE"""),1.0)</f>
        <v>1</v>
      </c>
    </row>
    <row r="491">
      <c r="A491" s="6" t="str">
        <f>IFERROR(__xludf.DUMMYFUNCTION("""COMPUTED_VALUE"""),"FM450")</f>
        <v>FM450</v>
      </c>
      <c r="B491" s="6" t="str">
        <f>IFERROR(__xludf.DUMMYFUNCTION("""COMPUTED_VALUE"""),"RUN-BEND_2022-02-23_RFR-039")</f>
        <v>RUN-BEND_2022-02-23_RFR-039</v>
      </c>
      <c r="C491" s="7">
        <f>VLOOKUP(B491,'Run Reconcile'!A$2:B809,2,FALSE)</f>
        <v>44615</v>
      </c>
      <c r="D491" s="12">
        <f>IFERROR(__xludf.DUMMYFUNCTION("""COMPUTED_VALUE"""),44615.0)</f>
        <v>44615</v>
      </c>
      <c r="E491" s="13">
        <f>IFERROR(__xludf.DUMMYFUNCTION("""COMPUTED_VALUE"""),0.32843750000029104)</f>
        <v>0.3284375</v>
      </c>
      <c r="F491" s="10" t="str">
        <f>IFERROR(__xludf.DUMMYFUNCTION("""COMPUTED_VALUE"""),"Negative")</f>
        <v>Negative</v>
      </c>
      <c r="G491" s="10">
        <f>IFERROR(__xludf.DUMMYFUNCTION("""COMPUTED_VALUE"""),1.0)</f>
        <v>1</v>
      </c>
    </row>
    <row r="492">
      <c r="A492" s="6" t="str">
        <f>IFERROR(__xludf.DUMMYFUNCTION("""COMPUTED_VALUE"""),"FM976")</f>
        <v>FM976</v>
      </c>
      <c r="B492" s="6" t="str">
        <f>IFERROR(__xludf.DUMMYFUNCTION("""COMPUTED_VALUE"""),"RUN-BEND_2022-02-23_RFR-039")</f>
        <v>RUN-BEND_2022-02-23_RFR-039</v>
      </c>
      <c r="C492" s="7">
        <f>VLOOKUP(B492,'Run Reconcile'!A$2:B809,2,FALSE)</f>
        <v>44615</v>
      </c>
      <c r="D492" s="12">
        <f>IFERROR(__xludf.DUMMYFUNCTION("""COMPUTED_VALUE"""),44615.0)</f>
        <v>44615</v>
      </c>
      <c r="E492" s="13">
        <f>IFERROR(__xludf.DUMMYFUNCTION("""COMPUTED_VALUE"""),0.3312499999992724)</f>
        <v>0.33125</v>
      </c>
      <c r="F492" s="10" t="str">
        <f>IFERROR(__xludf.DUMMYFUNCTION("""COMPUTED_VALUE"""),"Negative")</f>
        <v>Negative</v>
      </c>
      <c r="G492" s="10">
        <f>IFERROR(__xludf.DUMMYFUNCTION("""COMPUTED_VALUE"""),1.0)</f>
        <v>1</v>
      </c>
    </row>
    <row r="493">
      <c r="A493" s="6" t="str">
        <f>IFERROR(__xludf.DUMMYFUNCTION("""COMPUTED_VALUE"""),"MA616")</f>
        <v>MA616</v>
      </c>
      <c r="B493" s="6" t="str">
        <f>IFERROR(__xludf.DUMMYFUNCTION("""COMPUTED_VALUE"""),"RUN-BEND_2022-02-23_RFR-039")</f>
        <v>RUN-BEND_2022-02-23_RFR-039</v>
      </c>
      <c r="C493" s="7">
        <f>VLOOKUP(B493,'Run Reconcile'!A$2:B809,2,FALSE)</f>
        <v>44615</v>
      </c>
      <c r="D493" s="12">
        <f>IFERROR(__xludf.DUMMYFUNCTION("""COMPUTED_VALUE"""),44615.0)</f>
        <v>44615</v>
      </c>
      <c r="E493" s="13">
        <f>IFERROR(__xludf.DUMMYFUNCTION("""COMPUTED_VALUE"""),0.33225694444263354)</f>
        <v>0.3322569444</v>
      </c>
      <c r="F493" s="10" t="str">
        <f>IFERROR(__xludf.DUMMYFUNCTION("""COMPUTED_VALUE"""),"Negative")</f>
        <v>Negative</v>
      </c>
      <c r="G493" s="10">
        <f>IFERROR(__xludf.DUMMYFUNCTION("""COMPUTED_VALUE"""),1.0)</f>
        <v>1</v>
      </c>
    </row>
    <row r="494">
      <c r="A494" s="6" t="str">
        <f>IFERROR(__xludf.DUMMYFUNCTION("""COMPUTED_VALUE"""),"MA1041")</f>
        <v>MA1041</v>
      </c>
      <c r="B494" s="6" t="str">
        <f>IFERROR(__xludf.DUMMYFUNCTION("""COMPUTED_VALUE"""),"RUN-BEND_2022-02-23_RFR-039")</f>
        <v>RUN-BEND_2022-02-23_RFR-039</v>
      </c>
      <c r="C494" s="7">
        <f>VLOOKUP(B494,'Run Reconcile'!A$2:B809,2,FALSE)</f>
        <v>44615</v>
      </c>
      <c r="D494" s="12">
        <f>IFERROR(__xludf.DUMMYFUNCTION("""COMPUTED_VALUE"""),44615.0)</f>
        <v>44615</v>
      </c>
      <c r="E494" s="13">
        <f>IFERROR(__xludf.DUMMYFUNCTION("""COMPUTED_VALUE"""),0.33231481481561786)</f>
        <v>0.3323148148</v>
      </c>
      <c r="F494" s="10" t="str">
        <f>IFERROR(__xludf.DUMMYFUNCTION("""COMPUTED_VALUE"""),"Negative")</f>
        <v>Negative</v>
      </c>
      <c r="G494" s="10">
        <f>IFERROR(__xludf.DUMMYFUNCTION("""COMPUTED_VALUE"""),1.0)</f>
        <v>1</v>
      </c>
    </row>
    <row r="495">
      <c r="A495" s="6" t="str">
        <f>IFERROR(__xludf.DUMMYFUNCTION("""COMPUTED_VALUE"""),"MA1108")</f>
        <v>MA1108</v>
      </c>
      <c r="B495" s="6" t="str">
        <f>IFERROR(__xludf.DUMMYFUNCTION("""COMPUTED_VALUE"""),"RUN-BEND_2022-02-23_RFR-039")</f>
        <v>RUN-BEND_2022-02-23_RFR-039</v>
      </c>
      <c r="C495" s="7">
        <f>VLOOKUP(B495,'Run Reconcile'!A$2:B809,2,FALSE)</f>
        <v>44615</v>
      </c>
      <c r="D495" s="12">
        <f>IFERROR(__xludf.DUMMYFUNCTION("""COMPUTED_VALUE"""),44615.0)</f>
        <v>44615</v>
      </c>
      <c r="E495" s="13">
        <f>IFERROR(__xludf.DUMMYFUNCTION("""COMPUTED_VALUE"""),0.33490740740671754)</f>
        <v>0.3349074074</v>
      </c>
      <c r="F495" s="10" t="str">
        <f>IFERROR(__xludf.DUMMYFUNCTION("""COMPUTED_VALUE"""),"Negative")</f>
        <v>Negative</v>
      </c>
      <c r="G495" s="10">
        <f>IFERROR(__xludf.DUMMYFUNCTION("""COMPUTED_VALUE"""),1.0)</f>
        <v>1</v>
      </c>
    </row>
    <row r="496">
      <c r="A496" s="6" t="str">
        <f>IFERROR(__xludf.DUMMYFUNCTION("""COMPUTED_VALUE"""),"MA260")</f>
        <v>MA260</v>
      </c>
      <c r="B496" s="6" t="str">
        <f>IFERROR(__xludf.DUMMYFUNCTION("""COMPUTED_VALUE"""),"RUN-BEND_2022-02-23_RFR-039")</f>
        <v>RUN-BEND_2022-02-23_RFR-039</v>
      </c>
      <c r="C496" s="7">
        <f>VLOOKUP(B496,'Run Reconcile'!A$2:B809,2,FALSE)</f>
        <v>44615</v>
      </c>
      <c r="D496" s="12">
        <f>IFERROR(__xludf.DUMMYFUNCTION("""COMPUTED_VALUE"""),44615.0)</f>
        <v>44615</v>
      </c>
      <c r="E496" s="13">
        <f>IFERROR(__xludf.DUMMYFUNCTION("""COMPUTED_VALUE"""),0.3352893518531346)</f>
        <v>0.3352893519</v>
      </c>
      <c r="F496" s="10" t="str">
        <f>IFERROR(__xludf.DUMMYFUNCTION("""COMPUTED_VALUE"""),"Negative")</f>
        <v>Negative</v>
      </c>
      <c r="G496" s="10">
        <f>IFERROR(__xludf.DUMMYFUNCTION("""COMPUTED_VALUE"""),1.0)</f>
        <v>1</v>
      </c>
    </row>
    <row r="497">
      <c r="A497" s="6" t="str">
        <f>IFERROR(__xludf.DUMMYFUNCTION("""COMPUTED_VALUE"""),"FM829")</f>
        <v>FM829</v>
      </c>
      <c r="B497" s="6" t="str">
        <f>IFERROR(__xludf.DUMMYFUNCTION("""COMPUTED_VALUE"""),"RUN-BEND_2022-02-23_RFR-039")</f>
        <v>RUN-BEND_2022-02-23_RFR-039</v>
      </c>
      <c r="C497" s="7">
        <f>VLOOKUP(B497,'Run Reconcile'!A$2:B809,2,FALSE)</f>
        <v>44615</v>
      </c>
      <c r="D497" s="12">
        <f>IFERROR(__xludf.DUMMYFUNCTION("""COMPUTED_VALUE"""),44615.0)</f>
        <v>44615</v>
      </c>
      <c r="E497" s="13">
        <f>IFERROR(__xludf.DUMMYFUNCTION("""COMPUTED_VALUE"""),0.3366319444430701)</f>
        <v>0.3366319444</v>
      </c>
      <c r="F497" s="10" t="str">
        <f>IFERROR(__xludf.DUMMYFUNCTION("""COMPUTED_VALUE"""),"Negative")</f>
        <v>Negative</v>
      </c>
      <c r="G497" s="10">
        <f>IFERROR(__xludf.DUMMYFUNCTION("""COMPUTED_VALUE"""),1.0)</f>
        <v>1</v>
      </c>
    </row>
    <row r="498">
      <c r="A498" s="6" t="str">
        <f>IFERROR(__xludf.DUMMYFUNCTION("""COMPUTED_VALUE"""),"MA1028")</f>
        <v>MA1028</v>
      </c>
      <c r="B498" s="6" t="str">
        <f>IFERROR(__xludf.DUMMYFUNCTION("""COMPUTED_VALUE"""),"RUN-BEND_2022-02-23_RFR-039")</f>
        <v>RUN-BEND_2022-02-23_RFR-039</v>
      </c>
      <c r="C498" s="7">
        <f>VLOOKUP(B498,'Run Reconcile'!A$2:B809,2,FALSE)</f>
        <v>44615</v>
      </c>
      <c r="D498" s="12">
        <f>IFERROR(__xludf.DUMMYFUNCTION("""COMPUTED_VALUE"""),44615.0)</f>
        <v>44615</v>
      </c>
      <c r="E498" s="13">
        <f>IFERROR(__xludf.DUMMYFUNCTION("""COMPUTED_VALUE"""),0.33788194444423425)</f>
        <v>0.3378819444</v>
      </c>
      <c r="F498" s="10" t="str">
        <f>IFERROR(__xludf.DUMMYFUNCTION("""COMPUTED_VALUE"""),"Negative")</f>
        <v>Negative</v>
      </c>
      <c r="G498" s="10">
        <f>IFERROR(__xludf.DUMMYFUNCTION("""COMPUTED_VALUE"""),1.0)</f>
        <v>1</v>
      </c>
    </row>
    <row r="499">
      <c r="A499" s="6" t="str">
        <f>IFERROR(__xludf.DUMMYFUNCTION("""COMPUTED_VALUE"""),"FM61")</f>
        <v>FM61</v>
      </c>
      <c r="B499" s="6" t="str">
        <f>IFERROR(__xludf.DUMMYFUNCTION("""COMPUTED_VALUE"""),"RUN-BEND_2022-02-23_RFR-039")</f>
        <v>RUN-BEND_2022-02-23_RFR-039</v>
      </c>
      <c r="C499" s="7">
        <f>VLOOKUP(B499,'Run Reconcile'!A$2:B809,2,FALSE)</f>
        <v>44615</v>
      </c>
      <c r="D499" s="12">
        <f>IFERROR(__xludf.DUMMYFUNCTION("""COMPUTED_VALUE"""),44615.0)</f>
        <v>44615</v>
      </c>
      <c r="E499" s="13">
        <f>IFERROR(__xludf.DUMMYFUNCTION("""COMPUTED_VALUE"""),0.3422685185178125)</f>
        <v>0.3422685185</v>
      </c>
      <c r="F499" s="10" t="str">
        <f>IFERROR(__xludf.DUMMYFUNCTION("""COMPUTED_VALUE"""),"Negative")</f>
        <v>Negative</v>
      </c>
      <c r="G499" s="10">
        <f>IFERROR(__xludf.DUMMYFUNCTION("""COMPUTED_VALUE"""),1.0)</f>
        <v>1</v>
      </c>
    </row>
    <row r="500">
      <c r="A500" s="6" t="str">
        <f>IFERROR(__xludf.DUMMYFUNCTION("""COMPUTED_VALUE"""),"FM62")</f>
        <v>FM62</v>
      </c>
      <c r="B500" s="6" t="str">
        <f>IFERROR(__xludf.DUMMYFUNCTION("""COMPUTED_VALUE"""),"RUN-BEND_2022-02-23_RFR-039")</f>
        <v>RUN-BEND_2022-02-23_RFR-039</v>
      </c>
      <c r="C500" s="7">
        <f>VLOOKUP(B500,'Run Reconcile'!A$2:B809,2,FALSE)</f>
        <v>44615</v>
      </c>
      <c r="D500" s="12">
        <f>IFERROR(__xludf.DUMMYFUNCTION("""COMPUTED_VALUE"""),44615.0)</f>
        <v>44615</v>
      </c>
      <c r="E500" s="13">
        <f>IFERROR(__xludf.DUMMYFUNCTION("""COMPUTED_VALUE"""),0.34234953703708015)</f>
        <v>0.342349537</v>
      </c>
      <c r="F500" s="10" t="str">
        <f>IFERROR(__xludf.DUMMYFUNCTION("""COMPUTED_VALUE"""),"Negative")</f>
        <v>Negative</v>
      </c>
      <c r="G500" s="10">
        <f>IFERROR(__xludf.DUMMYFUNCTION("""COMPUTED_VALUE"""),1.0)</f>
        <v>1</v>
      </c>
    </row>
    <row r="501">
      <c r="A501" s="6" t="str">
        <f>IFERROR(__xludf.DUMMYFUNCTION("""COMPUTED_VALUE"""),"MA1223")</f>
        <v>MA1223</v>
      </c>
      <c r="B501" s="6" t="str">
        <f>IFERROR(__xludf.DUMMYFUNCTION("""COMPUTED_VALUE"""),"RUN-BEND_2022-02-23_RFR-039")</f>
        <v>RUN-BEND_2022-02-23_RFR-039</v>
      </c>
      <c r="C501" s="7">
        <f>VLOOKUP(B501,'Run Reconcile'!A$2:B809,2,FALSE)</f>
        <v>44615</v>
      </c>
      <c r="D501" s="12">
        <f>IFERROR(__xludf.DUMMYFUNCTION("""COMPUTED_VALUE"""),44615.0)</f>
        <v>44615</v>
      </c>
      <c r="E501" s="13">
        <f>IFERROR(__xludf.DUMMYFUNCTION("""COMPUTED_VALUE"""),0.34300925926072523)</f>
        <v>0.3430092593</v>
      </c>
      <c r="F501" s="10" t="str">
        <f>IFERROR(__xludf.DUMMYFUNCTION("""COMPUTED_VALUE"""),"Negative")</f>
        <v>Negative</v>
      </c>
      <c r="G501" s="10">
        <f>IFERROR(__xludf.DUMMYFUNCTION("""COMPUTED_VALUE"""),1.0)</f>
        <v>1</v>
      </c>
    </row>
    <row r="502">
      <c r="A502" s="6" t="str">
        <f>IFERROR(__xludf.DUMMYFUNCTION("""COMPUTED_VALUE"""),"MA1267")</f>
        <v>MA1267</v>
      </c>
      <c r="B502" s="6" t="str">
        <f>IFERROR(__xludf.DUMMYFUNCTION("""COMPUTED_VALUE"""),"RUN-BEND_2022-02-23_RFR-039")</f>
        <v>RUN-BEND_2022-02-23_RFR-039</v>
      </c>
      <c r="C502" s="7">
        <f>VLOOKUP(B502,'Run Reconcile'!A$2:B809,2,FALSE)</f>
        <v>44615</v>
      </c>
      <c r="D502" s="12">
        <f>IFERROR(__xludf.DUMMYFUNCTION("""COMPUTED_VALUE"""),44615.0)</f>
        <v>44615</v>
      </c>
      <c r="E502" s="13">
        <f>IFERROR(__xludf.DUMMYFUNCTION("""COMPUTED_VALUE"""),0.34318287036876427)</f>
        <v>0.3431828704</v>
      </c>
      <c r="F502" s="10" t="str">
        <f>IFERROR(__xludf.DUMMYFUNCTION("""COMPUTED_VALUE"""),"Negative")</f>
        <v>Negative</v>
      </c>
      <c r="G502" s="10">
        <f>IFERROR(__xludf.DUMMYFUNCTION("""COMPUTED_VALUE"""),1.0)</f>
        <v>1</v>
      </c>
    </row>
    <row r="503">
      <c r="A503" s="6" t="str">
        <f>IFERROR(__xludf.DUMMYFUNCTION("""COMPUTED_VALUE"""),"MA1201")</f>
        <v>MA1201</v>
      </c>
      <c r="B503" s="6" t="str">
        <f>IFERROR(__xludf.DUMMYFUNCTION("""COMPUTED_VALUE"""),"RUN-BEND_2022-02-23_RFR-039")</f>
        <v>RUN-BEND_2022-02-23_RFR-039</v>
      </c>
      <c r="C503" s="7">
        <f>VLOOKUP(B503,'Run Reconcile'!A$2:B809,2,FALSE)</f>
        <v>44615</v>
      </c>
      <c r="D503" s="12">
        <f>IFERROR(__xludf.DUMMYFUNCTION("""COMPUTED_VALUE"""),44615.0)</f>
        <v>44615</v>
      </c>
      <c r="E503" s="13">
        <f>IFERROR(__xludf.DUMMYFUNCTION("""COMPUTED_VALUE"""),0.34332175926101627)</f>
        <v>0.3433217593</v>
      </c>
      <c r="F503" s="10" t="str">
        <f>IFERROR(__xludf.DUMMYFUNCTION("""COMPUTED_VALUE"""),"Negative")</f>
        <v>Negative</v>
      </c>
      <c r="G503" s="10">
        <f>IFERROR(__xludf.DUMMYFUNCTION("""COMPUTED_VALUE"""),1.0)</f>
        <v>1</v>
      </c>
    </row>
    <row r="504">
      <c r="A504" s="6" t="str">
        <f>IFERROR(__xludf.DUMMYFUNCTION("""COMPUTED_VALUE"""),"FM493")</f>
        <v>FM493</v>
      </c>
      <c r="B504" s="6" t="str">
        <f>IFERROR(__xludf.DUMMYFUNCTION("""COMPUTED_VALUE"""),"RUN-BEND_2022-02-23_RFR-039")</f>
        <v>RUN-BEND_2022-02-23_RFR-039</v>
      </c>
      <c r="C504" s="7">
        <f>VLOOKUP(B504,'Run Reconcile'!A$2:B809,2,FALSE)</f>
        <v>44615</v>
      </c>
      <c r="D504" s="12">
        <f>IFERROR(__xludf.DUMMYFUNCTION("""COMPUTED_VALUE"""),44615.0)</f>
        <v>44615</v>
      </c>
      <c r="E504" s="13">
        <f>IFERROR(__xludf.DUMMYFUNCTION("""COMPUTED_VALUE"""),0.34417824073898373)</f>
        <v>0.3441782407</v>
      </c>
      <c r="F504" s="10" t="str">
        <f>IFERROR(__xludf.DUMMYFUNCTION("""COMPUTED_VALUE"""),"Negative")</f>
        <v>Negative</v>
      </c>
      <c r="G504" s="10">
        <f>IFERROR(__xludf.DUMMYFUNCTION("""COMPUTED_VALUE"""),1.0)</f>
        <v>1</v>
      </c>
    </row>
    <row r="505">
      <c r="A505" s="6" t="str">
        <f>IFERROR(__xludf.DUMMYFUNCTION("""COMPUTED_VALUE"""),"FM783")</f>
        <v>FM783</v>
      </c>
      <c r="B505" s="6" t="str">
        <f>IFERROR(__xludf.DUMMYFUNCTION("""COMPUTED_VALUE"""),"RUN-BEND_2022-02-23_RFR-039")</f>
        <v>RUN-BEND_2022-02-23_RFR-039</v>
      </c>
      <c r="C505" s="7">
        <f>VLOOKUP(B505,'Run Reconcile'!A$2:B809,2,FALSE)</f>
        <v>44615</v>
      </c>
      <c r="D505" s="12">
        <f>IFERROR(__xludf.DUMMYFUNCTION("""COMPUTED_VALUE"""),44615.0)</f>
        <v>44615</v>
      </c>
      <c r="E505" s="13">
        <f>IFERROR(__xludf.DUMMYFUNCTION("""COMPUTED_VALUE"""),0.38722222222349956)</f>
        <v>0.3872222222</v>
      </c>
      <c r="F505" s="10" t="str">
        <f>IFERROR(__xludf.DUMMYFUNCTION("""COMPUTED_VALUE"""),"Negative")</f>
        <v>Negative</v>
      </c>
      <c r="G505" s="10">
        <f>IFERROR(__xludf.DUMMYFUNCTION("""COMPUTED_VALUE"""),1.0)</f>
        <v>1</v>
      </c>
    </row>
    <row r="506">
      <c r="A506" s="6" t="str">
        <f>IFERROR(__xludf.DUMMYFUNCTION("""COMPUTED_VALUE"""),"FM109")</f>
        <v>FM109</v>
      </c>
      <c r="B506" s="6" t="str">
        <f>IFERROR(__xludf.DUMMYFUNCTION("""COMPUTED_VALUE"""),"RUN-BEND_2022-02-23_RFR-039")</f>
        <v>RUN-BEND_2022-02-23_RFR-039</v>
      </c>
      <c r="C506" s="7">
        <f>VLOOKUP(B506,'Run Reconcile'!A$2:B809,2,FALSE)</f>
        <v>44615</v>
      </c>
      <c r="D506" s="12">
        <f>IFERROR(__xludf.DUMMYFUNCTION("""COMPUTED_VALUE"""),44615.0)</f>
        <v>44615</v>
      </c>
      <c r="E506" s="13">
        <f>IFERROR(__xludf.DUMMYFUNCTION("""COMPUTED_VALUE"""),0.39533564814701094)</f>
        <v>0.3953356481</v>
      </c>
      <c r="F506" s="10" t="str">
        <f>IFERROR(__xludf.DUMMYFUNCTION("""COMPUTED_VALUE"""),"Negative")</f>
        <v>Negative</v>
      </c>
      <c r="G506" s="10">
        <f>IFERROR(__xludf.DUMMYFUNCTION("""COMPUTED_VALUE"""),1.0)</f>
        <v>1</v>
      </c>
    </row>
    <row r="507">
      <c r="A507" s="6" t="str">
        <f>IFERROR(__xludf.DUMMYFUNCTION("""COMPUTED_VALUE"""),"MAX118")</f>
        <v>MAX118</v>
      </c>
      <c r="B507" s="6" t="str">
        <f>IFERROR(__xludf.DUMMYFUNCTION("""COMPUTED_VALUE"""),"RUN-BEND_2022-02-23_RFR-039")</f>
        <v>RUN-BEND_2022-02-23_RFR-039</v>
      </c>
      <c r="C507" s="7">
        <f>VLOOKUP(B507,'Run Reconcile'!A$2:B809,2,FALSE)</f>
        <v>44615</v>
      </c>
      <c r="D507" s="12">
        <f>IFERROR(__xludf.DUMMYFUNCTION("""COMPUTED_VALUE"""),44615.0)</f>
        <v>44615</v>
      </c>
      <c r="E507" s="13">
        <f>IFERROR(__xludf.DUMMYFUNCTION("""COMPUTED_VALUE"""),0.4183912037042319)</f>
        <v>0.4183912037</v>
      </c>
      <c r="F507" s="10" t="str">
        <f>IFERROR(__xludf.DUMMYFUNCTION("""COMPUTED_VALUE"""),"Negative")</f>
        <v>Negative</v>
      </c>
      <c r="G507" s="10">
        <f>IFERROR(__xludf.DUMMYFUNCTION("""COMPUTED_VALUE"""),1.0)</f>
        <v>1</v>
      </c>
    </row>
    <row r="508">
      <c r="A508" s="6" t="str">
        <f>IFERROR(__xludf.DUMMYFUNCTION("""COMPUTED_VALUE"""),"MAX82")</f>
        <v>MAX82</v>
      </c>
      <c r="B508" s="6" t="str">
        <f>IFERROR(__xludf.DUMMYFUNCTION("""COMPUTED_VALUE"""),"RUN-BEND_2022-02-23_RFR-039")</f>
        <v>RUN-BEND_2022-02-23_RFR-039</v>
      </c>
      <c r="C508" s="7">
        <f>VLOOKUP(B508,'Run Reconcile'!A$2:B809,2,FALSE)</f>
        <v>44615</v>
      </c>
      <c r="D508" s="12">
        <f>IFERROR(__xludf.DUMMYFUNCTION("""COMPUTED_VALUE"""),44615.0)</f>
        <v>44615</v>
      </c>
      <c r="E508" s="13">
        <f>IFERROR(__xludf.DUMMYFUNCTION("""COMPUTED_VALUE"""),0.41844907407357823)</f>
        <v>0.4184490741</v>
      </c>
      <c r="F508" s="10" t="str">
        <f>IFERROR(__xludf.DUMMYFUNCTION("""COMPUTED_VALUE"""),"Negative")</f>
        <v>Negative</v>
      </c>
      <c r="G508" s="10">
        <f>IFERROR(__xludf.DUMMYFUNCTION("""COMPUTED_VALUE"""),1.0)</f>
        <v>1</v>
      </c>
    </row>
    <row r="509">
      <c r="A509" s="6" t="str">
        <f>IFERROR(__xludf.DUMMYFUNCTION("""COMPUTED_VALUE"""),"MA284")</f>
        <v>MA284</v>
      </c>
      <c r="B509" s="6" t="str">
        <f>IFERROR(__xludf.DUMMYFUNCTION("""COMPUTED_VALUE"""),"RUN-BEND_2022-02-25_RFR-040")</f>
        <v>RUN-BEND_2022-02-25_RFR-040</v>
      </c>
      <c r="C509" s="7">
        <f>VLOOKUP(B509,'Run Reconcile'!A$2:B809,2,FALSE)</f>
        <v>44617</v>
      </c>
      <c r="D509" s="12">
        <f>IFERROR(__xludf.DUMMYFUNCTION("""COMPUTED_VALUE"""),44617.0)</f>
        <v>44617</v>
      </c>
      <c r="E509" s="13">
        <f>IFERROR(__xludf.DUMMYFUNCTION("""COMPUTED_VALUE"""),0.2931018518502242)</f>
        <v>0.2931018519</v>
      </c>
      <c r="F509" s="10" t="str">
        <f>IFERROR(__xludf.DUMMYFUNCTION("""COMPUTED_VALUE"""),"Negative")</f>
        <v>Negative</v>
      </c>
      <c r="G509" s="10">
        <f>IFERROR(__xludf.DUMMYFUNCTION("""COMPUTED_VALUE"""),1.0)</f>
        <v>1</v>
      </c>
    </row>
    <row r="510">
      <c r="A510" s="6" t="str">
        <f>IFERROR(__xludf.DUMMYFUNCTION("""COMPUTED_VALUE"""),"FM27")</f>
        <v>FM27</v>
      </c>
      <c r="B510" s="6" t="str">
        <f>IFERROR(__xludf.DUMMYFUNCTION("""COMPUTED_VALUE"""),"RUN-BEND_2022-02-25_RFR-040")</f>
        <v>RUN-BEND_2022-02-25_RFR-040</v>
      </c>
      <c r="C510" s="7">
        <f>VLOOKUP(B510,'Run Reconcile'!A$2:B809,2,FALSE)</f>
        <v>44617</v>
      </c>
      <c r="D510" s="12">
        <f>IFERROR(__xludf.DUMMYFUNCTION("""COMPUTED_VALUE"""),44617.0)</f>
        <v>44617</v>
      </c>
      <c r="E510" s="13">
        <f>IFERROR(__xludf.DUMMYFUNCTION("""COMPUTED_VALUE"""),0.3017476851855463)</f>
        <v>0.3017476852</v>
      </c>
      <c r="F510" s="10" t="str">
        <f>IFERROR(__xludf.DUMMYFUNCTION("""COMPUTED_VALUE"""),"Negative")</f>
        <v>Negative</v>
      </c>
      <c r="G510" s="10">
        <f>IFERROR(__xludf.DUMMYFUNCTION("""COMPUTED_VALUE"""),1.0)</f>
        <v>1</v>
      </c>
    </row>
    <row r="511">
      <c r="A511" s="6" t="str">
        <f>IFERROR(__xludf.DUMMYFUNCTION("""COMPUTED_VALUE"""),"FM37")</f>
        <v>FM37</v>
      </c>
      <c r="B511" s="6" t="str">
        <f>IFERROR(__xludf.DUMMYFUNCTION("""COMPUTED_VALUE"""),"RUN-BEND_2022-02-25_RFR-040")</f>
        <v>RUN-BEND_2022-02-25_RFR-040</v>
      </c>
      <c r="C511" s="7">
        <f>VLOOKUP(B511,'Run Reconcile'!A$2:B809,2,FALSE)</f>
        <v>44617</v>
      </c>
      <c r="D511" s="12">
        <f>IFERROR(__xludf.DUMMYFUNCTION("""COMPUTED_VALUE"""),44617.0)</f>
        <v>44617</v>
      </c>
      <c r="E511" s="13">
        <f>IFERROR(__xludf.DUMMYFUNCTION("""COMPUTED_VALUE"""),0.3025115740747424)</f>
        <v>0.3025115741</v>
      </c>
      <c r="F511" s="10" t="str">
        <f>IFERROR(__xludf.DUMMYFUNCTION("""COMPUTED_VALUE"""),"Negative")</f>
        <v>Negative</v>
      </c>
      <c r="G511" s="10">
        <f>IFERROR(__xludf.DUMMYFUNCTION("""COMPUTED_VALUE"""),1.0)</f>
        <v>1</v>
      </c>
    </row>
    <row r="512">
      <c r="A512" s="6" t="str">
        <f>IFERROR(__xludf.DUMMYFUNCTION("""COMPUTED_VALUE"""),"FM466")</f>
        <v>FM466</v>
      </c>
      <c r="B512" s="6" t="str">
        <f>IFERROR(__xludf.DUMMYFUNCTION("""COMPUTED_VALUE"""),"RUN-BEND_2022-02-25_RFR-040")</f>
        <v>RUN-BEND_2022-02-25_RFR-040</v>
      </c>
      <c r="C512" s="7">
        <f>VLOOKUP(B512,'Run Reconcile'!A$2:B809,2,FALSE)</f>
        <v>44617</v>
      </c>
      <c r="D512" s="12">
        <f>IFERROR(__xludf.DUMMYFUNCTION("""COMPUTED_VALUE"""),44617.0)</f>
        <v>44617</v>
      </c>
      <c r="E512" s="13">
        <f>IFERROR(__xludf.DUMMYFUNCTION("""COMPUTED_VALUE"""),0.3030208333329938)</f>
        <v>0.3030208333</v>
      </c>
      <c r="F512" s="10" t="str">
        <f>IFERROR(__xludf.DUMMYFUNCTION("""COMPUTED_VALUE"""),"Negative")</f>
        <v>Negative</v>
      </c>
      <c r="G512" s="10">
        <f>IFERROR(__xludf.DUMMYFUNCTION("""COMPUTED_VALUE"""),1.0)</f>
        <v>1</v>
      </c>
    </row>
    <row r="513">
      <c r="A513" s="6" t="str">
        <f>IFERROR(__xludf.DUMMYFUNCTION("""COMPUTED_VALUE"""),"MA273")</f>
        <v>MA273</v>
      </c>
      <c r="B513" s="6" t="str">
        <f>IFERROR(__xludf.DUMMYFUNCTION("""COMPUTED_VALUE"""),"RUN-BEND_2022-02-25_RFR-040")</f>
        <v>RUN-BEND_2022-02-25_RFR-040</v>
      </c>
      <c r="C513" s="7">
        <f>VLOOKUP(B513,'Run Reconcile'!A$2:B809,2,FALSE)</f>
        <v>44617</v>
      </c>
      <c r="D513" s="12">
        <f>IFERROR(__xludf.DUMMYFUNCTION("""COMPUTED_VALUE"""),44617.0)</f>
        <v>44617</v>
      </c>
      <c r="E513" s="13">
        <f>IFERROR(__xludf.DUMMYFUNCTION("""COMPUTED_VALUE"""),0.3043518518534256)</f>
        <v>0.3043518519</v>
      </c>
      <c r="F513" s="10" t="str">
        <f>IFERROR(__xludf.DUMMYFUNCTION("""COMPUTED_VALUE"""),"Negative")</f>
        <v>Negative</v>
      </c>
      <c r="G513" s="10">
        <f>IFERROR(__xludf.DUMMYFUNCTION("""COMPUTED_VALUE"""),1.0)</f>
        <v>1</v>
      </c>
    </row>
    <row r="514">
      <c r="A514" s="6" t="str">
        <f>IFERROR(__xludf.DUMMYFUNCTION("""COMPUTED_VALUE"""),"MA225")</f>
        <v>MA225</v>
      </c>
      <c r="B514" s="6" t="str">
        <f>IFERROR(__xludf.DUMMYFUNCTION("""COMPUTED_VALUE"""),"RUN-BEND_2022-02-25_RFR-040")</f>
        <v>RUN-BEND_2022-02-25_RFR-040</v>
      </c>
      <c r="C514" s="7">
        <f>VLOOKUP(B514,'Run Reconcile'!A$2:B809,2,FALSE)</f>
        <v>44617</v>
      </c>
      <c r="D514" s="12">
        <f>IFERROR(__xludf.DUMMYFUNCTION("""COMPUTED_VALUE"""),44617.0)</f>
        <v>44617</v>
      </c>
      <c r="E514" s="13">
        <f>IFERROR(__xludf.DUMMYFUNCTION("""COMPUTED_VALUE"""),0.304618055553874)</f>
        <v>0.3046180556</v>
      </c>
      <c r="F514" s="10" t="str">
        <f>IFERROR(__xludf.DUMMYFUNCTION("""COMPUTED_VALUE"""),"Negative")</f>
        <v>Negative</v>
      </c>
      <c r="G514" s="10">
        <f>IFERROR(__xludf.DUMMYFUNCTION("""COMPUTED_VALUE"""),1.0)</f>
        <v>1</v>
      </c>
    </row>
    <row r="515">
      <c r="A515" s="6" t="str">
        <f>IFERROR(__xludf.DUMMYFUNCTION("""COMPUTED_VALUE"""),"MA234")</f>
        <v>MA234</v>
      </c>
      <c r="B515" s="6" t="str">
        <f>IFERROR(__xludf.DUMMYFUNCTION("""COMPUTED_VALUE"""),"RUN-BEND_2022-02-25_RFR-040")</f>
        <v>RUN-BEND_2022-02-25_RFR-040</v>
      </c>
      <c r="C515" s="7">
        <f>VLOOKUP(B515,'Run Reconcile'!A$2:B809,2,FALSE)</f>
        <v>44617</v>
      </c>
      <c r="D515" s="12">
        <f>IFERROR(__xludf.DUMMYFUNCTION("""COMPUTED_VALUE"""),44617.0)</f>
        <v>44617</v>
      </c>
      <c r="E515" s="13">
        <f>IFERROR(__xludf.DUMMYFUNCTION("""COMPUTED_VALUE"""),0.30627314814773854)</f>
        <v>0.3062731481</v>
      </c>
      <c r="F515" s="10" t="str">
        <f>IFERROR(__xludf.DUMMYFUNCTION("""COMPUTED_VALUE"""),"Negative")</f>
        <v>Negative</v>
      </c>
      <c r="G515" s="10">
        <f>IFERROR(__xludf.DUMMYFUNCTION("""COMPUTED_VALUE"""),1.0)</f>
        <v>1</v>
      </c>
    </row>
    <row r="516">
      <c r="A516" s="6" t="str">
        <f>IFERROR(__xludf.DUMMYFUNCTION("""COMPUTED_VALUE"""),"FM807")</f>
        <v>FM807</v>
      </c>
      <c r="B516" s="6" t="str">
        <f>IFERROR(__xludf.DUMMYFUNCTION("""COMPUTED_VALUE"""),"RUN-BEND_2022-02-25_RFR-040")</f>
        <v>RUN-BEND_2022-02-25_RFR-040</v>
      </c>
      <c r="C516" s="7">
        <f>VLOOKUP(B516,'Run Reconcile'!A$2:B809,2,FALSE)</f>
        <v>44617</v>
      </c>
      <c r="D516" s="12">
        <f>IFERROR(__xludf.DUMMYFUNCTION("""COMPUTED_VALUE"""),44617.0)</f>
        <v>44617</v>
      </c>
      <c r="E516" s="13">
        <f>IFERROR(__xludf.DUMMYFUNCTION("""COMPUTED_VALUE"""),0.31280092592714936)</f>
        <v>0.3128009259</v>
      </c>
      <c r="F516" s="10" t="str">
        <f>IFERROR(__xludf.DUMMYFUNCTION("""COMPUTED_VALUE"""),"Negative")</f>
        <v>Negative</v>
      </c>
      <c r="G516" s="10">
        <f>IFERROR(__xludf.DUMMYFUNCTION("""COMPUTED_VALUE"""),1.0)</f>
        <v>1</v>
      </c>
    </row>
    <row r="517">
      <c r="A517" s="6" t="str">
        <f>IFERROR(__xludf.DUMMYFUNCTION("""COMPUTED_VALUE"""),"MA1231")</f>
        <v>MA1231</v>
      </c>
      <c r="B517" s="6" t="str">
        <f>IFERROR(__xludf.DUMMYFUNCTION("""COMPUTED_VALUE"""),"RUN-BEND_2022-02-25_RFR-040")</f>
        <v>RUN-BEND_2022-02-25_RFR-040</v>
      </c>
      <c r="C517" s="7">
        <f>VLOOKUP(B517,'Run Reconcile'!A$2:B809,2,FALSE)</f>
        <v>44617</v>
      </c>
      <c r="D517" s="12">
        <f>IFERROR(__xludf.DUMMYFUNCTION("""COMPUTED_VALUE"""),44617.0)</f>
        <v>44617</v>
      </c>
      <c r="E517" s="13">
        <f>IFERROR(__xludf.DUMMYFUNCTION("""COMPUTED_VALUE"""),0.31619212963050813)</f>
        <v>0.3161921296</v>
      </c>
      <c r="F517" s="10" t="str">
        <f>IFERROR(__xludf.DUMMYFUNCTION("""COMPUTED_VALUE"""),"Negative")</f>
        <v>Negative</v>
      </c>
      <c r="G517" s="10">
        <f>IFERROR(__xludf.DUMMYFUNCTION("""COMPUTED_VALUE"""),1.0)</f>
        <v>1</v>
      </c>
    </row>
    <row r="518">
      <c r="A518" s="6" t="str">
        <f>IFERROR(__xludf.DUMMYFUNCTION("""COMPUTED_VALUE"""),"MA243")</f>
        <v>MA243</v>
      </c>
      <c r="B518" s="6" t="str">
        <f>IFERROR(__xludf.DUMMYFUNCTION("""COMPUTED_VALUE"""),"RUN-BEND_2022-02-25_RFR-040")</f>
        <v>RUN-BEND_2022-02-25_RFR-040</v>
      </c>
      <c r="C518" s="7">
        <f>VLOOKUP(B518,'Run Reconcile'!A$2:B809,2,FALSE)</f>
        <v>44617</v>
      </c>
      <c r="D518" s="12">
        <f>IFERROR(__xludf.DUMMYFUNCTION("""COMPUTED_VALUE"""),44617.0)</f>
        <v>44617</v>
      </c>
      <c r="E518" s="13">
        <f>IFERROR(__xludf.DUMMYFUNCTION("""COMPUTED_VALUE"""),0.3175462962972233)</f>
        <v>0.3175462963</v>
      </c>
      <c r="F518" s="10" t="str">
        <f>IFERROR(__xludf.DUMMYFUNCTION("""COMPUTED_VALUE"""),"Negative")</f>
        <v>Negative</v>
      </c>
      <c r="G518" s="10">
        <f>IFERROR(__xludf.DUMMYFUNCTION("""COMPUTED_VALUE"""),1.0)</f>
        <v>1</v>
      </c>
    </row>
    <row r="519">
      <c r="A519" s="6" t="str">
        <f>IFERROR(__xludf.DUMMYFUNCTION("""COMPUTED_VALUE"""),"MA1140")</f>
        <v>MA1140</v>
      </c>
      <c r="B519" s="6" t="str">
        <f>IFERROR(__xludf.DUMMYFUNCTION("""COMPUTED_VALUE"""),"RUN-BEND_2022-02-25_RFR-040")</f>
        <v>RUN-BEND_2022-02-25_RFR-040</v>
      </c>
      <c r="C519" s="7">
        <f>VLOOKUP(B519,'Run Reconcile'!A$2:B809,2,FALSE)</f>
        <v>44617</v>
      </c>
      <c r="D519" s="12">
        <f>IFERROR(__xludf.DUMMYFUNCTION("""COMPUTED_VALUE"""),44617.0)</f>
        <v>44617</v>
      </c>
      <c r="E519" s="13">
        <f>IFERROR(__xludf.DUMMYFUNCTION("""COMPUTED_VALUE"""),0.31829861110963975)</f>
        <v>0.3182986111</v>
      </c>
      <c r="F519" s="10" t="str">
        <f>IFERROR(__xludf.DUMMYFUNCTION("""COMPUTED_VALUE"""),"Negative")</f>
        <v>Negative</v>
      </c>
      <c r="G519" s="10">
        <f>IFERROR(__xludf.DUMMYFUNCTION("""COMPUTED_VALUE"""),1.0)</f>
        <v>1</v>
      </c>
    </row>
    <row r="520">
      <c r="A520" s="6" t="str">
        <f>IFERROR(__xludf.DUMMYFUNCTION("""COMPUTED_VALUE"""),"MA1075")</f>
        <v>MA1075</v>
      </c>
      <c r="B520" s="6" t="str">
        <f>IFERROR(__xludf.DUMMYFUNCTION("""COMPUTED_VALUE"""),"RUN-BEND_2022-02-25_RFR-040")</f>
        <v>RUN-BEND_2022-02-25_RFR-040</v>
      </c>
      <c r="C520" s="7">
        <f>VLOOKUP(B520,'Run Reconcile'!A$2:B809,2,FALSE)</f>
        <v>44617</v>
      </c>
      <c r="D520" s="12">
        <f>IFERROR(__xludf.DUMMYFUNCTION("""COMPUTED_VALUE"""),44617.0)</f>
        <v>44617</v>
      </c>
      <c r="E520" s="13">
        <f>IFERROR(__xludf.DUMMYFUNCTION("""COMPUTED_VALUE"""),0.3187152777791198)</f>
        <v>0.3187152778</v>
      </c>
      <c r="F520" s="10" t="str">
        <f>IFERROR(__xludf.DUMMYFUNCTION("""COMPUTED_VALUE"""),"Negative")</f>
        <v>Negative</v>
      </c>
      <c r="G520" s="10">
        <f>IFERROR(__xludf.DUMMYFUNCTION("""COMPUTED_VALUE"""),1.0)</f>
        <v>1</v>
      </c>
    </row>
    <row r="521">
      <c r="A521" s="6" t="str">
        <f>IFERROR(__xludf.DUMMYFUNCTION("""COMPUTED_VALUE"""),"FM12")</f>
        <v>FM12</v>
      </c>
      <c r="B521" s="6" t="str">
        <f>IFERROR(__xludf.DUMMYFUNCTION("""COMPUTED_VALUE"""),"RUN-BEND_2022-02-25_RFR-040")</f>
        <v>RUN-BEND_2022-02-25_RFR-040</v>
      </c>
      <c r="C521" s="7">
        <f>VLOOKUP(B521,'Run Reconcile'!A$2:B809,2,FALSE)</f>
        <v>44617</v>
      </c>
      <c r="D521" s="12">
        <f>IFERROR(__xludf.DUMMYFUNCTION("""COMPUTED_VALUE"""),44617.0)</f>
        <v>44617</v>
      </c>
      <c r="E521" s="13">
        <f>IFERROR(__xludf.DUMMYFUNCTION("""COMPUTED_VALUE"""),0.32021990740759065)</f>
        <v>0.3202199074</v>
      </c>
      <c r="F521" s="10" t="str">
        <f>IFERROR(__xludf.DUMMYFUNCTION("""COMPUTED_VALUE"""),"Negative")</f>
        <v>Negative</v>
      </c>
      <c r="G521" s="10">
        <f>IFERROR(__xludf.DUMMYFUNCTION("""COMPUTED_VALUE"""),1.0)</f>
        <v>1</v>
      </c>
    </row>
    <row r="522">
      <c r="A522" s="6" t="str">
        <f>IFERROR(__xludf.DUMMYFUNCTION("""COMPUTED_VALUE"""),"MA1039")</f>
        <v>MA1039</v>
      </c>
      <c r="B522" s="6" t="str">
        <f>IFERROR(__xludf.DUMMYFUNCTION("""COMPUTED_VALUE"""),"RUN-BEND_2022-02-25_RFR-040")</f>
        <v>RUN-BEND_2022-02-25_RFR-040</v>
      </c>
      <c r="C522" s="7">
        <f>VLOOKUP(B522,'Run Reconcile'!A$2:B809,2,FALSE)</f>
        <v>44617</v>
      </c>
      <c r="D522" s="12">
        <f>IFERROR(__xludf.DUMMYFUNCTION("""COMPUTED_VALUE"""),44617.0)</f>
        <v>44617</v>
      </c>
      <c r="E522" s="13">
        <f>IFERROR(__xludf.DUMMYFUNCTION("""COMPUTED_VALUE"""),0.320243055553874)</f>
        <v>0.3202430556</v>
      </c>
      <c r="F522" s="10" t="str">
        <f>IFERROR(__xludf.DUMMYFUNCTION("""COMPUTED_VALUE"""),"Negative")</f>
        <v>Negative</v>
      </c>
      <c r="G522" s="10">
        <f>IFERROR(__xludf.DUMMYFUNCTION("""COMPUTED_VALUE"""),1.0)</f>
        <v>1</v>
      </c>
    </row>
    <row r="523">
      <c r="A523" s="6" t="str">
        <f>IFERROR(__xludf.DUMMYFUNCTION("""COMPUTED_VALUE"""),"FM793")</f>
        <v>FM793</v>
      </c>
      <c r="B523" s="6" t="str">
        <f>IFERROR(__xludf.DUMMYFUNCTION("""COMPUTED_VALUE"""),"RUN-BEND_2022-02-25_RFR-040")</f>
        <v>RUN-BEND_2022-02-25_RFR-040</v>
      </c>
      <c r="C523" s="7">
        <f>VLOOKUP(B523,'Run Reconcile'!A$2:B809,2,FALSE)</f>
        <v>44617</v>
      </c>
      <c r="D523" s="12">
        <f>IFERROR(__xludf.DUMMYFUNCTION("""COMPUTED_VALUE"""),44617.0)</f>
        <v>44617</v>
      </c>
      <c r="E523" s="13">
        <f>IFERROR(__xludf.DUMMYFUNCTION("""COMPUTED_VALUE"""),0.32025462963065365)</f>
        <v>0.3202546296</v>
      </c>
      <c r="F523" s="10" t="str">
        <f>IFERROR(__xludf.DUMMYFUNCTION("""COMPUTED_VALUE"""),"Negative")</f>
        <v>Negative</v>
      </c>
      <c r="G523" s="10">
        <f>IFERROR(__xludf.DUMMYFUNCTION("""COMPUTED_VALUE"""),1.0)</f>
        <v>1</v>
      </c>
    </row>
    <row r="524">
      <c r="A524" s="6" t="str">
        <f>IFERROR(__xludf.DUMMYFUNCTION("""COMPUTED_VALUE"""),"FM463")</f>
        <v>FM463</v>
      </c>
      <c r="B524" s="6" t="str">
        <f>IFERROR(__xludf.DUMMYFUNCTION("""COMPUTED_VALUE"""),"RUN-BEND_2022-02-25_RFR-040")</f>
        <v>RUN-BEND_2022-02-25_RFR-040</v>
      </c>
      <c r="C524" s="7">
        <f>VLOOKUP(B524,'Run Reconcile'!A$2:B809,2,FALSE)</f>
        <v>44617</v>
      </c>
      <c r="D524" s="12">
        <f>IFERROR(__xludf.DUMMYFUNCTION("""COMPUTED_VALUE"""),44617.0)</f>
        <v>44617</v>
      </c>
      <c r="E524" s="13">
        <f>IFERROR(__xludf.DUMMYFUNCTION("""COMPUTED_VALUE"""),0.320347222223063)</f>
        <v>0.3203472222</v>
      </c>
      <c r="F524" s="10" t="str">
        <f>IFERROR(__xludf.DUMMYFUNCTION("""COMPUTED_VALUE"""),"Negative")</f>
        <v>Negative</v>
      </c>
      <c r="G524" s="10">
        <f>IFERROR(__xludf.DUMMYFUNCTION("""COMPUTED_VALUE"""),1.0)</f>
        <v>1</v>
      </c>
    </row>
    <row r="525">
      <c r="A525" s="6" t="str">
        <f>IFERROR(__xludf.DUMMYFUNCTION("""COMPUTED_VALUE"""),"FM425")</f>
        <v>FM425</v>
      </c>
      <c r="B525" s="6" t="str">
        <f>IFERROR(__xludf.DUMMYFUNCTION("""COMPUTED_VALUE"""),"RUN-BEND_2022-02-25_RFR-040")</f>
        <v>RUN-BEND_2022-02-25_RFR-040</v>
      </c>
      <c r="C525" s="7">
        <f>VLOOKUP(B525,'Run Reconcile'!A$2:B809,2,FALSE)</f>
        <v>44617</v>
      </c>
      <c r="D525" s="12">
        <f>IFERROR(__xludf.DUMMYFUNCTION("""COMPUTED_VALUE"""),44617.0)</f>
        <v>44617</v>
      </c>
      <c r="E525" s="13">
        <f>IFERROR(__xludf.DUMMYFUNCTION("""COMPUTED_VALUE"""),0.32081018518510973)</f>
        <v>0.3208101852</v>
      </c>
      <c r="F525" s="10" t="str">
        <f>IFERROR(__xludf.DUMMYFUNCTION("""COMPUTED_VALUE"""),"Negative")</f>
        <v>Negative</v>
      </c>
      <c r="G525" s="10">
        <f>IFERROR(__xludf.DUMMYFUNCTION("""COMPUTED_VALUE"""),1.0)</f>
        <v>1</v>
      </c>
    </row>
    <row r="526">
      <c r="A526" s="6" t="str">
        <f>IFERROR(__xludf.DUMMYFUNCTION("""COMPUTED_VALUE"""),"FM456")</f>
        <v>FM456</v>
      </c>
      <c r="B526" s="6" t="str">
        <f>IFERROR(__xludf.DUMMYFUNCTION("""COMPUTED_VALUE"""),"RUN-BEND_2022-02-25_RFR-040")</f>
        <v>RUN-BEND_2022-02-25_RFR-040</v>
      </c>
      <c r="C526" s="7">
        <f>VLOOKUP(B526,'Run Reconcile'!A$2:B809,2,FALSE)</f>
        <v>44617</v>
      </c>
      <c r="D526" s="12">
        <f>IFERROR(__xludf.DUMMYFUNCTION("""COMPUTED_VALUE"""),44617.0)</f>
        <v>44617</v>
      </c>
      <c r="E526" s="13">
        <f>IFERROR(__xludf.DUMMYFUNCTION("""COMPUTED_VALUE"""),0.3227083333331393)</f>
        <v>0.3227083333</v>
      </c>
      <c r="F526" s="10" t="str">
        <f>IFERROR(__xludf.DUMMYFUNCTION("""COMPUTED_VALUE"""),"Negative")</f>
        <v>Negative</v>
      </c>
      <c r="G526" s="10">
        <f>IFERROR(__xludf.DUMMYFUNCTION("""COMPUTED_VALUE"""),1.0)</f>
        <v>1</v>
      </c>
    </row>
    <row r="527">
      <c r="A527" s="6" t="str">
        <f>IFERROR(__xludf.DUMMYFUNCTION("""COMPUTED_VALUE"""),"MA1187")</f>
        <v>MA1187</v>
      </c>
      <c r="B527" s="6" t="str">
        <f>IFERROR(__xludf.DUMMYFUNCTION("""COMPUTED_VALUE"""),"RUN-BEND_2022-02-25_RFR-040")</f>
        <v>RUN-BEND_2022-02-25_RFR-040</v>
      </c>
      <c r="C527" s="7">
        <f>VLOOKUP(B527,'Run Reconcile'!A$2:B809,2,FALSE)</f>
        <v>44617</v>
      </c>
      <c r="D527" s="12">
        <f>IFERROR(__xludf.DUMMYFUNCTION("""COMPUTED_VALUE"""),44617.0)</f>
        <v>44617</v>
      </c>
      <c r="E527" s="13">
        <f>IFERROR(__xludf.DUMMYFUNCTION("""COMPUTED_VALUE"""),0.3238425925919728)</f>
        <v>0.3238425926</v>
      </c>
      <c r="F527" s="10" t="str">
        <f>IFERROR(__xludf.DUMMYFUNCTION("""COMPUTED_VALUE"""),"Negative")</f>
        <v>Negative</v>
      </c>
      <c r="G527" s="10">
        <f>IFERROR(__xludf.DUMMYFUNCTION("""COMPUTED_VALUE"""),1.0)</f>
        <v>1</v>
      </c>
    </row>
    <row r="528">
      <c r="A528" s="6" t="str">
        <f>IFERROR(__xludf.DUMMYFUNCTION("""COMPUTED_VALUE"""),"FM479")</f>
        <v>FM479</v>
      </c>
      <c r="B528" s="6" t="str">
        <f>IFERROR(__xludf.DUMMYFUNCTION("""COMPUTED_VALUE"""),"RUN-BEND_2022-02-25_RFR-040")</f>
        <v>RUN-BEND_2022-02-25_RFR-040</v>
      </c>
      <c r="C528" s="7">
        <f>VLOOKUP(B528,'Run Reconcile'!A$2:B809,2,FALSE)</f>
        <v>44617</v>
      </c>
      <c r="D528" s="12">
        <f>IFERROR(__xludf.DUMMYFUNCTION("""COMPUTED_VALUE"""),44617.0)</f>
        <v>44617</v>
      </c>
      <c r="E528" s="13">
        <f>IFERROR(__xludf.DUMMYFUNCTION("""COMPUTED_VALUE"""),0.32974537037080154)</f>
        <v>0.3297453704</v>
      </c>
      <c r="F528" s="10" t="str">
        <f>IFERROR(__xludf.DUMMYFUNCTION("""COMPUTED_VALUE"""),"Negative")</f>
        <v>Negative</v>
      </c>
      <c r="G528" s="10">
        <f>IFERROR(__xludf.DUMMYFUNCTION("""COMPUTED_VALUE"""),1.0)</f>
        <v>1</v>
      </c>
    </row>
    <row r="529">
      <c r="A529" s="6" t="str">
        <f>IFERROR(__xludf.DUMMYFUNCTION("""COMPUTED_VALUE"""),"MA266")</f>
        <v>MA266</v>
      </c>
      <c r="B529" s="6" t="str">
        <f>IFERROR(__xludf.DUMMYFUNCTION("""COMPUTED_VALUE"""),"RUN-BEND_2022-02-25_RFR-040")</f>
        <v>RUN-BEND_2022-02-25_RFR-040</v>
      </c>
      <c r="C529" s="7">
        <f>VLOOKUP(B529,'Run Reconcile'!A$2:B809,2,FALSE)</f>
        <v>44617</v>
      </c>
      <c r="D529" s="12">
        <f>IFERROR(__xludf.DUMMYFUNCTION("""COMPUTED_VALUE"""),44617.0)</f>
        <v>44617</v>
      </c>
      <c r="E529" s="13">
        <f>IFERROR(__xludf.DUMMYFUNCTION("""COMPUTED_VALUE"""),0.33039351851766696)</f>
        <v>0.3303935185</v>
      </c>
      <c r="F529" s="10" t="str">
        <f>IFERROR(__xludf.DUMMYFUNCTION("""COMPUTED_VALUE"""),"Negative")</f>
        <v>Negative</v>
      </c>
      <c r="G529" s="10">
        <f>IFERROR(__xludf.DUMMYFUNCTION("""COMPUTED_VALUE"""),1.0)</f>
        <v>1</v>
      </c>
    </row>
    <row r="530">
      <c r="A530" s="6" t="str">
        <f>IFERROR(__xludf.DUMMYFUNCTION("""COMPUTED_VALUE"""),"FM994")</f>
        <v>FM994</v>
      </c>
      <c r="B530" s="6" t="str">
        <f>IFERROR(__xludf.DUMMYFUNCTION("""COMPUTED_VALUE"""),"RUN-BEND_2022-02-25_RFR-040")</f>
        <v>RUN-BEND_2022-02-25_RFR-040</v>
      </c>
      <c r="C530" s="7">
        <f>VLOOKUP(B530,'Run Reconcile'!A$2:B809,2,FALSE)</f>
        <v>44617</v>
      </c>
      <c r="D530" s="12">
        <f>IFERROR(__xludf.DUMMYFUNCTION("""COMPUTED_VALUE"""),44617.0)</f>
        <v>44617</v>
      </c>
      <c r="E530" s="13">
        <f>IFERROR(__xludf.DUMMYFUNCTION("""COMPUTED_VALUE"""),0.33134259259168175)</f>
        <v>0.3313425926</v>
      </c>
      <c r="F530" s="10" t="str">
        <f>IFERROR(__xludf.DUMMYFUNCTION("""COMPUTED_VALUE"""),"Negative")</f>
        <v>Negative</v>
      </c>
      <c r="G530" s="10">
        <f>IFERROR(__xludf.DUMMYFUNCTION("""COMPUTED_VALUE"""),1.0)</f>
        <v>1</v>
      </c>
    </row>
    <row r="531">
      <c r="A531" s="6" t="str">
        <f>IFERROR(__xludf.DUMMYFUNCTION("""COMPUTED_VALUE"""),"FM833")</f>
        <v>FM833</v>
      </c>
      <c r="B531" s="6" t="str">
        <f>IFERROR(__xludf.DUMMYFUNCTION("""COMPUTED_VALUE"""),"RUN-BEND_2022-02-25_RFR-040")</f>
        <v>RUN-BEND_2022-02-25_RFR-040</v>
      </c>
      <c r="C531" s="7">
        <f>VLOOKUP(B531,'Run Reconcile'!A$2:B809,2,FALSE)</f>
        <v>44617</v>
      </c>
      <c r="D531" s="12">
        <f>IFERROR(__xludf.DUMMYFUNCTION("""COMPUTED_VALUE"""),44617.0)</f>
        <v>44617</v>
      </c>
      <c r="E531" s="13">
        <f>IFERROR(__xludf.DUMMYFUNCTION("""COMPUTED_VALUE"""),0.33137731481474475)</f>
        <v>0.3313773148</v>
      </c>
      <c r="F531" s="10" t="str">
        <f>IFERROR(__xludf.DUMMYFUNCTION("""COMPUTED_VALUE"""),"Negative")</f>
        <v>Negative</v>
      </c>
      <c r="G531" s="10">
        <f>IFERROR(__xludf.DUMMYFUNCTION("""COMPUTED_VALUE"""),1.0)</f>
        <v>1</v>
      </c>
    </row>
    <row r="532">
      <c r="A532" s="6" t="str">
        <f>IFERROR(__xludf.DUMMYFUNCTION("""COMPUTED_VALUE"""),"FM831")</f>
        <v>FM831</v>
      </c>
      <c r="B532" s="6" t="str">
        <f>IFERROR(__xludf.DUMMYFUNCTION("""COMPUTED_VALUE"""),"RUN-BEND_2022-02-25_RFR-040")</f>
        <v>RUN-BEND_2022-02-25_RFR-040</v>
      </c>
      <c r="C532" s="7">
        <f>VLOOKUP(B532,'Run Reconcile'!A$2:B809,2,FALSE)</f>
        <v>44617</v>
      </c>
      <c r="D532" s="12">
        <f>IFERROR(__xludf.DUMMYFUNCTION("""COMPUTED_VALUE"""),44617.0)</f>
        <v>44617</v>
      </c>
      <c r="E532" s="13">
        <f>IFERROR(__xludf.DUMMYFUNCTION("""COMPUTED_VALUE"""),0.3316782407418941)</f>
        <v>0.3316782407</v>
      </c>
      <c r="F532" s="10" t="str">
        <f>IFERROR(__xludf.DUMMYFUNCTION("""COMPUTED_VALUE"""),"Negative")</f>
        <v>Negative</v>
      </c>
      <c r="G532" s="10">
        <f>IFERROR(__xludf.DUMMYFUNCTION("""COMPUTED_VALUE"""),1.0)</f>
        <v>1</v>
      </c>
    </row>
    <row r="533">
      <c r="A533" s="6" t="str">
        <f>IFERROR(__xludf.DUMMYFUNCTION("""COMPUTED_VALUE"""),"FM25")</f>
        <v>FM25</v>
      </c>
      <c r="B533" s="6" t="str">
        <f>IFERROR(__xludf.DUMMYFUNCTION("""COMPUTED_VALUE"""),"RUN-BEND_2022-02-25_RFR-040")</f>
        <v>RUN-BEND_2022-02-25_RFR-040</v>
      </c>
      <c r="C533" s="7">
        <f>VLOOKUP(B533,'Run Reconcile'!A$2:B809,2,FALSE)</f>
        <v>44617</v>
      </c>
      <c r="D533" s="12">
        <f>IFERROR(__xludf.DUMMYFUNCTION("""COMPUTED_VALUE"""),44617.0)</f>
        <v>44617</v>
      </c>
      <c r="E533" s="13">
        <f>IFERROR(__xludf.DUMMYFUNCTION("""COMPUTED_VALUE"""),0.3319328703692008)</f>
        <v>0.3319328704</v>
      </c>
      <c r="F533" s="10" t="str">
        <f>IFERROR(__xludf.DUMMYFUNCTION("""COMPUTED_VALUE"""),"Negative")</f>
        <v>Negative</v>
      </c>
      <c r="G533" s="10">
        <f>IFERROR(__xludf.DUMMYFUNCTION("""COMPUTED_VALUE"""),1.0)</f>
        <v>1</v>
      </c>
    </row>
    <row r="534">
      <c r="A534" s="6" t="str">
        <f>IFERROR(__xludf.DUMMYFUNCTION("""COMPUTED_VALUE"""),"FM794")</f>
        <v>FM794</v>
      </c>
      <c r="B534" s="6" t="str">
        <f>IFERROR(__xludf.DUMMYFUNCTION("""COMPUTED_VALUE"""),"RUN-BEND_2022-02-25_RFR-040")</f>
        <v>RUN-BEND_2022-02-25_RFR-040</v>
      </c>
      <c r="C534" s="7">
        <f>VLOOKUP(B534,'Run Reconcile'!A$2:B809,2,FALSE)</f>
        <v>44617</v>
      </c>
      <c r="D534" s="12">
        <f>IFERROR(__xludf.DUMMYFUNCTION("""COMPUTED_VALUE"""),44617.0)</f>
        <v>44617</v>
      </c>
      <c r="E534" s="13">
        <f>IFERROR(__xludf.DUMMYFUNCTION("""COMPUTED_VALUE"""),0.3321875000001455)</f>
        <v>0.3321875</v>
      </c>
      <c r="F534" s="10" t="str">
        <f>IFERROR(__xludf.DUMMYFUNCTION("""COMPUTED_VALUE"""),"Negative")</f>
        <v>Negative</v>
      </c>
      <c r="G534" s="10">
        <f>IFERROR(__xludf.DUMMYFUNCTION("""COMPUTED_VALUE"""),1.0)</f>
        <v>1</v>
      </c>
    </row>
    <row r="535">
      <c r="A535" s="6" t="str">
        <f>IFERROR(__xludf.DUMMYFUNCTION("""COMPUTED_VALUE"""),"FM796")</f>
        <v>FM796</v>
      </c>
      <c r="B535" s="6" t="str">
        <f>IFERROR(__xludf.DUMMYFUNCTION("""COMPUTED_VALUE"""),"RUN-BEND_2022-02-25_RFR-040")</f>
        <v>RUN-BEND_2022-02-25_RFR-040</v>
      </c>
      <c r="C535" s="7">
        <f>VLOOKUP(B535,'Run Reconcile'!A$2:B809,2,FALSE)</f>
        <v>44617</v>
      </c>
      <c r="D535" s="12">
        <f>IFERROR(__xludf.DUMMYFUNCTION("""COMPUTED_VALUE"""),44617.0)</f>
        <v>44617</v>
      </c>
      <c r="E535" s="13">
        <f>IFERROR(__xludf.DUMMYFUNCTION("""COMPUTED_VALUE"""),0.33290509259313694)</f>
        <v>0.3329050926</v>
      </c>
      <c r="F535" s="10" t="str">
        <f>IFERROR(__xludf.DUMMYFUNCTION("""COMPUTED_VALUE"""),"Negative")</f>
        <v>Negative</v>
      </c>
      <c r="G535" s="10">
        <f>IFERROR(__xludf.DUMMYFUNCTION("""COMPUTED_VALUE"""),1.0)</f>
        <v>1</v>
      </c>
    </row>
    <row r="536">
      <c r="A536" s="6" t="str">
        <f>IFERROR(__xludf.DUMMYFUNCTION("""COMPUTED_VALUE"""),"MA1230")</f>
        <v>MA1230</v>
      </c>
      <c r="B536" s="6" t="str">
        <f>IFERROR(__xludf.DUMMYFUNCTION("""COMPUTED_VALUE"""),"RUN-BEND_2022-02-25_RFR-040")</f>
        <v>RUN-BEND_2022-02-25_RFR-040</v>
      </c>
      <c r="C536" s="7">
        <f>VLOOKUP(B536,'Run Reconcile'!A$2:B809,2,FALSE)</f>
        <v>44617</v>
      </c>
      <c r="D536" s="12">
        <f>IFERROR(__xludf.DUMMYFUNCTION("""COMPUTED_VALUE"""),44617.0)</f>
        <v>44617</v>
      </c>
      <c r="E536" s="13">
        <f>IFERROR(__xludf.DUMMYFUNCTION("""COMPUTED_VALUE"""),0.33878472222204437)</f>
        <v>0.3387847222</v>
      </c>
      <c r="F536" s="10" t="str">
        <f>IFERROR(__xludf.DUMMYFUNCTION("""COMPUTED_VALUE"""),"Negative")</f>
        <v>Negative</v>
      </c>
      <c r="G536" s="10">
        <f>IFERROR(__xludf.DUMMYFUNCTION("""COMPUTED_VALUE"""),1.0)</f>
        <v>1</v>
      </c>
    </row>
    <row r="537">
      <c r="A537" s="6" t="str">
        <f>IFERROR(__xludf.DUMMYFUNCTION("""COMPUTED_VALUE"""),"FM45")</f>
        <v>FM45</v>
      </c>
      <c r="B537" s="6" t="str">
        <f>IFERROR(__xludf.DUMMYFUNCTION("""COMPUTED_VALUE"""),"RUN-BEND_2022-02-25_RFR-040")</f>
        <v>RUN-BEND_2022-02-25_RFR-040</v>
      </c>
      <c r="C537" s="7">
        <f>VLOOKUP(B537,'Run Reconcile'!A$2:B809,2,FALSE)</f>
        <v>44617</v>
      </c>
      <c r="D537" s="12">
        <f>IFERROR(__xludf.DUMMYFUNCTION("""COMPUTED_VALUE"""),44617.0)</f>
        <v>44617</v>
      </c>
      <c r="E537" s="13">
        <f>IFERROR(__xludf.DUMMYFUNCTION("""COMPUTED_VALUE"""),0.34032407407357823)</f>
        <v>0.3403240741</v>
      </c>
      <c r="F537" s="10" t="str">
        <f>IFERROR(__xludf.DUMMYFUNCTION("""COMPUTED_VALUE"""),"Negative")</f>
        <v>Negative</v>
      </c>
      <c r="G537" s="10">
        <f>IFERROR(__xludf.DUMMYFUNCTION("""COMPUTED_VALUE"""),1.0)</f>
        <v>1</v>
      </c>
    </row>
    <row r="538">
      <c r="A538" s="6" t="str">
        <f>IFERROR(__xludf.DUMMYFUNCTION("""COMPUTED_VALUE"""),"MA1240")</f>
        <v>MA1240</v>
      </c>
      <c r="B538" s="6" t="str">
        <f>IFERROR(__xludf.DUMMYFUNCTION("""COMPUTED_VALUE"""),"RUN-BEND_2022-02-25_RFR-040")</f>
        <v>RUN-BEND_2022-02-25_RFR-040</v>
      </c>
      <c r="C538" s="7">
        <f>VLOOKUP(B538,'Run Reconcile'!A$2:B809,2,FALSE)</f>
        <v>44617</v>
      </c>
      <c r="D538" s="12">
        <f>IFERROR(__xludf.DUMMYFUNCTION("""COMPUTED_VALUE"""),44617.0)</f>
        <v>44617</v>
      </c>
      <c r="E538" s="13">
        <f>IFERROR(__xludf.DUMMYFUNCTION("""COMPUTED_VALUE"""),0.3477430555540195)</f>
        <v>0.3477430556</v>
      </c>
      <c r="F538" s="10" t="str">
        <f>IFERROR(__xludf.DUMMYFUNCTION("""COMPUTED_VALUE"""),"Negative")</f>
        <v>Negative</v>
      </c>
      <c r="G538" s="10">
        <f>IFERROR(__xludf.DUMMYFUNCTION("""COMPUTED_VALUE"""),1.0)</f>
        <v>1</v>
      </c>
    </row>
    <row r="539">
      <c r="A539" s="6" t="str">
        <f>IFERROR(__xludf.DUMMYFUNCTION("""COMPUTED_VALUE"""),"MA298")</f>
        <v>MA298</v>
      </c>
      <c r="B539" s="6" t="str">
        <f>IFERROR(__xludf.DUMMYFUNCTION("""COMPUTED_VALUE"""),"RUN-BEND_2022-02-25_RFR-040")</f>
        <v>RUN-BEND_2022-02-25_RFR-040</v>
      </c>
      <c r="C539" s="7">
        <f>VLOOKUP(B539,'Run Reconcile'!A$2:B809,2,FALSE)</f>
        <v>44617</v>
      </c>
      <c r="D539" s="12">
        <f>IFERROR(__xludf.DUMMYFUNCTION("""COMPUTED_VALUE"""),44617.0)</f>
        <v>44617</v>
      </c>
      <c r="E539" s="13">
        <f>IFERROR(__xludf.DUMMYFUNCTION("""COMPUTED_VALUE"""),0.34863425925868796)</f>
        <v>0.3486342593</v>
      </c>
      <c r="F539" s="10" t="str">
        <f>IFERROR(__xludf.DUMMYFUNCTION("""COMPUTED_VALUE"""),"Negative")</f>
        <v>Negative</v>
      </c>
      <c r="G539" s="10">
        <f>IFERROR(__xludf.DUMMYFUNCTION("""COMPUTED_VALUE"""),1.0)</f>
        <v>1</v>
      </c>
    </row>
    <row r="540">
      <c r="A540" s="6" t="str">
        <f>IFERROR(__xludf.DUMMYFUNCTION("""COMPUTED_VALUE"""),"MA186")</f>
        <v>MA186</v>
      </c>
      <c r="B540" s="6" t="str">
        <f>IFERROR(__xludf.DUMMYFUNCTION("""COMPUTED_VALUE"""),"RUN-BEND_2022-02-25_RFR-040")</f>
        <v>RUN-BEND_2022-02-25_RFR-040</v>
      </c>
      <c r="C540" s="7">
        <f>VLOOKUP(B540,'Run Reconcile'!A$2:B809,2,FALSE)</f>
        <v>44617</v>
      </c>
      <c r="D540" s="12">
        <f>IFERROR(__xludf.DUMMYFUNCTION("""COMPUTED_VALUE"""),44617.0)</f>
        <v>44617</v>
      </c>
      <c r="E540" s="13">
        <f>IFERROR(__xludf.DUMMYFUNCTION("""COMPUTED_VALUE"""),0.3496412037020491)</f>
        <v>0.3496412037</v>
      </c>
      <c r="F540" s="10" t="str">
        <f>IFERROR(__xludf.DUMMYFUNCTION("""COMPUTED_VALUE"""),"Negative")</f>
        <v>Negative</v>
      </c>
      <c r="G540" s="10">
        <f>IFERROR(__xludf.DUMMYFUNCTION("""COMPUTED_VALUE"""),1.0)</f>
        <v>1</v>
      </c>
    </row>
    <row r="541">
      <c r="A541" s="6" t="str">
        <f>IFERROR(__xludf.DUMMYFUNCTION("""COMPUTED_VALUE"""),"MA1276")</f>
        <v>MA1276</v>
      </c>
      <c r="B541" s="6" t="str">
        <f>IFERROR(__xludf.DUMMYFUNCTION("""COMPUTED_VALUE"""),"RUN-BEND_2022-02-25_RFR-040")</f>
        <v>RUN-BEND_2022-02-25_RFR-040</v>
      </c>
      <c r="C541" s="7">
        <f>VLOOKUP(B541,'Run Reconcile'!A$2:B809,2,FALSE)</f>
        <v>44617</v>
      </c>
      <c r="D541" s="12">
        <f>IFERROR(__xludf.DUMMYFUNCTION("""COMPUTED_VALUE"""),44617.0)</f>
        <v>44617</v>
      </c>
      <c r="E541" s="13">
        <f>IFERROR(__xludf.DUMMYFUNCTION("""COMPUTED_VALUE"""),0.4188888888893416)</f>
        <v>0.4188888889</v>
      </c>
      <c r="F541" s="10" t="str">
        <f>IFERROR(__xludf.DUMMYFUNCTION("""COMPUTED_VALUE"""),"Negative")</f>
        <v>Negative</v>
      </c>
      <c r="G541" s="10">
        <f>IFERROR(__xludf.DUMMYFUNCTION("""COMPUTED_VALUE"""),1.0)</f>
        <v>1</v>
      </c>
    </row>
    <row r="542">
      <c r="A542" s="6" t="str">
        <f>IFERROR(__xludf.DUMMYFUNCTION("""COMPUTED_VALUE"""),"FM454")</f>
        <v>FM454</v>
      </c>
      <c r="B542" s="6" t="str">
        <f>IFERROR(__xludf.DUMMYFUNCTION("""COMPUTED_VALUE"""),"RUN-BEND_2022-02-27_RFR-042")</f>
        <v>RUN-BEND_2022-02-27_RFR-042</v>
      </c>
      <c r="C542" s="7">
        <f>VLOOKUP(B542,'Run Reconcile'!A$2:B809,2,FALSE)</f>
        <v>44619</v>
      </c>
      <c r="D542" s="12">
        <f>IFERROR(__xludf.DUMMYFUNCTION("""COMPUTED_VALUE"""),44619.0)</f>
        <v>44619</v>
      </c>
      <c r="E542" s="13">
        <f>IFERROR(__xludf.DUMMYFUNCTION("""COMPUTED_VALUE"""),0.2622916666659876)</f>
        <v>0.2622916667</v>
      </c>
      <c r="F542" s="10" t="str">
        <f>IFERROR(__xludf.DUMMYFUNCTION("""COMPUTED_VALUE"""),"Negative")</f>
        <v>Negative</v>
      </c>
      <c r="G542" s="10">
        <f>IFERROR(__xludf.DUMMYFUNCTION("""COMPUTED_VALUE"""),1.0)</f>
        <v>1</v>
      </c>
    </row>
    <row r="543">
      <c r="A543" s="6" t="str">
        <f>IFERROR(__xludf.DUMMYFUNCTION("""COMPUTED_VALUE"""),"FM1011")</f>
        <v>FM1011</v>
      </c>
      <c r="B543" s="6" t="str">
        <f>IFERROR(__xludf.DUMMYFUNCTION("""COMPUTED_VALUE"""),"RUN-BEND_2022-02-27_RFR-042")</f>
        <v>RUN-BEND_2022-02-27_RFR-042</v>
      </c>
      <c r="C543" s="7">
        <f>VLOOKUP(B543,'Run Reconcile'!A$2:B809,2,FALSE)</f>
        <v>44619</v>
      </c>
      <c r="D543" s="12">
        <f>IFERROR(__xludf.DUMMYFUNCTION("""COMPUTED_VALUE"""),44619.0)</f>
        <v>44619</v>
      </c>
      <c r="E543" s="13">
        <f>IFERROR(__xludf.DUMMYFUNCTION("""COMPUTED_VALUE"""),0.27760416666569654)</f>
        <v>0.2776041667</v>
      </c>
      <c r="F543" s="10" t="str">
        <f>IFERROR(__xludf.DUMMYFUNCTION("""COMPUTED_VALUE"""),"Negative")</f>
        <v>Negative</v>
      </c>
      <c r="G543" s="10">
        <f>IFERROR(__xludf.DUMMYFUNCTION("""COMPUTED_VALUE"""),1.0)</f>
        <v>1</v>
      </c>
    </row>
    <row r="544">
      <c r="A544" s="6" t="str">
        <f>IFERROR(__xludf.DUMMYFUNCTION("""COMPUTED_VALUE"""),"MA349")</f>
        <v>MA349</v>
      </c>
      <c r="B544" s="6" t="str">
        <f>IFERROR(__xludf.DUMMYFUNCTION("""COMPUTED_VALUE"""),"RUN-BEND_2022-02-27_RFR-042")</f>
        <v>RUN-BEND_2022-02-27_RFR-042</v>
      </c>
      <c r="C544" s="7">
        <f>VLOOKUP(B544,'Run Reconcile'!A$2:B809,2,FALSE)</f>
        <v>44619</v>
      </c>
      <c r="D544" s="12">
        <f>IFERROR(__xludf.DUMMYFUNCTION("""COMPUTED_VALUE"""),44619.0)</f>
        <v>44619</v>
      </c>
      <c r="E544" s="13">
        <f>IFERROR(__xludf.DUMMYFUNCTION("""COMPUTED_VALUE"""),0.2865277777782467)</f>
        <v>0.2865277778</v>
      </c>
      <c r="F544" s="10" t="str">
        <f>IFERROR(__xludf.DUMMYFUNCTION("""COMPUTED_VALUE"""),"Negative")</f>
        <v>Negative</v>
      </c>
      <c r="G544" s="10">
        <f>IFERROR(__xludf.DUMMYFUNCTION("""COMPUTED_VALUE"""),1.0)</f>
        <v>1</v>
      </c>
    </row>
    <row r="545">
      <c r="A545" s="6" t="str">
        <f>IFERROR(__xludf.DUMMYFUNCTION("""COMPUTED_VALUE"""),"FM455")</f>
        <v>FM455</v>
      </c>
      <c r="B545" s="6" t="str">
        <f>IFERROR(__xludf.DUMMYFUNCTION("""COMPUTED_VALUE"""),"RUN-BEND_2022-02-27_RFR-042")</f>
        <v>RUN-BEND_2022-02-27_RFR-042</v>
      </c>
      <c r="C545" s="7">
        <f>VLOOKUP(B545,'Run Reconcile'!A$2:B809,2,FALSE)</f>
        <v>44619</v>
      </c>
      <c r="D545" s="12">
        <f>IFERROR(__xludf.DUMMYFUNCTION("""COMPUTED_VALUE"""),44619.0)</f>
        <v>44619</v>
      </c>
      <c r="E545" s="13">
        <f>IFERROR(__xludf.DUMMYFUNCTION("""COMPUTED_VALUE"""),0.28791666666802485)</f>
        <v>0.2879166667</v>
      </c>
      <c r="F545" s="10" t="str">
        <f>IFERROR(__xludf.DUMMYFUNCTION("""COMPUTED_VALUE"""),"Negative")</f>
        <v>Negative</v>
      </c>
      <c r="G545" s="10">
        <f>IFERROR(__xludf.DUMMYFUNCTION("""COMPUTED_VALUE"""),1.0)</f>
        <v>1</v>
      </c>
    </row>
    <row r="546">
      <c r="A546" s="6" t="str">
        <f>IFERROR(__xludf.DUMMYFUNCTION("""COMPUTED_VALUE"""),"FM2093")</f>
        <v>FM2093</v>
      </c>
      <c r="B546" s="6" t="str">
        <f>IFERROR(__xludf.DUMMYFUNCTION("""COMPUTED_VALUE"""),"RUN-BEND_2022-02-27_RFR-042")</f>
        <v>RUN-BEND_2022-02-27_RFR-042</v>
      </c>
      <c r="C546" s="7">
        <f>VLOOKUP(B546,'Run Reconcile'!A$2:B809,2,FALSE)</f>
        <v>44619</v>
      </c>
      <c r="D546" s="12">
        <f>IFERROR(__xludf.DUMMYFUNCTION("""COMPUTED_VALUE"""),44619.0)</f>
        <v>44619</v>
      </c>
      <c r="E546" s="13">
        <f>IFERROR(__xludf.DUMMYFUNCTION("""COMPUTED_VALUE"""),0.2909490740748879)</f>
        <v>0.2909490741</v>
      </c>
      <c r="F546" s="10" t="str">
        <f>IFERROR(__xludf.DUMMYFUNCTION("""COMPUTED_VALUE"""),"Negative")</f>
        <v>Negative</v>
      </c>
      <c r="G546" s="10">
        <f>IFERROR(__xludf.DUMMYFUNCTION("""COMPUTED_VALUE"""),1.0)</f>
        <v>1</v>
      </c>
    </row>
    <row r="547">
      <c r="A547" s="6" t="str">
        <f>IFERROR(__xludf.DUMMYFUNCTION("""COMPUTED_VALUE"""),"FM445")</f>
        <v>FM445</v>
      </c>
      <c r="B547" s="6" t="str">
        <f>IFERROR(__xludf.DUMMYFUNCTION("""COMPUTED_VALUE"""),"RUN-BEND_2022-02-27_RFR-042")</f>
        <v>RUN-BEND_2022-02-27_RFR-042</v>
      </c>
      <c r="C547" s="7">
        <f>VLOOKUP(B547,'Run Reconcile'!A$2:B809,2,FALSE)</f>
        <v>44619</v>
      </c>
      <c r="D547" s="12">
        <f>IFERROR(__xludf.DUMMYFUNCTION("""COMPUTED_VALUE"""),44619.0)</f>
        <v>44619</v>
      </c>
      <c r="E547" s="13">
        <f>IFERROR(__xludf.DUMMYFUNCTION("""COMPUTED_VALUE"""),0.29730324073898373)</f>
        <v>0.2973032407</v>
      </c>
      <c r="F547" s="10" t="str">
        <f>IFERROR(__xludf.DUMMYFUNCTION("""COMPUTED_VALUE"""),"Negative")</f>
        <v>Negative</v>
      </c>
      <c r="G547" s="10">
        <f>IFERROR(__xludf.DUMMYFUNCTION("""COMPUTED_VALUE"""),1.0)</f>
        <v>1</v>
      </c>
    </row>
    <row r="548">
      <c r="A548" s="6" t="str">
        <f>IFERROR(__xludf.DUMMYFUNCTION("""COMPUTED_VALUE"""),"MA394")</f>
        <v>MA394</v>
      </c>
      <c r="B548" s="6" t="str">
        <f>IFERROR(__xludf.DUMMYFUNCTION("""COMPUTED_VALUE"""),"RUN-BEND_2022-02-27_RFR-042")</f>
        <v>RUN-BEND_2022-02-27_RFR-042</v>
      </c>
      <c r="C548" s="7">
        <f>VLOOKUP(B548,'Run Reconcile'!A$2:B809,2,FALSE)</f>
        <v>44619</v>
      </c>
      <c r="D548" s="12">
        <f>IFERROR(__xludf.DUMMYFUNCTION("""COMPUTED_VALUE"""),44619.0)</f>
        <v>44619</v>
      </c>
      <c r="E548" s="13">
        <f>IFERROR(__xludf.DUMMYFUNCTION("""COMPUTED_VALUE"""),0.3128587962964957)</f>
        <v>0.3128587963</v>
      </c>
      <c r="F548" s="10" t="str">
        <f>IFERROR(__xludf.DUMMYFUNCTION("""COMPUTED_VALUE"""),"Negative")</f>
        <v>Negative</v>
      </c>
      <c r="G548" s="10">
        <f>IFERROR(__xludf.DUMMYFUNCTION("""COMPUTED_VALUE"""),1.0)</f>
        <v>1</v>
      </c>
    </row>
    <row r="549">
      <c r="A549" s="6" t="str">
        <f>IFERROR(__xludf.DUMMYFUNCTION("""COMPUTED_VALUE"""),"FM2")</f>
        <v>FM2</v>
      </c>
      <c r="B549" s="6" t="str">
        <f>IFERROR(__xludf.DUMMYFUNCTION("""COMPUTED_VALUE"""),"RUN-BEND_2022-02-27_RFR-042")</f>
        <v>RUN-BEND_2022-02-27_RFR-042</v>
      </c>
      <c r="C549" s="7">
        <f>VLOOKUP(B549,'Run Reconcile'!A$2:B809,2,FALSE)</f>
        <v>44619</v>
      </c>
      <c r="D549" s="12">
        <f>IFERROR(__xludf.DUMMYFUNCTION("""COMPUTED_VALUE"""),44619.0)</f>
        <v>44619</v>
      </c>
      <c r="E549" s="13">
        <f>IFERROR(__xludf.DUMMYFUNCTION("""COMPUTED_VALUE"""),0.31364583333197515)</f>
        <v>0.3136458333</v>
      </c>
      <c r="F549" s="10" t="str">
        <f>IFERROR(__xludf.DUMMYFUNCTION("""COMPUTED_VALUE"""),"Negative")</f>
        <v>Negative</v>
      </c>
      <c r="G549" s="10">
        <f>IFERROR(__xludf.DUMMYFUNCTION("""COMPUTED_VALUE"""),1.0)</f>
        <v>1</v>
      </c>
    </row>
    <row r="550">
      <c r="A550" s="6" t="str">
        <f>IFERROR(__xludf.DUMMYFUNCTION("""COMPUTED_VALUE"""),"MA1123")</f>
        <v>MA1123</v>
      </c>
      <c r="B550" s="6" t="str">
        <f>IFERROR(__xludf.DUMMYFUNCTION("""COMPUTED_VALUE"""),"RUN-BEND_2022-02-27_RFR-042")</f>
        <v>RUN-BEND_2022-02-27_RFR-042</v>
      </c>
      <c r="C550" s="7">
        <f>VLOOKUP(B550,'Run Reconcile'!A$2:B809,2,FALSE)</f>
        <v>44619</v>
      </c>
      <c r="D550" s="12">
        <f>IFERROR(__xludf.DUMMYFUNCTION("""COMPUTED_VALUE"""),44619.0)</f>
        <v>44619</v>
      </c>
      <c r="E550" s="13">
        <f>IFERROR(__xludf.DUMMYFUNCTION("""COMPUTED_VALUE"""),0.31942129629533156)</f>
        <v>0.3194212963</v>
      </c>
      <c r="F550" s="10" t="str">
        <f>IFERROR(__xludf.DUMMYFUNCTION("""COMPUTED_VALUE"""),"Negative")</f>
        <v>Negative</v>
      </c>
      <c r="G550" s="10">
        <f>IFERROR(__xludf.DUMMYFUNCTION("""COMPUTED_VALUE"""),1.0)</f>
        <v>1</v>
      </c>
    </row>
    <row r="551">
      <c r="A551" s="6" t="str">
        <f>IFERROR(__xludf.DUMMYFUNCTION("""COMPUTED_VALUE"""),"MA1263")</f>
        <v>MA1263</v>
      </c>
      <c r="B551" s="6" t="str">
        <f>IFERROR(__xludf.DUMMYFUNCTION("""COMPUTED_VALUE"""),"RUN-BEND_2022-02-27_RFR-042")</f>
        <v>RUN-BEND_2022-02-27_RFR-042</v>
      </c>
      <c r="C551" s="7">
        <f>VLOOKUP(B551,'Run Reconcile'!A$2:B809,2,FALSE)</f>
        <v>44619</v>
      </c>
      <c r="D551" s="12">
        <f>IFERROR(__xludf.DUMMYFUNCTION("""COMPUTED_VALUE"""),44619.0)</f>
        <v>44619</v>
      </c>
      <c r="E551" s="13">
        <f>IFERROR(__xludf.DUMMYFUNCTION("""COMPUTED_VALUE"""),0.32004629629591363)</f>
        <v>0.3200462963</v>
      </c>
      <c r="F551" s="10" t="str">
        <f>IFERROR(__xludf.DUMMYFUNCTION("""COMPUTED_VALUE"""),"Negative")</f>
        <v>Negative</v>
      </c>
      <c r="G551" s="10">
        <f>IFERROR(__xludf.DUMMYFUNCTION("""COMPUTED_VALUE"""),1.0)</f>
        <v>1</v>
      </c>
    </row>
    <row r="552">
      <c r="A552" s="6" t="str">
        <f>IFERROR(__xludf.DUMMYFUNCTION("""COMPUTED_VALUE"""),"MA1090")</f>
        <v>MA1090</v>
      </c>
      <c r="B552" s="6" t="str">
        <f>IFERROR(__xludf.DUMMYFUNCTION("""COMPUTED_VALUE"""),"RUN-BEND_2022-02-27_RFR-042")</f>
        <v>RUN-BEND_2022-02-27_RFR-042</v>
      </c>
      <c r="C552" s="7">
        <f>VLOOKUP(B552,'Run Reconcile'!A$2:B809,2,FALSE)</f>
        <v>44619</v>
      </c>
      <c r="D552" s="12">
        <f>IFERROR(__xludf.DUMMYFUNCTION("""COMPUTED_VALUE"""),44619.0)</f>
        <v>44619</v>
      </c>
      <c r="E552" s="13">
        <f>IFERROR(__xludf.DUMMYFUNCTION("""COMPUTED_VALUE"""),0.32108796296233777)</f>
        <v>0.321087963</v>
      </c>
      <c r="F552" s="10" t="str">
        <f>IFERROR(__xludf.DUMMYFUNCTION("""COMPUTED_VALUE"""),"Negative")</f>
        <v>Negative</v>
      </c>
      <c r="G552" s="10">
        <f>IFERROR(__xludf.DUMMYFUNCTION("""COMPUTED_VALUE"""),1.0)</f>
        <v>1</v>
      </c>
    </row>
    <row r="553">
      <c r="A553" s="6" t="str">
        <f>IFERROR(__xludf.DUMMYFUNCTION("""COMPUTED_VALUE"""),"FM23")</f>
        <v>FM23</v>
      </c>
      <c r="B553" s="6" t="str">
        <f>IFERROR(__xludf.DUMMYFUNCTION("""COMPUTED_VALUE"""),"RUN-BEND_2022-02-27_RFR-042")</f>
        <v>RUN-BEND_2022-02-27_RFR-042</v>
      </c>
      <c r="C553" s="7">
        <f>VLOOKUP(B553,'Run Reconcile'!A$2:B809,2,FALSE)</f>
        <v>44619</v>
      </c>
      <c r="D553" s="12">
        <f>IFERROR(__xludf.DUMMYFUNCTION("""COMPUTED_VALUE"""),44619.0)</f>
        <v>44619</v>
      </c>
      <c r="E553" s="13">
        <f>IFERROR(__xludf.DUMMYFUNCTION("""COMPUTED_VALUE"""),0.32261574074072996)</f>
        <v>0.3226157407</v>
      </c>
      <c r="F553" s="10" t="str">
        <f>IFERROR(__xludf.DUMMYFUNCTION("""COMPUTED_VALUE"""),"Negative")</f>
        <v>Negative</v>
      </c>
      <c r="G553" s="10">
        <f>IFERROR(__xludf.DUMMYFUNCTION("""COMPUTED_VALUE"""),1.0)</f>
        <v>1</v>
      </c>
    </row>
    <row r="554">
      <c r="A554" s="6" t="str">
        <f>IFERROR(__xludf.DUMMYFUNCTION("""COMPUTED_VALUE"""),"FM4")</f>
        <v>FM4</v>
      </c>
      <c r="B554" s="6" t="str">
        <f>IFERROR(__xludf.DUMMYFUNCTION("""COMPUTED_VALUE"""),"RUN-BEND_2022-02-27_RFR-042")</f>
        <v>RUN-BEND_2022-02-27_RFR-042</v>
      </c>
      <c r="C554" s="7">
        <f>VLOOKUP(B554,'Run Reconcile'!A$2:B809,2,FALSE)</f>
        <v>44619</v>
      </c>
      <c r="D554" s="12">
        <f>IFERROR(__xludf.DUMMYFUNCTION("""COMPUTED_VALUE"""),44619.0)</f>
        <v>44619</v>
      </c>
      <c r="E554" s="13">
        <f>IFERROR(__xludf.DUMMYFUNCTION("""COMPUTED_VALUE"""),0.32320601851824904)</f>
        <v>0.3232060185</v>
      </c>
      <c r="F554" s="10" t="str">
        <f>IFERROR(__xludf.DUMMYFUNCTION("""COMPUTED_VALUE"""),"Negative")</f>
        <v>Negative</v>
      </c>
      <c r="G554" s="10">
        <f>IFERROR(__xludf.DUMMYFUNCTION("""COMPUTED_VALUE"""),1.0)</f>
        <v>1</v>
      </c>
    </row>
    <row r="555">
      <c r="A555" s="6" t="str">
        <f>IFERROR(__xludf.DUMMYFUNCTION("""COMPUTED_VALUE"""),"FM2066")</f>
        <v>FM2066</v>
      </c>
      <c r="B555" s="6" t="str">
        <f>IFERROR(__xludf.DUMMYFUNCTION("""COMPUTED_VALUE"""),"RUN-BEND_2022-02-27_RFR-042")</f>
        <v>RUN-BEND_2022-02-27_RFR-042</v>
      </c>
      <c r="C555" s="7">
        <f>VLOOKUP(B555,'Run Reconcile'!A$2:B809,2,FALSE)</f>
        <v>44619</v>
      </c>
      <c r="D555" s="12">
        <f>IFERROR(__xludf.DUMMYFUNCTION("""COMPUTED_VALUE"""),44619.0)</f>
        <v>44619</v>
      </c>
      <c r="E555" s="13">
        <f>IFERROR(__xludf.DUMMYFUNCTION("""COMPUTED_VALUE"""),0.3246759259272949)</f>
        <v>0.3246759259</v>
      </c>
      <c r="F555" s="10" t="str">
        <f>IFERROR(__xludf.DUMMYFUNCTION("""COMPUTED_VALUE"""),"Negative")</f>
        <v>Negative</v>
      </c>
      <c r="G555" s="10">
        <f>IFERROR(__xludf.DUMMYFUNCTION("""COMPUTED_VALUE"""),1.0)</f>
        <v>1</v>
      </c>
    </row>
    <row r="556">
      <c r="A556" s="6" t="str">
        <f>IFERROR(__xludf.DUMMYFUNCTION("""COMPUTED_VALUE"""),"FM2059")</f>
        <v>FM2059</v>
      </c>
      <c r="B556" s="6" t="str">
        <f>IFERROR(__xludf.DUMMYFUNCTION("""COMPUTED_VALUE"""),"RUN-BEND_2022-02-27_RFR-042")</f>
        <v>RUN-BEND_2022-02-27_RFR-042</v>
      </c>
      <c r="C556" s="7">
        <f>VLOOKUP(B556,'Run Reconcile'!A$2:B809,2,FALSE)</f>
        <v>44619</v>
      </c>
      <c r="D556" s="12">
        <f>IFERROR(__xludf.DUMMYFUNCTION("""COMPUTED_VALUE"""),44619.0)</f>
        <v>44619</v>
      </c>
      <c r="E556" s="13">
        <f>IFERROR(__xludf.DUMMYFUNCTION("""COMPUTED_VALUE"""),0.32497685185080627)</f>
        <v>0.3249768519</v>
      </c>
      <c r="F556" s="10" t="str">
        <f>IFERROR(__xludf.DUMMYFUNCTION("""COMPUTED_VALUE"""),"Negative")</f>
        <v>Negative</v>
      </c>
      <c r="G556" s="10">
        <f>IFERROR(__xludf.DUMMYFUNCTION("""COMPUTED_VALUE"""),1.0)</f>
        <v>1</v>
      </c>
    </row>
    <row r="557">
      <c r="A557" s="6" t="str">
        <f>IFERROR(__xludf.DUMMYFUNCTION("""COMPUTED_VALUE"""),"FM471")</f>
        <v>FM471</v>
      </c>
      <c r="B557" s="6" t="str">
        <f>IFERROR(__xludf.DUMMYFUNCTION("""COMPUTED_VALUE"""),"RUN-BEND_2022-02-27_RFR-042")</f>
        <v>RUN-BEND_2022-02-27_RFR-042</v>
      </c>
      <c r="C557" s="7">
        <f>VLOOKUP(B557,'Run Reconcile'!A$2:B809,2,FALSE)</f>
        <v>44619</v>
      </c>
      <c r="D557" s="12">
        <f>IFERROR(__xludf.DUMMYFUNCTION("""COMPUTED_VALUE"""),44619.0)</f>
        <v>44619</v>
      </c>
      <c r="E557" s="13">
        <f>IFERROR(__xludf.DUMMYFUNCTION("""COMPUTED_VALUE"""),0.3274305555569299)</f>
        <v>0.3274305556</v>
      </c>
      <c r="F557" s="10" t="str">
        <f>IFERROR(__xludf.DUMMYFUNCTION("""COMPUTED_VALUE"""),"Negative")</f>
        <v>Negative</v>
      </c>
      <c r="G557" s="10">
        <f>IFERROR(__xludf.DUMMYFUNCTION("""COMPUTED_VALUE"""),1.0)</f>
        <v>1</v>
      </c>
    </row>
    <row r="558">
      <c r="A558" s="6" t="str">
        <f>IFERROR(__xludf.DUMMYFUNCTION("""COMPUTED_VALUE"""),"FM812")</f>
        <v>FM812</v>
      </c>
      <c r="B558" s="6" t="str">
        <f>IFERROR(__xludf.DUMMYFUNCTION("""COMPUTED_VALUE"""),"RUN-BEND_2022-02-27_RFR-042")</f>
        <v>RUN-BEND_2022-02-27_RFR-042</v>
      </c>
      <c r="C558" s="7">
        <f>VLOOKUP(B558,'Run Reconcile'!A$2:B809,2,FALSE)</f>
        <v>44619</v>
      </c>
      <c r="D558" s="12">
        <f>IFERROR(__xludf.DUMMYFUNCTION("""COMPUTED_VALUE"""),44619.0)</f>
        <v>44619</v>
      </c>
      <c r="E558" s="13">
        <f>IFERROR(__xludf.DUMMYFUNCTION("""COMPUTED_VALUE"""),0.33024305555591127)</f>
        <v>0.3302430556</v>
      </c>
      <c r="F558" s="10" t="str">
        <f>IFERROR(__xludf.DUMMYFUNCTION("""COMPUTED_VALUE"""),"Negative")</f>
        <v>Negative</v>
      </c>
      <c r="G558" s="10">
        <f>IFERROR(__xludf.DUMMYFUNCTION("""COMPUTED_VALUE"""),1.0)</f>
        <v>1</v>
      </c>
    </row>
    <row r="559">
      <c r="A559" s="6" t="str">
        <f>IFERROR(__xludf.DUMMYFUNCTION("""COMPUTED_VALUE"""),"FM444")</f>
        <v>FM444</v>
      </c>
      <c r="B559" s="6" t="str">
        <f>IFERROR(__xludf.DUMMYFUNCTION("""COMPUTED_VALUE"""),"RUN-BEND_2022-02-27_RFR-042")</f>
        <v>RUN-BEND_2022-02-27_RFR-042</v>
      </c>
      <c r="C559" s="7">
        <f>VLOOKUP(B559,'Run Reconcile'!A$2:B809,2,FALSE)</f>
        <v>44619</v>
      </c>
      <c r="D559" s="12">
        <f>IFERROR(__xludf.DUMMYFUNCTION("""COMPUTED_VALUE"""),44619.0)</f>
        <v>44619</v>
      </c>
      <c r="E559" s="13">
        <f>IFERROR(__xludf.DUMMYFUNCTION("""COMPUTED_VALUE"""),0.330844907406572)</f>
        <v>0.3308449074</v>
      </c>
      <c r="F559" s="10" t="str">
        <f>IFERROR(__xludf.DUMMYFUNCTION("""COMPUTED_VALUE"""),"Negative")</f>
        <v>Negative</v>
      </c>
      <c r="G559" s="10">
        <f>IFERROR(__xludf.DUMMYFUNCTION("""COMPUTED_VALUE"""),1.0)</f>
        <v>1</v>
      </c>
    </row>
    <row r="560">
      <c r="A560" s="6" t="str">
        <f>IFERROR(__xludf.DUMMYFUNCTION("""COMPUTED_VALUE"""),"MA194")</f>
        <v>MA194</v>
      </c>
      <c r="B560" s="6" t="str">
        <f>IFERROR(__xludf.DUMMYFUNCTION("""COMPUTED_VALUE"""),"RUN-BEND_2022-02-27_RFR-042")</f>
        <v>RUN-BEND_2022-02-27_RFR-042</v>
      </c>
      <c r="C560" s="7">
        <f>VLOOKUP(B560,'Run Reconcile'!A$2:B809,2,FALSE)</f>
        <v>44619</v>
      </c>
      <c r="D560" s="12">
        <f>IFERROR(__xludf.DUMMYFUNCTION("""COMPUTED_VALUE"""),44619.0)</f>
        <v>44619</v>
      </c>
      <c r="E560" s="13">
        <f>IFERROR(__xludf.DUMMYFUNCTION("""COMPUTED_VALUE"""),0.3308564814797137)</f>
        <v>0.3308564815</v>
      </c>
      <c r="F560" s="10" t="str">
        <f>IFERROR(__xludf.DUMMYFUNCTION("""COMPUTED_VALUE"""),"Negative")</f>
        <v>Negative</v>
      </c>
      <c r="G560" s="10">
        <f>IFERROR(__xludf.DUMMYFUNCTION("""COMPUTED_VALUE"""),1.0)</f>
        <v>1</v>
      </c>
    </row>
    <row r="561">
      <c r="A561" s="6" t="str">
        <f>IFERROR(__xludf.DUMMYFUNCTION("""COMPUTED_VALUE"""),"FM414")</f>
        <v>FM414</v>
      </c>
      <c r="B561" s="6" t="str">
        <f>IFERROR(__xludf.DUMMYFUNCTION("""COMPUTED_VALUE"""),"RUN-BEND_2022-02-27_RFR-042")</f>
        <v>RUN-BEND_2022-02-27_RFR-042</v>
      </c>
      <c r="C561" s="7">
        <f>VLOOKUP(B561,'Run Reconcile'!A$2:B809,2,FALSE)</f>
        <v>44619</v>
      </c>
      <c r="D561" s="12">
        <f>IFERROR(__xludf.DUMMYFUNCTION("""COMPUTED_VALUE"""),44619.0)</f>
        <v>44619</v>
      </c>
      <c r="E561" s="13">
        <f>IFERROR(__xludf.DUMMYFUNCTION("""COMPUTED_VALUE"""),0.3393055555570754)</f>
        <v>0.3393055556</v>
      </c>
      <c r="F561" s="10" t="str">
        <f>IFERROR(__xludf.DUMMYFUNCTION("""COMPUTED_VALUE"""),"Negative")</f>
        <v>Negative</v>
      </c>
      <c r="G561" s="10">
        <f>IFERROR(__xludf.DUMMYFUNCTION("""COMPUTED_VALUE"""),1.0)</f>
        <v>1</v>
      </c>
    </row>
    <row r="562">
      <c r="A562" s="6" t="str">
        <f>IFERROR(__xludf.DUMMYFUNCTION("""COMPUTED_VALUE"""),"MA1095")</f>
        <v>MA1095</v>
      </c>
      <c r="B562" s="6" t="str">
        <f>IFERROR(__xludf.DUMMYFUNCTION("""COMPUTED_VALUE"""),"RUN-BEND_2022-02-27_RFR-042")</f>
        <v>RUN-BEND_2022-02-27_RFR-042</v>
      </c>
      <c r="C562" s="7">
        <f>VLOOKUP(B562,'Run Reconcile'!A$2:B809,2,FALSE)</f>
        <v>44619</v>
      </c>
      <c r="D562" s="12">
        <f>IFERROR(__xludf.DUMMYFUNCTION("""COMPUTED_VALUE"""),44619.0)</f>
        <v>44619</v>
      </c>
      <c r="E562" s="13">
        <f>IFERROR(__xludf.DUMMYFUNCTION("""COMPUTED_VALUE"""),0.35444444444510737)</f>
        <v>0.3544444444</v>
      </c>
      <c r="F562" s="10" t="str">
        <f>IFERROR(__xludf.DUMMYFUNCTION("""COMPUTED_VALUE"""),"Positive")</f>
        <v>Positive</v>
      </c>
      <c r="G562" s="10">
        <f>IFERROR(__xludf.DUMMYFUNCTION("""COMPUTED_VALUE"""),1.0)</f>
        <v>1</v>
      </c>
    </row>
    <row r="563">
      <c r="A563" s="6" t="str">
        <f>IFERROR(__xludf.DUMMYFUNCTION("""COMPUTED_VALUE"""),"MA1288")</f>
        <v>MA1288</v>
      </c>
      <c r="B563" s="6" t="str">
        <f>IFERROR(__xludf.DUMMYFUNCTION("""COMPUTED_VALUE"""),"RUN-BEND_2022-02-27_RFR-042")</f>
        <v>RUN-BEND_2022-02-27_RFR-042</v>
      </c>
      <c r="C563" s="7">
        <f>VLOOKUP(B563,'Run Reconcile'!A$2:B809,2,FALSE)</f>
        <v>44619</v>
      </c>
      <c r="D563" s="12">
        <f>IFERROR(__xludf.DUMMYFUNCTION("""COMPUTED_VALUE"""),44619.0)</f>
        <v>44619</v>
      </c>
      <c r="E563" s="13">
        <f>IFERROR(__xludf.DUMMYFUNCTION("""COMPUTED_VALUE"""),0.35575231481561786)</f>
        <v>0.3557523148</v>
      </c>
      <c r="F563" s="10" t="str">
        <f>IFERROR(__xludf.DUMMYFUNCTION("""COMPUTED_VALUE"""),"Negative")</f>
        <v>Negative</v>
      </c>
      <c r="G563" s="10">
        <f>IFERROR(__xludf.DUMMYFUNCTION("""COMPUTED_VALUE"""),1.0)</f>
        <v>1</v>
      </c>
    </row>
    <row r="564">
      <c r="A564" s="6" t="str">
        <f>IFERROR(__xludf.DUMMYFUNCTION("""COMPUTED_VALUE"""),"MA1320")</f>
        <v>MA1320</v>
      </c>
      <c r="B564" s="6" t="str">
        <f>IFERROR(__xludf.DUMMYFUNCTION("""COMPUTED_VALUE"""),"RUN-BEND_2022-02-27_RFR-042")</f>
        <v>RUN-BEND_2022-02-27_RFR-042</v>
      </c>
      <c r="C564" s="7">
        <f>VLOOKUP(B564,'Run Reconcile'!A$2:B809,2,FALSE)</f>
        <v>44619</v>
      </c>
      <c r="D564" s="12">
        <f>IFERROR(__xludf.DUMMYFUNCTION("""COMPUTED_VALUE"""),44619.0)</f>
        <v>44619</v>
      </c>
      <c r="E564" s="13">
        <f>IFERROR(__xludf.DUMMYFUNCTION("""COMPUTED_VALUE"""),0.35637731481619994)</f>
        <v>0.3563773148</v>
      </c>
      <c r="F564" s="10" t="str">
        <f>IFERROR(__xludf.DUMMYFUNCTION("""COMPUTED_VALUE"""),"Negative")</f>
        <v>Negative</v>
      </c>
      <c r="G564" s="10">
        <f>IFERROR(__xludf.DUMMYFUNCTION("""COMPUTED_VALUE"""),1.0)</f>
        <v>1</v>
      </c>
    </row>
    <row r="565">
      <c r="A565" s="6" t="str">
        <f>IFERROR(__xludf.DUMMYFUNCTION("""COMPUTED_VALUE"""),"FM617")</f>
        <v>FM617</v>
      </c>
      <c r="B565" s="6" t="str">
        <f>IFERROR(__xludf.DUMMYFUNCTION("""COMPUTED_VALUE"""),"RUN-BEND_2022-02-27_RFR-042")</f>
        <v>RUN-BEND_2022-02-27_RFR-042</v>
      </c>
      <c r="C565" s="7">
        <f>VLOOKUP(B565,'Run Reconcile'!A$2:B809,2,FALSE)</f>
        <v>44619</v>
      </c>
      <c r="D565" s="12">
        <f>IFERROR(__xludf.DUMMYFUNCTION("""COMPUTED_VALUE"""),44619.0)</f>
        <v>44619</v>
      </c>
      <c r="E565" s="13">
        <f>IFERROR(__xludf.DUMMYFUNCTION("""COMPUTED_VALUE"""),0.3628587962957681)</f>
        <v>0.3628587963</v>
      </c>
      <c r="F565" s="10" t="str">
        <f>IFERROR(__xludf.DUMMYFUNCTION("""COMPUTED_VALUE"""),"Negative")</f>
        <v>Negative</v>
      </c>
      <c r="G565" s="10">
        <f>IFERROR(__xludf.DUMMYFUNCTION("""COMPUTED_VALUE"""),1.0)</f>
        <v>1</v>
      </c>
    </row>
    <row r="566">
      <c r="A566" s="6" t="str">
        <f>IFERROR(__xludf.DUMMYFUNCTION("""COMPUTED_VALUE"""),"FM6")</f>
        <v>FM6</v>
      </c>
      <c r="B566" s="6" t="str">
        <f>IFERROR(__xludf.DUMMYFUNCTION("""COMPUTED_VALUE"""),"RUN-BEND_2022-02-27_RFR-042")</f>
        <v>RUN-BEND_2022-02-27_RFR-042</v>
      </c>
      <c r="C566" s="7">
        <f>VLOOKUP(B566,'Run Reconcile'!A$2:B809,2,FALSE)</f>
        <v>44619</v>
      </c>
      <c r="D566" s="12">
        <f>IFERROR(__xludf.DUMMYFUNCTION("""COMPUTED_VALUE"""),44619.0)</f>
        <v>44619</v>
      </c>
      <c r="E566" s="13">
        <f>IFERROR(__xludf.DUMMYFUNCTION("""COMPUTED_VALUE"""),0.36545138889050577)</f>
        <v>0.3654513889</v>
      </c>
      <c r="F566" s="10" t="str">
        <f>IFERROR(__xludf.DUMMYFUNCTION("""COMPUTED_VALUE"""),"Negative")</f>
        <v>Negative</v>
      </c>
      <c r="G566" s="10">
        <f>IFERROR(__xludf.DUMMYFUNCTION("""COMPUTED_VALUE"""),1.0)</f>
        <v>1</v>
      </c>
    </row>
    <row r="567">
      <c r="A567" s="6" t="str">
        <f>IFERROR(__xludf.DUMMYFUNCTION("""COMPUTED_VALUE"""),"MAX40")</f>
        <v>MAX40</v>
      </c>
      <c r="B567" s="6" t="str">
        <f>IFERROR(__xludf.DUMMYFUNCTION("""COMPUTED_VALUE"""),"RUN-BEND_2022-02-27_RFR-042")</f>
        <v>RUN-BEND_2022-02-27_RFR-042</v>
      </c>
      <c r="C567" s="7">
        <f>VLOOKUP(B567,'Run Reconcile'!A$2:B809,2,FALSE)</f>
        <v>44619</v>
      </c>
      <c r="D567" s="12">
        <f>IFERROR(__xludf.DUMMYFUNCTION("""COMPUTED_VALUE"""),44619.0)</f>
        <v>44619</v>
      </c>
      <c r="E567" s="13">
        <f>IFERROR(__xludf.DUMMYFUNCTION("""COMPUTED_VALUE"""),0.4707754629635019)</f>
        <v>0.470775463</v>
      </c>
      <c r="F567" s="10" t="str">
        <f>IFERROR(__xludf.DUMMYFUNCTION("""COMPUTED_VALUE"""),"Positive")</f>
        <v>Positive</v>
      </c>
      <c r="G567" s="10">
        <f>IFERROR(__xludf.DUMMYFUNCTION("""COMPUTED_VALUE"""),1.0)</f>
        <v>1</v>
      </c>
    </row>
    <row r="568">
      <c r="A568" s="6" t="str">
        <f>IFERROR(__xludf.DUMMYFUNCTION("""COMPUTED_VALUE"""),"MAX106")</f>
        <v>MAX106</v>
      </c>
      <c r="B568" s="6" t="str">
        <f>IFERROR(__xludf.DUMMYFUNCTION("""COMPUTED_VALUE"""),"RUN-BEND_2022-02-27_RFR-042")</f>
        <v>RUN-BEND_2022-02-27_RFR-042</v>
      </c>
      <c r="C568" s="7">
        <f>VLOOKUP(B568,'Run Reconcile'!A$2:B809,2,FALSE)</f>
        <v>44619</v>
      </c>
      <c r="D568" s="12">
        <f>IFERROR(__xludf.DUMMYFUNCTION("""COMPUTED_VALUE"""),44619.0)</f>
        <v>44619</v>
      </c>
      <c r="E568" s="13">
        <f>IFERROR(__xludf.DUMMYFUNCTION("""COMPUTED_VALUE"""),0.4712847222217533)</f>
        <v>0.4712847222</v>
      </c>
      <c r="F568" s="10" t="str">
        <f>IFERROR(__xludf.DUMMYFUNCTION("""COMPUTED_VALUE"""),"Negative")</f>
        <v>Negative</v>
      </c>
      <c r="G568" s="10">
        <f>IFERROR(__xludf.DUMMYFUNCTION("""COMPUTED_VALUE"""),1.0)</f>
        <v>1</v>
      </c>
    </row>
    <row r="569">
      <c r="A569" s="6" t="str">
        <f>IFERROR(__xludf.DUMMYFUNCTION("""COMPUTED_VALUE"""),"MAX93")</f>
        <v>MAX93</v>
      </c>
      <c r="B569" s="6" t="str">
        <f>IFERROR(__xludf.DUMMYFUNCTION("""COMPUTED_VALUE"""),"RUN-BEND_2022-02-27_RFR-042")</f>
        <v>RUN-BEND_2022-02-27_RFR-042</v>
      </c>
      <c r="C569" s="7">
        <f>VLOOKUP(B569,'Run Reconcile'!A$2:B809,2,FALSE)</f>
        <v>44619</v>
      </c>
      <c r="D569" s="12">
        <f>IFERROR(__xludf.DUMMYFUNCTION("""COMPUTED_VALUE"""),44619.0)</f>
        <v>44619</v>
      </c>
      <c r="E569" s="13">
        <f>IFERROR(__xludf.DUMMYFUNCTION("""COMPUTED_VALUE"""),0.47174768518380006)</f>
        <v>0.4717476852</v>
      </c>
      <c r="F569" s="10" t="str">
        <f>IFERROR(__xludf.DUMMYFUNCTION("""COMPUTED_VALUE"""),"Negative")</f>
        <v>Negative</v>
      </c>
      <c r="G569" s="10">
        <f>IFERROR(__xludf.DUMMYFUNCTION("""COMPUTED_VALUE"""),1.0)</f>
        <v>1</v>
      </c>
    </row>
    <row r="570">
      <c r="A570" s="6" t="str">
        <f>IFERROR(__xludf.DUMMYFUNCTION("""COMPUTED_VALUE"""),"MAX48")</f>
        <v>MAX48</v>
      </c>
      <c r="B570" s="6" t="str">
        <f>IFERROR(__xludf.DUMMYFUNCTION("""COMPUTED_VALUE"""),"RUN-BEND_2022-02-27_RFR-042")</f>
        <v>RUN-BEND_2022-02-27_RFR-042</v>
      </c>
      <c r="C570" s="7">
        <f>VLOOKUP(B570,'Run Reconcile'!A$2:B809,2,FALSE)</f>
        <v>44619</v>
      </c>
      <c r="D570" s="12">
        <f>IFERROR(__xludf.DUMMYFUNCTION("""COMPUTED_VALUE"""),44619.0)</f>
        <v>44619</v>
      </c>
      <c r="E570" s="13">
        <f>IFERROR(__xludf.DUMMYFUNCTION("""COMPUTED_VALUE"""),0.47225694444568944)</f>
        <v>0.4722569444</v>
      </c>
      <c r="F570" s="10" t="str">
        <f>IFERROR(__xludf.DUMMYFUNCTION("""COMPUTED_VALUE"""),"Negative")</f>
        <v>Negative</v>
      </c>
      <c r="G570" s="10">
        <f>IFERROR(__xludf.DUMMYFUNCTION("""COMPUTED_VALUE"""),1.0)</f>
        <v>1</v>
      </c>
    </row>
    <row r="571">
      <c r="A571" s="6" t="str">
        <f>IFERROR(__xludf.DUMMYFUNCTION("""COMPUTED_VALUE"""),"FM2070")</f>
        <v>FM2070</v>
      </c>
      <c r="B571" s="6" t="str">
        <f>IFERROR(__xludf.DUMMYFUNCTION("""COMPUTED_VALUE"""),"RUN-BEND_2022-02-27_RFR-042")</f>
        <v>RUN-BEND_2022-02-27_RFR-042</v>
      </c>
      <c r="C571" s="7">
        <f>VLOOKUP(B571,'Run Reconcile'!A$2:B809,2,FALSE)</f>
        <v>44619</v>
      </c>
      <c r="D571" s="12">
        <f>IFERROR(__xludf.DUMMYFUNCTION("""COMPUTED_VALUE"""),44619.0)</f>
        <v>44619</v>
      </c>
      <c r="E571" s="13">
        <f>IFERROR(__xludf.DUMMYFUNCTION("""COMPUTED_VALUE"""),0.4726041666654055)</f>
        <v>0.4726041667</v>
      </c>
      <c r="F571" s="10" t="str">
        <f>IFERROR(__xludf.DUMMYFUNCTION("""COMPUTED_VALUE"""),"Negative")</f>
        <v>Negative</v>
      </c>
      <c r="G571" s="10">
        <f>IFERROR(__xludf.DUMMYFUNCTION("""COMPUTED_VALUE"""),1.0)</f>
        <v>1</v>
      </c>
    </row>
    <row r="572">
      <c r="A572" s="6" t="str">
        <f>IFERROR(__xludf.DUMMYFUNCTION("""COMPUTED_VALUE"""),"MA315")</f>
        <v>MA315</v>
      </c>
      <c r="B572" s="6" t="str">
        <f>IFERROR(__xludf.DUMMYFUNCTION("""COMPUTED_VALUE"""),"RUN-BEND_2022-02-27_RFR-042")</f>
        <v>RUN-BEND_2022-02-27_RFR-042</v>
      </c>
      <c r="C572" s="7">
        <f>VLOOKUP(B572,'Run Reconcile'!A$2:B809,2,FALSE)</f>
        <v>44619</v>
      </c>
      <c r="D572" s="12">
        <f>IFERROR(__xludf.DUMMYFUNCTION("""COMPUTED_VALUE"""),44619.0)</f>
        <v>44619</v>
      </c>
      <c r="E572" s="13">
        <f>IFERROR(__xludf.DUMMYFUNCTION("""COMPUTED_VALUE"""),0.5150231481493392)</f>
        <v>0.5150231481</v>
      </c>
      <c r="F572" s="10" t="str">
        <f>IFERROR(__xludf.DUMMYFUNCTION("""COMPUTED_VALUE"""),"Negative")</f>
        <v>Negative</v>
      </c>
      <c r="G572" s="10">
        <f>IFERROR(__xludf.DUMMYFUNCTION("""COMPUTED_VALUE"""),1.0)</f>
        <v>1</v>
      </c>
    </row>
    <row r="573">
      <c r="A573" s="6" t="str">
        <f>IFERROR(__xludf.DUMMYFUNCTION("""COMPUTED_VALUE"""),"FM51")</f>
        <v>FM51</v>
      </c>
      <c r="B573" s="6" t="str">
        <f>IFERROR(__xludf.DUMMYFUNCTION("""COMPUTED_VALUE"""),"RUN-BEND_2022-02-27_RFR-042")</f>
        <v>RUN-BEND_2022-02-27_RFR-042</v>
      </c>
      <c r="C573" s="7">
        <f>VLOOKUP(B573,'Run Reconcile'!A$2:B809,2,FALSE)</f>
        <v>44619</v>
      </c>
      <c r="D573" s="12">
        <f>IFERROR(__xludf.DUMMYFUNCTION("""COMPUTED_VALUE"""),44619.0)</f>
        <v>44619</v>
      </c>
      <c r="E573" s="13">
        <f>IFERROR(__xludf.DUMMYFUNCTION("""COMPUTED_VALUE"""),0.5154282407420396)</f>
        <v>0.5154282407</v>
      </c>
      <c r="F573" s="10" t="str">
        <f>IFERROR(__xludf.DUMMYFUNCTION("""COMPUTED_VALUE"""),"Negative")</f>
        <v>Negative</v>
      </c>
      <c r="G573" s="10">
        <f>IFERROR(__xludf.DUMMYFUNCTION("""COMPUTED_VALUE"""),1.0)</f>
        <v>1</v>
      </c>
    </row>
    <row r="574">
      <c r="A574" s="6" t="str">
        <f>IFERROR(__xludf.DUMMYFUNCTION("""COMPUTED_VALUE"""),"FM1909")</f>
        <v>FM1909</v>
      </c>
      <c r="B574" s="6" t="str">
        <f>IFERROR(__xludf.DUMMYFUNCTION("""COMPUTED_VALUE"""),"RUN-BEND_2022-03-01_RFR-043")</f>
        <v>RUN-BEND_2022-03-01_RFR-043</v>
      </c>
      <c r="C574" s="7">
        <f>VLOOKUP(B574,'Run Reconcile'!A$2:B809,2,FALSE)</f>
        <v>44621</v>
      </c>
      <c r="D574" s="12">
        <f>IFERROR(__xludf.DUMMYFUNCTION("""COMPUTED_VALUE"""),44621.0)</f>
        <v>44621</v>
      </c>
      <c r="E574" s="13">
        <f>IFERROR(__xludf.DUMMYFUNCTION("""COMPUTED_VALUE"""),0.26986111111182254)</f>
        <v>0.2698611111</v>
      </c>
      <c r="F574" s="10" t="str">
        <f>IFERROR(__xludf.DUMMYFUNCTION("""COMPUTED_VALUE"""),"Negative")</f>
        <v>Negative</v>
      </c>
      <c r="G574" s="10">
        <f>IFERROR(__xludf.DUMMYFUNCTION("""COMPUTED_VALUE"""),1.0)</f>
        <v>1</v>
      </c>
    </row>
    <row r="575">
      <c r="A575" s="6" t="str">
        <f>IFERROR(__xludf.DUMMYFUNCTION("""COMPUTED_VALUE"""),"FM2069")</f>
        <v>FM2069</v>
      </c>
      <c r="B575" s="6" t="str">
        <f>IFERROR(__xludf.DUMMYFUNCTION("""COMPUTED_VALUE"""),"RUN-BEND_2022-03-01_RFR-043")</f>
        <v>RUN-BEND_2022-03-01_RFR-043</v>
      </c>
      <c r="C575" s="7">
        <f>VLOOKUP(B575,'Run Reconcile'!A$2:B809,2,FALSE)</f>
        <v>44621</v>
      </c>
      <c r="D575" s="12">
        <f>IFERROR(__xludf.DUMMYFUNCTION("""COMPUTED_VALUE"""),44621.0)</f>
        <v>44621</v>
      </c>
      <c r="E575" s="13">
        <f>IFERROR(__xludf.DUMMYFUNCTION("""COMPUTED_VALUE"""),0.2941435185202863)</f>
        <v>0.2941435185</v>
      </c>
      <c r="F575" s="10" t="str">
        <f>IFERROR(__xludf.DUMMYFUNCTION("""COMPUTED_VALUE"""),"Negative")</f>
        <v>Negative</v>
      </c>
      <c r="G575" s="10">
        <f>IFERROR(__xludf.DUMMYFUNCTION("""COMPUTED_VALUE"""),1.0)</f>
        <v>1</v>
      </c>
    </row>
    <row r="576">
      <c r="A576" s="6" t="str">
        <f>IFERROR(__xludf.DUMMYFUNCTION("""COMPUTED_VALUE"""),"FM2100")</f>
        <v>FM2100</v>
      </c>
      <c r="B576" s="6" t="str">
        <f>IFERROR(__xludf.DUMMYFUNCTION("""COMPUTED_VALUE"""),"RUN-BEND_2022-03-01_RFR-043")</f>
        <v>RUN-BEND_2022-03-01_RFR-043</v>
      </c>
      <c r="C576" s="7">
        <f>VLOOKUP(B576,'Run Reconcile'!A$2:B809,2,FALSE)</f>
        <v>44621</v>
      </c>
      <c r="D576" s="12">
        <f>IFERROR(__xludf.DUMMYFUNCTION("""COMPUTED_VALUE"""),44621.0)</f>
        <v>44621</v>
      </c>
      <c r="E576" s="13">
        <f>IFERROR(__xludf.DUMMYFUNCTION("""COMPUTED_VALUE"""),0.30045138888817746)</f>
        <v>0.3004513889</v>
      </c>
      <c r="F576" s="10" t="str">
        <f>IFERROR(__xludf.DUMMYFUNCTION("""COMPUTED_VALUE"""),"Negative")</f>
        <v>Negative</v>
      </c>
      <c r="G576" s="10">
        <f>IFERROR(__xludf.DUMMYFUNCTION("""COMPUTED_VALUE"""),1.0)</f>
        <v>1</v>
      </c>
    </row>
    <row r="577">
      <c r="A577" s="6" t="str">
        <f>IFERROR(__xludf.DUMMYFUNCTION("""COMPUTED_VALUE"""),"FM18")</f>
        <v>FM18</v>
      </c>
      <c r="B577" s="6" t="str">
        <f>IFERROR(__xludf.DUMMYFUNCTION("""COMPUTED_VALUE"""),"RUN-BEND_2022-03-01_RFR-043")</f>
        <v>RUN-BEND_2022-03-01_RFR-043</v>
      </c>
      <c r="C577" s="7">
        <f>VLOOKUP(B577,'Run Reconcile'!A$2:B809,2,FALSE)</f>
        <v>44621</v>
      </c>
      <c r="D577" s="12">
        <f>IFERROR(__xludf.DUMMYFUNCTION("""COMPUTED_VALUE"""),44621.0)</f>
        <v>44621</v>
      </c>
      <c r="E577" s="13">
        <f>IFERROR(__xludf.DUMMYFUNCTION("""COMPUTED_VALUE"""),0.3062152777783922)</f>
        <v>0.3062152778</v>
      </c>
      <c r="F577" s="10" t="str">
        <f>IFERROR(__xludf.DUMMYFUNCTION("""COMPUTED_VALUE"""),"Negative")</f>
        <v>Negative</v>
      </c>
      <c r="G577" s="10">
        <f>IFERROR(__xludf.DUMMYFUNCTION("""COMPUTED_VALUE"""),1.0)</f>
        <v>1</v>
      </c>
    </row>
    <row r="578">
      <c r="A578" s="6" t="str">
        <f>IFERROR(__xludf.DUMMYFUNCTION("""COMPUTED_VALUE"""),"FM354")</f>
        <v>FM354</v>
      </c>
      <c r="B578" s="6" t="str">
        <f>IFERROR(__xludf.DUMMYFUNCTION("""COMPUTED_VALUE"""),"RUN-BEND_2022-03-01_RFR-043")</f>
        <v>RUN-BEND_2022-03-01_RFR-043</v>
      </c>
      <c r="C578" s="7">
        <f>VLOOKUP(B578,'Run Reconcile'!A$2:B809,2,FALSE)</f>
        <v>44621</v>
      </c>
      <c r="D578" s="12">
        <f>IFERROR(__xludf.DUMMYFUNCTION("""COMPUTED_VALUE"""),44621.0)</f>
        <v>44621</v>
      </c>
      <c r="E578" s="13">
        <f>IFERROR(__xludf.DUMMYFUNCTION("""COMPUTED_VALUE"""),0.30677083333284827)</f>
        <v>0.3067708333</v>
      </c>
      <c r="F578" s="10" t="str">
        <f>IFERROR(__xludf.DUMMYFUNCTION("""COMPUTED_VALUE"""),"Negative")</f>
        <v>Negative</v>
      </c>
      <c r="G578" s="10">
        <f>IFERROR(__xludf.DUMMYFUNCTION("""COMPUTED_VALUE"""),1.0)</f>
        <v>1</v>
      </c>
    </row>
    <row r="579">
      <c r="A579" s="6" t="str">
        <f>IFERROR(__xludf.DUMMYFUNCTION("""COMPUTED_VALUE"""),"FM489")</f>
        <v>FM489</v>
      </c>
      <c r="B579" s="6" t="str">
        <f>IFERROR(__xludf.DUMMYFUNCTION("""COMPUTED_VALUE"""),"RUN-BEND_2022-03-01_RFR-043")</f>
        <v>RUN-BEND_2022-03-01_RFR-043</v>
      </c>
      <c r="C579" s="7">
        <f>VLOOKUP(B579,'Run Reconcile'!A$2:B809,2,FALSE)</f>
        <v>44621</v>
      </c>
      <c r="D579" s="12">
        <f>IFERROR(__xludf.DUMMYFUNCTION("""COMPUTED_VALUE"""),44621.0)</f>
        <v>44621</v>
      </c>
      <c r="E579" s="13">
        <f>IFERROR(__xludf.DUMMYFUNCTION("""COMPUTED_VALUE"""),0.3078587962954771)</f>
        <v>0.3078587963</v>
      </c>
      <c r="F579" s="10" t="str">
        <f>IFERROR(__xludf.DUMMYFUNCTION("""COMPUTED_VALUE"""),"Negative")</f>
        <v>Negative</v>
      </c>
      <c r="G579" s="10">
        <f>IFERROR(__xludf.DUMMYFUNCTION("""COMPUTED_VALUE"""),1.0)</f>
        <v>1</v>
      </c>
    </row>
    <row r="580">
      <c r="A580" s="6" t="str">
        <f>IFERROR(__xludf.DUMMYFUNCTION("""COMPUTED_VALUE"""),"FM481")</f>
        <v>FM481</v>
      </c>
      <c r="B580" s="6" t="str">
        <f>IFERROR(__xludf.DUMMYFUNCTION("""COMPUTED_VALUE"""),"RUN-BEND_2022-03-01_RFR-043")</f>
        <v>RUN-BEND_2022-03-01_RFR-043</v>
      </c>
      <c r="C580" s="7">
        <f>VLOOKUP(B580,'Run Reconcile'!A$2:B809,2,FALSE)</f>
        <v>44621</v>
      </c>
      <c r="D580" s="12">
        <f>IFERROR(__xludf.DUMMYFUNCTION("""COMPUTED_VALUE"""),44621.0)</f>
        <v>44621</v>
      </c>
      <c r="E580" s="13">
        <f>IFERROR(__xludf.DUMMYFUNCTION("""COMPUTED_VALUE"""),0.3086921296307992)</f>
        <v>0.3086921296</v>
      </c>
      <c r="F580" s="10" t="str">
        <f>IFERROR(__xludf.DUMMYFUNCTION("""COMPUTED_VALUE"""),"Negative")</f>
        <v>Negative</v>
      </c>
      <c r="G580" s="10">
        <f>IFERROR(__xludf.DUMMYFUNCTION("""COMPUTED_VALUE"""),1.0)</f>
        <v>1</v>
      </c>
    </row>
    <row r="581">
      <c r="A581" s="6" t="str">
        <f>IFERROR(__xludf.DUMMYFUNCTION("""COMPUTED_VALUE"""),"MA1282")</f>
        <v>MA1282</v>
      </c>
      <c r="B581" s="6" t="str">
        <f>IFERROR(__xludf.DUMMYFUNCTION("""COMPUTED_VALUE"""),"RUN-BEND_2022-03-01_RFR-043")</f>
        <v>RUN-BEND_2022-03-01_RFR-043</v>
      </c>
      <c r="C581" s="7">
        <f>VLOOKUP(B581,'Run Reconcile'!A$2:B809,2,FALSE)</f>
        <v>44621</v>
      </c>
      <c r="D581" s="12">
        <f>IFERROR(__xludf.DUMMYFUNCTION("""COMPUTED_VALUE"""),44621.0)</f>
        <v>44621</v>
      </c>
      <c r="E581" s="13">
        <f>IFERROR(__xludf.DUMMYFUNCTION("""COMPUTED_VALUE"""),0.30968750000101863)</f>
        <v>0.3096875</v>
      </c>
      <c r="F581" s="10" t="str">
        <f>IFERROR(__xludf.DUMMYFUNCTION("""COMPUTED_VALUE"""),"Negative")</f>
        <v>Negative</v>
      </c>
      <c r="G581" s="10">
        <f>IFERROR(__xludf.DUMMYFUNCTION("""COMPUTED_VALUE"""),1.0)</f>
        <v>1</v>
      </c>
    </row>
    <row r="582">
      <c r="A582" s="6" t="str">
        <f>IFERROR(__xludf.DUMMYFUNCTION("""COMPUTED_VALUE"""),"FM78")</f>
        <v>FM78</v>
      </c>
      <c r="B582" s="6" t="str">
        <f>IFERROR(__xludf.DUMMYFUNCTION("""COMPUTED_VALUE"""),"RUN-BEND_2022-03-01_RFR-043")</f>
        <v>RUN-BEND_2022-03-01_RFR-043</v>
      </c>
      <c r="C582" s="7">
        <f>VLOOKUP(B582,'Run Reconcile'!A$2:B809,2,FALSE)</f>
        <v>44621</v>
      </c>
      <c r="D582" s="12">
        <f>IFERROR(__xludf.DUMMYFUNCTION("""COMPUTED_VALUE"""),44621.0)</f>
        <v>44621</v>
      </c>
      <c r="E582" s="13">
        <f>IFERROR(__xludf.DUMMYFUNCTION("""COMPUTED_VALUE"""),0.3111921296294895)</f>
        <v>0.3111921296</v>
      </c>
      <c r="F582" s="10" t="str">
        <f>IFERROR(__xludf.DUMMYFUNCTION("""COMPUTED_VALUE"""),"Negative")</f>
        <v>Negative</v>
      </c>
      <c r="G582" s="10">
        <f>IFERROR(__xludf.DUMMYFUNCTION("""COMPUTED_VALUE"""),1.0)</f>
        <v>1</v>
      </c>
    </row>
    <row r="583">
      <c r="A583" s="6" t="str">
        <f>IFERROR(__xludf.DUMMYFUNCTION("""COMPUTED_VALUE"""),"FM2054")</f>
        <v>FM2054</v>
      </c>
      <c r="B583" s="6" t="str">
        <f>IFERROR(__xludf.DUMMYFUNCTION("""COMPUTED_VALUE"""),"RUN-BEND_2022-03-01_RFR-043")</f>
        <v>RUN-BEND_2022-03-01_RFR-043</v>
      </c>
      <c r="C583" s="7">
        <f>VLOOKUP(B583,'Run Reconcile'!A$2:B809,2,FALSE)</f>
        <v>44621</v>
      </c>
      <c r="D583" s="12">
        <f>IFERROR(__xludf.DUMMYFUNCTION("""COMPUTED_VALUE"""),44621.0)</f>
        <v>44621</v>
      </c>
      <c r="E583" s="13">
        <f>IFERROR(__xludf.DUMMYFUNCTION("""COMPUTED_VALUE"""),0.31196759259182727)</f>
        <v>0.3119675926</v>
      </c>
      <c r="F583" s="10" t="str">
        <f>IFERROR(__xludf.DUMMYFUNCTION("""COMPUTED_VALUE"""),"Negative")</f>
        <v>Negative</v>
      </c>
      <c r="G583" s="10">
        <f>IFERROR(__xludf.DUMMYFUNCTION("""COMPUTED_VALUE"""),1.0)</f>
        <v>1</v>
      </c>
    </row>
    <row r="584">
      <c r="A584" s="6" t="str">
        <f>IFERROR(__xludf.DUMMYFUNCTION("""COMPUTED_VALUE"""),"MA322")</f>
        <v>MA322</v>
      </c>
      <c r="B584" s="6" t="str">
        <f>IFERROR(__xludf.DUMMYFUNCTION("""COMPUTED_VALUE"""),"RUN-BEND_2022-03-01_RFR-043")</f>
        <v>RUN-BEND_2022-03-01_RFR-043</v>
      </c>
      <c r="C584" s="7">
        <f>VLOOKUP(B584,'Run Reconcile'!A$2:B809,2,FALSE)</f>
        <v>44621</v>
      </c>
      <c r="D584" s="12">
        <f>IFERROR(__xludf.DUMMYFUNCTION("""COMPUTED_VALUE"""),44621.0)</f>
        <v>44621</v>
      </c>
      <c r="E584" s="13">
        <f>IFERROR(__xludf.DUMMYFUNCTION("""COMPUTED_VALUE"""),0.31535879629518604)</f>
        <v>0.3153587963</v>
      </c>
      <c r="F584" s="10" t="str">
        <f>IFERROR(__xludf.DUMMYFUNCTION("""COMPUTED_VALUE"""),"Negative")</f>
        <v>Negative</v>
      </c>
      <c r="G584" s="10">
        <f>IFERROR(__xludf.DUMMYFUNCTION("""COMPUTED_VALUE"""),1.0)</f>
        <v>1</v>
      </c>
    </row>
    <row r="585">
      <c r="A585" s="6" t="str">
        <f>IFERROR(__xludf.DUMMYFUNCTION("""COMPUTED_VALUE"""),"MA1264")</f>
        <v>MA1264</v>
      </c>
      <c r="B585" s="6" t="str">
        <f>IFERROR(__xludf.DUMMYFUNCTION("""COMPUTED_VALUE"""),"RUN-BEND_2022-03-01_RFR-043")</f>
        <v>RUN-BEND_2022-03-01_RFR-043</v>
      </c>
      <c r="C585" s="7">
        <f>VLOOKUP(B585,'Run Reconcile'!A$2:B809,2,FALSE)</f>
        <v>44621</v>
      </c>
      <c r="D585" s="12">
        <f>IFERROR(__xludf.DUMMYFUNCTION("""COMPUTED_VALUE"""),44621.0)</f>
        <v>44621</v>
      </c>
      <c r="E585" s="13">
        <f>IFERROR(__xludf.DUMMYFUNCTION("""COMPUTED_VALUE"""),0.31734953703562496)</f>
        <v>0.317349537</v>
      </c>
      <c r="F585" s="10" t="str">
        <f>IFERROR(__xludf.DUMMYFUNCTION("""COMPUTED_VALUE"""),"Negative")</f>
        <v>Negative</v>
      </c>
      <c r="G585" s="10">
        <f>IFERROR(__xludf.DUMMYFUNCTION("""COMPUTED_VALUE"""),1.0)</f>
        <v>1</v>
      </c>
    </row>
    <row r="586">
      <c r="A586" s="6" t="str">
        <f>IFERROR(__xludf.DUMMYFUNCTION("""COMPUTED_VALUE"""),"MA380")</f>
        <v>MA380</v>
      </c>
      <c r="B586" s="6" t="str">
        <f>IFERROR(__xludf.DUMMYFUNCTION("""COMPUTED_VALUE"""),"RUN-BEND_2022-03-01_RFR-043")</f>
        <v>RUN-BEND_2022-03-01_RFR-043</v>
      </c>
      <c r="C586" s="7">
        <f>VLOOKUP(B586,'Run Reconcile'!A$2:B809,2,FALSE)</f>
        <v>44621</v>
      </c>
      <c r="D586" s="12">
        <f>IFERROR(__xludf.DUMMYFUNCTION("""COMPUTED_VALUE"""),44621.0)</f>
        <v>44621</v>
      </c>
      <c r="E586" s="13">
        <f>IFERROR(__xludf.DUMMYFUNCTION("""COMPUTED_VALUE"""),0.32395833333430346)</f>
        <v>0.3239583333</v>
      </c>
      <c r="F586" s="10" t="str">
        <f>IFERROR(__xludf.DUMMYFUNCTION("""COMPUTED_VALUE"""),"Negative")</f>
        <v>Negative</v>
      </c>
      <c r="G586" s="10">
        <f>IFERROR(__xludf.DUMMYFUNCTION("""COMPUTED_VALUE"""),1.0)</f>
        <v>1</v>
      </c>
    </row>
    <row r="587">
      <c r="A587" s="6" t="str">
        <f>IFERROR(__xludf.DUMMYFUNCTION("""COMPUTED_VALUE"""),"MA364")</f>
        <v>MA364</v>
      </c>
      <c r="B587" s="6" t="str">
        <f>IFERROR(__xludf.DUMMYFUNCTION("""COMPUTED_VALUE"""),"RUN-BEND_2022-03-01_RFR-043")</f>
        <v>RUN-BEND_2022-03-01_RFR-043</v>
      </c>
      <c r="C587" s="7">
        <f>VLOOKUP(B587,'Run Reconcile'!A$2:B809,2,FALSE)</f>
        <v>44621</v>
      </c>
      <c r="D587" s="12">
        <f>IFERROR(__xludf.DUMMYFUNCTION("""COMPUTED_VALUE"""),44621.0)</f>
        <v>44621</v>
      </c>
      <c r="E587" s="13">
        <f>IFERROR(__xludf.DUMMYFUNCTION("""COMPUTED_VALUE"""),0.32446759259255487)</f>
        <v>0.3244675926</v>
      </c>
      <c r="F587" s="10" t="str">
        <f>IFERROR(__xludf.DUMMYFUNCTION("""COMPUTED_VALUE"""),"Negative")</f>
        <v>Negative</v>
      </c>
      <c r="G587" s="10">
        <f>IFERROR(__xludf.DUMMYFUNCTION("""COMPUTED_VALUE"""),1.0)</f>
        <v>1</v>
      </c>
    </row>
    <row r="588">
      <c r="A588" s="6" t="str">
        <f>IFERROR(__xludf.DUMMYFUNCTION("""COMPUTED_VALUE"""),"FM343")</f>
        <v>FM343</v>
      </c>
      <c r="B588" s="6" t="str">
        <f>IFERROR(__xludf.DUMMYFUNCTION("""COMPUTED_VALUE"""),"RUN-BEND_2022-03-01_RFR-043")</f>
        <v>RUN-BEND_2022-03-01_RFR-043</v>
      </c>
      <c r="C588" s="7">
        <f>VLOOKUP(B588,'Run Reconcile'!A$2:B809,2,FALSE)</f>
        <v>44621</v>
      </c>
      <c r="D588" s="12">
        <f>IFERROR(__xludf.DUMMYFUNCTION("""COMPUTED_VALUE"""),44621.0)</f>
        <v>44621</v>
      </c>
      <c r="E588" s="13">
        <f>IFERROR(__xludf.DUMMYFUNCTION("""COMPUTED_VALUE"""),0.3262962962980964)</f>
        <v>0.3262962963</v>
      </c>
      <c r="F588" s="10" t="str">
        <f>IFERROR(__xludf.DUMMYFUNCTION("""COMPUTED_VALUE"""),"Negative")</f>
        <v>Negative</v>
      </c>
      <c r="G588" s="10">
        <f>IFERROR(__xludf.DUMMYFUNCTION("""COMPUTED_VALUE"""),1.0)</f>
        <v>1</v>
      </c>
    </row>
    <row r="589">
      <c r="A589" s="6" t="str">
        <f>IFERROR(__xludf.DUMMYFUNCTION("""COMPUTED_VALUE"""),"FM2057")</f>
        <v>FM2057</v>
      </c>
      <c r="B589" s="6" t="str">
        <f>IFERROR(__xludf.DUMMYFUNCTION("""COMPUTED_VALUE"""),"RUN-BEND_2022-03-01_RFR-043")</f>
        <v>RUN-BEND_2022-03-01_RFR-043</v>
      </c>
      <c r="C589" s="7">
        <f>VLOOKUP(B589,'Run Reconcile'!A$2:B809,2,FALSE)</f>
        <v>44621</v>
      </c>
      <c r="D589" s="12">
        <f>IFERROR(__xludf.DUMMYFUNCTION("""COMPUTED_VALUE"""),44621.0)</f>
        <v>44621</v>
      </c>
      <c r="E589" s="13">
        <f>IFERROR(__xludf.DUMMYFUNCTION("""COMPUTED_VALUE"""),0.32670138888715883)</f>
        <v>0.3267013889</v>
      </c>
      <c r="F589" s="10" t="str">
        <f>IFERROR(__xludf.DUMMYFUNCTION("""COMPUTED_VALUE"""),"Negative")</f>
        <v>Negative</v>
      </c>
      <c r="G589" s="10">
        <f>IFERROR(__xludf.DUMMYFUNCTION("""COMPUTED_VALUE"""),1.0)</f>
        <v>1</v>
      </c>
    </row>
    <row r="590">
      <c r="A590" s="6" t="str">
        <f>IFERROR(__xludf.DUMMYFUNCTION("""COMPUTED_VALUE"""),"FM433")</f>
        <v>FM433</v>
      </c>
      <c r="B590" s="6" t="str">
        <f>IFERROR(__xludf.DUMMYFUNCTION("""COMPUTED_VALUE"""),"RUN-BEND_2022-03-01_RFR-043")</f>
        <v>RUN-BEND_2022-03-01_RFR-043</v>
      </c>
      <c r="C590" s="7">
        <f>VLOOKUP(B590,'Run Reconcile'!A$2:B809,2,FALSE)</f>
        <v>44621</v>
      </c>
      <c r="D590" s="12">
        <f>IFERROR(__xludf.DUMMYFUNCTION("""COMPUTED_VALUE"""),44621.0)</f>
        <v>44621</v>
      </c>
      <c r="E590" s="13">
        <f>IFERROR(__xludf.DUMMYFUNCTION("""COMPUTED_VALUE"""),0.3271527777760639)</f>
        <v>0.3271527778</v>
      </c>
      <c r="F590" s="10" t="str">
        <f>IFERROR(__xludf.DUMMYFUNCTION("""COMPUTED_VALUE"""),"Negative")</f>
        <v>Negative</v>
      </c>
      <c r="G590" s="10">
        <f>IFERROR(__xludf.DUMMYFUNCTION("""COMPUTED_VALUE"""),1.0)</f>
        <v>1</v>
      </c>
    </row>
    <row r="591">
      <c r="A591" s="6" t="str">
        <f>IFERROR(__xludf.DUMMYFUNCTION("""COMPUTED_VALUE"""),"FM390")</f>
        <v>FM390</v>
      </c>
      <c r="B591" s="6" t="str">
        <f>IFERROR(__xludf.DUMMYFUNCTION("""COMPUTED_VALUE"""),"RUN-BEND_2022-03-01_RFR-043")</f>
        <v>RUN-BEND_2022-03-01_RFR-043</v>
      </c>
      <c r="C591" s="7">
        <f>VLOOKUP(B591,'Run Reconcile'!A$2:B809,2,FALSE)</f>
        <v>44621</v>
      </c>
      <c r="D591" s="12">
        <f>IFERROR(__xludf.DUMMYFUNCTION("""COMPUTED_VALUE"""),44621.0)</f>
        <v>44621</v>
      </c>
      <c r="E591" s="13">
        <f>IFERROR(__xludf.DUMMYFUNCTION("""COMPUTED_VALUE"""),0.3284953703696374)</f>
        <v>0.3284953704</v>
      </c>
      <c r="F591" s="10" t="str">
        <f>IFERROR(__xludf.DUMMYFUNCTION("""COMPUTED_VALUE"""),"Negative")</f>
        <v>Negative</v>
      </c>
      <c r="G591" s="10">
        <f>IFERROR(__xludf.DUMMYFUNCTION("""COMPUTED_VALUE"""),1.0)</f>
        <v>1</v>
      </c>
    </row>
    <row r="592">
      <c r="A592" s="6" t="str">
        <f>IFERROR(__xludf.DUMMYFUNCTION("""COMPUTED_VALUE"""),"FM106")</f>
        <v>FM106</v>
      </c>
      <c r="B592" s="6" t="str">
        <f>IFERROR(__xludf.DUMMYFUNCTION("""COMPUTED_VALUE"""),"RUN-BEND_2022-03-01_RFR-043")</f>
        <v>RUN-BEND_2022-03-01_RFR-043</v>
      </c>
      <c r="C592" s="7">
        <f>VLOOKUP(B592,'Run Reconcile'!A$2:B809,2,FALSE)</f>
        <v>44621</v>
      </c>
      <c r="D592" s="12">
        <f>IFERROR(__xludf.DUMMYFUNCTION("""COMPUTED_VALUE"""),44621.0)</f>
        <v>44621</v>
      </c>
      <c r="E592" s="13">
        <f>IFERROR(__xludf.DUMMYFUNCTION("""COMPUTED_VALUE"""),0.3285648148157634)</f>
        <v>0.3285648148</v>
      </c>
      <c r="F592" s="10" t="str">
        <f>IFERROR(__xludf.DUMMYFUNCTION("""COMPUTED_VALUE"""),"Negative")</f>
        <v>Negative</v>
      </c>
      <c r="G592" s="10">
        <f>IFERROR(__xludf.DUMMYFUNCTION("""COMPUTED_VALUE"""),1.0)</f>
        <v>1</v>
      </c>
    </row>
    <row r="593">
      <c r="A593" s="6" t="str">
        <f>IFERROR(__xludf.DUMMYFUNCTION("""COMPUTED_VALUE"""),"FM374")</f>
        <v>FM374</v>
      </c>
      <c r="B593" s="6" t="str">
        <f>IFERROR(__xludf.DUMMYFUNCTION("""COMPUTED_VALUE"""),"RUN-BEND_2022-03-01_RFR-043")</f>
        <v>RUN-BEND_2022-03-01_RFR-043</v>
      </c>
      <c r="C593" s="7">
        <f>VLOOKUP(B593,'Run Reconcile'!A$2:B809,2,FALSE)</f>
        <v>44621</v>
      </c>
      <c r="D593" s="12">
        <f>IFERROR(__xludf.DUMMYFUNCTION("""COMPUTED_VALUE"""),44621.0)</f>
        <v>44621</v>
      </c>
      <c r="E593" s="13">
        <f>IFERROR(__xludf.DUMMYFUNCTION("""COMPUTED_VALUE"""),0.3292245370357705)</f>
        <v>0.329224537</v>
      </c>
      <c r="F593" s="10" t="str">
        <f>IFERROR(__xludf.DUMMYFUNCTION("""COMPUTED_VALUE"""),"Negative")</f>
        <v>Negative</v>
      </c>
      <c r="G593" s="10">
        <f>IFERROR(__xludf.DUMMYFUNCTION("""COMPUTED_VALUE"""),1.0)</f>
        <v>1</v>
      </c>
    </row>
    <row r="594">
      <c r="A594" s="6" t="str">
        <f>IFERROR(__xludf.DUMMYFUNCTION("""COMPUTED_VALUE"""),"FM821")</f>
        <v>FM821</v>
      </c>
      <c r="B594" s="6" t="str">
        <f>IFERROR(__xludf.DUMMYFUNCTION("""COMPUTED_VALUE"""),"RUN-BEND_2022-03-01_RFR-043")</f>
        <v>RUN-BEND_2022-03-01_RFR-043</v>
      </c>
      <c r="C594" s="7">
        <f>VLOOKUP(B594,'Run Reconcile'!A$2:B809,2,FALSE)</f>
        <v>44621</v>
      </c>
      <c r="D594" s="12">
        <f>IFERROR(__xludf.DUMMYFUNCTION("""COMPUTED_VALUE"""),44621.0)</f>
        <v>44621</v>
      </c>
      <c r="E594" s="13">
        <f>IFERROR(__xludf.DUMMYFUNCTION("""COMPUTED_VALUE"""),0.32952546296291985)</f>
        <v>0.329525463</v>
      </c>
      <c r="F594" s="10" t="str">
        <f>IFERROR(__xludf.DUMMYFUNCTION("""COMPUTED_VALUE"""),"Negative")</f>
        <v>Negative</v>
      </c>
      <c r="G594" s="10">
        <f>IFERROR(__xludf.DUMMYFUNCTION("""COMPUTED_VALUE"""),1.0)</f>
        <v>1</v>
      </c>
    </row>
    <row r="595">
      <c r="A595" s="6" t="str">
        <f>IFERROR(__xludf.DUMMYFUNCTION("""COMPUTED_VALUE"""),"FM41")</f>
        <v>FM41</v>
      </c>
      <c r="B595" s="6" t="str">
        <f>IFERROR(__xludf.DUMMYFUNCTION("""COMPUTED_VALUE"""),"RUN-BEND_2022-03-01_RFR-043")</f>
        <v>RUN-BEND_2022-03-01_RFR-043</v>
      </c>
      <c r="C595" s="7">
        <f>VLOOKUP(B595,'Run Reconcile'!A$2:B809,2,FALSE)</f>
        <v>44621</v>
      </c>
      <c r="D595" s="12">
        <f>IFERROR(__xludf.DUMMYFUNCTION("""COMPUTED_VALUE"""),44621.0)</f>
        <v>44621</v>
      </c>
      <c r="E595" s="13">
        <f>IFERROR(__xludf.DUMMYFUNCTION("""COMPUTED_VALUE"""),0.33123842592613073)</f>
        <v>0.3312384259</v>
      </c>
      <c r="F595" s="10" t="str">
        <f>IFERROR(__xludf.DUMMYFUNCTION("""COMPUTED_VALUE"""),"Negative")</f>
        <v>Negative</v>
      </c>
      <c r="G595" s="10">
        <f>IFERROR(__xludf.DUMMYFUNCTION("""COMPUTED_VALUE"""),1.0)</f>
        <v>1</v>
      </c>
    </row>
    <row r="596">
      <c r="A596" s="6" t="str">
        <f>IFERROR(__xludf.DUMMYFUNCTION("""COMPUTED_VALUE"""),"FM46")</f>
        <v>FM46</v>
      </c>
      <c r="B596" s="6" t="str">
        <f>IFERROR(__xludf.DUMMYFUNCTION("""COMPUTED_VALUE"""),"RUN-BEND_2022-03-01_RFR-043")</f>
        <v>RUN-BEND_2022-03-01_RFR-043</v>
      </c>
      <c r="C596" s="7">
        <f>VLOOKUP(B596,'Run Reconcile'!A$2:B809,2,FALSE)</f>
        <v>44621</v>
      </c>
      <c r="D596" s="12">
        <f>IFERROR(__xludf.DUMMYFUNCTION("""COMPUTED_VALUE"""),44621.0)</f>
        <v>44621</v>
      </c>
      <c r="E596" s="13">
        <f>IFERROR(__xludf.DUMMYFUNCTION("""COMPUTED_VALUE"""),0.3314351851840911)</f>
        <v>0.3314351852</v>
      </c>
      <c r="F596" s="10" t="str">
        <f>IFERROR(__xludf.DUMMYFUNCTION("""COMPUTED_VALUE"""),"Negative")</f>
        <v>Negative</v>
      </c>
      <c r="G596" s="10">
        <f>IFERROR(__xludf.DUMMYFUNCTION("""COMPUTED_VALUE"""),1.0)</f>
        <v>1</v>
      </c>
    </row>
    <row r="597">
      <c r="A597" s="6" t="str">
        <f>IFERROR(__xludf.DUMMYFUNCTION("""COMPUTED_VALUE"""),"FM82")</f>
        <v>FM82</v>
      </c>
      <c r="B597" s="6" t="str">
        <f>IFERROR(__xludf.DUMMYFUNCTION("""COMPUTED_VALUE"""),"RUN-BEND_2022-03-01_RFR-043")</f>
        <v>RUN-BEND_2022-03-01_RFR-043</v>
      </c>
      <c r="C597" s="7">
        <f>VLOOKUP(B597,'Run Reconcile'!A$2:B809,2,FALSE)</f>
        <v>44621</v>
      </c>
      <c r="D597" s="12">
        <f>IFERROR(__xludf.DUMMYFUNCTION("""COMPUTED_VALUE"""),44621.0)</f>
        <v>44621</v>
      </c>
      <c r="E597" s="13">
        <f>IFERROR(__xludf.DUMMYFUNCTION("""COMPUTED_VALUE"""),0.3319328703692008)</f>
        <v>0.3319328704</v>
      </c>
      <c r="F597" s="10" t="str">
        <f>IFERROR(__xludf.DUMMYFUNCTION("""COMPUTED_VALUE"""),"Negative")</f>
        <v>Negative</v>
      </c>
      <c r="G597" s="10">
        <f>IFERROR(__xludf.DUMMYFUNCTION("""COMPUTED_VALUE"""),1.0)</f>
        <v>1</v>
      </c>
    </row>
    <row r="598">
      <c r="A598" s="6" t="str">
        <f>IFERROR(__xludf.DUMMYFUNCTION("""COMPUTED_VALUE"""),"FM792")</f>
        <v>FM792</v>
      </c>
      <c r="B598" s="6" t="str">
        <f>IFERROR(__xludf.DUMMYFUNCTION("""COMPUTED_VALUE"""),"RUN-BEND_2022-03-01_RFR-043")</f>
        <v>RUN-BEND_2022-03-01_RFR-043</v>
      </c>
      <c r="C598" s="7">
        <f>VLOOKUP(B598,'Run Reconcile'!A$2:B809,2,FALSE)</f>
        <v>44621</v>
      </c>
      <c r="D598" s="12">
        <f>IFERROR(__xludf.DUMMYFUNCTION("""COMPUTED_VALUE"""),44621.0)</f>
        <v>44621</v>
      </c>
      <c r="E598" s="13">
        <f>IFERROR(__xludf.DUMMYFUNCTION("""COMPUTED_VALUE"""),0.3345949074064265)</f>
        <v>0.3345949074</v>
      </c>
      <c r="F598" s="10" t="str">
        <f>IFERROR(__xludf.DUMMYFUNCTION("""COMPUTED_VALUE"""),"Negative")</f>
        <v>Negative</v>
      </c>
      <c r="G598" s="10">
        <f>IFERROR(__xludf.DUMMYFUNCTION("""COMPUTED_VALUE"""),1.0)</f>
        <v>1</v>
      </c>
    </row>
    <row r="599">
      <c r="A599" s="6" t="str">
        <f>IFERROR(__xludf.DUMMYFUNCTION("""COMPUTED_VALUE"""),"FM372")</f>
        <v>FM372</v>
      </c>
      <c r="B599" s="6" t="str">
        <f>IFERROR(__xludf.DUMMYFUNCTION("""COMPUTED_VALUE"""),"RUN-BEND_2022-03-01_RFR-043")</f>
        <v>RUN-BEND_2022-03-01_RFR-043</v>
      </c>
      <c r="C599" s="7">
        <f>VLOOKUP(B599,'Run Reconcile'!A$2:B809,2,FALSE)</f>
        <v>44621</v>
      </c>
      <c r="D599" s="12">
        <f>IFERROR(__xludf.DUMMYFUNCTION("""COMPUTED_VALUE"""),44621.0)</f>
        <v>44621</v>
      </c>
      <c r="E599" s="13">
        <f>IFERROR(__xludf.DUMMYFUNCTION("""COMPUTED_VALUE"""),0.33509259259153623)</f>
        <v>0.3350925926</v>
      </c>
      <c r="F599" s="10" t="str">
        <f>IFERROR(__xludf.DUMMYFUNCTION("""COMPUTED_VALUE"""),"Negative")</f>
        <v>Negative</v>
      </c>
      <c r="G599" s="10">
        <f>IFERROR(__xludf.DUMMYFUNCTION("""COMPUTED_VALUE"""),1.0)</f>
        <v>1</v>
      </c>
    </row>
    <row r="600">
      <c r="A600" s="6" t="str">
        <f>IFERROR(__xludf.DUMMYFUNCTION("""COMPUTED_VALUE"""),"FM529")</f>
        <v>FM529</v>
      </c>
      <c r="B600" s="6" t="str">
        <f>IFERROR(__xludf.DUMMYFUNCTION("""COMPUTED_VALUE"""),"RUN-BEND_2022-03-01_RFR-043")</f>
        <v>RUN-BEND_2022-03-01_RFR-043</v>
      </c>
      <c r="C600" s="7">
        <f>VLOOKUP(B600,'Run Reconcile'!A$2:B809,2,FALSE)</f>
        <v>44621</v>
      </c>
      <c r="D600" s="12">
        <f>IFERROR(__xludf.DUMMYFUNCTION("""COMPUTED_VALUE"""),44621.0)</f>
        <v>44621</v>
      </c>
      <c r="E600" s="13">
        <f>IFERROR(__xludf.DUMMYFUNCTION("""COMPUTED_VALUE"""),0.34143518518612836)</f>
        <v>0.3414351852</v>
      </c>
      <c r="F600" s="10" t="str">
        <f>IFERROR(__xludf.DUMMYFUNCTION("""COMPUTED_VALUE"""),"Negative")</f>
        <v>Negative</v>
      </c>
      <c r="G600" s="10">
        <f>IFERROR(__xludf.DUMMYFUNCTION("""COMPUTED_VALUE"""),1.0)</f>
        <v>1</v>
      </c>
    </row>
    <row r="601">
      <c r="A601" s="6" t="str">
        <f>IFERROR(__xludf.DUMMYFUNCTION("""COMPUTED_VALUE"""),"MA1304")</f>
        <v>MA1304</v>
      </c>
      <c r="B601" s="6" t="str">
        <f>IFERROR(__xludf.DUMMYFUNCTION("""COMPUTED_VALUE"""),"RUN-BEND_2022-03-01_RFR-043")</f>
        <v>RUN-BEND_2022-03-01_RFR-043</v>
      </c>
      <c r="C601" s="7">
        <f>VLOOKUP(B601,'Run Reconcile'!A$2:B809,2,FALSE)</f>
        <v>44621</v>
      </c>
      <c r="D601" s="12">
        <f>IFERROR(__xludf.DUMMYFUNCTION("""COMPUTED_VALUE"""),44621.0)</f>
        <v>44621</v>
      </c>
      <c r="E601" s="13">
        <f>IFERROR(__xludf.DUMMYFUNCTION("""COMPUTED_VALUE"""),0.3439699074078817)</f>
        <v>0.3439699074</v>
      </c>
      <c r="F601" s="10" t="str">
        <f>IFERROR(__xludf.DUMMYFUNCTION("""COMPUTED_VALUE"""),"Negative")</f>
        <v>Negative</v>
      </c>
      <c r="G601" s="10">
        <f>IFERROR(__xludf.DUMMYFUNCTION("""COMPUTED_VALUE"""),1.0)</f>
        <v>1</v>
      </c>
    </row>
    <row r="602">
      <c r="A602" s="6" t="str">
        <f>IFERROR(__xludf.DUMMYFUNCTION("""COMPUTED_VALUE"""),"MA1269")</f>
        <v>MA1269</v>
      </c>
      <c r="B602" s="6" t="str">
        <f>IFERROR(__xludf.DUMMYFUNCTION("""COMPUTED_VALUE"""),"RUN-BEND_2022-03-01_RFR-043")</f>
        <v>RUN-BEND_2022-03-01_RFR-043</v>
      </c>
      <c r="C602" s="7">
        <f>VLOOKUP(B602,'Run Reconcile'!A$2:B809,2,FALSE)</f>
        <v>44621</v>
      </c>
      <c r="D602" s="12">
        <f>IFERROR(__xludf.DUMMYFUNCTION("""COMPUTED_VALUE"""),44621.0)</f>
        <v>44621</v>
      </c>
      <c r="E602" s="13">
        <f>IFERROR(__xludf.DUMMYFUNCTION("""COMPUTED_VALUE"""),0.3461805555562023)</f>
        <v>0.3461805556</v>
      </c>
      <c r="F602" s="10" t="str">
        <f>IFERROR(__xludf.DUMMYFUNCTION("""COMPUTED_VALUE"""),"Negative")</f>
        <v>Negative</v>
      </c>
      <c r="G602" s="10">
        <f>IFERROR(__xludf.DUMMYFUNCTION("""COMPUTED_VALUE"""),1.0)</f>
        <v>1</v>
      </c>
    </row>
    <row r="603">
      <c r="A603" s="6" t="str">
        <f>IFERROR(__xludf.DUMMYFUNCTION("""COMPUTED_VALUE"""),"FM799")</f>
        <v>FM799</v>
      </c>
      <c r="B603" s="6" t="str">
        <f>IFERROR(__xludf.DUMMYFUNCTION("""COMPUTED_VALUE"""),"RUN-BEND_2022-03-01_RFR-043")</f>
        <v>RUN-BEND_2022-03-01_RFR-043</v>
      </c>
      <c r="C603" s="7">
        <f>VLOOKUP(B603,'Run Reconcile'!A$2:B809,2,FALSE)</f>
        <v>44621</v>
      </c>
      <c r="D603" s="12">
        <f>IFERROR(__xludf.DUMMYFUNCTION("""COMPUTED_VALUE"""),44621.0)</f>
        <v>44621</v>
      </c>
      <c r="E603" s="13">
        <f>IFERROR(__xludf.DUMMYFUNCTION("""COMPUTED_VALUE"""),0.445138888888323)</f>
        <v>0.4451388889</v>
      </c>
      <c r="F603" s="10" t="str">
        <f>IFERROR(__xludf.DUMMYFUNCTION("""COMPUTED_VALUE"""),"Negative")</f>
        <v>Negative</v>
      </c>
      <c r="G603" s="10">
        <f>IFERROR(__xludf.DUMMYFUNCTION("""COMPUTED_VALUE"""),1.0)</f>
        <v>1</v>
      </c>
    </row>
    <row r="604">
      <c r="A604" s="6" t="str">
        <f>IFERROR(__xludf.DUMMYFUNCTION("""COMPUTED_VALUE"""),"FM2090")</f>
        <v>FM2090</v>
      </c>
      <c r="B604" s="6" t="str">
        <f>IFERROR(__xludf.DUMMYFUNCTION("""COMPUTED_VALUE"""),"RUN-BEND_2022-03-01_RFR-043")</f>
        <v>RUN-BEND_2022-03-01_RFR-043</v>
      </c>
      <c r="C604" s="7">
        <f>VLOOKUP(B604,'Run Reconcile'!A$2:B809,2,FALSE)</f>
        <v>44621</v>
      </c>
      <c r="D604" s="12">
        <f>IFERROR(__xludf.DUMMYFUNCTION("""COMPUTED_VALUE"""),44621.0)</f>
        <v>44621</v>
      </c>
      <c r="E604" s="13">
        <f>IFERROR(__xludf.DUMMYFUNCTION("""COMPUTED_VALUE"""),0.4674652777794108)</f>
        <v>0.4674652778</v>
      </c>
      <c r="F604" s="10" t="str">
        <f>IFERROR(__xludf.DUMMYFUNCTION("""COMPUTED_VALUE"""),"Negative")</f>
        <v>Negative</v>
      </c>
      <c r="G604" s="10">
        <f>IFERROR(__xludf.DUMMYFUNCTION("""COMPUTED_VALUE"""),1.0)</f>
        <v>1</v>
      </c>
    </row>
    <row r="605">
      <c r="A605" s="6" t="str">
        <f>IFERROR(__xludf.DUMMYFUNCTION("""COMPUTED_VALUE"""),"MA1251")</f>
        <v>MA1251</v>
      </c>
      <c r="B605" s="6" t="str">
        <f>IFERROR(__xludf.DUMMYFUNCTION("""COMPUTED_VALUE"""),"RUN-BEND_2022-03-01_RFR-043")</f>
        <v>RUN-BEND_2022-03-01_RFR-043</v>
      </c>
      <c r="C605" s="7">
        <f>VLOOKUP(B605,'Run Reconcile'!A$2:B809,2,FALSE)</f>
        <v>44621</v>
      </c>
      <c r="D605" s="12">
        <f>IFERROR(__xludf.DUMMYFUNCTION("""COMPUTED_VALUE"""),44621.0)</f>
        <v>44621</v>
      </c>
      <c r="E605" s="13">
        <f>IFERROR(__xludf.DUMMYFUNCTION("""COMPUTED_VALUE"""),0.46792824074145756)</f>
        <v>0.4679282407</v>
      </c>
      <c r="F605" s="10" t="str">
        <f>IFERROR(__xludf.DUMMYFUNCTION("""COMPUTED_VALUE"""),"Negative")</f>
        <v>Negative</v>
      </c>
      <c r="G605" s="10">
        <f>IFERROR(__xludf.DUMMYFUNCTION("""COMPUTED_VALUE"""),1.0)</f>
        <v>1</v>
      </c>
    </row>
    <row r="606">
      <c r="A606" s="6" t="str">
        <f>IFERROR(__xludf.DUMMYFUNCTION("""COMPUTED_VALUE"""),"MA1293")</f>
        <v>MA1293</v>
      </c>
      <c r="B606" s="6" t="str">
        <f>IFERROR(__xludf.DUMMYFUNCTION("""COMPUTED_VALUE"""),"RUN-BEND_2022-03-01_RFR-043")</f>
        <v>RUN-BEND_2022-03-01_RFR-043</v>
      </c>
      <c r="C606" s="7">
        <f>VLOOKUP(B606,'Run Reconcile'!A$2:B809,2,FALSE)</f>
        <v>44621</v>
      </c>
      <c r="D606" s="12">
        <f>IFERROR(__xludf.DUMMYFUNCTION("""COMPUTED_VALUE"""),44621.0)</f>
        <v>44621</v>
      </c>
      <c r="E606" s="13">
        <f>IFERROR(__xludf.DUMMYFUNCTION("""COMPUTED_VALUE"""),0.46814814814933925)</f>
        <v>0.4681481481</v>
      </c>
      <c r="F606" s="10" t="str">
        <f>IFERROR(__xludf.DUMMYFUNCTION("""COMPUTED_VALUE"""),"Negative")</f>
        <v>Negative</v>
      </c>
      <c r="G606" s="10">
        <f>IFERROR(__xludf.DUMMYFUNCTION("""COMPUTED_VALUE"""),1.0)</f>
        <v>1</v>
      </c>
    </row>
    <row r="607">
      <c r="A607" s="6" t="str">
        <f>IFERROR(__xludf.DUMMYFUNCTION("""COMPUTED_VALUE"""),"FM2083")</f>
        <v>FM2083</v>
      </c>
      <c r="B607" s="6" t="str">
        <f>IFERROR(__xludf.DUMMYFUNCTION("""COMPUTED_VALUE"""),"RUN-BEND_2022-03-03_RFR-044")</f>
        <v>RUN-BEND_2022-03-03_RFR-044</v>
      </c>
      <c r="C607" s="7">
        <f>VLOOKUP(B607,'Run Reconcile'!A$2:B809,2,FALSE)</f>
        <v>44623</v>
      </c>
      <c r="D607" s="12">
        <f>IFERROR(__xludf.DUMMYFUNCTION("""COMPUTED_VALUE"""),44623.0)</f>
        <v>44623</v>
      </c>
      <c r="E607" s="13">
        <f>IFERROR(__xludf.DUMMYFUNCTION("""COMPUTED_VALUE"""),0.294328703705105)</f>
        <v>0.2943287037</v>
      </c>
      <c r="F607" s="10" t="str">
        <f>IFERROR(__xludf.DUMMYFUNCTION("""COMPUTED_VALUE"""),"Negative")</f>
        <v>Negative</v>
      </c>
      <c r="G607" s="10">
        <f>IFERROR(__xludf.DUMMYFUNCTION("""COMPUTED_VALUE"""),1.0)</f>
        <v>1</v>
      </c>
    </row>
    <row r="608">
      <c r="A608" s="6" t="str">
        <f>IFERROR(__xludf.DUMMYFUNCTION("""COMPUTED_VALUE"""),"FM1917")</f>
        <v>FM1917</v>
      </c>
      <c r="B608" s="6" t="str">
        <f>IFERROR(__xludf.DUMMYFUNCTION("""COMPUTED_VALUE"""),"RUN-BEND_2022-03-03_RFR-044")</f>
        <v>RUN-BEND_2022-03-03_RFR-044</v>
      </c>
      <c r="C608" s="7">
        <f>VLOOKUP(B608,'Run Reconcile'!A$2:B809,2,FALSE)</f>
        <v>44623</v>
      </c>
      <c r="D608" s="12">
        <f>IFERROR(__xludf.DUMMYFUNCTION("""COMPUTED_VALUE"""),44623.0)</f>
        <v>44623</v>
      </c>
      <c r="E608" s="13">
        <f>IFERROR(__xludf.DUMMYFUNCTION("""COMPUTED_VALUE"""),0.2961574074070086)</f>
        <v>0.2961574074</v>
      </c>
      <c r="F608" s="10" t="str">
        <f>IFERROR(__xludf.DUMMYFUNCTION("""COMPUTED_VALUE"""),"Negative")</f>
        <v>Negative</v>
      </c>
      <c r="G608" s="10">
        <f>IFERROR(__xludf.DUMMYFUNCTION("""COMPUTED_VALUE"""),1.0)</f>
        <v>1</v>
      </c>
    </row>
    <row r="609">
      <c r="A609" s="6" t="str">
        <f>IFERROR(__xludf.DUMMYFUNCTION("""COMPUTED_VALUE"""),"FM114")</f>
        <v>FM114</v>
      </c>
      <c r="B609" s="6" t="str">
        <f>IFERROR(__xludf.DUMMYFUNCTION("""COMPUTED_VALUE"""),"RUN-BEND_2022-03-03_RFR-044")</f>
        <v>RUN-BEND_2022-03-03_RFR-044</v>
      </c>
      <c r="C609" s="7">
        <f>VLOOKUP(B609,'Run Reconcile'!A$2:B809,2,FALSE)</f>
        <v>44623</v>
      </c>
      <c r="D609" s="12">
        <f>IFERROR(__xludf.DUMMYFUNCTION("""COMPUTED_VALUE"""),44623.0)</f>
        <v>44623</v>
      </c>
      <c r="E609" s="13">
        <f>IFERROR(__xludf.DUMMYFUNCTION("""COMPUTED_VALUE"""),0.3038541666683159)</f>
        <v>0.3038541667</v>
      </c>
      <c r="F609" s="10" t="str">
        <f>IFERROR(__xludf.DUMMYFUNCTION("""COMPUTED_VALUE"""),"Negative")</f>
        <v>Negative</v>
      </c>
      <c r="G609" s="10">
        <f>IFERROR(__xludf.DUMMYFUNCTION("""COMPUTED_VALUE"""),1.0)</f>
        <v>1</v>
      </c>
    </row>
    <row r="610">
      <c r="A610" s="6" t="str">
        <f>IFERROR(__xludf.DUMMYFUNCTION("""COMPUTED_VALUE"""),"FM13")</f>
        <v>FM13</v>
      </c>
      <c r="B610" s="6" t="str">
        <f>IFERROR(__xludf.DUMMYFUNCTION("""COMPUTED_VALUE"""),"RUN-BEND_2022-03-03_RFR-044")</f>
        <v>RUN-BEND_2022-03-03_RFR-044</v>
      </c>
      <c r="C610" s="7">
        <f>VLOOKUP(B610,'Run Reconcile'!A$2:B809,2,FALSE)</f>
        <v>44623</v>
      </c>
      <c r="D610" s="12">
        <f>IFERROR(__xludf.DUMMYFUNCTION("""COMPUTED_VALUE"""),44623.0)</f>
        <v>44623</v>
      </c>
      <c r="E610" s="13">
        <f>IFERROR(__xludf.DUMMYFUNCTION("""COMPUTED_VALUE"""),0.30447916666526)</f>
        <v>0.3044791667</v>
      </c>
      <c r="F610" s="10" t="str">
        <f>IFERROR(__xludf.DUMMYFUNCTION("""COMPUTED_VALUE"""),"Negative")</f>
        <v>Negative</v>
      </c>
      <c r="G610" s="10">
        <f>IFERROR(__xludf.DUMMYFUNCTION("""COMPUTED_VALUE"""),1.0)</f>
        <v>1</v>
      </c>
    </row>
    <row r="611">
      <c r="A611" s="6" t="str">
        <f>IFERROR(__xludf.DUMMYFUNCTION("""COMPUTED_VALUE"""),"FM436")</f>
        <v>FM436</v>
      </c>
      <c r="B611" s="6" t="str">
        <f>IFERROR(__xludf.DUMMYFUNCTION("""COMPUTED_VALUE"""),"RUN-BEND_2022-03-03_RFR-044")</f>
        <v>RUN-BEND_2022-03-03_RFR-044</v>
      </c>
      <c r="C611" s="7">
        <f>VLOOKUP(B611,'Run Reconcile'!A$2:B809,2,FALSE)</f>
        <v>44623</v>
      </c>
      <c r="D611" s="12">
        <f>IFERROR(__xludf.DUMMYFUNCTION("""COMPUTED_VALUE"""),44623.0)</f>
        <v>44623</v>
      </c>
      <c r="E611" s="13">
        <f>IFERROR(__xludf.DUMMYFUNCTION("""COMPUTED_VALUE"""),0.30513888888890506)</f>
        <v>0.3051388889</v>
      </c>
      <c r="F611" s="10" t="str">
        <f>IFERROR(__xludf.DUMMYFUNCTION("""COMPUTED_VALUE"""),"Negative")</f>
        <v>Negative</v>
      </c>
      <c r="G611" s="10">
        <f>IFERROR(__xludf.DUMMYFUNCTION("""COMPUTED_VALUE"""),1.0)</f>
        <v>1</v>
      </c>
    </row>
    <row r="612">
      <c r="A612" s="6" t="str">
        <f>IFERROR(__xludf.DUMMYFUNCTION("""COMPUTED_VALUE"""),"FM2061")</f>
        <v>FM2061</v>
      </c>
      <c r="B612" s="6" t="str">
        <f>IFERROR(__xludf.DUMMYFUNCTION("""COMPUTED_VALUE"""),"RUN-BEND_2022-03-03_RFR-044")</f>
        <v>RUN-BEND_2022-03-03_RFR-044</v>
      </c>
      <c r="C612" s="7">
        <f>VLOOKUP(B612,'Run Reconcile'!A$2:B809,2,FALSE)</f>
        <v>44623</v>
      </c>
      <c r="D612" s="12">
        <f>IFERROR(__xludf.DUMMYFUNCTION("""COMPUTED_VALUE"""),44623.0)</f>
        <v>44623</v>
      </c>
      <c r="E612" s="13">
        <f>IFERROR(__xludf.DUMMYFUNCTION("""COMPUTED_VALUE"""),0.30957175925868796)</f>
        <v>0.3095717593</v>
      </c>
      <c r="F612" s="10" t="str">
        <f>IFERROR(__xludf.DUMMYFUNCTION("""COMPUTED_VALUE"""),"Negative")</f>
        <v>Negative</v>
      </c>
      <c r="G612" s="10">
        <f>IFERROR(__xludf.DUMMYFUNCTION("""COMPUTED_VALUE"""),1.0)</f>
        <v>1</v>
      </c>
    </row>
    <row r="613">
      <c r="A613" s="6" t="str">
        <f>IFERROR(__xludf.DUMMYFUNCTION("""COMPUTED_VALUE"""),"FM813")</f>
        <v>FM813</v>
      </c>
      <c r="B613" s="6" t="str">
        <f>IFERROR(__xludf.DUMMYFUNCTION("""COMPUTED_VALUE"""),"RUN-BEND_2022-03-03_RFR-044")</f>
        <v>RUN-BEND_2022-03-03_RFR-044</v>
      </c>
      <c r="C613" s="7">
        <f>VLOOKUP(B613,'Run Reconcile'!A$2:B809,2,FALSE)</f>
        <v>44623</v>
      </c>
      <c r="D613" s="12">
        <f>IFERROR(__xludf.DUMMYFUNCTION("""COMPUTED_VALUE"""),44623.0)</f>
        <v>44623</v>
      </c>
      <c r="E613" s="13">
        <f>IFERROR(__xludf.DUMMYFUNCTION("""COMPUTED_VALUE"""),0.31026620370539604)</f>
        <v>0.3102662037</v>
      </c>
      <c r="F613" s="10" t="str">
        <f>IFERROR(__xludf.DUMMYFUNCTION("""COMPUTED_VALUE"""),"Negative")</f>
        <v>Negative</v>
      </c>
      <c r="G613" s="10">
        <f>IFERROR(__xludf.DUMMYFUNCTION("""COMPUTED_VALUE"""),1.0)</f>
        <v>1</v>
      </c>
    </row>
    <row r="614">
      <c r="A614" s="6" t="str">
        <f>IFERROR(__xludf.DUMMYFUNCTION("""COMPUTED_VALUE"""),"FM2081")</f>
        <v>FM2081</v>
      </c>
      <c r="B614" s="6" t="str">
        <f>IFERROR(__xludf.DUMMYFUNCTION("""COMPUTED_VALUE"""),"RUN-BEND_2022-03-03_RFR-044")</f>
        <v>RUN-BEND_2022-03-03_RFR-044</v>
      </c>
      <c r="C614" s="7">
        <f>VLOOKUP(B614,'Run Reconcile'!A$2:B809,2,FALSE)</f>
        <v>44623</v>
      </c>
      <c r="D614" s="12">
        <f>IFERROR(__xludf.DUMMYFUNCTION("""COMPUTED_VALUE"""),44623.0)</f>
        <v>44623</v>
      </c>
      <c r="E614" s="13">
        <f>IFERROR(__xludf.DUMMYFUNCTION("""COMPUTED_VALUE"""),0.3108680555560568)</f>
        <v>0.3108680556</v>
      </c>
      <c r="F614" s="10" t="str">
        <f>IFERROR(__xludf.DUMMYFUNCTION("""COMPUTED_VALUE"""),"Negative")</f>
        <v>Negative</v>
      </c>
      <c r="G614" s="10">
        <f>IFERROR(__xludf.DUMMYFUNCTION("""COMPUTED_VALUE"""),1.0)</f>
        <v>1</v>
      </c>
    </row>
    <row r="615">
      <c r="A615" s="6" t="str">
        <f>IFERROR(__xludf.DUMMYFUNCTION("""COMPUTED_VALUE"""),"FM2089")</f>
        <v>FM2089</v>
      </c>
      <c r="B615" s="6" t="str">
        <f>IFERROR(__xludf.DUMMYFUNCTION("""COMPUTED_VALUE"""),"RUN-BEND_2022-03-03_RFR-044")</f>
        <v>RUN-BEND_2022-03-03_RFR-044</v>
      </c>
      <c r="C615" s="7">
        <f>VLOOKUP(B615,'Run Reconcile'!A$2:B809,2,FALSE)</f>
        <v>44623</v>
      </c>
      <c r="D615" s="12">
        <f>IFERROR(__xludf.DUMMYFUNCTION("""COMPUTED_VALUE"""),44623.0)</f>
        <v>44623</v>
      </c>
      <c r="E615" s="13">
        <f>IFERROR(__xludf.DUMMYFUNCTION("""COMPUTED_VALUE"""),0.3110416666677338)</f>
        <v>0.3110416667</v>
      </c>
      <c r="F615" s="10" t="str">
        <f>IFERROR(__xludf.DUMMYFUNCTION("""COMPUTED_VALUE"""),"Negative")</f>
        <v>Negative</v>
      </c>
      <c r="G615" s="10">
        <f>IFERROR(__xludf.DUMMYFUNCTION("""COMPUTED_VALUE"""),1.0)</f>
        <v>1</v>
      </c>
    </row>
    <row r="616">
      <c r="A616" s="6" t="str">
        <f>IFERROR(__xludf.DUMMYFUNCTION("""COMPUTED_VALUE"""),"FM968")</f>
        <v>FM968</v>
      </c>
      <c r="B616" s="6" t="str">
        <f>IFERROR(__xludf.DUMMYFUNCTION("""COMPUTED_VALUE"""),"RUN-BEND_2022-03-03_RFR-044")</f>
        <v>RUN-BEND_2022-03-03_RFR-044</v>
      </c>
      <c r="C616" s="7">
        <f>VLOOKUP(B616,'Run Reconcile'!A$2:B809,2,FALSE)</f>
        <v>44623</v>
      </c>
      <c r="D616" s="12">
        <f>IFERROR(__xludf.DUMMYFUNCTION("""COMPUTED_VALUE"""),44623.0)</f>
        <v>44623</v>
      </c>
      <c r="E616" s="13">
        <f>IFERROR(__xludf.DUMMYFUNCTION("""COMPUTED_VALUE"""),0.3132523148160544)</f>
        <v>0.3132523148</v>
      </c>
      <c r="F616" s="10" t="str">
        <f>IFERROR(__xludf.DUMMYFUNCTION("""COMPUTED_VALUE"""),"Negative")</f>
        <v>Negative</v>
      </c>
      <c r="G616" s="10">
        <f>IFERROR(__xludf.DUMMYFUNCTION("""COMPUTED_VALUE"""),1.0)</f>
        <v>1</v>
      </c>
    </row>
    <row r="617">
      <c r="A617" s="6" t="str">
        <f>IFERROR(__xludf.DUMMYFUNCTION("""COMPUTED_VALUE"""),"FM2078")</f>
        <v>FM2078</v>
      </c>
      <c r="B617" s="6" t="str">
        <f>IFERROR(__xludf.DUMMYFUNCTION("""COMPUTED_VALUE"""),"RUN-BEND_2022-03-03_RFR-044")</f>
        <v>RUN-BEND_2022-03-03_RFR-044</v>
      </c>
      <c r="C617" s="7">
        <f>VLOOKUP(B617,'Run Reconcile'!A$2:B809,2,FALSE)</f>
        <v>44623</v>
      </c>
      <c r="D617" s="12">
        <f>IFERROR(__xludf.DUMMYFUNCTION("""COMPUTED_VALUE"""),44623.0)</f>
        <v>44623</v>
      </c>
      <c r="E617" s="13">
        <f>IFERROR(__xludf.DUMMYFUNCTION("""COMPUTED_VALUE"""),0.31564814814919373)</f>
        <v>0.3156481481</v>
      </c>
      <c r="F617" s="10" t="str">
        <f>IFERROR(__xludf.DUMMYFUNCTION("""COMPUTED_VALUE"""),"Negative")</f>
        <v>Negative</v>
      </c>
      <c r="G617" s="10">
        <f>IFERROR(__xludf.DUMMYFUNCTION("""COMPUTED_VALUE"""),1.0)</f>
        <v>1</v>
      </c>
    </row>
    <row r="618">
      <c r="A618" s="6" t="str">
        <f>IFERROR(__xludf.DUMMYFUNCTION("""COMPUTED_VALUE"""),"FM525")</f>
        <v>FM525</v>
      </c>
      <c r="B618" s="6" t="str">
        <f>IFERROR(__xludf.DUMMYFUNCTION("""COMPUTED_VALUE"""),"RUN-BEND_2022-03-03_RFR-044")</f>
        <v>RUN-BEND_2022-03-03_RFR-044</v>
      </c>
      <c r="C618" s="7">
        <f>VLOOKUP(B618,'Run Reconcile'!A$2:B809,2,FALSE)</f>
        <v>44623</v>
      </c>
      <c r="D618" s="12">
        <f>IFERROR(__xludf.DUMMYFUNCTION("""COMPUTED_VALUE"""),44623.0)</f>
        <v>44623</v>
      </c>
      <c r="E618" s="13">
        <f>IFERROR(__xludf.DUMMYFUNCTION("""COMPUTED_VALUE"""),0.3174074074086093)</f>
        <v>0.3174074074</v>
      </c>
      <c r="F618" s="10" t="str">
        <f>IFERROR(__xludf.DUMMYFUNCTION("""COMPUTED_VALUE"""),"Negative")</f>
        <v>Negative</v>
      </c>
      <c r="G618" s="10">
        <f>IFERROR(__xludf.DUMMYFUNCTION("""COMPUTED_VALUE"""),1.0)</f>
        <v>1</v>
      </c>
    </row>
    <row r="619">
      <c r="A619" s="6" t="str">
        <f>IFERROR(__xludf.DUMMYFUNCTION("""COMPUTED_VALUE"""),"FM2085")</f>
        <v>FM2085</v>
      </c>
      <c r="B619" s="6" t="str">
        <f>IFERROR(__xludf.DUMMYFUNCTION("""COMPUTED_VALUE"""),"RUN-BEND_2022-03-03_RFR-044")</f>
        <v>RUN-BEND_2022-03-03_RFR-044</v>
      </c>
      <c r="C619" s="7">
        <f>VLOOKUP(B619,'Run Reconcile'!A$2:B809,2,FALSE)</f>
        <v>44623</v>
      </c>
      <c r="D619" s="12">
        <f>IFERROR(__xludf.DUMMYFUNCTION("""COMPUTED_VALUE"""),44623.0)</f>
        <v>44623</v>
      </c>
      <c r="E619" s="13">
        <f>IFERROR(__xludf.DUMMYFUNCTION("""COMPUTED_VALUE"""),0.31928240740671754)</f>
        <v>0.3192824074</v>
      </c>
      <c r="F619" s="10" t="str">
        <f>IFERROR(__xludf.DUMMYFUNCTION("""COMPUTED_VALUE"""),"Negative")</f>
        <v>Negative</v>
      </c>
      <c r="G619" s="10">
        <f>IFERROR(__xludf.DUMMYFUNCTION("""COMPUTED_VALUE"""),1.0)</f>
        <v>1</v>
      </c>
    </row>
    <row r="620">
      <c r="A620" s="6" t="str">
        <f>IFERROR(__xludf.DUMMYFUNCTION("""COMPUTED_VALUE"""),"FM802")</f>
        <v>FM802</v>
      </c>
      <c r="B620" s="6" t="str">
        <f>IFERROR(__xludf.DUMMYFUNCTION("""COMPUTED_VALUE"""),"RUN-BEND_2022-03-03_RFR-044")</f>
        <v>RUN-BEND_2022-03-03_RFR-044</v>
      </c>
      <c r="C620" s="7">
        <f>VLOOKUP(B620,'Run Reconcile'!A$2:B809,2,FALSE)</f>
        <v>44623</v>
      </c>
      <c r="D620" s="12">
        <f>IFERROR(__xludf.DUMMYFUNCTION("""COMPUTED_VALUE"""),44623.0)</f>
        <v>44623</v>
      </c>
      <c r="E620" s="13">
        <f>IFERROR(__xludf.DUMMYFUNCTION("""COMPUTED_VALUE"""),0.32112268518540077)</f>
        <v>0.3211226852</v>
      </c>
      <c r="F620" s="10" t="str">
        <f>IFERROR(__xludf.DUMMYFUNCTION("""COMPUTED_VALUE"""),"Negative")</f>
        <v>Negative</v>
      </c>
      <c r="G620" s="10">
        <f>IFERROR(__xludf.DUMMYFUNCTION("""COMPUTED_VALUE"""),1.0)</f>
        <v>1</v>
      </c>
    </row>
    <row r="621">
      <c r="A621" s="6" t="str">
        <f>IFERROR(__xludf.DUMMYFUNCTION("""COMPUTED_VALUE"""),"MA1319")</f>
        <v>MA1319</v>
      </c>
      <c r="B621" s="6" t="str">
        <f>IFERROR(__xludf.DUMMYFUNCTION("""COMPUTED_VALUE"""),"RUN-BEND_2022-03-03_RFR-044")</f>
        <v>RUN-BEND_2022-03-03_RFR-044</v>
      </c>
      <c r="C621" s="7">
        <f>VLOOKUP(B621,'Run Reconcile'!A$2:B809,2,FALSE)</f>
        <v>44623</v>
      </c>
      <c r="D621" s="12">
        <f>IFERROR(__xludf.DUMMYFUNCTION("""COMPUTED_VALUE"""),44623.0)</f>
        <v>44623</v>
      </c>
      <c r="E621" s="13">
        <f>IFERROR(__xludf.DUMMYFUNCTION("""COMPUTED_VALUE"""),0.32178240740904585)</f>
        <v>0.3217824074</v>
      </c>
      <c r="F621" s="10" t="str">
        <f>IFERROR(__xludf.DUMMYFUNCTION("""COMPUTED_VALUE"""),"Negative")</f>
        <v>Negative</v>
      </c>
      <c r="G621" s="10">
        <f>IFERROR(__xludf.DUMMYFUNCTION("""COMPUTED_VALUE"""),1.0)</f>
        <v>1</v>
      </c>
    </row>
    <row r="622">
      <c r="A622" s="6" t="str">
        <f>IFERROR(__xludf.DUMMYFUNCTION("""COMPUTED_VALUE"""),"FM312")</f>
        <v>FM312</v>
      </c>
      <c r="B622" s="6" t="str">
        <f>IFERROR(__xludf.DUMMYFUNCTION("""COMPUTED_VALUE"""),"RUN-BEND_2022-03-03_RFR-044")</f>
        <v>RUN-BEND_2022-03-03_RFR-044</v>
      </c>
      <c r="C622" s="7">
        <f>VLOOKUP(B622,'Run Reconcile'!A$2:B809,2,FALSE)</f>
        <v>44623</v>
      </c>
      <c r="D622" s="12">
        <f>IFERROR(__xludf.DUMMYFUNCTION("""COMPUTED_VALUE"""),44623.0)</f>
        <v>44623</v>
      </c>
      <c r="E622" s="13">
        <f>IFERROR(__xludf.DUMMYFUNCTION("""COMPUTED_VALUE"""),0.3219791666670062)</f>
        <v>0.3219791667</v>
      </c>
      <c r="F622" s="10" t="str">
        <f>IFERROR(__xludf.DUMMYFUNCTION("""COMPUTED_VALUE"""),"Negative")</f>
        <v>Negative</v>
      </c>
      <c r="G622" s="10">
        <f>IFERROR(__xludf.DUMMYFUNCTION("""COMPUTED_VALUE"""),1.0)</f>
        <v>1</v>
      </c>
    </row>
    <row r="623">
      <c r="A623" s="6" t="str">
        <f>IFERROR(__xludf.DUMMYFUNCTION("""COMPUTED_VALUE"""),"FM315")</f>
        <v>FM315</v>
      </c>
      <c r="B623" s="6" t="str">
        <f>IFERROR(__xludf.DUMMYFUNCTION("""COMPUTED_VALUE"""),"RUN-BEND_2022-03-03_RFR-044")</f>
        <v>RUN-BEND_2022-03-03_RFR-044</v>
      </c>
      <c r="C623" s="7">
        <f>VLOOKUP(B623,'Run Reconcile'!A$2:B809,2,FALSE)</f>
        <v>44623</v>
      </c>
      <c r="D623" s="12">
        <f>IFERROR(__xludf.DUMMYFUNCTION("""COMPUTED_VALUE"""),44623.0)</f>
        <v>44623</v>
      </c>
      <c r="E623" s="13">
        <f>IFERROR(__xludf.DUMMYFUNCTION("""COMPUTED_VALUE"""),0.3225694444445253)</f>
        <v>0.3225694444</v>
      </c>
      <c r="F623" s="10" t="str">
        <f>IFERROR(__xludf.DUMMYFUNCTION("""COMPUTED_VALUE"""),"Negative")</f>
        <v>Negative</v>
      </c>
      <c r="G623" s="10">
        <f>IFERROR(__xludf.DUMMYFUNCTION("""COMPUTED_VALUE"""),1.0)</f>
        <v>1</v>
      </c>
    </row>
    <row r="624">
      <c r="A624" s="6" t="str">
        <f>IFERROR(__xludf.DUMMYFUNCTION("""COMPUTED_VALUE"""),"FM402")</f>
        <v>FM402</v>
      </c>
      <c r="B624" s="6" t="str">
        <f>IFERROR(__xludf.DUMMYFUNCTION("""COMPUTED_VALUE"""),"RUN-BEND_2022-03-03_RFR-044")</f>
        <v>RUN-BEND_2022-03-03_RFR-044</v>
      </c>
      <c r="C624" s="7">
        <f>VLOOKUP(B624,'Run Reconcile'!A$2:B809,2,FALSE)</f>
        <v>44623</v>
      </c>
      <c r="D624" s="12">
        <f>IFERROR(__xludf.DUMMYFUNCTION("""COMPUTED_VALUE"""),44623.0)</f>
        <v>44623</v>
      </c>
      <c r="E624" s="13">
        <f>IFERROR(__xludf.DUMMYFUNCTION("""COMPUTED_VALUE"""),0.3226041666675883)</f>
        <v>0.3226041667</v>
      </c>
      <c r="F624" s="10" t="str">
        <f>IFERROR(__xludf.DUMMYFUNCTION("""COMPUTED_VALUE"""),"Negative")</f>
        <v>Negative</v>
      </c>
      <c r="G624" s="10">
        <f>IFERROR(__xludf.DUMMYFUNCTION("""COMPUTED_VALUE"""),1.0)</f>
        <v>1</v>
      </c>
    </row>
    <row r="625">
      <c r="A625" s="6" t="str">
        <f>IFERROR(__xludf.DUMMYFUNCTION("""COMPUTED_VALUE"""),"FM396")</f>
        <v>FM396</v>
      </c>
      <c r="B625" s="6" t="str">
        <f>IFERROR(__xludf.DUMMYFUNCTION("""COMPUTED_VALUE"""),"RUN-BEND_2022-03-03_RFR-044")</f>
        <v>RUN-BEND_2022-03-03_RFR-044</v>
      </c>
      <c r="C625" s="7">
        <f>VLOOKUP(B625,'Run Reconcile'!A$2:B809,2,FALSE)</f>
        <v>44623</v>
      </c>
      <c r="D625" s="12">
        <f>IFERROR(__xludf.DUMMYFUNCTION("""COMPUTED_VALUE"""),44623.0)</f>
        <v>44623</v>
      </c>
      <c r="E625" s="13">
        <f>IFERROR(__xludf.DUMMYFUNCTION("""COMPUTED_VALUE"""),0.32363425926087075)</f>
        <v>0.3236342593</v>
      </c>
      <c r="F625" s="10" t="str">
        <f>IFERROR(__xludf.DUMMYFUNCTION("""COMPUTED_VALUE"""),"Negative")</f>
        <v>Negative</v>
      </c>
      <c r="G625" s="10">
        <f>IFERROR(__xludf.DUMMYFUNCTION("""COMPUTED_VALUE"""),1.0)</f>
        <v>1</v>
      </c>
    </row>
    <row r="626">
      <c r="A626" s="6" t="str">
        <f>IFERROR(__xludf.DUMMYFUNCTION("""COMPUTED_VALUE"""),"MA1258")</f>
        <v>MA1258</v>
      </c>
      <c r="B626" s="6" t="str">
        <f>IFERROR(__xludf.DUMMYFUNCTION("""COMPUTED_VALUE"""),"RUN-BEND_2022-03-03_RFR-044")</f>
        <v>RUN-BEND_2022-03-03_RFR-044</v>
      </c>
      <c r="C626" s="7">
        <f>VLOOKUP(B626,'Run Reconcile'!A$2:B809,2,FALSE)</f>
        <v>44623</v>
      </c>
      <c r="D626" s="12">
        <f>IFERROR(__xludf.DUMMYFUNCTION("""COMPUTED_VALUE"""),44623.0)</f>
        <v>44623</v>
      </c>
      <c r="E626" s="13">
        <f>IFERROR(__xludf.DUMMYFUNCTION("""COMPUTED_VALUE"""),0.32719907407226856)</f>
        <v>0.3271990741</v>
      </c>
      <c r="F626" s="10" t="str">
        <f>IFERROR(__xludf.DUMMYFUNCTION("""COMPUTED_VALUE"""),"Negative")</f>
        <v>Negative</v>
      </c>
      <c r="G626" s="10">
        <f>IFERROR(__xludf.DUMMYFUNCTION("""COMPUTED_VALUE"""),1.0)</f>
        <v>1</v>
      </c>
    </row>
    <row r="627">
      <c r="A627" s="6" t="str">
        <f>IFERROR(__xludf.DUMMYFUNCTION("""COMPUTED_VALUE"""),"FM97")</f>
        <v>FM97</v>
      </c>
      <c r="B627" s="6" t="str">
        <f>IFERROR(__xludf.DUMMYFUNCTION("""COMPUTED_VALUE"""),"RUN-BEND_2022-03-03_RFR-044")</f>
        <v>RUN-BEND_2022-03-03_RFR-044</v>
      </c>
      <c r="C627" s="7">
        <f>VLOOKUP(B627,'Run Reconcile'!A$2:B809,2,FALSE)</f>
        <v>44623</v>
      </c>
      <c r="D627" s="12">
        <f>IFERROR(__xludf.DUMMYFUNCTION("""COMPUTED_VALUE"""),44623.0)</f>
        <v>44623</v>
      </c>
      <c r="E627" s="13">
        <f>IFERROR(__xludf.DUMMYFUNCTION("""COMPUTED_VALUE"""),0.3344212962947495)</f>
        <v>0.3344212963</v>
      </c>
      <c r="F627" s="10" t="str">
        <f>IFERROR(__xludf.DUMMYFUNCTION("""COMPUTED_VALUE"""),"Negative")</f>
        <v>Negative</v>
      </c>
      <c r="G627" s="10">
        <f>IFERROR(__xludf.DUMMYFUNCTION("""COMPUTED_VALUE"""),1.0)</f>
        <v>1</v>
      </c>
    </row>
    <row r="628">
      <c r="A628" s="6" t="str">
        <f>IFERROR(__xludf.DUMMYFUNCTION("""COMPUTED_VALUE"""),"FM29")</f>
        <v>FM29</v>
      </c>
      <c r="B628" s="6" t="str">
        <f>IFERROR(__xludf.DUMMYFUNCTION("""COMPUTED_VALUE"""),"RUN-BEND_2022-03-03_RFR-044")</f>
        <v>RUN-BEND_2022-03-03_RFR-044</v>
      </c>
      <c r="C628" s="7">
        <f>VLOOKUP(B628,'Run Reconcile'!A$2:B809,2,FALSE)</f>
        <v>44623</v>
      </c>
      <c r="D628" s="12">
        <f>IFERROR(__xludf.DUMMYFUNCTION("""COMPUTED_VALUE"""),44623.0)</f>
        <v>44623</v>
      </c>
      <c r="E628" s="13">
        <f>IFERROR(__xludf.DUMMYFUNCTION("""COMPUTED_VALUE"""),0.33572916666526)</f>
        <v>0.3357291667</v>
      </c>
      <c r="F628" s="10" t="str">
        <f>IFERROR(__xludf.DUMMYFUNCTION("""COMPUTED_VALUE"""),"Negative")</f>
        <v>Negative</v>
      </c>
      <c r="G628" s="10">
        <f>IFERROR(__xludf.DUMMYFUNCTION("""COMPUTED_VALUE"""),1.0)</f>
        <v>1</v>
      </c>
    </row>
    <row r="629">
      <c r="A629" s="6" t="str">
        <f>IFERROR(__xludf.DUMMYFUNCTION("""COMPUTED_VALUE"""),"FM40")</f>
        <v>FM40</v>
      </c>
      <c r="B629" s="6" t="str">
        <f>IFERROR(__xludf.DUMMYFUNCTION("""COMPUTED_VALUE"""),"RUN-BEND_2022-03-03_RFR-044")</f>
        <v>RUN-BEND_2022-03-03_RFR-044</v>
      </c>
      <c r="C629" s="7">
        <f>VLOOKUP(B629,'Run Reconcile'!A$2:B809,2,FALSE)</f>
        <v>44623</v>
      </c>
      <c r="D629" s="12">
        <f>IFERROR(__xludf.DUMMYFUNCTION("""COMPUTED_VALUE"""),44623.0)</f>
        <v>44623</v>
      </c>
      <c r="E629" s="13">
        <f>IFERROR(__xludf.DUMMYFUNCTION("""COMPUTED_VALUE"""),0.33640046296204673)</f>
        <v>0.336400463</v>
      </c>
      <c r="F629" s="10" t="str">
        <f>IFERROR(__xludf.DUMMYFUNCTION("""COMPUTED_VALUE"""),"Negative")</f>
        <v>Negative</v>
      </c>
      <c r="G629" s="10">
        <f>IFERROR(__xludf.DUMMYFUNCTION("""COMPUTED_VALUE"""),1.0)</f>
        <v>1</v>
      </c>
    </row>
    <row r="630">
      <c r="A630" s="6" t="str">
        <f>IFERROR(__xludf.DUMMYFUNCTION("""COMPUTED_VALUE"""),"FM58")</f>
        <v>FM58</v>
      </c>
      <c r="B630" s="6" t="str">
        <f>IFERROR(__xludf.DUMMYFUNCTION("""COMPUTED_VALUE"""),"RUN-BEND_2022-03-03_RFR-044")</f>
        <v>RUN-BEND_2022-03-03_RFR-044</v>
      </c>
      <c r="C630" s="7">
        <f>VLOOKUP(B630,'Run Reconcile'!A$2:B809,2,FALSE)</f>
        <v>44623</v>
      </c>
      <c r="D630" s="12">
        <f>IFERROR(__xludf.DUMMYFUNCTION("""COMPUTED_VALUE"""),44623.0)</f>
        <v>44623</v>
      </c>
      <c r="E630" s="13">
        <f>IFERROR(__xludf.DUMMYFUNCTION("""COMPUTED_VALUE"""),0.34591435185211594)</f>
        <v>0.3459143519</v>
      </c>
      <c r="F630" s="10" t="str">
        <f>IFERROR(__xludf.DUMMYFUNCTION("""COMPUTED_VALUE"""),"Negative")</f>
        <v>Negative</v>
      </c>
      <c r="G630" s="10">
        <f>IFERROR(__xludf.DUMMYFUNCTION("""COMPUTED_VALUE"""),1.0)</f>
        <v>1</v>
      </c>
    </row>
    <row r="631">
      <c r="A631" s="6" t="str">
        <f>IFERROR(__xludf.DUMMYFUNCTION("""COMPUTED_VALUE"""),"FM24")</f>
        <v>FM24</v>
      </c>
      <c r="B631" s="6" t="str">
        <f>IFERROR(__xludf.DUMMYFUNCTION("""COMPUTED_VALUE"""),"RUN-BEND_2022-03-03_RFR-044")</f>
        <v>RUN-BEND_2022-03-03_RFR-044</v>
      </c>
      <c r="C631" s="7">
        <f>VLOOKUP(B631,'Run Reconcile'!A$2:B809,2,FALSE)</f>
        <v>44623</v>
      </c>
      <c r="D631" s="12">
        <f>IFERROR(__xludf.DUMMYFUNCTION("""COMPUTED_VALUE"""),44623.0)</f>
        <v>44623</v>
      </c>
      <c r="E631" s="13">
        <f>IFERROR(__xludf.DUMMYFUNCTION("""COMPUTED_VALUE"""),0.3548032407416031)</f>
        <v>0.3548032407</v>
      </c>
      <c r="F631" s="10" t="str">
        <f>IFERROR(__xludf.DUMMYFUNCTION("""COMPUTED_VALUE"""),"Negative")</f>
        <v>Negative</v>
      </c>
      <c r="G631" s="10">
        <f>IFERROR(__xludf.DUMMYFUNCTION("""COMPUTED_VALUE"""),1.0)</f>
        <v>1</v>
      </c>
    </row>
    <row r="632">
      <c r="A632" s="6" t="str">
        <f>IFERROR(__xludf.DUMMYFUNCTION("""COMPUTED_VALUE"""),"FM646")</f>
        <v>FM646</v>
      </c>
      <c r="B632" s="6" t="str">
        <f>IFERROR(__xludf.DUMMYFUNCTION("""COMPUTED_VALUE"""),"RUN-BEND_2022-03-03_RFR-044")</f>
        <v>RUN-BEND_2022-03-03_RFR-044</v>
      </c>
      <c r="C632" s="7">
        <f>VLOOKUP(B632,'Run Reconcile'!A$2:B809,2,FALSE)</f>
        <v>44623</v>
      </c>
      <c r="D632" s="12">
        <f>IFERROR(__xludf.DUMMYFUNCTION("""COMPUTED_VALUE"""),44623.0)</f>
        <v>44623</v>
      </c>
      <c r="E632" s="13">
        <f>IFERROR(__xludf.DUMMYFUNCTION("""COMPUTED_VALUE"""),0.38940972222189885)</f>
        <v>0.3894097222</v>
      </c>
      <c r="F632" s="10" t="str">
        <f>IFERROR(__xludf.DUMMYFUNCTION("""COMPUTED_VALUE"""),"Negative")</f>
        <v>Negative</v>
      </c>
      <c r="G632" s="10">
        <f>IFERROR(__xludf.DUMMYFUNCTION("""COMPUTED_VALUE"""),1.0)</f>
        <v>1</v>
      </c>
    </row>
    <row r="633">
      <c r="A633" s="6" t="str">
        <f>IFERROR(__xludf.DUMMYFUNCTION("""COMPUTED_VALUE"""),"MA1307")</f>
        <v>MA1307</v>
      </c>
      <c r="B633" s="6" t="str">
        <f>IFERROR(__xludf.DUMMYFUNCTION("""COMPUTED_VALUE"""),"RUN-BEND_2022-03-03_RFR-044")</f>
        <v>RUN-BEND_2022-03-03_RFR-044</v>
      </c>
      <c r="C633" s="7">
        <f>VLOOKUP(B633,'Run Reconcile'!A$2:B809,2,FALSE)</f>
        <v>44623</v>
      </c>
      <c r="D633" s="12">
        <f>IFERROR(__xludf.DUMMYFUNCTION("""COMPUTED_VALUE"""),44623.0)</f>
        <v>44623</v>
      </c>
      <c r="E633" s="13">
        <f>IFERROR(__xludf.DUMMYFUNCTION("""COMPUTED_VALUE"""),0.390763888888614)</f>
        <v>0.3907638889</v>
      </c>
      <c r="F633" s="10" t="str">
        <f>IFERROR(__xludf.DUMMYFUNCTION("""COMPUTED_VALUE"""),"Negative")</f>
        <v>Negative</v>
      </c>
      <c r="G633" s="10">
        <f>IFERROR(__xludf.DUMMYFUNCTION("""COMPUTED_VALUE"""),1.0)</f>
        <v>1</v>
      </c>
    </row>
    <row r="634">
      <c r="A634" s="6" t="str">
        <f>IFERROR(__xludf.DUMMYFUNCTION("""COMPUTED_VALUE"""),"MA1305")</f>
        <v>MA1305</v>
      </c>
      <c r="B634" s="6" t="str">
        <f>IFERROR(__xludf.DUMMYFUNCTION("""COMPUTED_VALUE"""),"RUN-BEND_2022-03-03_RFR-044")</f>
        <v>RUN-BEND_2022-03-03_RFR-044</v>
      </c>
      <c r="C634" s="7">
        <f>VLOOKUP(B634,'Run Reconcile'!A$2:B809,2,FALSE)</f>
        <v>44623</v>
      </c>
      <c r="D634" s="12">
        <f>IFERROR(__xludf.DUMMYFUNCTION("""COMPUTED_VALUE"""),44623.0)</f>
        <v>44623</v>
      </c>
      <c r="E634" s="13">
        <f>IFERROR(__xludf.DUMMYFUNCTION("""COMPUTED_VALUE"""),0.39104166666584206)</f>
        <v>0.3910416667</v>
      </c>
      <c r="F634" s="10" t="str">
        <f>IFERROR(__xludf.DUMMYFUNCTION("""COMPUTED_VALUE"""),"Positive")</f>
        <v>Positive</v>
      </c>
      <c r="G634" s="10">
        <f>IFERROR(__xludf.DUMMYFUNCTION("""COMPUTED_VALUE"""),1.0)</f>
        <v>1</v>
      </c>
    </row>
    <row r="635">
      <c r="A635" s="6" t="str">
        <f>IFERROR(__xludf.DUMMYFUNCTION("""COMPUTED_VALUE"""),"MA1316")</f>
        <v>MA1316</v>
      </c>
      <c r="B635" s="6" t="str">
        <f>IFERROR(__xludf.DUMMYFUNCTION("""COMPUTED_VALUE"""),"RUN-BEND_2022-03-03_RFR-044")</f>
        <v>RUN-BEND_2022-03-03_RFR-044</v>
      </c>
      <c r="C635" s="7">
        <f>VLOOKUP(B635,'Run Reconcile'!A$2:B809,2,FALSE)</f>
        <v>44623</v>
      </c>
      <c r="D635" s="12">
        <f>IFERROR(__xludf.DUMMYFUNCTION("""COMPUTED_VALUE"""),44623.0)</f>
        <v>44623</v>
      </c>
      <c r="E635" s="13">
        <f>IFERROR(__xludf.DUMMYFUNCTION("""COMPUTED_VALUE"""),0.3912731481468654)</f>
        <v>0.3912731481</v>
      </c>
      <c r="F635" s="10" t="str">
        <f>IFERROR(__xludf.DUMMYFUNCTION("""COMPUTED_VALUE"""),"Negative")</f>
        <v>Negative</v>
      </c>
      <c r="G635" s="10">
        <f>IFERROR(__xludf.DUMMYFUNCTION("""COMPUTED_VALUE"""),1.0)</f>
        <v>1</v>
      </c>
    </row>
    <row r="636">
      <c r="A636" s="6" t="str">
        <f>IFERROR(__xludf.DUMMYFUNCTION("""COMPUTED_VALUE"""),"MA1202")</f>
        <v>MA1202</v>
      </c>
      <c r="B636" s="6" t="str">
        <f>IFERROR(__xludf.DUMMYFUNCTION("""COMPUTED_VALUE"""),"RUN-BEND_2022-03-03_RFR-044")</f>
        <v>RUN-BEND_2022-03-03_RFR-044</v>
      </c>
      <c r="C636" s="7">
        <f>VLOOKUP(B636,'Run Reconcile'!A$2:B809,2,FALSE)</f>
        <v>44623</v>
      </c>
      <c r="D636" s="12">
        <f>IFERROR(__xludf.DUMMYFUNCTION("""COMPUTED_VALUE"""),44623.0)</f>
        <v>44623</v>
      </c>
      <c r="E636" s="13">
        <f>IFERROR(__xludf.DUMMYFUNCTION("""COMPUTED_VALUE"""),0.3914930555547471)</f>
        <v>0.3914930556</v>
      </c>
      <c r="F636" s="10" t="str">
        <f>IFERROR(__xludf.DUMMYFUNCTION("""COMPUTED_VALUE"""),"Positive")</f>
        <v>Positive</v>
      </c>
      <c r="G636" s="10">
        <f>IFERROR(__xludf.DUMMYFUNCTION("""COMPUTED_VALUE"""),1.0)</f>
        <v>1</v>
      </c>
    </row>
    <row r="637">
      <c r="A637" s="6" t="str">
        <f>IFERROR(__xludf.DUMMYFUNCTION("""COMPUTED_VALUE"""),"FM440")</f>
        <v>FM440</v>
      </c>
      <c r="B637" s="6" t="str">
        <f>IFERROR(__xludf.DUMMYFUNCTION("""COMPUTED_VALUE"""),"RUN-BEND_2022-03-03_RFR-044")</f>
        <v>RUN-BEND_2022-03-03_RFR-044</v>
      </c>
      <c r="C637" s="7">
        <f>VLOOKUP(B637,'Run Reconcile'!A$2:B809,2,FALSE)</f>
        <v>44623</v>
      </c>
      <c r="D637" s="12">
        <f>IFERROR(__xludf.DUMMYFUNCTION("""COMPUTED_VALUE"""),44623.0)</f>
        <v>44623</v>
      </c>
      <c r="E637" s="13">
        <f>IFERROR(__xludf.DUMMYFUNCTION("""COMPUTED_VALUE"""),0.4114699074089003)</f>
        <v>0.4114699074</v>
      </c>
      <c r="F637" s="10" t="str">
        <f>IFERROR(__xludf.DUMMYFUNCTION("""COMPUTED_VALUE"""),"Negative")</f>
        <v>Negative</v>
      </c>
      <c r="G637" s="10">
        <f>IFERROR(__xludf.DUMMYFUNCTION("""COMPUTED_VALUE"""),1.0)</f>
        <v>1</v>
      </c>
    </row>
    <row r="638">
      <c r="A638" s="6" t="str">
        <f>IFERROR(__xludf.DUMMYFUNCTION("""COMPUTED_VALUE"""),"MA363")</f>
        <v>MA363</v>
      </c>
      <c r="B638" s="6" t="str">
        <f>IFERROR(__xludf.DUMMYFUNCTION("""COMPUTED_VALUE"""),"RUN-BEND_2022-03-03_RFR-044")</f>
        <v>RUN-BEND_2022-03-03_RFR-044</v>
      </c>
      <c r="C638" s="7">
        <f>VLOOKUP(B638,'Run Reconcile'!A$2:B809,2,FALSE)</f>
        <v>44623</v>
      </c>
      <c r="D638" s="12">
        <f>IFERROR(__xludf.DUMMYFUNCTION("""COMPUTED_VALUE"""),44623.0)</f>
        <v>44623</v>
      </c>
      <c r="E638" s="13">
        <f>IFERROR(__xludf.DUMMYFUNCTION("""COMPUTED_VALUE"""),0.458356481482042)</f>
        <v>0.4583564815</v>
      </c>
      <c r="F638" s="10" t="str">
        <f>IFERROR(__xludf.DUMMYFUNCTION("""COMPUTED_VALUE"""),"Negative")</f>
        <v>Negative</v>
      </c>
      <c r="G638" s="10">
        <f>IFERROR(__xludf.DUMMYFUNCTION("""COMPUTED_VALUE"""),1.0)</f>
        <v>1</v>
      </c>
    </row>
    <row r="639">
      <c r="A639" s="6" t="str">
        <f>IFERROR(__xludf.DUMMYFUNCTION("""COMPUTED_VALUE"""),"FM1202")</f>
        <v>FM1202</v>
      </c>
      <c r="B639" s="6" t="str">
        <f>IFERROR(__xludf.DUMMYFUNCTION("""COMPUTED_VALUE"""),"RUN-BEND_2022-03-03_RFR-044")</f>
        <v>RUN-BEND_2022-03-03_RFR-044</v>
      </c>
      <c r="C639" s="7">
        <f>VLOOKUP(B639,'Run Reconcile'!A$2:B809,2,FALSE)</f>
        <v>44623</v>
      </c>
      <c r="D639" s="12">
        <f>IFERROR(__xludf.DUMMYFUNCTION("""COMPUTED_VALUE"""),44623.0)</f>
        <v>44623</v>
      </c>
      <c r="E639" s="13">
        <f>IFERROR(__xludf.DUMMYFUNCTION("""COMPUTED_VALUE"""),0.46916666666584206)</f>
        <v>0.4691666667</v>
      </c>
      <c r="F639" s="10" t="str">
        <f>IFERROR(__xludf.DUMMYFUNCTION("""COMPUTED_VALUE"""),"Negative")</f>
        <v>Negative</v>
      </c>
      <c r="G639" s="10">
        <f>IFERROR(__xludf.DUMMYFUNCTION("""COMPUTED_VALUE"""),1.0)</f>
        <v>1</v>
      </c>
    </row>
    <row r="640">
      <c r="A640" s="6" t="str">
        <f>IFERROR(__xludf.DUMMYFUNCTION("""COMPUTED_VALUE"""),"MA319")</f>
        <v>MA319</v>
      </c>
      <c r="B640" s="6" t="str">
        <f>IFERROR(__xludf.DUMMYFUNCTION("""COMPUTED_VALUE"""),"RUN-BEND_2022-03-05_RFR-045")</f>
        <v>RUN-BEND_2022-03-05_RFR-045</v>
      </c>
      <c r="C640" s="7">
        <f>VLOOKUP(B640,'Run Reconcile'!A$2:B809,2,FALSE)</f>
        <v>44625</v>
      </c>
      <c r="D640" s="12">
        <f>IFERROR(__xludf.DUMMYFUNCTION("""COMPUTED_VALUE"""),44625.0)</f>
        <v>44625</v>
      </c>
      <c r="E640" s="13">
        <f>IFERROR(__xludf.DUMMYFUNCTION("""COMPUTED_VALUE"""),0.2652893518534256)</f>
        <v>0.2652893519</v>
      </c>
      <c r="F640" s="10" t="str">
        <f>IFERROR(__xludf.DUMMYFUNCTION("""COMPUTED_VALUE"""),"Negative")</f>
        <v>Negative</v>
      </c>
      <c r="G640" s="10">
        <f>IFERROR(__xludf.DUMMYFUNCTION("""COMPUTED_VALUE"""),1.0)</f>
        <v>1</v>
      </c>
    </row>
    <row r="641">
      <c r="A641" s="6" t="str">
        <f>IFERROR(__xludf.DUMMYFUNCTION("""COMPUTED_VALUE"""),"MA328")</f>
        <v>MA328</v>
      </c>
      <c r="B641" s="6" t="str">
        <f>IFERROR(__xludf.DUMMYFUNCTION("""COMPUTED_VALUE"""),"RUN-BEND_2022-03-05_RFR-045")</f>
        <v>RUN-BEND_2022-03-05_RFR-045</v>
      </c>
      <c r="C641" s="7">
        <f>VLOOKUP(B641,'Run Reconcile'!A$2:B809,2,FALSE)</f>
        <v>44625</v>
      </c>
      <c r="D641" s="12">
        <f>IFERROR(__xludf.DUMMYFUNCTION("""COMPUTED_VALUE"""),44625.0)</f>
        <v>44625</v>
      </c>
      <c r="E641" s="13">
        <f>IFERROR(__xludf.DUMMYFUNCTION("""COMPUTED_VALUE"""),0.27035879629693227)</f>
        <v>0.2703587963</v>
      </c>
      <c r="F641" s="10" t="str">
        <f>IFERROR(__xludf.DUMMYFUNCTION("""COMPUTED_VALUE"""),"Negative")</f>
        <v>Negative</v>
      </c>
      <c r="G641" s="10">
        <f>IFERROR(__xludf.DUMMYFUNCTION("""COMPUTED_VALUE"""),1.0)</f>
        <v>1</v>
      </c>
    </row>
    <row r="642">
      <c r="A642" s="6" t="str">
        <f>IFERROR(__xludf.DUMMYFUNCTION("""COMPUTED_VALUE"""),"FM480")</f>
        <v>FM480</v>
      </c>
      <c r="B642" s="6" t="str">
        <f>IFERROR(__xludf.DUMMYFUNCTION("""COMPUTED_VALUE"""),"RUN-BEND_2022-03-05_RFR-045")</f>
        <v>RUN-BEND_2022-03-05_RFR-045</v>
      </c>
      <c r="C642" s="7">
        <f>VLOOKUP(B642,'Run Reconcile'!A$2:B809,2,FALSE)</f>
        <v>44625</v>
      </c>
      <c r="D642" s="12">
        <f>IFERROR(__xludf.DUMMYFUNCTION("""COMPUTED_VALUE"""),44625.0)</f>
        <v>44625</v>
      </c>
      <c r="E642" s="13">
        <f>IFERROR(__xludf.DUMMYFUNCTION("""COMPUTED_VALUE"""),0.2726851851839456)</f>
        <v>0.2726851852</v>
      </c>
      <c r="F642" s="10" t="str">
        <f>IFERROR(__xludf.DUMMYFUNCTION("""COMPUTED_VALUE"""),"Negative")</f>
        <v>Negative</v>
      </c>
      <c r="G642" s="10">
        <f>IFERROR(__xludf.DUMMYFUNCTION("""COMPUTED_VALUE"""),1.0)</f>
        <v>1</v>
      </c>
    </row>
    <row r="643">
      <c r="A643" s="6" t="str">
        <f>IFERROR(__xludf.DUMMYFUNCTION("""COMPUTED_VALUE"""),"FM423")</f>
        <v>FM423</v>
      </c>
      <c r="B643" s="6" t="str">
        <f>IFERROR(__xludf.DUMMYFUNCTION("""COMPUTED_VALUE"""),"RUN-BEND_2022-03-05_RFR-045")</f>
        <v>RUN-BEND_2022-03-05_RFR-045</v>
      </c>
      <c r="C643" s="7">
        <f>VLOOKUP(B643,'Run Reconcile'!A$2:B809,2,FALSE)</f>
        <v>44625</v>
      </c>
      <c r="D643" s="12">
        <f>IFERROR(__xludf.DUMMYFUNCTION("""COMPUTED_VALUE"""),44625.0)</f>
        <v>44625</v>
      </c>
      <c r="E643" s="13">
        <f>IFERROR(__xludf.DUMMYFUNCTION("""COMPUTED_VALUE"""),0.28769675926014315)</f>
        <v>0.2876967593</v>
      </c>
      <c r="F643" s="10" t="str">
        <f>IFERROR(__xludf.DUMMYFUNCTION("""COMPUTED_VALUE"""),"Negative")</f>
        <v>Negative</v>
      </c>
      <c r="G643" s="10">
        <f>IFERROR(__xludf.DUMMYFUNCTION("""COMPUTED_VALUE"""),1.0)</f>
        <v>1</v>
      </c>
    </row>
    <row r="644">
      <c r="A644" s="6" t="str">
        <f>IFERROR(__xludf.DUMMYFUNCTION("""COMPUTED_VALUE"""),"FM2041")</f>
        <v>FM2041</v>
      </c>
      <c r="B644" s="6" t="str">
        <f>IFERROR(__xludf.DUMMYFUNCTION("""COMPUTED_VALUE"""),"RUN-BEND_2022-03-05_RFR-045")</f>
        <v>RUN-BEND_2022-03-05_RFR-045</v>
      </c>
      <c r="C644" s="7">
        <f>VLOOKUP(B644,'Run Reconcile'!A$2:B809,2,FALSE)</f>
        <v>44625</v>
      </c>
      <c r="D644" s="12">
        <f>IFERROR(__xludf.DUMMYFUNCTION("""COMPUTED_VALUE"""),44625.0)</f>
        <v>44625</v>
      </c>
      <c r="E644" s="13">
        <f>IFERROR(__xludf.DUMMYFUNCTION("""COMPUTED_VALUE"""),0.29268518518438214)</f>
        <v>0.2926851852</v>
      </c>
      <c r="F644" s="10" t="str">
        <f>IFERROR(__xludf.DUMMYFUNCTION("""COMPUTED_VALUE"""),"Negative")</f>
        <v>Negative</v>
      </c>
      <c r="G644" s="10">
        <f>IFERROR(__xludf.DUMMYFUNCTION("""COMPUTED_VALUE"""),1.0)</f>
        <v>1</v>
      </c>
    </row>
    <row r="645">
      <c r="A645" s="6" t="str">
        <f>IFERROR(__xludf.DUMMYFUNCTION("""COMPUTED_VALUE"""),"FM95")</f>
        <v>FM95</v>
      </c>
      <c r="B645" s="6" t="str">
        <f>IFERROR(__xludf.DUMMYFUNCTION("""COMPUTED_VALUE"""),"RUN-BEND_2022-03-05_RFR-045")</f>
        <v>RUN-BEND_2022-03-05_RFR-045</v>
      </c>
      <c r="C645" s="7">
        <f>VLOOKUP(B645,'Run Reconcile'!A$2:B809,2,FALSE)</f>
        <v>44625</v>
      </c>
      <c r="D645" s="12">
        <f>IFERROR(__xludf.DUMMYFUNCTION("""COMPUTED_VALUE"""),44625.0)</f>
        <v>44625</v>
      </c>
      <c r="E645" s="13">
        <f>IFERROR(__xludf.DUMMYFUNCTION("""COMPUTED_VALUE"""),0.294432870370656)</f>
        <v>0.2944328704</v>
      </c>
      <c r="F645" s="10" t="str">
        <f>IFERROR(__xludf.DUMMYFUNCTION("""COMPUTED_VALUE"""),"Negative")</f>
        <v>Negative</v>
      </c>
      <c r="G645" s="10">
        <f>IFERROR(__xludf.DUMMYFUNCTION("""COMPUTED_VALUE"""),1.0)</f>
        <v>1</v>
      </c>
    </row>
    <row r="646">
      <c r="A646" s="6" t="str">
        <f>IFERROR(__xludf.DUMMYFUNCTION("""COMPUTED_VALUE"""),"FM370")</f>
        <v>FM370</v>
      </c>
      <c r="B646" s="6" t="str">
        <f>IFERROR(__xludf.DUMMYFUNCTION("""COMPUTED_VALUE"""),"RUN-BEND_2022-03-05_RFR-045")</f>
        <v>RUN-BEND_2022-03-05_RFR-045</v>
      </c>
      <c r="C646" s="7">
        <f>VLOOKUP(B646,'Run Reconcile'!A$2:B809,2,FALSE)</f>
        <v>44625</v>
      </c>
      <c r="D646" s="12">
        <f>IFERROR(__xludf.DUMMYFUNCTION("""COMPUTED_VALUE"""),44625.0)</f>
        <v>44625</v>
      </c>
      <c r="E646" s="13">
        <f>IFERROR(__xludf.DUMMYFUNCTION("""COMPUTED_VALUE"""),0.3011574074080272)</f>
        <v>0.3011574074</v>
      </c>
      <c r="F646" s="10" t="str">
        <f>IFERROR(__xludf.DUMMYFUNCTION("""COMPUTED_VALUE"""),"Negative")</f>
        <v>Negative</v>
      </c>
      <c r="G646" s="10">
        <f>IFERROR(__xludf.DUMMYFUNCTION("""COMPUTED_VALUE"""),1.0)</f>
        <v>1</v>
      </c>
    </row>
    <row r="647">
      <c r="A647" s="6" t="str">
        <f>IFERROR(__xludf.DUMMYFUNCTION("""COMPUTED_VALUE"""),"FM329")</f>
        <v>FM329</v>
      </c>
      <c r="B647" s="6" t="str">
        <f>IFERROR(__xludf.DUMMYFUNCTION("""COMPUTED_VALUE"""),"RUN-BEND_2022-03-05_RFR-045")</f>
        <v>RUN-BEND_2022-03-05_RFR-045</v>
      </c>
      <c r="C647" s="7">
        <f>VLOOKUP(B647,'Run Reconcile'!A$2:B809,2,FALSE)</f>
        <v>44625</v>
      </c>
      <c r="D647" s="12">
        <f>IFERROR(__xludf.DUMMYFUNCTION("""COMPUTED_VALUE"""),44625.0)</f>
        <v>44625</v>
      </c>
      <c r="E647" s="13">
        <f>IFERROR(__xludf.DUMMYFUNCTION("""COMPUTED_VALUE"""),0.3053009259274404)</f>
        <v>0.3053009259</v>
      </c>
      <c r="F647" s="10" t="str">
        <f>IFERROR(__xludf.DUMMYFUNCTION("""COMPUTED_VALUE"""),"Negative")</f>
        <v>Negative</v>
      </c>
      <c r="G647" s="10">
        <f>IFERROR(__xludf.DUMMYFUNCTION("""COMPUTED_VALUE"""),1.0)</f>
        <v>1</v>
      </c>
    </row>
    <row r="648">
      <c r="A648" s="6" t="str">
        <f>IFERROR(__xludf.DUMMYFUNCTION("""COMPUTED_VALUE"""),"FM2055")</f>
        <v>FM2055</v>
      </c>
      <c r="B648" s="6" t="str">
        <f>IFERROR(__xludf.DUMMYFUNCTION("""COMPUTED_VALUE"""),"RUN-BEND_2022-03-05_RFR-045")</f>
        <v>RUN-BEND_2022-03-05_RFR-045</v>
      </c>
      <c r="C648" s="7">
        <f>VLOOKUP(B648,'Run Reconcile'!A$2:B809,2,FALSE)</f>
        <v>44625</v>
      </c>
      <c r="D648" s="12">
        <f>IFERROR(__xludf.DUMMYFUNCTION("""COMPUTED_VALUE"""),44625.0)</f>
        <v>44625</v>
      </c>
      <c r="E648" s="13">
        <f>IFERROR(__xludf.DUMMYFUNCTION("""COMPUTED_VALUE"""),0.3078935185185401)</f>
        <v>0.3078935185</v>
      </c>
      <c r="F648" s="10" t="str">
        <f>IFERROR(__xludf.DUMMYFUNCTION("""COMPUTED_VALUE"""),"Negative")</f>
        <v>Negative</v>
      </c>
      <c r="G648" s="10">
        <f>IFERROR(__xludf.DUMMYFUNCTION("""COMPUTED_VALUE"""),1.0)</f>
        <v>1</v>
      </c>
    </row>
    <row r="649">
      <c r="A649" s="6" t="str">
        <f>IFERROR(__xludf.DUMMYFUNCTION("""COMPUTED_VALUE"""),"FM458")</f>
        <v>FM458</v>
      </c>
      <c r="B649" s="6" t="str">
        <f>IFERROR(__xludf.DUMMYFUNCTION("""COMPUTED_VALUE"""),"RUN-BEND_2022-03-05_RFR-045")</f>
        <v>RUN-BEND_2022-03-05_RFR-045</v>
      </c>
      <c r="C649" s="7">
        <f>VLOOKUP(B649,'Run Reconcile'!A$2:B809,2,FALSE)</f>
        <v>44625</v>
      </c>
      <c r="D649" s="12">
        <f>IFERROR(__xludf.DUMMYFUNCTION("""COMPUTED_VALUE"""),44625.0)</f>
        <v>44625</v>
      </c>
      <c r="E649" s="13">
        <f>IFERROR(__xludf.DUMMYFUNCTION("""COMPUTED_VALUE"""),0.3079861111109494)</f>
        <v>0.3079861111</v>
      </c>
      <c r="F649" s="10" t="str">
        <f>IFERROR(__xludf.DUMMYFUNCTION("""COMPUTED_VALUE"""),"Negative")</f>
        <v>Negative</v>
      </c>
      <c r="G649" s="10">
        <f>IFERROR(__xludf.DUMMYFUNCTION("""COMPUTED_VALUE"""),1.0)</f>
        <v>1</v>
      </c>
    </row>
    <row r="650">
      <c r="A650" s="6" t="str">
        <f>IFERROR(__xludf.DUMMYFUNCTION("""COMPUTED_VALUE"""),"FM2048")</f>
        <v>FM2048</v>
      </c>
      <c r="B650" s="6" t="str">
        <f>IFERROR(__xludf.DUMMYFUNCTION("""COMPUTED_VALUE"""),"RUN-BEND_2022-03-05_RFR-045")</f>
        <v>RUN-BEND_2022-03-05_RFR-045</v>
      </c>
      <c r="C650" s="7">
        <f>VLOOKUP(B650,'Run Reconcile'!A$2:B809,2,FALSE)</f>
        <v>44625</v>
      </c>
      <c r="D650" s="12">
        <f>IFERROR(__xludf.DUMMYFUNCTION("""COMPUTED_VALUE"""),44625.0)</f>
        <v>44625</v>
      </c>
      <c r="E650" s="13">
        <f>IFERROR(__xludf.DUMMYFUNCTION("""COMPUTED_VALUE"""),0.3085995370383898)</f>
        <v>0.308599537</v>
      </c>
      <c r="F650" s="10" t="str">
        <f>IFERROR(__xludf.DUMMYFUNCTION("""COMPUTED_VALUE"""),"Negative")</f>
        <v>Negative</v>
      </c>
      <c r="G650" s="10">
        <f>IFERROR(__xludf.DUMMYFUNCTION("""COMPUTED_VALUE"""),1.0)</f>
        <v>1</v>
      </c>
    </row>
    <row r="651">
      <c r="A651" s="6" t="str">
        <f>IFERROR(__xludf.DUMMYFUNCTION("""COMPUTED_VALUE"""),"FM405")</f>
        <v>FM405</v>
      </c>
      <c r="B651" s="6" t="str">
        <f>IFERROR(__xludf.DUMMYFUNCTION("""COMPUTED_VALUE"""),"RUN-BEND_2022-03-05_RFR-045")</f>
        <v>RUN-BEND_2022-03-05_RFR-045</v>
      </c>
      <c r="C651" s="7">
        <f>VLOOKUP(B651,'Run Reconcile'!A$2:B809,2,FALSE)</f>
        <v>44625</v>
      </c>
      <c r="D651" s="12">
        <f>IFERROR(__xludf.DUMMYFUNCTION("""COMPUTED_VALUE"""),44625.0)</f>
        <v>44625</v>
      </c>
      <c r="E651" s="13">
        <f>IFERROR(__xludf.DUMMYFUNCTION("""COMPUTED_VALUE"""),0.3088657407424762)</f>
        <v>0.3088657407</v>
      </c>
      <c r="F651" s="10" t="str">
        <f>IFERROR(__xludf.DUMMYFUNCTION("""COMPUTED_VALUE"""),"Negative")</f>
        <v>Negative</v>
      </c>
      <c r="G651" s="10">
        <f>IFERROR(__xludf.DUMMYFUNCTION("""COMPUTED_VALUE"""),1.0)</f>
        <v>1</v>
      </c>
    </row>
    <row r="652">
      <c r="A652" s="6" t="str">
        <f>IFERROR(__xludf.DUMMYFUNCTION("""COMPUTED_VALUE"""),"MA213")</f>
        <v>MA213</v>
      </c>
      <c r="B652" s="6" t="str">
        <f>IFERROR(__xludf.DUMMYFUNCTION("""COMPUTED_VALUE"""),"RUN-BEND_2022-03-05_RFR-045")</f>
        <v>RUN-BEND_2022-03-05_RFR-045</v>
      </c>
      <c r="C652" s="7">
        <f>VLOOKUP(B652,'Run Reconcile'!A$2:B809,2,FALSE)</f>
        <v>44625</v>
      </c>
      <c r="D652" s="12">
        <f>IFERROR(__xludf.DUMMYFUNCTION("""COMPUTED_VALUE"""),44625.0)</f>
        <v>44625</v>
      </c>
      <c r="E652" s="13">
        <f>IFERROR(__xludf.DUMMYFUNCTION("""COMPUTED_VALUE"""),0.309814814816491)</f>
        <v>0.3098148148</v>
      </c>
      <c r="F652" s="10" t="str">
        <f>IFERROR(__xludf.DUMMYFUNCTION("""COMPUTED_VALUE"""),"Negative")</f>
        <v>Negative</v>
      </c>
      <c r="G652" s="10">
        <f>IFERROR(__xludf.DUMMYFUNCTION("""COMPUTED_VALUE"""),1.0)</f>
        <v>1</v>
      </c>
    </row>
    <row r="653">
      <c r="A653" s="6" t="str">
        <f>IFERROR(__xludf.DUMMYFUNCTION("""COMPUTED_VALUE"""),"FM2076")</f>
        <v>FM2076</v>
      </c>
      <c r="B653" s="6" t="str">
        <f>IFERROR(__xludf.DUMMYFUNCTION("""COMPUTED_VALUE"""),"RUN-BEND_2022-03-05_RFR-045")</f>
        <v>RUN-BEND_2022-03-05_RFR-045</v>
      </c>
      <c r="C653" s="7">
        <f>VLOOKUP(B653,'Run Reconcile'!A$2:B809,2,FALSE)</f>
        <v>44625</v>
      </c>
      <c r="D653" s="12">
        <f>IFERROR(__xludf.DUMMYFUNCTION("""COMPUTED_VALUE"""),44625.0)</f>
        <v>44625</v>
      </c>
      <c r="E653" s="13">
        <f>IFERROR(__xludf.DUMMYFUNCTION("""COMPUTED_VALUE"""),0.3107523148137261)</f>
        <v>0.3107523148</v>
      </c>
      <c r="F653" s="10" t="str">
        <f>IFERROR(__xludf.DUMMYFUNCTION("""COMPUTED_VALUE"""),"Negative")</f>
        <v>Negative</v>
      </c>
      <c r="G653" s="10">
        <f>IFERROR(__xludf.DUMMYFUNCTION("""COMPUTED_VALUE"""),1.0)</f>
        <v>1</v>
      </c>
    </row>
    <row r="654">
      <c r="A654" s="6" t="str">
        <f>IFERROR(__xludf.DUMMYFUNCTION("""COMPUTED_VALUE"""),"MA1238")</f>
        <v>MA1238</v>
      </c>
      <c r="B654" s="6" t="str">
        <f>IFERROR(__xludf.DUMMYFUNCTION("""COMPUTED_VALUE"""),"RUN-BEND_2022-03-05_RFR-045")</f>
        <v>RUN-BEND_2022-03-05_RFR-045</v>
      </c>
      <c r="C654" s="7">
        <f>VLOOKUP(B654,'Run Reconcile'!A$2:B809,2,FALSE)</f>
        <v>44625</v>
      </c>
      <c r="D654" s="12">
        <f>IFERROR(__xludf.DUMMYFUNCTION("""COMPUTED_VALUE"""),44625.0)</f>
        <v>44625</v>
      </c>
      <c r="E654" s="13">
        <f>IFERROR(__xludf.DUMMYFUNCTION("""COMPUTED_VALUE"""),0.31099537037152913)</f>
        <v>0.3109953704</v>
      </c>
      <c r="F654" s="10" t="str">
        <f>IFERROR(__xludf.DUMMYFUNCTION("""COMPUTED_VALUE"""),"Negative")</f>
        <v>Negative</v>
      </c>
      <c r="G654" s="10">
        <f>IFERROR(__xludf.DUMMYFUNCTION("""COMPUTED_VALUE"""),1.0)</f>
        <v>1</v>
      </c>
    </row>
    <row r="655">
      <c r="A655" s="6" t="str">
        <f>IFERROR(__xludf.DUMMYFUNCTION("""COMPUTED_VALUE"""),"MA370")</f>
        <v>MA370</v>
      </c>
      <c r="B655" s="6" t="str">
        <f>IFERROR(__xludf.DUMMYFUNCTION("""COMPUTED_VALUE"""),"RUN-BEND_2022-03-05_RFR-045")</f>
        <v>RUN-BEND_2022-03-05_RFR-045</v>
      </c>
      <c r="C655" s="7">
        <f>VLOOKUP(B655,'Run Reconcile'!A$2:B809,2,FALSE)</f>
        <v>44625</v>
      </c>
      <c r="D655" s="12">
        <f>IFERROR(__xludf.DUMMYFUNCTION("""COMPUTED_VALUE"""),44625.0)</f>
        <v>44625</v>
      </c>
      <c r="E655" s="13">
        <f>IFERROR(__xludf.DUMMYFUNCTION("""COMPUTED_VALUE"""),0.31501157407547)</f>
        <v>0.3150115741</v>
      </c>
      <c r="F655" s="10" t="str">
        <f>IFERROR(__xludf.DUMMYFUNCTION("""COMPUTED_VALUE"""),"Negative")</f>
        <v>Negative</v>
      </c>
      <c r="G655" s="10">
        <f>IFERROR(__xludf.DUMMYFUNCTION("""COMPUTED_VALUE"""),1.0)</f>
        <v>1</v>
      </c>
    </row>
    <row r="656">
      <c r="A656" s="6" t="str">
        <f>IFERROR(__xludf.DUMMYFUNCTION("""COMPUTED_VALUE"""),"FM477")</f>
        <v>FM477</v>
      </c>
      <c r="B656" s="6" t="str">
        <f>IFERROR(__xludf.DUMMYFUNCTION("""COMPUTED_VALUE"""),"RUN-BEND_2022-03-05_RFR-045")</f>
        <v>RUN-BEND_2022-03-05_RFR-045</v>
      </c>
      <c r="C656" s="7">
        <f>VLOOKUP(B656,'Run Reconcile'!A$2:B809,2,FALSE)</f>
        <v>44625</v>
      </c>
      <c r="D656" s="12">
        <f>IFERROR(__xludf.DUMMYFUNCTION("""COMPUTED_VALUE"""),44625.0)</f>
        <v>44625</v>
      </c>
      <c r="E656" s="13">
        <f>IFERROR(__xludf.DUMMYFUNCTION("""COMPUTED_VALUE"""),0.31585648148029577)</f>
        <v>0.3158564815</v>
      </c>
      <c r="F656" s="10" t="str">
        <f>IFERROR(__xludf.DUMMYFUNCTION("""COMPUTED_VALUE"""),"Negative")</f>
        <v>Negative</v>
      </c>
      <c r="G656" s="10">
        <f>IFERROR(__xludf.DUMMYFUNCTION("""COMPUTED_VALUE"""),1.0)</f>
        <v>1</v>
      </c>
    </row>
    <row r="657">
      <c r="A657" s="6" t="str">
        <f>IFERROR(__xludf.DUMMYFUNCTION("""COMPUTED_VALUE"""),"MA1272")</f>
        <v>MA1272</v>
      </c>
      <c r="B657" s="6" t="str">
        <f>IFERROR(__xludf.DUMMYFUNCTION("""COMPUTED_VALUE"""),"RUN-BEND_2022-03-05_RFR-045")</f>
        <v>RUN-BEND_2022-03-05_RFR-045</v>
      </c>
      <c r="C657" s="7">
        <f>VLOOKUP(B657,'Run Reconcile'!A$2:B809,2,FALSE)</f>
        <v>44625</v>
      </c>
      <c r="D657" s="12">
        <f>IFERROR(__xludf.DUMMYFUNCTION("""COMPUTED_VALUE"""),44625.0)</f>
        <v>44625</v>
      </c>
      <c r="E657" s="13">
        <f>IFERROR(__xludf.DUMMYFUNCTION("""COMPUTED_VALUE"""),0.31592592592642177)</f>
        <v>0.3159259259</v>
      </c>
      <c r="F657" s="10" t="str">
        <f>IFERROR(__xludf.DUMMYFUNCTION("""COMPUTED_VALUE"""),"Negative")</f>
        <v>Negative</v>
      </c>
      <c r="G657" s="10">
        <f>IFERROR(__xludf.DUMMYFUNCTION("""COMPUTED_VALUE"""),1.0)</f>
        <v>1</v>
      </c>
    </row>
    <row r="658">
      <c r="A658" s="6" t="str">
        <f>IFERROR(__xludf.DUMMYFUNCTION("""COMPUTED_VALUE"""),"FM991")</f>
        <v>FM991</v>
      </c>
      <c r="B658" s="6" t="str">
        <f>IFERROR(__xludf.DUMMYFUNCTION("""COMPUTED_VALUE"""),"RUN-BEND_2022-03-07_RFR-047")</f>
        <v>RUN-BEND_2022-03-07_RFR-047</v>
      </c>
      <c r="C658" s="7">
        <f>VLOOKUP(B658,'Run Reconcile'!A$2:B809,2,FALSE)</f>
        <v>44627</v>
      </c>
      <c r="D658" s="12">
        <f>IFERROR(__xludf.DUMMYFUNCTION("""COMPUTED_VALUE"""),44625.0)</f>
        <v>44625</v>
      </c>
      <c r="E658" s="13">
        <f>IFERROR(__xludf.DUMMYFUNCTION("""COMPUTED_VALUE"""),0.31888888888715883)</f>
        <v>0.3188888889</v>
      </c>
      <c r="F658" s="10" t="str">
        <f>IFERROR(__xludf.DUMMYFUNCTION("""COMPUTED_VALUE"""),"Negative")</f>
        <v>Negative</v>
      </c>
      <c r="G658" s="10">
        <f>IFERROR(__xludf.DUMMYFUNCTION("""COMPUTED_VALUE"""),1.0)</f>
        <v>1</v>
      </c>
    </row>
    <row r="659">
      <c r="A659" s="6" t="str">
        <f>IFERROR(__xludf.DUMMYFUNCTION("""COMPUTED_VALUE"""),"FM446")</f>
        <v>FM446</v>
      </c>
      <c r="B659" s="6" t="str">
        <f>IFERROR(__xludf.DUMMYFUNCTION("""COMPUTED_VALUE"""),"RUN-BEND_2022-03-05_RFR-045")</f>
        <v>RUN-BEND_2022-03-05_RFR-045</v>
      </c>
      <c r="C659" s="7">
        <f>VLOOKUP(B659,'Run Reconcile'!A$2:B809,2,FALSE)</f>
        <v>44625</v>
      </c>
      <c r="D659" s="12">
        <f>IFERROR(__xludf.DUMMYFUNCTION("""COMPUTED_VALUE"""),44625.0)</f>
        <v>44625</v>
      </c>
      <c r="E659" s="13">
        <f>IFERROR(__xludf.DUMMYFUNCTION("""COMPUTED_VALUE"""),0.3190277777794108)</f>
        <v>0.3190277778</v>
      </c>
      <c r="F659" s="10" t="str">
        <f>IFERROR(__xludf.DUMMYFUNCTION("""COMPUTED_VALUE"""),"Negative")</f>
        <v>Negative</v>
      </c>
      <c r="G659" s="10">
        <f>IFERROR(__xludf.DUMMYFUNCTION("""COMPUTED_VALUE"""),1.0)</f>
        <v>1</v>
      </c>
    </row>
    <row r="660">
      <c r="A660" s="6" t="str">
        <f>IFERROR(__xludf.DUMMYFUNCTION("""COMPUTED_VALUE"""),"FM2045")</f>
        <v>FM2045</v>
      </c>
      <c r="B660" s="6" t="str">
        <f>IFERROR(__xludf.DUMMYFUNCTION("""COMPUTED_VALUE"""),"RUN-BEND_2022-03-05_RFR-045")</f>
        <v>RUN-BEND_2022-03-05_RFR-045</v>
      </c>
      <c r="C660" s="7">
        <f>VLOOKUP(B660,'Run Reconcile'!A$2:B809,2,FALSE)</f>
        <v>44625</v>
      </c>
      <c r="D660" s="12">
        <f>IFERROR(__xludf.DUMMYFUNCTION("""COMPUTED_VALUE"""),44625.0)</f>
        <v>44625</v>
      </c>
      <c r="E660" s="13">
        <f>IFERROR(__xludf.DUMMYFUNCTION("""COMPUTED_VALUE"""),0.3232175925913907)</f>
        <v>0.3232175926</v>
      </c>
      <c r="F660" s="10" t="str">
        <f>IFERROR(__xludf.DUMMYFUNCTION("""COMPUTED_VALUE"""),"Negative")</f>
        <v>Negative</v>
      </c>
      <c r="G660" s="10">
        <f>IFERROR(__xludf.DUMMYFUNCTION("""COMPUTED_VALUE"""),1.0)</f>
        <v>1</v>
      </c>
    </row>
    <row r="661">
      <c r="A661" s="6" t="str">
        <f>IFERROR(__xludf.DUMMYFUNCTION("""COMPUTED_VALUE"""),"MA403")</f>
        <v>MA403</v>
      </c>
      <c r="B661" s="6" t="str">
        <f>IFERROR(__xludf.DUMMYFUNCTION("""COMPUTED_VALUE"""),"RUN-BEND_2022-03-05_RFR-045")</f>
        <v>RUN-BEND_2022-03-05_RFR-045</v>
      </c>
      <c r="C661" s="7">
        <f>VLOOKUP(B661,'Run Reconcile'!A$2:B809,2,FALSE)</f>
        <v>44625</v>
      </c>
      <c r="D661" s="12">
        <f>IFERROR(__xludf.DUMMYFUNCTION("""COMPUTED_VALUE"""),44625.0)</f>
        <v>44625</v>
      </c>
      <c r="E661" s="13">
        <f>IFERROR(__xludf.DUMMYFUNCTION("""COMPUTED_VALUE"""),0.33188657407299615)</f>
        <v>0.3318865741</v>
      </c>
      <c r="F661" s="10" t="str">
        <f>IFERROR(__xludf.DUMMYFUNCTION("""COMPUTED_VALUE"""),"Negative")</f>
        <v>Negative</v>
      </c>
      <c r="G661" s="10">
        <f>IFERROR(__xludf.DUMMYFUNCTION("""COMPUTED_VALUE"""),1.0)</f>
        <v>1</v>
      </c>
    </row>
    <row r="662">
      <c r="A662" s="6" t="str">
        <f>IFERROR(__xludf.DUMMYFUNCTION("""COMPUTED_VALUE"""),"FM470")</f>
        <v>FM470</v>
      </c>
      <c r="B662" s="6" t="str">
        <f>IFERROR(__xludf.DUMMYFUNCTION("""COMPUTED_VALUE"""),"RUN-BEND_2022-03-05_RFR-045")</f>
        <v>RUN-BEND_2022-03-05_RFR-045</v>
      </c>
      <c r="C662" s="7">
        <f>VLOOKUP(B662,'Run Reconcile'!A$2:B809,2,FALSE)</f>
        <v>44625</v>
      </c>
      <c r="D662" s="12">
        <f>IFERROR(__xludf.DUMMYFUNCTION("""COMPUTED_VALUE"""),44625.0)</f>
        <v>44625</v>
      </c>
      <c r="E662" s="13">
        <f>IFERROR(__xludf.DUMMYFUNCTION("""COMPUTED_VALUE"""),0.3324884259272949)</f>
        <v>0.3324884259</v>
      </c>
      <c r="F662" s="10" t="str">
        <f>IFERROR(__xludf.DUMMYFUNCTION("""COMPUTED_VALUE"""),"Negative")</f>
        <v>Negative</v>
      </c>
      <c r="G662" s="10">
        <f>IFERROR(__xludf.DUMMYFUNCTION("""COMPUTED_VALUE"""),1.0)</f>
        <v>1</v>
      </c>
    </row>
    <row r="663">
      <c r="A663" s="6" t="str">
        <f>IFERROR(__xludf.DUMMYFUNCTION("""COMPUTED_VALUE"""),"FM337")</f>
        <v>FM337</v>
      </c>
      <c r="B663" s="6" t="str">
        <f>IFERROR(__xludf.DUMMYFUNCTION("""COMPUTED_VALUE"""),"RUN-BEND_2022-03-05_RFR-045")</f>
        <v>RUN-BEND_2022-03-05_RFR-045</v>
      </c>
      <c r="C663" s="7">
        <f>VLOOKUP(B663,'Run Reconcile'!A$2:B809,2,FALSE)</f>
        <v>44625</v>
      </c>
      <c r="D663" s="12">
        <f>IFERROR(__xludf.DUMMYFUNCTION("""COMPUTED_VALUE"""),44625.0)</f>
        <v>44625</v>
      </c>
      <c r="E663" s="13">
        <f>IFERROR(__xludf.DUMMYFUNCTION("""COMPUTED_VALUE"""),0.33504629629533156)</f>
        <v>0.3350462963</v>
      </c>
      <c r="F663" s="10" t="str">
        <f>IFERROR(__xludf.DUMMYFUNCTION("""COMPUTED_VALUE"""),"Negative")</f>
        <v>Negative</v>
      </c>
      <c r="G663" s="10">
        <f>IFERROR(__xludf.DUMMYFUNCTION("""COMPUTED_VALUE"""),1.0)</f>
        <v>1</v>
      </c>
    </row>
    <row r="664">
      <c r="A664" s="6" t="str">
        <f>IFERROR(__xludf.DUMMYFUNCTION("""COMPUTED_VALUE"""),"FM8")</f>
        <v>FM8</v>
      </c>
      <c r="B664" s="6" t="str">
        <f>IFERROR(__xludf.DUMMYFUNCTION("""COMPUTED_VALUE"""),"RUN-BEND_2022-03-05_RFR-045")</f>
        <v>RUN-BEND_2022-03-05_RFR-045</v>
      </c>
      <c r="C664" s="7">
        <f>VLOOKUP(B664,'Run Reconcile'!A$2:B809,2,FALSE)</f>
        <v>44625</v>
      </c>
      <c r="D664" s="12">
        <f>IFERROR(__xludf.DUMMYFUNCTION("""COMPUTED_VALUE"""),44625.0)</f>
        <v>44625</v>
      </c>
      <c r="E664" s="13">
        <f>IFERROR(__xludf.DUMMYFUNCTION("""COMPUTED_VALUE"""),0.34166666666715173)</f>
        <v>0.3416666667</v>
      </c>
      <c r="F664" s="10" t="str">
        <f>IFERROR(__xludf.DUMMYFUNCTION("""COMPUTED_VALUE"""),"Negative")</f>
        <v>Negative</v>
      </c>
      <c r="G664" s="10">
        <f>IFERROR(__xludf.DUMMYFUNCTION("""COMPUTED_VALUE"""),1.0)</f>
        <v>1</v>
      </c>
    </row>
    <row r="665">
      <c r="A665" s="6" t="str">
        <f>IFERROR(__xludf.DUMMYFUNCTION("""COMPUTED_VALUE"""),"FM30")</f>
        <v>FM30</v>
      </c>
      <c r="B665" s="6" t="str">
        <f>IFERROR(__xludf.DUMMYFUNCTION("""COMPUTED_VALUE"""),"RUN-BEND_2022-03-05_RFR-045")</f>
        <v>RUN-BEND_2022-03-05_RFR-045</v>
      </c>
      <c r="C665" s="7">
        <f>VLOOKUP(B665,'Run Reconcile'!A$2:B809,2,FALSE)</f>
        <v>44625</v>
      </c>
      <c r="D665" s="12">
        <f>IFERROR(__xludf.DUMMYFUNCTION("""COMPUTED_VALUE"""),44625.0)</f>
        <v>44625</v>
      </c>
      <c r="E665" s="13">
        <f>IFERROR(__xludf.DUMMYFUNCTION("""COMPUTED_VALUE"""),0.3419328703712381)</f>
        <v>0.3419328704</v>
      </c>
      <c r="F665" s="10" t="str">
        <f>IFERROR(__xludf.DUMMYFUNCTION("""COMPUTED_VALUE"""),"Negative")</f>
        <v>Negative</v>
      </c>
      <c r="G665" s="10">
        <f>IFERROR(__xludf.DUMMYFUNCTION("""COMPUTED_VALUE"""),1.0)</f>
        <v>1</v>
      </c>
    </row>
    <row r="666">
      <c r="A666" s="6" t="str">
        <f>IFERROR(__xludf.DUMMYFUNCTION("""COMPUTED_VALUE"""),"FM75")</f>
        <v>FM75</v>
      </c>
      <c r="B666" s="6" t="str">
        <f>IFERROR(__xludf.DUMMYFUNCTION("""COMPUTED_VALUE"""),"RUN-BEND_2022-03-05_RFR-045")</f>
        <v>RUN-BEND_2022-03-05_RFR-045</v>
      </c>
      <c r="C666" s="7">
        <f>VLOOKUP(B666,'Run Reconcile'!A$2:B809,2,FALSE)</f>
        <v>44625</v>
      </c>
      <c r="D666" s="12">
        <f>IFERROR(__xludf.DUMMYFUNCTION("""COMPUTED_VALUE"""),44625.0)</f>
        <v>44625</v>
      </c>
      <c r="E666" s="13">
        <f>IFERROR(__xludf.DUMMYFUNCTION("""COMPUTED_VALUE"""),0.3421874999985448)</f>
        <v>0.3421875</v>
      </c>
      <c r="F666" s="10" t="str">
        <f>IFERROR(__xludf.DUMMYFUNCTION("""COMPUTED_VALUE"""),"Negative")</f>
        <v>Negative</v>
      </c>
      <c r="G666" s="10">
        <f>IFERROR(__xludf.DUMMYFUNCTION("""COMPUTED_VALUE"""),1.0)</f>
        <v>1</v>
      </c>
    </row>
    <row r="667">
      <c r="A667" s="6" t="str">
        <f>IFERROR(__xludf.DUMMYFUNCTION("""COMPUTED_VALUE"""),"MA1294")</f>
        <v>MA1294</v>
      </c>
      <c r="B667" s="6" t="str">
        <f>IFERROR(__xludf.DUMMYFUNCTION("""COMPUTED_VALUE"""),"RUN-BEND_2022-03-05_RFR-045")</f>
        <v>RUN-BEND_2022-03-05_RFR-045</v>
      </c>
      <c r="C667" s="7">
        <f>VLOOKUP(B667,'Run Reconcile'!A$2:B809,2,FALSE)</f>
        <v>44625</v>
      </c>
      <c r="D667" s="12">
        <f>IFERROR(__xludf.DUMMYFUNCTION("""COMPUTED_VALUE"""),44625.0)</f>
        <v>44625</v>
      </c>
      <c r="E667" s="13">
        <f>IFERROR(__xludf.DUMMYFUNCTION("""COMPUTED_VALUE"""),0.3553009259267128)</f>
        <v>0.3553009259</v>
      </c>
      <c r="F667" s="10" t="str">
        <f>IFERROR(__xludf.DUMMYFUNCTION("""COMPUTED_VALUE"""),"Positive")</f>
        <v>Positive</v>
      </c>
      <c r="G667" s="10">
        <f>IFERROR(__xludf.DUMMYFUNCTION("""COMPUTED_VALUE"""),1.0)</f>
        <v>1</v>
      </c>
    </row>
    <row r="668">
      <c r="A668" s="6" t="str">
        <f>IFERROR(__xludf.DUMMYFUNCTION("""COMPUTED_VALUE"""),"FM1905")</f>
        <v>FM1905</v>
      </c>
      <c r="B668" s="6" t="str">
        <f>IFERROR(__xludf.DUMMYFUNCTION("""COMPUTED_VALUE"""),"RUN-BEND_2022-03-05_RFR-045")</f>
        <v>RUN-BEND_2022-03-05_RFR-045</v>
      </c>
      <c r="C668" s="7">
        <f>VLOOKUP(B668,'Run Reconcile'!A$2:B809,2,FALSE)</f>
        <v>44625</v>
      </c>
      <c r="D668" s="12">
        <f>IFERROR(__xludf.DUMMYFUNCTION("""COMPUTED_VALUE"""),44625.0)</f>
        <v>44625</v>
      </c>
      <c r="E668" s="13">
        <f>IFERROR(__xludf.DUMMYFUNCTION("""COMPUTED_VALUE"""),0.36768518518510973)</f>
        <v>0.3676851852</v>
      </c>
      <c r="F668" s="10" t="str">
        <f>IFERROR(__xludf.DUMMYFUNCTION("""COMPUTED_VALUE"""),"Negative")</f>
        <v>Negative</v>
      </c>
      <c r="G668" s="10">
        <f>IFERROR(__xludf.DUMMYFUNCTION("""COMPUTED_VALUE"""),1.0)</f>
        <v>1</v>
      </c>
    </row>
    <row r="669">
      <c r="A669" s="6" t="str">
        <f>IFERROR(__xludf.DUMMYFUNCTION("""COMPUTED_VALUE"""),"FM85")</f>
        <v>FM85</v>
      </c>
      <c r="B669" s="6" t="str">
        <f>IFERROR(__xludf.DUMMYFUNCTION("""COMPUTED_VALUE"""),"RUN-BEND_2022-03-05_RFR-045")</f>
        <v>RUN-BEND_2022-03-05_RFR-045</v>
      </c>
      <c r="C669" s="7">
        <f>VLOOKUP(B669,'Run Reconcile'!A$2:B809,2,FALSE)</f>
        <v>44625</v>
      </c>
      <c r="D669" s="12">
        <f>IFERROR(__xludf.DUMMYFUNCTION("""COMPUTED_VALUE"""),44625.0)</f>
        <v>44625</v>
      </c>
      <c r="E669" s="13">
        <f>IFERROR(__xludf.DUMMYFUNCTION("""COMPUTED_VALUE"""),0.3858333333337214)</f>
        <v>0.3858333333</v>
      </c>
      <c r="F669" s="10" t="str">
        <f>IFERROR(__xludf.DUMMYFUNCTION("""COMPUTED_VALUE"""),"Negative")</f>
        <v>Negative</v>
      </c>
      <c r="G669" s="10">
        <f>IFERROR(__xludf.DUMMYFUNCTION("""COMPUTED_VALUE"""),1.0)</f>
        <v>1</v>
      </c>
    </row>
    <row r="670">
      <c r="A670" s="6" t="str">
        <f>IFERROR(__xludf.DUMMYFUNCTION("""COMPUTED_VALUE"""),"MA1308")</f>
        <v>MA1308</v>
      </c>
      <c r="B670" s="6" t="str">
        <f>IFERROR(__xludf.DUMMYFUNCTION("""COMPUTED_VALUE"""),"RUN-BEND_2022-03-05_RFR-045")</f>
        <v>RUN-BEND_2022-03-05_RFR-045</v>
      </c>
      <c r="C670" s="7">
        <f>VLOOKUP(B670,'Run Reconcile'!A$2:B809,2,FALSE)</f>
        <v>44625</v>
      </c>
      <c r="D670" s="12">
        <f>IFERROR(__xludf.DUMMYFUNCTION("""COMPUTED_VALUE"""),44625.0)</f>
        <v>44625</v>
      </c>
      <c r="E670" s="13">
        <f>IFERROR(__xludf.DUMMYFUNCTION("""COMPUTED_VALUE"""),0.3939930555570754)</f>
        <v>0.3939930556</v>
      </c>
      <c r="F670" s="10" t="str">
        <f>IFERROR(__xludf.DUMMYFUNCTION("""COMPUTED_VALUE"""),"Negative")</f>
        <v>Negative</v>
      </c>
      <c r="G670" s="10">
        <f>IFERROR(__xludf.DUMMYFUNCTION("""COMPUTED_VALUE"""),1.0)</f>
        <v>1</v>
      </c>
    </row>
    <row r="671">
      <c r="A671" s="6" t="str">
        <f>IFERROR(__xludf.DUMMYFUNCTION("""COMPUTED_VALUE"""),"MA1270")</f>
        <v>MA1270</v>
      </c>
      <c r="B671" s="6" t="str">
        <f>IFERROR(__xludf.DUMMYFUNCTION("""COMPUTED_VALUE"""),"RUN-BEND_2022-03-05_RFR-045")</f>
        <v>RUN-BEND_2022-03-05_RFR-045</v>
      </c>
      <c r="C671" s="7">
        <f>VLOOKUP(B671,'Run Reconcile'!A$2:B809,2,FALSE)</f>
        <v>44625</v>
      </c>
      <c r="D671" s="12">
        <f>IFERROR(__xludf.DUMMYFUNCTION("""COMPUTED_VALUE"""),44625.0)</f>
        <v>44625</v>
      </c>
      <c r="E671" s="13">
        <f>IFERROR(__xludf.DUMMYFUNCTION("""COMPUTED_VALUE"""),0.39431712963050813)</f>
        <v>0.3943171296</v>
      </c>
      <c r="F671" s="10" t="str">
        <f>IFERROR(__xludf.DUMMYFUNCTION("""COMPUTED_VALUE"""),"Negative")</f>
        <v>Negative</v>
      </c>
      <c r="G671" s="10">
        <f>IFERROR(__xludf.DUMMYFUNCTION("""COMPUTED_VALUE"""),1.0)</f>
        <v>1</v>
      </c>
    </row>
    <row r="672">
      <c r="A672" s="6" t="str">
        <f>IFERROR(__xludf.DUMMYFUNCTION("""COMPUTED_VALUE"""),"MA1235")</f>
        <v>MA1235</v>
      </c>
      <c r="B672" s="6" t="str">
        <f>IFERROR(__xludf.DUMMYFUNCTION("""COMPUTED_VALUE"""),"RUN-BEND_2022-03-05_RFR-045")</f>
        <v>RUN-BEND_2022-03-05_RFR-045</v>
      </c>
      <c r="C672" s="7">
        <f>VLOOKUP(B672,'Run Reconcile'!A$2:B809,2,FALSE)</f>
        <v>44625</v>
      </c>
      <c r="D672" s="12">
        <f>IFERROR(__xludf.DUMMYFUNCTION("""COMPUTED_VALUE"""),44625.0)</f>
        <v>44625</v>
      </c>
      <c r="E672" s="13">
        <f>IFERROR(__xludf.DUMMYFUNCTION("""COMPUTED_VALUE"""),0.39457175925781485)</f>
        <v>0.3945717593</v>
      </c>
      <c r="F672" s="10" t="str">
        <f>IFERROR(__xludf.DUMMYFUNCTION("""COMPUTED_VALUE"""),"Negative")</f>
        <v>Negative</v>
      </c>
      <c r="G672" s="10">
        <f>IFERROR(__xludf.DUMMYFUNCTION("""COMPUTED_VALUE"""),1.0)</f>
        <v>1</v>
      </c>
    </row>
    <row r="673">
      <c r="A673" s="6" t="str">
        <f>IFERROR(__xludf.DUMMYFUNCTION("""COMPUTED_VALUE"""),"FM410")</f>
        <v>FM410</v>
      </c>
      <c r="B673" s="6" t="str">
        <f>IFERROR(__xludf.DUMMYFUNCTION("""COMPUTED_VALUE"""),"RUN-BEND_2022-03-05_RFR-045")</f>
        <v>RUN-BEND_2022-03-05_RFR-045</v>
      </c>
      <c r="C673" s="7">
        <f>VLOOKUP(B673,'Run Reconcile'!A$2:B809,2,FALSE)</f>
        <v>44625</v>
      </c>
      <c r="D673" s="12">
        <f>IFERROR(__xludf.DUMMYFUNCTION("""COMPUTED_VALUE"""),44625.0)</f>
        <v>44625</v>
      </c>
      <c r="E673" s="13">
        <f>IFERROR(__xludf.DUMMYFUNCTION("""COMPUTED_VALUE"""),0.43181712962905294)</f>
        <v>0.4318171296</v>
      </c>
      <c r="F673" s="10" t="str">
        <f>IFERROR(__xludf.DUMMYFUNCTION("""COMPUTED_VALUE"""),"Negative")</f>
        <v>Negative</v>
      </c>
      <c r="G673" s="10">
        <f>IFERROR(__xludf.DUMMYFUNCTION("""COMPUTED_VALUE"""),1.0)</f>
        <v>1</v>
      </c>
    </row>
    <row r="674">
      <c r="A674" s="6" t="str">
        <f>IFERROR(__xludf.DUMMYFUNCTION("""COMPUTED_VALUE"""),"MA350")</f>
        <v>MA350</v>
      </c>
      <c r="B674" s="6" t="str">
        <f>IFERROR(__xludf.DUMMYFUNCTION("""COMPUTED_VALUE"""),"RUN-BEND_2022-03-07_RFR-047")</f>
        <v>RUN-BEND_2022-03-07_RFR-047</v>
      </c>
      <c r="C674" s="7">
        <f>VLOOKUP(B674,'Run Reconcile'!A$2:B809,2,FALSE)</f>
        <v>44627</v>
      </c>
      <c r="D674" s="12">
        <f>IFERROR(__xludf.DUMMYFUNCTION("""COMPUTED_VALUE"""),44627.0)</f>
        <v>44627</v>
      </c>
      <c r="E674" s="13">
        <f>IFERROR(__xludf.DUMMYFUNCTION("""COMPUTED_VALUE"""),0.27618055555649335)</f>
        <v>0.2761805556</v>
      </c>
      <c r="F674" s="10" t="str">
        <f>IFERROR(__xludf.DUMMYFUNCTION("""COMPUTED_VALUE"""),"Negative")</f>
        <v>Negative</v>
      </c>
      <c r="G674" s="10">
        <f>IFERROR(__xludf.DUMMYFUNCTION("""COMPUTED_VALUE"""),1.0)</f>
        <v>1</v>
      </c>
    </row>
    <row r="675">
      <c r="A675" s="6" t="str">
        <f>IFERROR(__xludf.DUMMYFUNCTION("""COMPUTED_VALUE"""),"FM380")</f>
        <v>FM380</v>
      </c>
      <c r="B675" s="6" t="str">
        <f>IFERROR(__xludf.DUMMYFUNCTION("""COMPUTED_VALUE"""),"RUN-BEND_2022-03-07_RFR-047")</f>
        <v>RUN-BEND_2022-03-07_RFR-047</v>
      </c>
      <c r="C675" s="7">
        <f>VLOOKUP(B675,'Run Reconcile'!A$2:B809,2,FALSE)</f>
        <v>44627</v>
      </c>
      <c r="D675" s="12">
        <f>IFERROR(__xludf.DUMMYFUNCTION("""COMPUTED_VALUE"""),44627.0)</f>
        <v>44627</v>
      </c>
      <c r="E675" s="13">
        <f>IFERROR(__xludf.DUMMYFUNCTION("""COMPUTED_VALUE"""),0.2890393518500787)</f>
        <v>0.2890393519</v>
      </c>
      <c r="F675" s="10" t="str">
        <f>IFERROR(__xludf.DUMMYFUNCTION("""COMPUTED_VALUE"""),"Negative")</f>
        <v>Negative</v>
      </c>
      <c r="G675" s="10">
        <f>IFERROR(__xludf.DUMMYFUNCTION("""COMPUTED_VALUE"""),1.0)</f>
        <v>1</v>
      </c>
    </row>
    <row r="676">
      <c r="A676" s="6" t="str">
        <f>IFERROR(__xludf.DUMMYFUNCTION("""COMPUTED_VALUE"""),"FM400")</f>
        <v>FM400</v>
      </c>
      <c r="B676" s="6" t="str">
        <f>IFERROR(__xludf.DUMMYFUNCTION("""COMPUTED_VALUE"""),"RUN-BEND_2022-03-07_RFR-047")</f>
        <v>RUN-BEND_2022-03-07_RFR-047</v>
      </c>
      <c r="C676" s="7">
        <f>VLOOKUP(B676,'Run Reconcile'!A$2:B809,2,FALSE)</f>
        <v>44627</v>
      </c>
      <c r="D676" s="12">
        <f>IFERROR(__xludf.DUMMYFUNCTION("""COMPUTED_VALUE"""),44627.0)</f>
        <v>44627</v>
      </c>
      <c r="E676" s="13">
        <f>IFERROR(__xludf.DUMMYFUNCTION("""COMPUTED_VALUE"""),0.29409722222044365)</f>
        <v>0.2940972222</v>
      </c>
      <c r="F676" s="10" t="str">
        <f>IFERROR(__xludf.DUMMYFUNCTION("""COMPUTED_VALUE"""),"Negative")</f>
        <v>Negative</v>
      </c>
      <c r="G676" s="10">
        <f>IFERROR(__xludf.DUMMYFUNCTION("""COMPUTED_VALUE"""),1.0)</f>
        <v>1</v>
      </c>
    </row>
    <row r="677">
      <c r="A677" s="6" t="str">
        <f>IFERROR(__xludf.DUMMYFUNCTION("""COMPUTED_VALUE"""),"FM2082")</f>
        <v>FM2082</v>
      </c>
      <c r="B677" s="6" t="str">
        <f>IFERROR(__xludf.DUMMYFUNCTION("""COMPUTED_VALUE"""),"RUN-BEND_2022-03-07_RFR-047")</f>
        <v>RUN-BEND_2022-03-07_RFR-047</v>
      </c>
      <c r="C677" s="7">
        <f>VLOOKUP(B677,'Run Reconcile'!A$2:B809,2,FALSE)</f>
        <v>44627</v>
      </c>
      <c r="D677" s="12">
        <f>IFERROR(__xludf.DUMMYFUNCTION("""COMPUTED_VALUE"""),44627.0)</f>
        <v>44627</v>
      </c>
      <c r="E677" s="13">
        <f>IFERROR(__xludf.DUMMYFUNCTION("""COMPUTED_VALUE"""),0.2957175925912452)</f>
        <v>0.2957175926</v>
      </c>
      <c r="F677" s="10" t="str">
        <f>IFERROR(__xludf.DUMMYFUNCTION("""COMPUTED_VALUE"""),"Negative")</f>
        <v>Negative</v>
      </c>
      <c r="G677" s="10">
        <f>IFERROR(__xludf.DUMMYFUNCTION("""COMPUTED_VALUE"""),1.0)</f>
        <v>1</v>
      </c>
    </row>
    <row r="678">
      <c r="A678" s="6" t="str">
        <f>IFERROR(__xludf.DUMMYFUNCTION("""COMPUTED_VALUE"""),"FM417")</f>
        <v>FM417</v>
      </c>
      <c r="B678" s="6" t="str">
        <f>IFERROR(__xludf.DUMMYFUNCTION("""COMPUTED_VALUE"""),"RUN-BEND_2022-03-07_RFR-047")</f>
        <v>RUN-BEND_2022-03-07_RFR-047</v>
      </c>
      <c r="C678" s="7">
        <f>VLOOKUP(B678,'Run Reconcile'!A$2:B809,2,FALSE)</f>
        <v>44627</v>
      </c>
      <c r="D678" s="12">
        <f>IFERROR(__xludf.DUMMYFUNCTION("""COMPUTED_VALUE"""),44627.0)</f>
        <v>44627</v>
      </c>
      <c r="E678" s="13">
        <f>IFERROR(__xludf.DUMMYFUNCTION("""COMPUTED_VALUE"""),0.2964351851842366)</f>
        <v>0.2964351852</v>
      </c>
      <c r="F678" s="10" t="str">
        <f>IFERROR(__xludf.DUMMYFUNCTION("""COMPUTED_VALUE"""),"Negative")</f>
        <v>Negative</v>
      </c>
      <c r="G678" s="10">
        <f>IFERROR(__xludf.DUMMYFUNCTION("""COMPUTED_VALUE"""),1.0)</f>
        <v>1</v>
      </c>
    </row>
    <row r="679">
      <c r="A679" s="6" t="str">
        <f>IFERROR(__xludf.DUMMYFUNCTION("""COMPUTED_VALUE"""),"FM476")</f>
        <v>FM476</v>
      </c>
      <c r="B679" s="6" t="str">
        <f>IFERROR(__xludf.DUMMYFUNCTION("""COMPUTED_VALUE"""),"RUN-BEND_2022-03-07_RFR-047")</f>
        <v>RUN-BEND_2022-03-07_RFR-047</v>
      </c>
      <c r="C679" s="7">
        <f>VLOOKUP(B679,'Run Reconcile'!A$2:B809,2,FALSE)</f>
        <v>44627</v>
      </c>
      <c r="D679" s="12">
        <f>IFERROR(__xludf.DUMMYFUNCTION("""COMPUTED_VALUE"""),44627.0)</f>
        <v>44627</v>
      </c>
      <c r="E679" s="13">
        <f>IFERROR(__xludf.DUMMYFUNCTION("""COMPUTED_VALUE"""),0.29714120370408637)</f>
        <v>0.2971412037</v>
      </c>
      <c r="F679" s="10" t="str">
        <f>IFERROR(__xludf.DUMMYFUNCTION("""COMPUTED_VALUE"""),"Negative")</f>
        <v>Negative</v>
      </c>
      <c r="G679" s="10">
        <f>IFERROR(__xludf.DUMMYFUNCTION("""COMPUTED_VALUE"""),1.0)</f>
        <v>1</v>
      </c>
    </row>
    <row r="680">
      <c r="A680" s="6" t="str">
        <f>IFERROR(__xludf.DUMMYFUNCTION("""COMPUTED_VALUE"""),"FM388")</f>
        <v>FM388</v>
      </c>
      <c r="B680" s="6" t="str">
        <f>IFERROR(__xludf.DUMMYFUNCTION("""COMPUTED_VALUE"""),"RUN-BEND_2022-03-07_RFR-047")</f>
        <v>RUN-BEND_2022-03-07_RFR-047</v>
      </c>
      <c r="C680" s="7">
        <f>VLOOKUP(B680,'Run Reconcile'!A$2:B809,2,FALSE)</f>
        <v>44627</v>
      </c>
      <c r="D680" s="12">
        <f>IFERROR(__xludf.DUMMYFUNCTION("""COMPUTED_VALUE"""),44627.0)</f>
        <v>44627</v>
      </c>
      <c r="E680" s="13">
        <f>IFERROR(__xludf.DUMMYFUNCTION("""COMPUTED_VALUE"""),0.3037152777760639)</f>
        <v>0.3037152778</v>
      </c>
      <c r="F680" s="10" t="str">
        <f>IFERROR(__xludf.DUMMYFUNCTION("""COMPUTED_VALUE"""),"Negative")</f>
        <v>Negative</v>
      </c>
      <c r="G680" s="10">
        <f>IFERROR(__xludf.DUMMYFUNCTION("""COMPUTED_VALUE"""),1.0)</f>
        <v>1</v>
      </c>
    </row>
    <row r="681">
      <c r="A681" s="6" t="str">
        <f>IFERROR(__xludf.DUMMYFUNCTION("""COMPUTED_VALUE"""),"FM52")</f>
        <v>FM52</v>
      </c>
      <c r="B681" s="6" t="str">
        <f>IFERROR(__xludf.DUMMYFUNCTION("""COMPUTED_VALUE"""),"RUN-BEND_2022-03-07_RFR-047")</f>
        <v>RUN-BEND_2022-03-07_RFR-047</v>
      </c>
      <c r="C681" s="7">
        <f>VLOOKUP(B681,'Run Reconcile'!A$2:B809,2,FALSE)</f>
        <v>44627</v>
      </c>
      <c r="D681" s="12">
        <f>IFERROR(__xludf.DUMMYFUNCTION("""COMPUTED_VALUE"""),44627.0)</f>
        <v>44627</v>
      </c>
      <c r="E681" s="13">
        <f>IFERROR(__xludf.DUMMYFUNCTION("""COMPUTED_VALUE"""),0.30881944444263354)</f>
        <v>0.3088194444</v>
      </c>
      <c r="F681" s="10" t="str">
        <f>IFERROR(__xludf.DUMMYFUNCTION("""COMPUTED_VALUE"""),"Negative")</f>
        <v>Negative</v>
      </c>
      <c r="G681" s="10">
        <f>IFERROR(__xludf.DUMMYFUNCTION("""COMPUTED_VALUE"""),1.0)</f>
        <v>1</v>
      </c>
    </row>
    <row r="682">
      <c r="A682" s="6" t="str">
        <f>IFERROR(__xludf.DUMMYFUNCTION("""COMPUTED_VALUE"""),"FM369")</f>
        <v>FM369</v>
      </c>
      <c r="B682" s="6" t="str">
        <f>IFERROR(__xludf.DUMMYFUNCTION("""COMPUTED_VALUE"""),"RUN-BEND_2022-03-07_RFR-047")</f>
        <v>RUN-BEND_2022-03-07_RFR-047</v>
      </c>
      <c r="C682" s="7">
        <f>VLOOKUP(B682,'Run Reconcile'!A$2:B809,2,FALSE)</f>
        <v>44627</v>
      </c>
      <c r="D682" s="12">
        <f>IFERROR(__xludf.DUMMYFUNCTION("""COMPUTED_VALUE"""),44627.0)</f>
        <v>44627</v>
      </c>
      <c r="E682" s="13">
        <f>IFERROR(__xludf.DUMMYFUNCTION("""COMPUTED_VALUE"""),0.31277777777722804)</f>
        <v>0.3127777778</v>
      </c>
      <c r="F682" s="10" t="str">
        <f>IFERROR(__xludf.DUMMYFUNCTION("""COMPUTED_VALUE"""),"Negative")</f>
        <v>Negative</v>
      </c>
      <c r="G682" s="10">
        <f>IFERROR(__xludf.DUMMYFUNCTION("""COMPUTED_VALUE"""),1.0)</f>
        <v>1</v>
      </c>
    </row>
    <row r="683">
      <c r="A683" s="6" t="str">
        <f>IFERROR(__xludf.DUMMYFUNCTION("""COMPUTED_VALUE"""),"FM54")</f>
        <v>FM54</v>
      </c>
      <c r="B683" s="6" t="str">
        <f>IFERROR(__xludf.DUMMYFUNCTION("""COMPUTED_VALUE"""),"RUN-BEND_2022-03-07_RFR-047")</f>
        <v>RUN-BEND_2022-03-07_RFR-047</v>
      </c>
      <c r="C683" s="7">
        <f>VLOOKUP(B683,'Run Reconcile'!A$2:B809,2,FALSE)</f>
        <v>44627</v>
      </c>
      <c r="D683" s="12">
        <f>IFERROR(__xludf.DUMMYFUNCTION("""COMPUTED_VALUE"""),44627.0)</f>
        <v>44627</v>
      </c>
      <c r="E683" s="13">
        <f>IFERROR(__xludf.DUMMYFUNCTION("""COMPUTED_VALUE"""),0.3136342592588335)</f>
        <v>0.3136342593</v>
      </c>
      <c r="F683" s="10" t="str">
        <f>IFERROR(__xludf.DUMMYFUNCTION("""COMPUTED_VALUE"""),"Negative")</f>
        <v>Negative</v>
      </c>
      <c r="G683" s="10">
        <f>IFERROR(__xludf.DUMMYFUNCTION("""COMPUTED_VALUE"""),1.0)</f>
        <v>1</v>
      </c>
    </row>
    <row r="684">
      <c r="A684" s="6" t="str">
        <f>IFERROR(__xludf.DUMMYFUNCTION("""COMPUTED_VALUE"""),"MA340")</f>
        <v>MA340</v>
      </c>
      <c r="B684" s="6" t="str">
        <f>IFERROR(__xludf.DUMMYFUNCTION("""COMPUTED_VALUE"""),"RUN-BEND_2022-03-07_RFR-047")</f>
        <v>RUN-BEND_2022-03-07_RFR-047</v>
      </c>
      <c r="C684" s="7">
        <f>VLOOKUP(B684,'Run Reconcile'!A$2:B809,2,FALSE)</f>
        <v>44627</v>
      </c>
      <c r="D684" s="12">
        <f>IFERROR(__xludf.DUMMYFUNCTION("""COMPUTED_VALUE"""),44627.0)</f>
        <v>44627</v>
      </c>
      <c r="E684" s="13">
        <f>IFERROR(__xludf.DUMMYFUNCTION("""COMPUTED_VALUE"""),0.31458333333284827)</f>
        <v>0.3145833333</v>
      </c>
      <c r="F684" s="10" t="str">
        <f>IFERROR(__xludf.DUMMYFUNCTION("""COMPUTED_VALUE"""),"Negative")</f>
        <v>Negative</v>
      </c>
      <c r="G684" s="10">
        <f>IFERROR(__xludf.DUMMYFUNCTION("""COMPUTED_VALUE"""),1.0)</f>
        <v>1</v>
      </c>
    </row>
    <row r="685">
      <c r="A685" s="6" t="str">
        <f>IFERROR(__xludf.DUMMYFUNCTION("""COMPUTED_VALUE"""),"MA1318")</f>
        <v>MA1318</v>
      </c>
      <c r="B685" s="6" t="str">
        <f>IFERROR(__xludf.DUMMYFUNCTION("""COMPUTED_VALUE"""),"RUN-BEND_2022-03-07_RFR-047")</f>
        <v>RUN-BEND_2022-03-07_RFR-047</v>
      </c>
      <c r="C685" s="7">
        <f>VLOOKUP(B685,'Run Reconcile'!A$2:B809,2,FALSE)</f>
        <v>44627</v>
      </c>
      <c r="D685" s="12">
        <f>IFERROR(__xludf.DUMMYFUNCTION("""COMPUTED_VALUE"""),44627.0)</f>
        <v>44627</v>
      </c>
      <c r="E685" s="13">
        <f>IFERROR(__xludf.DUMMYFUNCTION("""COMPUTED_VALUE"""),0.3181250000016007)</f>
        <v>0.318125</v>
      </c>
      <c r="F685" s="10" t="str">
        <f>IFERROR(__xludf.DUMMYFUNCTION("""COMPUTED_VALUE"""),"Negative")</f>
        <v>Negative</v>
      </c>
      <c r="G685" s="10">
        <f>IFERROR(__xludf.DUMMYFUNCTION("""COMPUTED_VALUE"""),1.0)</f>
        <v>1</v>
      </c>
    </row>
    <row r="686">
      <c r="A686" s="6" t="str">
        <f>IFERROR(__xludf.DUMMYFUNCTION("""COMPUTED_VALUE"""),"FM2068")</f>
        <v>FM2068</v>
      </c>
      <c r="B686" s="6" t="str">
        <f>IFERROR(__xludf.DUMMYFUNCTION("""COMPUTED_VALUE"""),"RUN-BEND_2022-03-07_RFR-047")</f>
        <v>RUN-BEND_2022-03-07_RFR-047</v>
      </c>
      <c r="C686" s="7">
        <f>VLOOKUP(B686,'Run Reconcile'!A$2:B809,2,FALSE)</f>
        <v>44627</v>
      </c>
      <c r="D686" s="12">
        <f>IFERROR(__xludf.DUMMYFUNCTION("""COMPUTED_VALUE"""),44627.0)</f>
        <v>44627</v>
      </c>
      <c r="E686" s="13">
        <f>IFERROR(__xludf.DUMMYFUNCTION("""COMPUTED_VALUE"""),0.31984953703795327)</f>
        <v>0.319849537</v>
      </c>
      <c r="F686" s="10" t="str">
        <f>IFERROR(__xludf.DUMMYFUNCTION("""COMPUTED_VALUE"""),"Negative")</f>
        <v>Negative</v>
      </c>
      <c r="G686" s="10">
        <f>IFERROR(__xludf.DUMMYFUNCTION("""COMPUTED_VALUE"""),1.0)</f>
        <v>1</v>
      </c>
    </row>
    <row r="687">
      <c r="A687" s="6" t="str">
        <f>IFERROR(__xludf.DUMMYFUNCTION("""COMPUTED_VALUE"""),"MA1284")</f>
        <v>MA1284</v>
      </c>
      <c r="B687" s="6" t="str">
        <f>IFERROR(__xludf.DUMMYFUNCTION("""COMPUTED_VALUE"""),"RUN-BEND_2022-03-07_RFR-047")</f>
        <v>RUN-BEND_2022-03-07_RFR-047</v>
      </c>
      <c r="C687" s="7">
        <f>VLOOKUP(B687,'Run Reconcile'!A$2:B809,2,FALSE)</f>
        <v>44627</v>
      </c>
      <c r="D687" s="12">
        <f>IFERROR(__xludf.DUMMYFUNCTION("""COMPUTED_VALUE"""),44627.0)</f>
        <v>44627</v>
      </c>
      <c r="E687" s="13">
        <f>IFERROR(__xludf.DUMMYFUNCTION("""COMPUTED_VALUE"""),0.3199768518534256)</f>
        <v>0.3199768519</v>
      </c>
      <c r="F687" s="10" t="str">
        <f>IFERROR(__xludf.DUMMYFUNCTION("""COMPUTED_VALUE"""),"Negative")</f>
        <v>Negative</v>
      </c>
      <c r="G687" s="10">
        <f>IFERROR(__xludf.DUMMYFUNCTION("""COMPUTED_VALUE"""),1.0)</f>
        <v>1</v>
      </c>
    </row>
    <row r="688">
      <c r="A688" s="6" t="str">
        <f>IFERROR(__xludf.DUMMYFUNCTION("""COMPUTED_VALUE"""),"FM2062")</f>
        <v>FM2062</v>
      </c>
      <c r="B688" s="6" t="str">
        <f>IFERROR(__xludf.DUMMYFUNCTION("""COMPUTED_VALUE"""),"RUN-BEND_2022-03-07_RFR-047")</f>
        <v>RUN-BEND_2022-03-07_RFR-047</v>
      </c>
      <c r="C688" s="7">
        <f>VLOOKUP(B688,'Run Reconcile'!A$2:B809,2,FALSE)</f>
        <v>44627</v>
      </c>
      <c r="D688" s="12">
        <f>IFERROR(__xludf.DUMMYFUNCTION("""COMPUTED_VALUE"""),44627.0)</f>
        <v>44627</v>
      </c>
      <c r="E688" s="13">
        <f>IFERROR(__xludf.DUMMYFUNCTION("""COMPUTED_VALUE"""),0.3200925925921183)</f>
        <v>0.3200925926</v>
      </c>
      <c r="F688" s="10" t="str">
        <f>IFERROR(__xludf.DUMMYFUNCTION("""COMPUTED_VALUE"""),"Negative")</f>
        <v>Negative</v>
      </c>
      <c r="G688" s="10">
        <f>IFERROR(__xludf.DUMMYFUNCTION("""COMPUTED_VALUE"""),1.0)</f>
        <v>1</v>
      </c>
    </row>
    <row r="689">
      <c r="A689" s="6" t="str">
        <f>IFERROR(__xludf.DUMMYFUNCTION("""COMPUTED_VALUE"""),"MA1227")</f>
        <v>MA1227</v>
      </c>
      <c r="B689" s="6" t="str">
        <f>IFERROR(__xludf.DUMMYFUNCTION("""COMPUTED_VALUE"""),"RUN-BEND_2022-03-07_RFR-047")</f>
        <v>RUN-BEND_2022-03-07_RFR-047</v>
      </c>
      <c r="C689" s="7">
        <f>VLOOKUP(B689,'Run Reconcile'!A$2:B809,2,FALSE)</f>
        <v>44627</v>
      </c>
      <c r="D689" s="12">
        <f>IFERROR(__xludf.DUMMYFUNCTION("""COMPUTED_VALUE"""),44627.0)</f>
        <v>44627</v>
      </c>
      <c r="E689" s="13">
        <f>IFERROR(__xludf.DUMMYFUNCTION("""COMPUTED_VALUE"""),0.32047453703853535)</f>
        <v>0.320474537</v>
      </c>
      <c r="F689" s="10" t="str">
        <f>IFERROR(__xludf.DUMMYFUNCTION("""COMPUTED_VALUE"""),"Negative")</f>
        <v>Negative</v>
      </c>
      <c r="G689" s="10">
        <f>IFERROR(__xludf.DUMMYFUNCTION("""COMPUTED_VALUE"""),1.0)</f>
        <v>1</v>
      </c>
    </row>
    <row r="690">
      <c r="A690" s="6" t="str">
        <f>IFERROR(__xludf.DUMMYFUNCTION("""COMPUTED_VALUE"""),"FM63")</f>
        <v>FM63</v>
      </c>
      <c r="B690" s="6" t="str">
        <f>IFERROR(__xludf.DUMMYFUNCTION("""COMPUTED_VALUE"""),"RUN-BEND_2022-03-07_RFR-047")</f>
        <v>RUN-BEND_2022-03-07_RFR-047</v>
      </c>
      <c r="C690" s="7">
        <f>VLOOKUP(B690,'Run Reconcile'!A$2:B809,2,FALSE)</f>
        <v>44627</v>
      </c>
      <c r="D690" s="12">
        <f>IFERROR(__xludf.DUMMYFUNCTION("""COMPUTED_VALUE"""),44627.0)</f>
        <v>44627</v>
      </c>
      <c r="E690" s="13">
        <f>IFERROR(__xludf.DUMMYFUNCTION("""COMPUTED_VALUE"""),0.3215740740743058)</f>
        <v>0.3215740741</v>
      </c>
      <c r="F690" s="10" t="str">
        <f>IFERROR(__xludf.DUMMYFUNCTION("""COMPUTED_VALUE"""),"Negative")</f>
        <v>Negative</v>
      </c>
      <c r="G690" s="10">
        <f>IFERROR(__xludf.DUMMYFUNCTION("""COMPUTED_VALUE"""),1.0)</f>
        <v>1</v>
      </c>
    </row>
    <row r="691">
      <c r="A691" s="6" t="str">
        <f>IFERROR(__xludf.DUMMYFUNCTION("""COMPUTED_VALUE"""),"FM43")</f>
        <v>FM43</v>
      </c>
      <c r="B691" s="6" t="str">
        <f>IFERROR(__xludf.DUMMYFUNCTION("""COMPUTED_VALUE"""),"RUN-BEND_2022-03-07_RFR-047")</f>
        <v>RUN-BEND_2022-03-07_RFR-047</v>
      </c>
      <c r="C691" s="7">
        <f>VLOOKUP(B691,'Run Reconcile'!A$2:B809,2,FALSE)</f>
        <v>44627</v>
      </c>
      <c r="D691" s="12">
        <f>IFERROR(__xludf.DUMMYFUNCTION("""COMPUTED_VALUE"""),44627.0)</f>
        <v>44627</v>
      </c>
      <c r="E691" s="13">
        <f>IFERROR(__xludf.DUMMYFUNCTION("""COMPUTED_VALUE"""),0.3216087962973688)</f>
        <v>0.3216087963</v>
      </c>
      <c r="F691" s="10" t="str">
        <f>IFERROR(__xludf.DUMMYFUNCTION("""COMPUTED_VALUE"""),"Negative")</f>
        <v>Negative</v>
      </c>
      <c r="G691" s="10">
        <f>IFERROR(__xludf.DUMMYFUNCTION("""COMPUTED_VALUE"""),1.0)</f>
        <v>1</v>
      </c>
    </row>
    <row r="692">
      <c r="A692" s="6" t="str">
        <f>IFERROR(__xludf.DUMMYFUNCTION("""COMPUTED_VALUE"""),"FM521")</f>
        <v>FM521</v>
      </c>
      <c r="B692" s="6" t="str">
        <f>IFERROR(__xludf.DUMMYFUNCTION("""COMPUTED_VALUE"""),"RUN-BEND_2022-03-07_RFR-047")</f>
        <v>RUN-BEND_2022-03-07_RFR-047</v>
      </c>
      <c r="C692" s="7">
        <f>VLOOKUP(B692,'Run Reconcile'!A$2:B809,2,FALSE)</f>
        <v>44627</v>
      </c>
      <c r="D692" s="12">
        <f>IFERROR(__xludf.DUMMYFUNCTION("""COMPUTED_VALUE"""),44627.0)</f>
        <v>44627</v>
      </c>
      <c r="E692" s="13">
        <f>IFERROR(__xludf.DUMMYFUNCTION("""COMPUTED_VALUE"""),0.323101851852698)</f>
        <v>0.3231018519</v>
      </c>
      <c r="F692" s="10" t="str">
        <f>IFERROR(__xludf.DUMMYFUNCTION("""COMPUTED_VALUE"""),"Negative")</f>
        <v>Negative</v>
      </c>
      <c r="G692" s="10">
        <f>IFERROR(__xludf.DUMMYFUNCTION("""COMPUTED_VALUE"""),1.0)</f>
        <v>1</v>
      </c>
    </row>
    <row r="693">
      <c r="A693" s="6" t="str">
        <f>IFERROR(__xludf.DUMMYFUNCTION("""COMPUTED_VALUE"""),"FM1007")</f>
        <v>FM1007</v>
      </c>
      <c r="B693" s="6" t="str">
        <f>IFERROR(__xludf.DUMMYFUNCTION("""COMPUTED_VALUE"""),"RUN-BEND_2022-03-07_RFR-047")</f>
        <v>RUN-BEND_2022-03-07_RFR-047</v>
      </c>
      <c r="C693" s="7">
        <f>VLOOKUP(B693,'Run Reconcile'!A$2:B809,2,FALSE)</f>
        <v>44627</v>
      </c>
      <c r="D693" s="12">
        <f>IFERROR(__xludf.DUMMYFUNCTION("""COMPUTED_VALUE"""),44627.0)</f>
        <v>44627</v>
      </c>
      <c r="E693" s="13">
        <f>IFERROR(__xludf.DUMMYFUNCTION("""COMPUTED_VALUE"""),0.32450231481561786)</f>
        <v>0.3245023148</v>
      </c>
      <c r="F693" s="10" t="str">
        <f>IFERROR(__xludf.DUMMYFUNCTION("""COMPUTED_VALUE"""),"Negative")</f>
        <v>Negative</v>
      </c>
      <c r="G693" s="10">
        <f>IFERROR(__xludf.DUMMYFUNCTION("""COMPUTED_VALUE"""),1.0)</f>
        <v>1</v>
      </c>
    </row>
    <row r="694">
      <c r="A694" s="6" t="str">
        <f>IFERROR(__xludf.DUMMYFUNCTION("""COMPUTED_VALUE"""),"FM93")</f>
        <v>FM93</v>
      </c>
      <c r="B694" s="6" t="str">
        <f>IFERROR(__xludf.DUMMYFUNCTION("""COMPUTED_VALUE"""),"RUN-BEND_2022-03-07_RFR-047")</f>
        <v>RUN-BEND_2022-03-07_RFR-047</v>
      </c>
      <c r="C694" s="7">
        <f>VLOOKUP(B694,'Run Reconcile'!A$2:B809,2,FALSE)</f>
        <v>44627</v>
      </c>
      <c r="D694" s="12">
        <f>IFERROR(__xludf.DUMMYFUNCTION("""COMPUTED_VALUE"""),44627.0)</f>
        <v>44627</v>
      </c>
      <c r="E694" s="13">
        <f>IFERROR(__xludf.DUMMYFUNCTION("""COMPUTED_VALUE"""),0.32531250000101863)</f>
        <v>0.3253125</v>
      </c>
      <c r="F694" s="10" t="str">
        <f>IFERROR(__xludf.DUMMYFUNCTION("""COMPUTED_VALUE"""),"Negative")</f>
        <v>Negative</v>
      </c>
      <c r="G694" s="10">
        <f>IFERROR(__xludf.DUMMYFUNCTION("""COMPUTED_VALUE"""),1.0)</f>
        <v>1</v>
      </c>
    </row>
    <row r="695">
      <c r="A695" s="6" t="str">
        <f>IFERROR(__xludf.DUMMYFUNCTION("""COMPUTED_VALUE"""),"FM448")</f>
        <v>FM448</v>
      </c>
      <c r="B695" s="6" t="str">
        <f>IFERROR(__xludf.DUMMYFUNCTION("""COMPUTED_VALUE"""),"RUN-BEND_2022-03-07_RFR-047")</f>
        <v>RUN-BEND_2022-03-07_RFR-047</v>
      </c>
      <c r="C695" s="7">
        <f>VLOOKUP(B695,'Run Reconcile'!A$2:B809,2,FALSE)</f>
        <v>44627</v>
      </c>
      <c r="D695" s="12">
        <f>IFERROR(__xludf.DUMMYFUNCTION("""COMPUTED_VALUE"""),44627.0)</f>
        <v>44627</v>
      </c>
      <c r="E695" s="13">
        <f>IFERROR(__xludf.DUMMYFUNCTION("""COMPUTED_VALUE"""),0.32567129629751435)</f>
        <v>0.3256712963</v>
      </c>
      <c r="F695" s="10" t="str">
        <f>IFERROR(__xludf.DUMMYFUNCTION("""COMPUTED_VALUE"""),"Negative")</f>
        <v>Negative</v>
      </c>
      <c r="G695" s="10">
        <f>IFERROR(__xludf.DUMMYFUNCTION("""COMPUTED_VALUE"""),1.0)</f>
        <v>1</v>
      </c>
    </row>
    <row r="696">
      <c r="A696" s="6" t="str">
        <f>IFERROR(__xludf.DUMMYFUNCTION("""COMPUTED_VALUE"""),"FM2080")</f>
        <v>FM2080</v>
      </c>
      <c r="B696" s="6" t="str">
        <f>IFERROR(__xludf.DUMMYFUNCTION("""COMPUTED_VALUE"""),"RUN-BEND_2022-03-07_RFR-047")</f>
        <v>RUN-BEND_2022-03-07_RFR-047</v>
      </c>
      <c r="C696" s="7">
        <f>VLOOKUP(B696,'Run Reconcile'!A$2:B809,2,FALSE)</f>
        <v>44627</v>
      </c>
      <c r="D696" s="12">
        <f>IFERROR(__xludf.DUMMYFUNCTION("""COMPUTED_VALUE"""),44627.0)</f>
        <v>44627</v>
      </c>
      <c r="E696" s="13">
        <f>IFERROR(__xludf.DUMMYFUNCTION("""COMPUTED_VALUE"""),0.32679398148320615)</f>
        <v>0.3267939815</v>
      </c>
      <c r="F696" s="10" t="str">
        <f>IFERROR(__xludf.DUMMYFUNCTION("""COMPUTED_VALUE"""),"Negative")</f>
        <v>Negative</v>
      </c>
      <c r="G696" s="10">
        <f>IFERROR(__xludf.DUMMYFUNCTION("""COMPUTED_VALUE"""),1.0)</f>
        <v>1</v>
      </c>
    </row>
    <row r="697">
      <c r="A697" s="6" t="str">
        <f>IFERROR(__xludf.DUMMYFUNCTION("""COMPUTED_VALUE"""),"FM1789")</f>
        <v>FM1789</v>
      </c>
      <c r="B697" s="6" t="str">
        <f>IFERROR(__xludf.DUMMYFUNCTION("""COMPUTED_VALUE"""),"RUN-BEND_2022-03-07_RFR-047")</f>
        <v>RUN-BEND_2022-03-07_RFR-047</v>
      </c>
      <c r="C697" s="7">
        <f>VLOOKUP(B697,'Run Reconcile'!A$2:B809,2,FALSE)</f>
        <v>44627</v>
      </c>
      <c r="D697" s="12">
        <f>IFERROR(__xludf.DUMMYFUNCTION("""COMPUTED_VALUE"""),44627.0)</f>
        <v>44627</v>
      </c>
      <c r="E697" s="13">
        <f>IFERROR(__xludf.DUMMYFUNCTION("""COMPUTED_VALUE"""),0.32782407407285064)</f>
        <v>0.3278240741</v>
      </c>
      <c r="F697" s="10" t="str">
        <f>IFERROR(__xludf.DUMMYFUNCTION("""COMPUTED_VALUE"""),"Negative")</f>
        <v>Negative</v>
      </c>
      <c r="G697" s="10">
        <f>IFERROR(__xludf.DUMMYFUNCTION("""COMPUTED_VALUE"""),1.0)</f>
        <v>1</v>
      </c>
    </row>
    <row r="698">
      <c r="A698" s="6" t="str">
        <f>IFERROR(__xludf.DUMMYFUNCTION("""COMPUTED_VALUE"""),"MA378")</f>
        <v>MA378</v>
      </c>
      <c r="B698" s="6" t="str">
        <f>IFERROR(__xludf.DUMMYFUNCTION("""COMPUTED_VALUE"""),"RUN-BEND_2022-03-07_RFR-047")</f>
        <v>RUN-BEND_2022-03-07_RFR-047</v>
      </c>
      <c r="C698" s="7">
        <f>VLOOKUP(B698,'Run Reconcile'!A$2:B809,2,FALSE)</f>
        <v>44627</v>
      </c>
      <c r="D698" s="12">
        <f>IFERROR(__xludf.DUMMYFUNCTION("""COMPUTED_VALUE"""),44627.0)</f>
        <v>44627</v>
      </c>
      <c r="E698" s="13">
        <f>IFERROR(__xludf.DUMMYFUNCTION("""COMPUTED_VALUE"""),0.33700231481634546)</f>
        <v>0.3370023148</v>
      </c>
      <c r="F698" s="10" t="str">
        <f>IFERROR(__xludf.DUMMYFUNCTION("""COMPUTED_VALUE"""),"Negative")</f>
        <v>Negative</v>
      </c>
      <c r="G698" s="10">
        <f>IFERROR(__xludf.DUMMYFUNCTION("""COMPUTED_VALUE"""),1.0)</f>
        <v>1</v>
      </c>
    </row>
    <row r="699">
      <c r="A699" s="6" t="str">
        <f>IFERROR(__xludf.DUMMYFUNCTION("""COMPUTED_VALUE"""),"MA353")</f>
        <v>MA353</v>
      </c>
      <c r="B699" s="6" t="str">
        <f>IFERROR(__xludf.DUMMYFUNCTION("""COMPUTED_VALUE"""),"RUN-BEND_2022-03-07_RFR-047")</f>
        <v>RUN-BEND_2022-03-07_RFR-047</v>
      </c>
      <c r="C699" s="7">
        <f>VLOOKUP(B699,'Run Reconcile'!A$2:B809,2,FALSE)</f>
        <v>44627</v>
      </c>
      <c r="D699" s="12">
        <f>IFERROR(__xludf.DUMMYFUNCTION("""COMPUTED_VALUE"""),44627.0)</f>
        <v>44627</v>
      </c>
      <c r="E699" s="13">
        <f>IFERROR(__xludf.DUMMYFUNCTION("""COMPUTED_VALUE"""),0.338344907406281)</f>
        <v>0.3383449074</v>
      </c>
      <c r="F699" s="10" t="str">
        <f>IFERROR(__xludf.DUMMYFUNCTION("""COMPUTED_VALUE"""),"Negative")</f>
        <v>Negative</v>
      </c>
      <c r="G699" s="10">
        <f>IFERROR(__xludf.DUMMYFUNCTION("""COMPUTED_VALUE"""),1.0)</f>
        <v>1</v>
      </c>
    </row>
    <row r="700">
      <c r="A700" s="6" t="str">
        <f>IFERROR(__xludf.DUMMYFUNCTION("""COMPUTED_VALUE"""),"FM367")</f>
        <v>FM367</v>
      </c>
      <c r="B700" s="6" t="str">
        <f>IFERROR(__xludf.DUMMYFUNCTION("""COMPUTED_VALUE"""),"RUN-BEND_2022-03-07_RFR-047")</f>
        <v>RUN-BEND_2022-03-07_RFR-047</v>
      </c>
      <c r="C700" s="7">
        <f>VLOOKUP(B700,'Run Reconcile'!A$2:B809,2,FALSE)</f>
        <v>44627</v>
      </c>
      <c r="D700" s="12">
        <f>IFERROR(__xludf.DUMMYFUNCTION("""COMPUTED_VALUE"""),44627.0)</f>
        <v>44627</v>
      </c>
      <c r="E700" s="13">
        <f>IFERROR(__xludf.DUMMYFUNCTION("""COMPUTED_VALUE"""),0.3385300925910997)</f>
        <v>0.3385300926</v>
      </c>
      <c r="F700" s="10" t="str">
        <f>IFERROR(__xludf.DUMMYFUNCTION("""COMPUTED_VALUE"""),"Negative")</f>
        <v>Negative</v>
      </c>
      <c r="G700" s="10">
        <f>IFERROR(__xludf.DUMMYFUNCTION("""COMPUTED_VALUE"""),1.0)</f>
        <v>1</v>
      </c>
    </row>
    <row r="701">
      <c r="A701" s="6" t="str">
        <f>IFERROR(__xludf.DUMMYFUNCTION("""COMPUTED_VALUE"""),"FM413")</f>
        <v>FM413</v>
      </c>
      <c r="B701" s="6" t="str">
        <f>IFERROR(__xludf.DUMMYFUNCTION("""COMPUTED_VALUE"""),"RUN-BEND_2022-03-07_RFR-047")</f>
        <v>RUN-BEND_2022-03-07_RFR-047</v>
      </c>
      <c r="C701" s="7">
        <f>VLOOKUP(B701,'Run Reconcile'!A$2:B809,2,FALSE)</f>
        <v>44627</v>
      </c>
      <c r="D701" s="12">
        <f>IFERROR(__xludf.DUMMYFUNCTION("""COMPUTED_VALUE"""),44627.0)</f>
        <v>44627</v>
      </c>
      <c r="E701" s="13">
        <f>IFERROR(__xludf.DUMMYFUNCTION("""COMPUTED_VALUE"""),0.33864583333343035)</f>
        <v>0.3386458333</v>
      </c>
      <c r="F701" s="10" t="str">
        <f>IFERROR(__xludf.DUMMYFUNCTION("""COMPUTED_VALUE"""),"Negative")</f>
        <v>Negative</v>
      </c>
      <c r="G701" s="10">
        <f>IFERROR(__xludf.DUMMYFUNCTION("""COMPUTED_VALUE"""),1.0)</f>
        <v>1</v>
      </c>
    </row>
    <row r="702">
      <c r="A702" s="6" t="str">
        <f>IFERROR(__xludf.DUMMYFUNCTION("""COMPUTED_VALUE"""),"MA314")</f>
        <v>MA314</v>
      </c>
      <c r="B702" s="6" t="str">
        <f>IFERROR(__xludf.DUMMYFUNCTION("""COMPUTED_VALUE"""),"RUN-BEND_2022-03-07_RFR-047")</f>
        <v>RUN-BEND_2022-03-07_RFR-047</v>
      </c>
      <c r="C702" s="7">
        <f>VLOOKUP(B702,'Run Reconcile'!A$2:B809,2,FALSE)</f>
        <v>44627</v>
      </c>
      <c r="D702" s="12">
        <f>IFERROR(__xludf.DUMMYFUNCTION("""COMPUTED_VALUE"""),44627.0)</f>
        <v>44627</v>
      </c>
      <c r="E702" s="13">
        <f>IFERROR(__xludf.DUMMYFUNCTION("""COMPUTED_VALUE"""),0.34769675925781485)</f>
        <v>0.3476967593</v>
      </c>
      <c r="F702" s="10" t="str">
        <f>IFERROR(__xludf.DUMMYFUNCTION("""COMPUTED_VALUE"""),"Negative")</f>
        <v>Negative</v>
      </c>
      <c r="G702" s="10">
        <f>IFERROR(__xludf.DUMMYFUNCTION("""COMPUTED_VALUE"""),1.0)</f>
        <v>1</v>
      </c>
    </row>
    <row r="703">
      <c r="A703" s="6" t="str">
        <f>IFERROR(__xludf.DUMMYFUNCTION("""COMPUTED_VALUE"""),"FM2099")</f>
        <v>FM2099</v>
      </c>
      <c r="B703" s="6" t="str">
        <f>IFERROR(__xludf.DUMMYFUNCTION("""COMPUTED_VALUE"""),"RUN-BEND_2022-03-07_RFR-047")</f>
        <v>RUN-BEND_2022-03-07_RFR-047</v>
      </c>
      <c r="C703" s="7">
        <f>VLOOKUP(B703,'Run Reconcile'!A$2:B809,2,FALSE)</f>
        <v>44627</v>
      </c>
      <c r="D703" s="12">
        <f>IFERROR(__xludf.DUMMYFUNCTION("""COMPUTED_VALUE"""),44627.0)</f>
        <v>44627</v>
      </c>
      <c r="E703" s="13">
        <f>IFERROR(__xludf.DUMMYFUNCTION("""COMPUTED_VALUE"""),0.3519560185195587)</f>
        <v>0.3519560185</v>
      </c>
      <c r="F703" s="10" t="str">
        <f>IFERROR(__xludf.DUMMYFUNCTION("""COMPUTED_VALUE"""),"Negative")</f>
        <v>Negative</v>
      </c>
      <c r="G703" s="10">
        <f>IFERROR(__xludf.DUMMYFUNCTION("""COMPUTED_VALUE"""),1.0)</f>
        <v>1</v>
      </c>
    </row>
    <row r="704">
      <c r="A704" s="6" t="str">
        <f>IFERROR(__xludf.DUMMYFUNCTION("""COMPUTED_VALUE"""),"FM2049")</f>
        <v>FM2049</v>
      </c>
      <c r="B704" s="6" t="str">
        <f>IFERROR(__xludf.DUMMYFUNCTION("""COMPUTED_VALUE"""),"RUN-BEND_2022-03-09_RFR-049")</f>
        <v>RUN-BEND_2022-03-09_RFR-049</v>
      </c>
      <c r="C704" s="7">
        <f>VLOOKUP(B704,'Run Reconcile'!A$2:B809,2,FALSE)</f>
        <v>44629</v>
      </c>
      <c r="D704" s="12">
        <f>IFERROR(__xludf.DUMMYFUNCTION("""COMPUTED_VALUE"""),44629.0)</f>
        <v>44629</v>
      </c>
      <c r="E704" s="13">
        <f>IFERROR(__xludf.DUMMYFUNCTION("""COMPUTED_VALUE"""),0.2939699074086093)</f>
        <v>0.2939699074</v>
      </c>
      <c r="F704" s="10" t="str">
        <f>IFERROR(__xludf.DUMMYFUNCTION("""COMPUTED_VALUE"""),"Negative")</f>
        <v>Negative</v>
      </c>
      <c r="G704" s="10">
        <f>IFERROR(__xludf.DUMMYFUNCTION("""COMPUTED_VALUE"""),1.0)</f>
        <v>1</v>
      </c>
    </row>
    <row r="705">
      <c r="A705" s="6" t="str">
        <f>IFERROR(__xludf.DUMMYFUNCTION("""COMPUTED_VALUE"""),"FM395")</f>
        <v>FM395</v>
      </c>
      <c r="B705" s="6" t="str">
        <f>IFERROR(__xludf.DUMMYFUNCTION("""COMPUTED_VALUE"""),"RUN-BEND_2022-03-09_RFR-049")</f>
        <v>RUN-BEND_2022-03-09_RFR-049</v>
      </c>
      <c r="C705" s="7">
        <f>VLOOKUP(B705,'Run Reconcile'!A$2:B809,2,FALSE)</f>
        <v>44629</v>
      </c>
      <c r="D705" s="12">
        <f>IFERROR(__xludf.DUMMYFUNCTION("""COMPUTED_VALUE"""),44629.0)</f>
        <v>44629</v>
      </c>
      <c r="E705" s="13">
        <f>IFERROR(__xludf.DUMMYFUNCTION("""COMPUTED_VALUE"""),0.3113657407411665)</f>
        <v>0.3113657407</v>
      </c>
      <c r="F705" s="10" t="str">
        <f>IFERROR(__xludf.DUMMYFUNCTION("""COMPUTED_VALUE"""),"Negative")</f>
        <v>Negative</v>
      </c>
      <c r="G705" s="10">
        <f>IFERROR(__xludf.DUMMYFUNCTION("""COMPUTED_VALUE"""),1.0)</f>
        <v>1</v>
      </c>
    </row>
    <row r="706">
      <c r="A706" s="6" t="str">
        <f>IFERROR(__xludf.DUMMYFUNCTION("""COMPUTED_VALUE"""),"MA1275")</f>
        <v>MA1275</v>
      </c>
      <c r="B706" s="6" t="str">
        <f>IFERROR(__xludf.DUMMYFUNCTION("""COMPUTED_VALUE"""),"RUN-BEND_2022-03-09_RFR-049")</f>
        <v>RUN-BEND_2022-03-09_RFR-049</v>
      </c>
      <c r="C706" s="7">
        <f>VLOOKUP(B706,'Run Reconcile'!A$2:B809,2,FALSE)</f>
        <v>44629</v>
      </c>
      <c r="D706" s="12">
        <f>IFERROR(__xludf.DUMMYFUNCTION("""COMPUTED_VALUE"""),44629.0)</f>
        <v>44629</v>
      </c>
      <c r="E706" s="13">
        <f>IFERROR(__xludf.DUMMYFUNCTION("""COMPUTED_VALUE"""),0.3117708333338669)</f>
        <v>0.3117708333</v>
      </c>
      <c r="F706" s="10" t="str">
        <f>IFERROR(__xludf.DUMMYFUNCTION("""COMPUTED_VALUE"""),"Negative")</f>
        <v>Negative</v>
      </c>
      <c r="G706" s="10">
        <f>IFERROR(__xludf.DUMMYFUNCTION("""COMPUTED_VALUE"""),1.0)</f>
        <v>1</v>
      </c>
    </row>
    <row r="707">
      <c r="A707" s="6" t="str">
        <f>IFERROR(__xludf.DUMMYFUNCTION("""COMPUTED_VALUE"""),"FM2067")</f>
        <v>FM2067</v>
      </c>
      <c r="B707" s="6" t="str">
        <f>IFERROR(__xludf.DUMMYFUNCTION("""COMPUTED_VALUE"""),"RUN-BEND_2022-03-09_RFR-049")</f>
        <v>RUN-BEND_2022-03-09_RFR-049</v>
      </c>
      <c r="C707" s="7">
        <f>VLOOKUP(B707,'Run Reconcile'!A$2:B809,2,FALSE)</f>
        <v>44629</v>
      </c>
      <c r="D707" s="12">
        <f>IFERROR(__xludf.DUMMYFUNCTION("""COMPUTED_VALUE"""),44629.0)</f>
        <v>44629</v>
      </c>
      <c r="E707" s="13">
        <f>IFERROR(__xludf.DUMMYFUNCTION("""COMPUTED_VALUE"""),0.31215277777664596)</f>
        <v>0.3121527778</v>
      </c>
      <c r="F707" s="10" t="str">
        <f>IFERROR(__xludf.DUMMYFUNCTION("""COMPUTED_VALUE"""),"Negative")</f>
        <v>Negative</v>
      </c>
      <c r="G707" s="10">
        <f>IFERROR(__xludf.DUMMYFUNCTION("""COMPUTED_VALUE"""),1.0)</f>
        <v>1</v>
      </c>
    </row>
    <row r="708">
      <c r="A708" s="6" t="str">
        <f>IFERROR(__xludf.DUMMYFUNCTION("""COMPUTED_VALUE"""),"FM310")</f>
        <v>FM310</v>
      </c>
      <c r="B708" s="6" t="str">
        <f>IFERROR(__xludf.DUMMYFUNCTION("""COMPUTED_VALUE"""),"RUN-BEND_2022-03-09_RFR-049")</f>
        <v>RUN-BEND_2022-03-09_RFR-049</v>
      </c>
      <c r="C708" s="7">
        <f>VLOOKUP(B708,'Run Reconcile'!A$2:B809,2,FALSE)</f>
        <v>44629</v>
      </c>
      <c r="D708" s="12">
        <f>IFERROR(__xludf.DUMMYFUNCTION("""COMPUTED_VALUE"""),44629.0)</f>
        <v>44629</v>
      </c>
      <c r="E708" s="13">
        <f>IFERROR(__xludf.DUMMYFUNCTION("""COMPUTED_VALUE"""),0.31225694444583496)</f>
        <v>0.3122569444</v>
      </c>
      <c r="F708" s="10" t="str">
        <f>IFERROR(__xludf.DUMMYFUNCTION("""COMPUTED_VALUE"""),"Negative")</f>
        <v>Negative</v>
      </c>
      <c r="G708" s="10">
        <f>IFERROR(__xludf.DUMMYFUNCTION("""COMPUTED_VALUE"""),1.0)</f>
        <v>1</v>
      </c>
    </row>
    <row r="709">
      <c r="A709" s="6" t="str">
        <f>IFERROR(__xludf.DUMMYFUNCTION("""COMPUTED_VALUE"""),"FM2046")</f>
        <v>FM2046</v>
      </c>
      <c r="B709" s="6" t="str">
        <f>IFERROR(__xludf.DUMMYFUNCTION("""COMPUTED_VALUE"""),"RUN-BEND_2022-03-09_RFR-049")</f>
        <v>RUN-BEND_2022-03-09_RFR-049</v>
      </c>
      <c r="C709" s="7">
        <f>VLOOKUP(B709,'Run Reconcile'!A$2:B809,2,FALSE)</f>
        <v>44629</v>
      </c>
      <c r="D709" s="12">
        <f>IFERROR(__xludf.DUMMYFUNCTION("""COMPUTED_VALUE"""),44629.0)</f>
        <v>44629</v>
      </c>
      <c r="E709" s="13">
        <f>IFERROR(__xludf.DUMMYFUNCTION("""COMPUTED_VALUE"""),0.31296296296204673)</f>
        <v>0.312962963</v>
      </c>
      <c r="F709" s="10" t="str">
        <f>IFERROR(__xludf.DUMMYFUNCTION("""COMPUTED_VALUE"""),"Negative")</f>
        <v>Negative</v>
      </c>
      <c r="G709" s="10">
        <f>IFERROR(__xludf.DUMMYFUNCTION("""COMPUTED_VALUE"""),1.0)</f>
        <v>1</v>
      </c>
    </row>
    <row r="710">
      <c r="A710" s="6" t="str">
        <f>IFERROR(__xludf.DUMMYFUNCTION("""COMPUTED_VALUE"""),"FM304")</f>
        <v>FM304</v>
      </c>
      <c r="B710" s="6" t="str">
        <f>IFERROR(__xludf.DUMMYFUNCTION("""COMPUTED_VALUE"""),"RUN-BEND_2022-03-09_RFR-049")</f>
        <v>RUN-BEND_2022-03-09_RFR-049</v>
      </c>
      <c r="C710" s="7">
        <f>VLOOKUP(B710,'Run Reconcile'!A$2:B809,2,FALSE)</f>
        <v>44629</v>
      </c>
      <c r="D710" s="12">
        <f>IFERROR(__xludf.DUMMYFUNCTION("""COMPUTED_VALUE"""),44629.0)</f>
        <v>44629</v>
      </c>
      <c r="E710" s="13">
        <f>IFERROR(__xludf.DUMMYFUNCTION("""COMPUTED_VALUE"""),0.3130902777775191)</f>
        <v>0.3130902778</v>
      </c>
      <c r="F710" s="10" t="str">
        <f>IFERROR(__xludf.DUMMYFUNCTION("""COMPUTED_VALUE"""),"Negative")</f>
        <v>Negative</v>
      </c>
      <c r="G710" s="10">
        <f>IFERROR(__xludf.DUMMYFUNCTION("""COMPUTED_VALUE"""),1.0)</f>
        <v>1</v>
      </c>
    </row>
    <row r="711">
      <c r="A711" s="6" t="str">
        <f>IFERROR(__xludf.DUMMYFUNCTION("""COMPUTED_VALUE"""),"FM2097")</f>
        <v>FM2097</v>
      </c>
      <c r="B711" s="6" t="str">
        <f>IFERROR(__xludf.DUMMYFUNCTION("""COMPUTED_VALUE"""),"RUN-BEND_2022-03-09_RFR-049")</f>
        <v>RUN-BEND_2022-03-09_RFR-049</v>
      </c>
      <c r="C711" s="7">
        <f>VLOOKUP(B711,'Run Reconcile'!A$2:B809,2,FALSE)</f>
        <v>44629</v>
      </c>
      <c r="D711" s="12">
        <f>IFERROR(__xludf.DUMMYFUNCTION("""COMPUTED_VALUE"""),44629.0)</f>
        <v>44629</v>
      </c>
      <c r="E711" s="13">
        <f>IFERROR(__xludf.DUMMYFUNCTION("""COMPUTED_VALUE"""),0.31440972222117125)</f>
        <v>0.3144097222</v>
      </c>
      <c r="F711" s="10" t="str">
        <f>IFERROR(__xludf.DUMMYFUNCTION("""COMPUTED_VALUE"""),"Negative")</f>
        <v>Negative</v>
      </c>
      <c r="G711" s="10">
        <f>IFERROR(__xludf.DUMMYFUNCTION("""COMPUTED_VALUE"""),1.0)</f>
        <v>1</v>
      </c>
    </row>
    <row r="712">
      <c r="A712" s="6" t="str">
        <f>IFERROR(__xludf.DUMMYFUNCTION("""COMPUTED_VALUE"""),"FM498")</f>
        <v>FM498</v>
      </c>
      <c r="B712" s="6" t="str">
        <f>IFERROR(__xludf.DUMMYFUNCTION("""COMPUTED_VALUE"""),"RUN-BEND_2022-03-09_RFR-049")</f>
        <v>RUN-BEND_2022-03-09_RFR-049</v>
      </c>
      <c r="C712" s="7">
        <f>VLOOKUP(B712,'Run Reconcile'!A$2:B809,2,FALSE)</f>
        <v>44629</v>
      </c>
      <c r="D712" s="12">
        <f>IFERROR(__xludf.DUMMYFUNCTION("""COMPUTED_VALUE"""),44629.0)</f>
        <v>44629</v>
      </c>
      <c r="E712" s="13">
        <f>IFERROR(__xludf.DUMMYFUNCTION("""COMPUTED_VALUE"""),0.3148263888906513)</f>
        <v>0.3148263889</v>
      </c>
      <c r="F712" s="10" t="str">
        <f>IFERROR(__xludf.DUMMYFUNCTION("""COMPUTED_VALUE"""),"Negative")</f>
        <v>Negative</v>
      </c>
      <c r="G712" s="10">
        <f>IFERROR(__xludf.DUMMYFUNCTION("""COMPUTED_VALUE"""),1.0)</f>
        <v>1</v>
      </c>
    </row>
    <row r="713">
      <c r="A713" s="6" t="str">
        <f>IFERROR(__xludf.DUMMYFUNCTION("""COMPUTED_VALUE"""),"FM422")</f>
        <v>FM422</v>
      </c>
      <c r="B713" s="6" t="str">
        <f>IFERROR(__xludf.DUMMYFUNCTION("""COMPUTED_VALUE"""),"RUN-BEND_2022-03-09_RFR-049")</f>
        <v>RUN-BEND_2022-03-09_RFR-049</v>
      </c>
      <c r="C713" s="7">
        <f>VLOOKUP(B713,'Run Reconcile'!A$2:B809,2,FALSE)</f>
        <v>44629</v>
      </c>
      <c r="D713" s="12">
        <f>IFERROR(__xludf.DUMMYFUNCTION("""COMPUTED_VALUE"""),44629.0)</f>
        <v>44629</v>
      </c>
      <c r="E713" s="13">
        <f>IFERROR(__xludf.DUMMYFUNCTION("""COMPUTED_VALUE"""),0.3169328703697829)</f>
        <v>0.3169328704</v>
      </c>
      <c r="F713" s="10" t="str">
        <f>IFERROR(__xludf.DUMMYFUNCTION("""COMPUTED_VALUE"""),"Negative")</f>
        <v>Negative</v>
      </c>
      <c r="G713" s="10">
        <f>IFERROR(__xludf.DUMMYFUNCTION("""COMPUTED_VALUE"""),1.0)</f>
        <v>1</v>
      </c>
    </row>
    <row r="714">
      <c r="A714" s="6" t="str">
        <f>IFERROR(__xludf.DUMMYFUNCTION("""COMPUTED_VALUE"""),"FM91")</f>
        <v>FM91</v>
      </c>
      <c r="B714" s="6" t="str">
        <f>IFERROR(__xludf.DUMMYFUNCTION("""COMPUTED_VALUE"""),"RUN-BEND_2022-03-09_RFR-049")</f>
        <v>RUN-BEND_2022-03-09_RFR-049</v>
      </c>
      <c r="C714" s="7">
        <f>VLOOKUP(B714,'Run Reconcile'!A$2:B809,2,FALSE)</f>
        <v>44629</v>
      </c>
      <c r="D714" s="12">
        <f>IFERROR(__xludf.DUMMYFUNCTION("""COMPUTED_VALUE"""),44629.0)</f>
        <v>44629</v>
      </c>
      <c r="E714" s="13">
        <f>IFERROR(__xludf.DUMMYFUNCTION("""COMPUTED_VALUE"""),0.31734953703562496)</f>
        <v>0.317349537</v>
      </c>
      <c r="F714" s="10" t="str">
        <f>IFERROR(__xludf.DUMMYFUNCTION("""COMPUTED_VALUE"""),"Negative")</f>
        <v>Negative</v>
      </c>
      <c r="G714" s="10">
        <f>IFERROR(__xludf.DUMMYFUNCTION("""COMPUTED_VALUE"""),1.0)</f>
        <v>1</v>
      </c>
    </row>
    <row r="715">
      <c r="A715" s="6" t="str">
        <f>IFERROR(__xludf.DUMMYFUNCTION("""COMPUTED_VALUE"""),"FM16")</f>
        <v>FM16</v>
      </c>
      <c r="B715" s="6" t="str">
        <f>IFERROR(__xludf.DUMMYFUNCTION("""COMPUTED_VALUE"""),"RUN-BEND_2022-03-09_RFR-049")</f>
        <v>RUN-BEND_2022-03-09_RFR-049</v>
      </c>
      <c r="C715" s="7">
        <f>VLOOKUP(B715,'Run Reconcile'!A$2:B809,2,FALSE)</f>
        <v>44629</v>
      </c>
      <c r="D715" s="12">
        <f>IFERROR(__xludf.DUMMYFUNCTION("""COMPUTED_VALUE"""),44629.0)</f>
        <v>44629</v>
      </c>
      <c r="E715" s="13">
        <f>IFERROR(__xludf.DUMMYFUNCTION("""COMPUTED_VALUE"""),0.3182407407402934)</f>
        <v>0.3182407407</v>
      </c>
      <c r="F715" s="10" t="str">
        <f>IFERROR(__xludf.DUMMYFUNCTION("""COMPUTED_VALUE"""),"Negative")</f>
        <v>Negative</v>
      </c>
      <c r="G715" s="10">
        <f>IFERROR(__xludf.DUMMYFUNCTION("""COMPUTED_VALUE"""),1.0)</f>
        <v>1</v>
      </c>
    </row>
    <row r="716">
      <c r="A716" s="6" t="str">
        <f>IFERROR(__xludf.DUMMYFUNCTION("""COMPUTED_VALUE"""),"FM340")</f>
        <v>FM340</v>
      </c>
      <c r="B716" s="6" t="str">
        <f>IFERROR(__xludf.DUMMYFUNCTION("""COMPUTED_VALUE"""),"RUN-BEND_2022-03-09_RFR-049")</f>
        <v>RUN-BEND_2022-03-09_RFR-049</v>
      </c>
      <c r="C716" s="7">
        <f>VLOOKUP(B716,'Run Reconcile'!A$2:B809,2,FALSE)</f>
        <v>44629</v>
      </c>
      <c r="D716" s="12">
        <f>IFERROR(__xludf.DUMMYFUNCTION("""COMPUTED_VALUE"""),44629.0)</f>
        <v>44629</v>
      </c>
      <c r="E716" s="13">
        <f>IFERROR(__xludf.DUMMYFUNCTION("""COMPUTED_VALUE"""),0.32018518518452765)</f>
        <v>0.3201851852</v>
      </c>
      <c r="F716" s="10" t="str">
        <f>IFERROR(__xludf.DUMMYFUNCTION("""COMPUTED_VALUE"""),"Negative")</f>
        <v>Negative</v>
      </c>
      <c r="G716" s="10">
        <f>IFERROR(__xludf.DUMMYFUNCTION("""COMPUTED_VALUE"""),1.0)</f>
        <v>1</v>
      </c>
    </row>
    <row r="717">
      <c r="A717" s="6" t="str">
        <f>IFERROR(__xludf.DUMMYFUNCTION("""COMPUTED_VALUE"""),"FM1889")</f>
        <v>FM1889</v>
      </c>
      <c r="B717" s="6" t="str">
        <f>IFERROR(__xludf.DUMMYFUNCTION("""COMPUTED_VALUE"""),"RUN-BEND_2022-03-09_RFR-049")</f>
        <v>RUN-BEND_2022-03-09_RFR-049</v>
      </c>
      <c r="C717" s="7">
        <f>VLOOKUP(B717,'Run Reconcile'!A$2:B809,2,FALSE)</f>
        <v>44629</v>
      </c>
      <c r="D717" s="12">
        <f>IFERROR(__xludf.DUMMYFUNCTION("""COMPUTED_VALUE"""),44629.0)</f>
        <v>44629</v>
      </c>
      <c r="E717" s="13">
        <f>IFERROR(__xludf.DUMMYFUNCTION("""COMPUTED_VALUE"""),0.32186342592467554)</f>
        <v>0.3218634259</v>
      </c>
      <c r="F717" s="10" t="str">
        <f>IFERROR(__xludf.DUMMYFUNCTION("""COMPUTED_VALUE"""),"Negative")</f>
        <v>Negative</v>
      </c>
      <c r="G717" s="10">
        <f>IFERROR(__xludf.DUMMYFUNCTION("""COMPUTED_VALUE"""),1.0)</f>
        <v>1</v>
      </c>
    </row>
    <row r="718">
      <c r="A718" s="6" t="str">
        <f>IFERROR(__xludf.DUMMYFUNCTION("""COMPUTED_VALUE"""),"FM401")</f>
        <v>FM401</v>
      </c>
      <c r="B718" s="6" t="str">
        <f>IFERROR(__xludf.DUMMYFUNCTION("""COMPUTED_VALUE"""),"RUN-BEND_2022-03-09_RFR-049")</f>
        <v>RUN-BEND_2022-03-09_RFR-049</v>
      </c>
      <c r="C718" s="7">
        <f>VLOOKUP(B718,'Run Reconcile'!A$2:B809,2,FALSE)</f>
        <v>44629</v>
      </c>
      <c r="D718" s="12">
        <f>IFERROR(__xludf.DUMMYFUNCTION("""COMPUTED_VALUE"""),44629.0)</f>
        <v>44629</v>
      </c>
      <c r="E718" s="13">
        <f>IFERROR(__xludf.DUMMYFUNCTION("""COMPUTED_VALUE"""),0.32378472222262644)</f>
        <v>0.3237847222</v>
      </c>
      <c r="F718" s="10" t="str">
        <f>IFERROR(__xludf.DUMMYFUNCTION("""COMPUTED_VALUE"""),"Negative")</f>
        <v>Negative</v>
      </c>
      <c r="G718" s="10">
        <f>IFERROR(__xludf.DUMMYFUNCTION("""COMPUTED_VALUE"""),1.0)</f>
        <v>1</v>
      </c>
    </row>
    <row r="719">
      <c r="A719" s="6" t="str">
        <f>IFERROR(__xludf.DUMMYFUNCTION("""COMPUTED_VALUE"""),"FM1797")</f>
        <v>FM1797</v>
      </c>
      <c r="B719" s="6" t="str">
        <f>IFERROR(__xludf.DUMMYFUNCTION("""COMPUTED_VALUE"""),"RUN-BEND_2022-03-09_RFR-049")</f>
        <v>RUN-BEND_2022-03-09_RFR-049</v>
      </c>
      <c r="C719" s="7">
        <f>VLOOKUP(B719,'Run Reconcile'!A$2:B809,2,FALSE)</f>
        <v>44629</v>
      </c>
      <c r="D719" s="12">
        <f>IFERROR(__xludf.DUMMYFUNCTION("""COMPUTED_VALUE"""),44629.0)</f>
        <v>44629</v>
      </c>
      <c r="E719" s="13">
        <f>IFERROR(__xludf.DUMMYFUNCTION("""COMPUTED_VALUE"""),0.3240162037036498)</f>
        <v>0.3240162037</v>
      </c>
      <c r="F719" s="10" t="str">
        <f>IFERROR(__xludf.DUMMYFUNCTION("""COMPUTED_VALUE"""),"Negative")</f>
        <v>Negative</v>
      </c>
      <c r="G719" s="10">
        <f>IFERROR(__xludf.DUMMYFUNCTION("""COMPUTED_VALUE"""),1.0)</f>
        <v>1</v>
      </c>
    </row>
    <row r="720">
      <c r="A720" s="6" t="str">
        <f>IFERROR(__xludf.DUMMYFUNCTION("""COMPUTED_VALUE"""),"MA333")</f>
        <v>MA333</v>
      </c>
      <c r="B720" s="6" t="str">
        <f>IFERROR(__xludf.DUMMYFUNCTION("""COMPUTED_VALUE"""),"RUN-BEND_2022-03-09_RFR-049")</f>
        <v>RUN-BEND_2022-03-09_RFR-049</v>
      </c>
      <c r="C720" s="7">
        <f>VLOOKUP(B720,'Run Reconcile'!A$2:B809,2,FALSE)</f>
        <v>44629</v>
      </c>
      <c r="D720" s="12">
        <f>IFERROR(__xludf.DUMMYFUNCTION("""COMPUTED_VALUE"""),44629.0)</f>
        <v>44629</v>
      </c>
      <c r="E720" s="13">
        <f>IFERROR(__xludf.DUMMYFUNCTION("""COMPUTED_VALUE"""),0.32828703703853535)</f>
        <v>0.328287037</v>
      </c>
      <c r="F720" s="10" t="str">
        <f>IFERROR(__xludf.DUMMYFUNCTION("""COMPUTED_VALUE"""),"Negative")</f>
        <v>Negative</v>
      </c>
      <c r="G720" s="10">
        <f>IFERROR(__xludf.DUMMYFUNCTION("""COMPUTED_VALUE"""),1.0)</f>
        <v>1</v>
      </c>
    </row>
    <row r="721">
      <c r="A721" s="6" t="str">
        <f>IFERROR(__xludf.DUMMYFUNCTION("""COMPUTED_VALUE"""),"FM47")</f>
        <v>FM47</v>
      </c>
      <c r="B721" s="6" t="str">
        <f>IFERROR(__xludf.DUMMYFUNCTION("""COMPUTED_VALUE"""),"RUN-BEND_2022-03-09_RFR-049")</f>
        <v>RUN-BEND_2022-03-09_RFR-049</v>
      </c>
      <c r="C721" s="7">
        <f>VLOOKUP(B721,'Run Reconcile'!A$2:B809,2,FALSE)</f>
        <v>44629</v>
      </c>
      <c r="D721" s="12">
        <f>IFERROR(__xludf.DUMMYFUNCTION("""COMPUTED_VALUE"""),44629.0)</f>
        <v>44629</v>
      </c>
      <c r="E721" s="13">
        <f>IFERROR(__xludf.DUMMYFUNCTION("""COMPUTED_VALUE"""),0.3285300925927004)</f>
        <v>0.3285300926</v>
      </c>
      <c r="F721" s="10" t="str">
        <f>IFERROR(__xludf.DUMMYFUNCTION("""COMPUTED_VALUE"""),"Negative")</f>
        <v>Negative</v>
      </c>
      <c r="G721" s="10">
        <f>IFERROR(__xludf.DUMMYFUNCTION("""COMPUTED_VALUE"""),1.0)</f>
        <v>1</v>
      </c>
    </row>
    <row r="722">
      <c r="A722" s="6" t="str">
        <f>IFERROR(__xludf.DUMMYFUNCTION("""COMPUTED_VALUE"""),"MA357")</f>
        <v>MA357</v>
      </c>
      <c r="B722" s="6" t="str">
        <f>IFERROR(__xludf.DUMMYFUNCTION("""COMPUTED_VALUE"""),"RUN-BEND_2022-03-09_RFR-049")</f>
        <v>RUN-BEND_2022-03-09_RFR-049</v>
      </c>
      <c r="C722" s="7">
        <f>VLOOKUP(B722,'Run Reconcile'!A$2:B809,2,FALSE)</f>
        <v>44629</v>
      </c>
      <c r="D722" s="12">
        <f>IFERROR(__xludf.DUMMYFUNCTION("""COMPUTED_VALUE"""),44629.0)</f>
        <v>44629</v>
      </c>
      <c r="E722" s="13">
        <f>IFERROR(__xludf.DUMMYFUNCTION("""COMPUTED_VALUE"""),0.3330324074086093)</f>
        <v>0.3330324074</v>
      </c>
      <c r="F722" s="10" t="str">
        <f>IFERROR(__xludf.DUMMYFUNCTION("""COMPUTED_VALUE"""),"Negative")</f>
        <v>Negative</v>
      </c>
      <c r="G722" s="10">
        <f>IFERROR(__xludf.DUMMYFUNCTION("""COMPUTED_VALUE"""),1.0)</f>
        <v>1</v>
      </c>
    </row>
    <row r="723">
      <c r="A723" s="6" t="str">
        <f>IFERROR(__xludf.DUMMYFUNCTION("""COMPUTED_VALUE"""),"MA395")</f>
        <v>MA395</v>
      </c>
      <c r="B723" s="6" t="str">
        <f>IFERROR(__xludf.DUMMYFUNCTION("""COMPUTED_VALUE"""),"RUN-BEND_2022-03-09_RFR-049")</f>
        <v>RUN-BEND_2022-03-09_RFR-049</v>
      </c>
      <c r="C723" s="7">
        <f>VLOOKUP(B723,'Run Reconcile'!A$2:B809,2,FALSE)</f>
        <v>44629</v>
      </c>
      <c r="D723" s="12">
        <f>IFERROR(__xludf.DUMMYFUNCTION("""COMPUTED_VALUE"""),44629.0)</f>
        <v>44629</v>
      </c>
      <c r="E723" s="13">
        <f>IFERROR(__xludf.DUMMYFUNCTION("""COMPUTED_VALUE"""),0.3348379629642295)</f>
        <v>0.334837963</v>
      </c>
      <c r="F723" s="10" t="str">
        <f>IFERROR(__xludf.DUMMYFUNCTION("""COMPUTED_VALUE"""),"Negative")</f>
        <v>Negative</v>
      </c>
      <c r="G723" s="10">
        <f>IFERROR(__xludf.DUMMYFUNCTION("""COMPUTED_VALUE"""),1.0)</f>
        <v>1</v>
      </c>
    </row>
    <row r="724">
      <c r="A724" s="6" t="str">
        <f>IFERROR(__xludf.DUMMYFUNCTION("""COMPUTED_VALUE"""),"MA379")</f>
        <v>MA379</v>
      </c>
      <c r="B724" s="6" t="str">
        <f>IFERROR(__xludf.DUMMYFUNCTION("""COMPUTED_VALUE"""),"RUN-BEND_2022-03-09_RFR-049")</f>
        <v>RUN-BEND_2022-03-09_RFR-049</v>
      </c>
      <c r="C724" s="7">
        <f>VLOOKUP(B724,'Run Reconcile'!A$2:B809,2,FALSE)</f>
        <v>44629</v>
      </c>
      <c r="D724" s="12">
        <f>IFERROR(__xludf.DUMMYFUNCTION("""COMPUTED_VALUE"""),44629.0)</f>
        <v>44629</v>
      </c>
      <c r="E724" s="13">
        <f>IFERROR(__xludf.DUMMYFUNCTION("""COMPUTED_VALUE"""),0.33490740740671754)</f>
        <v>0.3349074074</v>
      </c>
      <c r="F724" s="10" t="str">
        <f>IFERROR(__xludf.DUMMYFUNCTION("""COMPUTED_VALUE"""),"Negative")</f>
        <v>Negative</v>
      </c>
      <c r="G724" s="10">
        <f>IFERROR(__xludf.DUMMYFUNCTION("""COMPUTED_VALUE"""),1.0)</f>
        <v>1</v>
      </c>
    </row>
    <row r="725">
      <c r="A725" s="6" t="str">
        <f>IFERROR(__xludf.DUMMYFUNCTION("""COMPUTED_VALUE"""),"FM83")</f>
        <v>FM83</v>
      </c>
      <c r="B725" s="6" t="str">
        <f>IFERROR(__xludf.DUMMYFUNCTION("""COMPUTED_VALUE"""),"RUN-BEND_2022-03-09_RFR-049")</f>
        <v>RUN-BEND_2022-03-09_RFR-049</v>
      </c>
      <c r="C725" s="7">
        <f>VLOOKUP(B725,'Run Reconcile'!A$2:B809,2,FALSE)</f>
        <v>44629</v>
      </c>
      <c r="D725" s="12">
        <f>IFERROR(__xludf.DUMMYFUNCTION("""COMPUTED_VALUE"""),44629.0)</f>
        <v>44629</v>
      </c>
      <c r="E725" s="13">
        <f>IFERROR(__xludf.DUMMYFUNCTION("""COMPUTED_VALUE"""),0.3370949074087548)</f>
        <v>0.3370949074</v>
      </c>
      <c r="F725" s="10" t="str">
        <f>IFERROR(__xludf.DUMMYFUNCTION("""COMPUTED_VALUE"""),"Negative")</f>
        <v>Negative</v>
      </c>
      <c r="G725" s="10">
        <f>IFERROR(__xludf.DUMMYFUNCTION("""COMPUTED_VALUE"""),1.0)</f>
        <v>1</v>
      </c>
    </row>
    <row r="726">
      <c r="A726" s="6" t="str">
        <f>IFERROR(__xludf.DUMMYFUNCTION("""COMPUTED_VALUE"""),"FM60")</f>
        <v>FM60</v>
      </c>
      <c r="B726" s="6" t="str">
        <f>IFERROR(__xludf.DUMMYFUNCTION("""COMPUTED_VALUE"""),"RUN-BEND_2022-03-09_RFR-049")</f>
        <v>RUN-BEND_2022-03-09_RFR-049</v>
      </c>
      <c r="C726" s="7">
        <f>VLOOKUP(B726,'Run Reconcile'!A$2:B809,2,FALSE)</f>
        <v>44629</v>
      </c>
      <c r="D726" s="12">
        <f>IFERROR(__xludf.DUMMYFUNCTION("""COMPUTED_VALUE"""),44629.0)</f>
        <v>44629</v>
      </c>
      <c r="E726" s="13">
        <f>IFERROR(__xludf.DUMMYFUNCTION("""COMPUTED_VALUE"""),0.40182870370335877)</f>
        <v>0.4018287037</v>
      </c>
      <c r="F726" s="10" t="str">
        <f>IFERROR(__xludf.DUMMYFUNCTION("""COMPUTED_VALUE"""),"Negative")</f>
        <v>Negative</v>
      </c>
      <c r="G726" s="10">
        <f>IFERROR(__xludf.DUMMYFUNCTION("""COMPUTED_VALUE"""),1.0)</f>
        <v>1</v>
      </c>
    </row>
    <row r="727">
      <c r="A727" s="6" t="str">
        <f>IFERROR(__xludf.DUMMYFUNCTION("""COMPUTED_VALUE"""),"MA1313")</f>
        <v>MA1313</v>
      </c>
      <c r="B727" s="6" t="str">
        <f>IFERROR(__xludf.DUMMYFUNCTION("""COMPUTED_VALUE"""),"RUN-BEND_2022-03-09_RFR-049")</f>
        <v>RUN-BEND_2022-03-09_RFR-049</v>
      </c>
      <c r="C727" s="7">
        <f>VLOOKUP(B727,'Run Reconcile'!A$2:B809,2,FALSE)</f>
        <v>44629</v>
      </c>
      <c r="D727" s="12">
        <f>IFERROR(__xludf.DUMMYFUNCTION("""COMPUTED_VALUE"""),44629.0)</f>
        <v>44629</v>
      </c>
      <c r="E727" s="13">
        <f>IFERROR(__xludf.DUMMYFUNCTION("""COMPUTED_VALUE"""),0.4059606481496303)</f>
        <v>0.4059606481</v>
      </c>
      <c r="F727" s="10" t="str">
        <f>IFERROR(__xludf.DUMMYFUNCTION("""COMPUTED_VALUE"""),"Negative")</f>
        <v>Negative</v>
      </c>
      <c r="G727" s="10">
        <f>IFERROR(__xludf.DUMMYFUNCTION("""COMPUTED_VALUE"""),1.0)</f>
        <v>1</v>
      </c>
    </row>
    <row r="728">
      <c r="A728" s="6" t="str">
        <f>IFERROR(__xludf.DUMMYFUNCTION("""COMPUTED_VALUE"""),"MA1254")</f>
        <v>MA1254</v>
      </c>
      <c r="B728" s="6" t="str">
        <f>IFERROR(__xludf.DUMMYFUNCTION("""COMPUTED_VALUE"""),"RUN-BEND_2022-03-09_RFR-049")</f>
        <v>RUN-BEND_2022-03-09_RFR-049</v>
      </c>
      <c r="C728" s="7">
        <f>VLOOKUP(B728,'Run Reconcile'!A$2:B809,2,FALSE)</f>
        <v>44629</v>
      </c>
      <c r="D728" s="12">
        <f>IFERROR(__xludf.DUMMYFUNCTION("""COMPUTED_VALUE"""),44629.0)</f>
        <v>44629</v>
      </c>
      <c r="E728" s="13">
        <f>IFERROR(__xludf.DUMMYFUNCTION("""COMPUTED_VALUE"""),0.4073495370357705)</f>
        <v>0.407349537</v>
      </c>
      <c r="F728" s="10" t="str">
        <f>IFERROR(__xludf.DUMMYFUNCTION("""COMPUTED_VALUE"""),"Negative")</f>
        <v>Negative</v>
      </c>
      <c r="G728" s="10">
        <f>IFERROR(__xludf.DUMMYFUNCTION("""COMPUTED_VALUE"""),1.0)</f>
        <v>1</v>
      </c>
    </row>
    <row r="729">
      <c r="A729" s="6" t="str">
        <f>IFERROR(__xludf.DUMMYFUNCTION("""COMPUTED_VALUE"""),"FM427")</f>
        <v>FM427</v>
      </c>
      <c r="B729" s="6" t="str">
        <f>IFERROR(__xludf.DUMMYFUNCTION("""COMPUTED_VALUE"""),"RUN-BEND_2022-03-09_RFR-049")</f>
        <v>RUN-BEND_2022-03-09_RFR-049</v>
      </c>
      <c r="C729" s="7">
        <f>VLOOKUP(B729,'Run Reconcile'!A$2:B809,2,FALSE)</f>
        <v>44629</v>
      </c>
      <c r="D729" s="12">
        <f>IFERROR(__xludf.DUMMYFUNCTION("""COMPUTED_VALUE"""),44629.0)</f>
        <v>44629</v>
      </c>
      <c r="E729" s="13">
        <f>IFERROR(__xludf.DUMMYFUNCTION("""COMPUTED_VALUE"""),0.48932870370481396)</f>
        <v>0.4893287037</v>
      </c>
      <c r="F729" s="10" t="str">
        <f>IFERROR(__xludf.DUMMYFUNCTION("""COMPUTED_VALUE"""),"Negative")</f>
        <v>Negative</v>
      </c>
      <c r="G729" s="10">
        <f>IFERROR(__xludf.DUMMYFUNCTION("""COMPUTED_VALUE"""),1.0)</f>
        <v>1</v>
      </c>
    </row>
    <row r="730">
      <c r="A730" s="6" t="str">
        <f>IFERROR(__xludf.DUMMYFUNCTION("""COMPUTED_VALUE"""),"FM439")</f>
        <v>FM439</v>
      </c>
      <c r="B730" s="6" t="str">
        <f>IFERROR(__xludf.DUMMYFUNCTION("""COMPUTED_VALUE"""),"RUN-BEND_2022-03-09_RFR-049")</f>
        <v>RUN-BEND_2022-03-09_RFR-049</v>
      </c>
      <c r="C730" s="7">
        <f>VLOOKUP(B730,'Run Reconcile'!A$2:B809,2,FALSE)</f>
        <v>44629</v>
      </c>
      <c r="D730" s="12">
        <f>IFERROR(__xludf.DUMMYFUNCTION("""COMPUTED_VALUE"""),44629.0)</f>
        <v>44629</v>
      </c>
      <c r="E730" s="13">
        <f>IFERROR(__xludf.DUMMYFUNCTION("""COMPUTED_VALUE"""),0.48990740740919136)</f>
        <v>0.4899074074</v>
      </c>
      <c r="F730" s="10" t="str">
        <f>IFERROR(__xludf.DUMMYFUNCTION("""COMPUTED_VALUE"""),"Negative")</f>
        <v>Negative</v>
      </c>
      <c r="G730" s="10">
        <f>IFERROR(__xludf.DUMMYFUNCTION("""COMPUTED_VALUE"""),1.0)</f>
        <v>1</v>
      </c>
    </row>
    <row r="731">
      <c r="A731" s="6" t="str">
        <f>IFERROR(__xludf.DUMMYFUNCTION("""COMPUTED_VALUE"""),"MA1210")</f>
        <v>MA1210</v>
      </c>
      <c r="B731" s="6" t="str">
        <f>IFERROR(__xludf.DUMMYFUNCTION("""COMPUTED_VALUE"""),"RUN-BEND_2022-03-11_RFR-050")</f>
        <v>RUN-BEND_2022-03-11_RFR-050</v>
      </c>
      <c r="C731" s="7">
        <f>VLOOKUP(B731,'Run Reconcile'!A$2:B809,2,FALSE)</f>
        <v>44631</v>
      </c>
      <c r="D731" s="12">
        <f>IFERROR(__xludf.DUMMYFUNCTION("""COMPUTED_VALUE"""),44631.0)</f>
        <v>44631</v>
      </c>
      <c r="E731" s="13">
        <f>IFERROR(__xludf.DUMMYFUNCTION("""COMPUTED_VALUE"""),0.2678009259252576)</f>
        <v>0.2678009259</v>
      </c>
      <c r="F731" s="10" t="str">
        <f>IFERROR(__xludf.DUMMYFUNCTION("""COMPUTED_VALUE"""),"Negative")</f>
        <v>Negative</v>
      </c>
      <c r="G731" s="10">
        <f>IFERROR(__xludf.DUMMYFUNCTION("""COMPUTED_VALUE"""),1.0)</f>
        <v>1</v>
      </c>
    </row>
    <row r="732">
      <c r="A732" s="6" t="str">
        <f>IFERROR(__xludf.DUMMYFUNCTION("""COMPUTED_VALUE"""),"MA1302")</f>
        <v>MA1302</v>
      </c>
      <c r="B732" s="6" t="str">
        <f>IFERROR(__xludf.DUMMYFUNCTION("""COMPUTED_VALUE"""),"RUN-BEND_2022-03-11_RFR-050")</f>
        <v>RUN-BEND_2022-03-11_RFR-050</v>
      </c>
      <c r="C732" s="7">
        <f>VLOOKUP(B732,'Run Reconcile'!A$2:B809,2,FALSE)</f>
        <v>44631</v>
      </c>
      <c r="D732" s="12">
        <f>IFERROR(__xludf.DUMMYFUNCTION("""COMPUTED_VALUE"""),44631.0)</f>
        <v>44631</v>
      </c>
      <c r="E732" s="13">
        <f>IFERROR(__xludf.DUMMYFUNCTION("""COMPUTED_VALUE"""),0.2694328703692008)</f>
        <v>0.2694328704</v>
      </c>
      <c r="F732" s="10" t="str">
        <f>IFERROR(__xludf.DUMMYFUNCTION("""COMPUTED_VALUE"""),"Negative")</f>
        <v>Negative</v>
      </c>
      <c r="G732" s="10">
        <f>IFERROR(__xludf.DUMMYFUNCTION("""COMPUTED_VALUE"""),1.0)</f>
        <v>1</v>
      </c>
    </row>
    <row r="733">
      <c r="A733" s="6" t="str">
        <f>IFERROR(__xludf.DUMMYFUNCTION("""COMPUTED_VALUE"""),"MA345")</f>
        <v>MA345</v>
      </c>
      <c r="B733" s="6" t="str">
        <f>IFERROR(__xludf.DUMMYFUNCTION("""COMPUTED_VALUE"""),"RUN-BEND_2022-03-11_RFR-050")</f>
        <v>RUN-BEND_2022-03-11_RFR-050</v>
      </c>
      <c r="C733" s="7">
        <f>VLOOKUP(B733,'Run Reconcile'!A$2:B809,2,FALSE)</f>
        <v>44631</v>
      </c>
      <c r="D733" s="12">
        <f>IFERROR(__xludf.DUMMYFUNCTION("""COMPUTED_VALUE"""),44631.0)</f>
        <v>44631</v>
      </c>
      <c r="E733" s="13">
        <f>IFERROR(__xludf.DUMMYFUNCTION("""COMPUTED_VALUE"""),0.27690972222262644)</f>
        <v>0.2769097222</v>
      </c>
      <c r="F733" s="10" t="str">
        <f>IFERROR(__xludf.DUMMYFUNCTION("""COMPUTED_VALUE"""),"Negative")</f>
        <v>Negative</v>
      </c>
      <c r="G733" s="10">
        <f>IFERROR(__xludf.DUMMYFUNCTION("""COMPUTED_VALUE"""),1.0)</f>
        <v>1</v>
      </c>
    </row>
    <row r="734">
      <c r="A734" s="6" t="str">
        <f>IFERROR(__xludf.DUMMYFUNCTION("""COMPUTED_VALUE"""),"FM2060")</f>
        <v>FM2060</v>
      </c>
      <c r="B734" s="6" t="str">
        <f>IFERROR(__xludf.DUMMYFUNCTION("""COMPUTED_VALUE"""),"RUN-BEND_2022-03-11_RFR-050")</f>
        <v>RUN-BEND_2022-03-11_RFR-050</v>
      </c>
      <c r="C734" s="7">
        <f>VLOOKUP(B734,'Run Reconcile'!A$2:B809,2,FALSE)</f>
        <v>44631</v>
      </c>
      <c r="D734" s="12">
        <f>IFERROR(__xludf.DUMMYFUNCTION("""COMPUTED_VALUE"""),44631.0)</f>
        <v>44631</v>
      </c>
      <c r="E734" s="13">
        <f>IFERROR(__xludf.DUMMYFUNCTION("""COMPUTED_VALUE"""),0.28766203703708015)</f>
        <v>0.287662037</v>
      </c>
      <c r="F734" s="10" t="str">
        <f>IFERROR(__xludf.DUMMYFUNCTION("""COMPUTED_VALUE"""),"Negative")</f>
        <v>Negative</v>
      </c>
      <c r="G734" s="10">
        <f>IFERROR(__xludf.DUMMYFUNCTION("""COMPUTED_VALUE"""),1.0)</f>
        <v>1</v>
      </c>
    </row>
    <row r="735">
      <c r="A735" s="6" t="str">
        <f>IFERROR(__xludf.DUMMYFUNCTION("""COMPUTED_VALUE"""),"FM318")</f>
        <v>FM318</v>
      </c>
      <c r="B735" s="6" t="str">
        <f>IFERROR(__xludf.DUMMYFUNCTION("""COMPUTED_VALUE"""),"RUN-BEND_2022-03-11_RFR-050")</f>
        <v>RUN-BEND_2022-03-11_RFR-050</v>
      </c>
      <c r="C735" s="7">
        <f>VLOOKUP(B735,'Run Reconcile'!A$2:B809,2,FALSE)</f>
        <v>44631</v>
      </c>
      <c r="D735" s="12">
        <f>IFERROR(__xludf.DUMMYFUNCTION("""COMPUTED_VALUE"""),44631.0)</f>
        <v>44631</v>
      </c>
      <c r="E735" s="13">
        <f>IFERROR(__xludf.DUMMYFUNCTION("""COMPUTED_VALUE"""),0.2908101851862739)</f>
        <v>0.2908101852</v>
      </c>
      <c r="F735" s="10" t="str">
        <f>IFERROR(__xludf.DUMMYFUNCTION("""COMPUTED_VALUE"""),"Negative")</f>
        <v>Negative</v>
      </c>
      <c r="G735" s="10">
        <f>IFERROR(__xludf.DUMMYFUNCTION("""COMPUTED_VALUE"""),1.0)</f>
        <v>1</v>
      </c>
    </row>
    <row r="736">
      <c r="A736" s="6" t="str">
        <f>IFERROR(__xludf.DUMMYFUNCTION("""COMPUTED_VALUE"""),"FM2042")</f>
        <v>FM2042</v>
      </c>
      <c r="B736" s="6" t="str">
        <f>IFERROR(__xludf.DUMMYFUNCTION("""COMPUTED_VALUE"""),"RUN-BEND_2022-03-11_RFR-050")</f>
        <v>RUN-BEND_2022-03-11_RFR-050</v>
      </c>
      <c r="C736" s="7">
        <f>VLOOKUP(B736,'Run Reconcile'!A$2:B809,2,FALSE)</f>
        <v>44631</v>
      </c>
      <c r="D736" s="12">
        <f>IFERROR(__xludf.DUMMYFUNCTION("""COMPUTED_VALUE"""),44631.0)</f>
        <v>44631</v>
      </c>
      <c r="E736" s="13">
        <f>IFERROR(__xludf.DUMMYFUNCTION("""COMPUTED_VALUE"""),0.29718750000029104)</f>
        <v>0.2971875</v>
      </c>
      <c r="F736" s="10" t="str">
        <f>IFERROR(__xludf.DUMMYFUNCTION("""COMPUTED_VALUE"""),"Negative")</f>
        <v>Negative</v>
      </c>
      <c r="G736" s="10">
        <f>IFERROR(__xludf.DUMMYFUNCTION("""COMPUTED_VALUE"""),1.0)</f>
        <v>1</v>
      </c>
    </row>
    <row r="737">
      <c r="A737" s="6" t="str">
        <f>IFERROR(__xludf.DUMMYFUNCTION("""COMPUTED_VALUE"""),"FM438")</f>
        <v>FM438</v>
      </c>
      <c r="B737" s="6" t="str">
        <f>IFERROR(__xludf.DUMMYFUNCTION("""COMPUTED_VALUE"""),"RUN-BEND_2022-03-11_RFR-050")</f>
        <v>RUN-BEND_2022-03-11_RFR-050</v>
      </c>
      <c r="C737" s="7">
        <f>VLOOKUP(B737,'Run Reconcile'!A$2:B809,2,FALSE)</f>
        <v>44631</v>
      </c>
      <c r="D737" s="12">
        <f>IFERROR(__xludf.DUMMYFUNCTION("""COMPUTED_VALUE"""),44631.0)</f>
        <v>44631</v>
      </c>
      <c r="E737" s="13">
        <f>IFERROR(__xludf.DUMMYFUNCTION("""COMPUTED_VALUE"""),0.30041666666511446)</f>
        <v>0.3004166667</v>
      </c>
      <c r="F737" s="10" t="str">
        <f>IFERROR(__xludf.DUMMYFUNCTION("""COMPUTED_VALUE"""),"Negative")</f>
        <v>Negative</v>
      </c>
      <c r="G737" s="10">
        <f>IFERROR(__xludf.DUMMYFUNCTION("""COMPUTED_VALUE"""),1.0)</f>
        <v>1</v>
      </c>
    </row>
    <row r="738">
      <c r="A738" s="6" t="str">
        <f>IFERROR(__xludf.DUMMYFUNCTION("""COMPUTED_VALUE"""),"FM355")</f>
        <v>FM355</v>
      </c>
      <c r="B738" s="6" t="str">
        <f>IFERROR(__xludf.DUMMYFUNCTION("""COMPUTED_VALUE"""),"RUN-BEND_2022-03-11_RFR-050")</f>
        <v>RUN-BEND_2022-03-11_RFR-050</v>
      </c>
      <c r="C738" s="7">
        <f>VLOOKUP(B738,'Run Reconcile'!A$2:B809,2,FALSE)</f>
        <v>44631</v>
      </c>
      <c r="D738" s="12">
        <f>IFERROR(__xludf.DUMMYFUNCTION("""COMPUTED_VALUE"""),44631.0)</f>
        <v>44631</v>
      </c>
      <c r="E738" s="13">
        <f>IFERROR(__xludf.DUMMYFUNCTION("""COMPUTED_VALUE"""),0.30067129629605915)</f>
        <v>0.3006712963</v>
      </c>
      <c r="F738" s="10" t="str">
        <f>IFERROR(__xludf.DUMMYFUNCTION("""COMPUTED_VALUE"""),"Negative")</f>
        <v>Negative</v>
      </c>
      <c r="G738" s="10">
        <f>IFERROR(__xludf.DUMMYFUNCTION("""COMPUTED_VALUE"""),1.0)</f>
        <v>1</v>
      </c>
    </row>
    <row r="739">
      <c r="A739" s="6" t="str">
        <f>IFERROR(__xludf.DUMMYFUNCTION("""COMPUTED_VALUE"""),"MA407")</f>
        <v>MA407</v>
      </c>
      <c r="B739" s="6" t="str">
        <f>IFERROR(__xludf.DUMMYFUNCTION("""COMPUTED_VALUE"""),"RUN-BEND_2022-03-11_RFR-050")</f>
        <v>RUN-BEND_2022-03-11_RFR-050</v>
      </c>
      <c r="C739" s="7">
        <f>VLOOKUP(B739,'Run Reconcile'!A$2:B809,2,FALSE)</f>
        <v>44631</v>
      </c>
      <c r="D739" s="12">
        <f>IFERROR(__xludf.DUMMYFUNCTION("""COMPUTED_VALUE"""),44631.0)</f>
        <v>44631</v>
      </c>
      <c r="E739" s="13">
        <f>IFERROR(__xludf.DUMMYFUNCTION("""COMPUTED_VALUE"""),0.30194444444350665)</f>
        <v>0.3019444444</v>
      </c>
      <c r="F739" s="10" t="str">
        <f>IFERROR(__xludf.DUMMYFUNCTION("""COMPUTED_VALUE"""),"Negative")</f>
        <v>Negative</v>
      </c>
      <c r="G739" s="10">
        <f>IFERROR(__xludf.DUMMYFUNCTION("""COMPUTED_VALUE"""),1.0)</f>
        <v>1</v>
      </c>
    </row>
    <row r="740">
      <c r="A740" s="6" t="str">
        <f>IFERROR(__xludf.DUMMYFUNCTION("""COMPUTED_VALUE"""),"MA325")</f>
        <v>MA325</v>
      </c>
      <c r="B740" s="6" t="str">
        <f>IFERROR(__xludf.DUMMYFUNCTION("""COMPUTED_VALUE"""),"RUN-BEND_2022-03-11_RFR-050")</f>
        <v>RUN-BEND_2022-03-11_RFR-050</v>
      </c>
      <c r="C740" s="7">
        <f>VLOOKUP(B740,'Run Reconcile'!A$2:B809,2,FALSE)</f>
        <v>44631</v>
      </c>
      <c r="D740" s="12">
        <f>IFERROR(__xludf.DUMMYFUNCTION("""COMPUTED_VALUE"""),44631.0)</f>
        <v>44631</v>
      </c>
      <c r="E740" s="13">
        <f>IFERROR(__xludf.DUMMYFUNCTION("""COMPUTED_VALUE"""),0.3019560185202863)</f>
        <v>0.3019560185</v>
      </c>
      <c r="F740" s="10" t="str">
        <f>IFERROR(__xludf.DUMMYFUNCTION("""COMPUTED_VALUE"""),"Negative")</f>
        <v>Negative</v>
      </c>
      <c r="G740" s="10">
        <f>IFERROR(__xludf.DUMMYFUNCTION("""COMPUTED_VALUE"""),1.0)</f>
        <v>1</v>
      </c>
    </row>
    <row r="741">
      <c r="A741" s="6" t="str">
        <f>IFERROR(__xludf.DUMMYFUNCTION("""COMPUTED_VALUE"""),"FM17")</f>
        <v>FM17</v>
      </c>
      <c r="B741" s="6" t="str">
        <f>IFERROR(__xludf.DUMMYFUNCTION("""COMPUTED_VALUE"""),"RUN-BEND_2022-03-11_RFR-050")</f>
        <v>RUN-BEND_2022-03-11_RFR-050</v>
      </c>
      <c r="C741" s="7">
        <f>VLOOKUP(B741,'Run Reconcile'!A$2:B809,2,FALSE)</f>
        <v>44631</v>
      </c>
      <c r="D741" s="12">
        <f>IFERROR(__xludf.DUMMYFUNCTION("""COMPUTED_VALUE"""),44631.0)</f>
        <v>44631</v>
      </c>
      <c r="E741" s="13">
        <f>IFERROR(__xludf.DUMMYFUNCTION("""COMPUTED_VALUE"""),0.30644675925941556)</f>
        <v>0.3064467593</v>
      </c>
      <c r="F741" s="10" t="str">
        <f>IFERROR(__xludf.DUMMYFUNCTION("""COMPUTED_VALUE"""),"Negative")</f>
        <v>Negative</v>
      </c>
      <c r="G741" s="10">
        <f>IFERROR(__xludf.DUMMYFUNCTION("""COMPUTED_VALUE"""),1.0)</f>
        <v>1</v>
      </c>
    </row>
    <row r="742">
      <c r="A742" s="6" t="str">
        <f>IFERROR(__xludf.DUMMYFUNCTION("""COMPUTED_VALUE"""),"FM105")</f>
        <v>FM105</v>
      </c>
      <c r="B742" s="6" t="str">
        <f>IFERROR(__xludf.DUMMYFUNCTION("""COMPUTED_VALUE"""),"RUN-BEND_2022-03-11_RFR-050")</f>
        <v>RUN-BEND_2022-03-11_RFR-050</v>
      </c>
      <c r="C742" s="7">
        <f>VLOOKUP(B742,'Run Reconcile'!A$2:B809,2,FALSE)</f>
        <v>44631</v>
      </c>
      <c r="D742" s="12">
        <f>IFERROR(__xludf.DUMMYFUNCTION("""COMPUTED_VALUE"""),44631.0)</f>
        <v>44631</v>
      </c>
      <c r="E742" s="13">
        <f>IFERROR(__xludf.DUMMYFUNCTION("""COMPUTED_VALUE"""),0.3066898148135806)</f>
        <v>0.3066898148</v>
      </c>
      <c r="F742" s="10" t="str">
        <f>IFERROR(__xludf.DUMMYFUNCTION("""COMPUTED_VALUE"""),"Negative")</f>
        <v>Negative</v>
      </c>
      <c r="G742" s="10">
        <f>IFERROR(__xludf.DUMMYFUNCTION("""COMPUTED_VALUE"""),1.0)</f>
        <v>1</v>
      </c>
    </row>
    <row r="743">
      <c r="A743" s="6" t="str">
        <f>IFERROR(__xludf.DUMMYFUNCTION("""COMPUTED_VALUE"""),"FM1870")</f>
        <v>FM1870</v>
      </c>
      <c r="B743" s="6" t="str">
        <f>IFERROR(__xludf.DUMMYFUNCTION("""COMPUTED_VALUE"""),"RUN-BEND_2022-03-11_RFR-050")</f>
        <v>RUN-BEND_2022-03-11_RFR-050</v>
      </c>
      <c r="C743" s="7">
        <f>VLOOKUP(B743,'Run Reconcile'!A$2:B809,2,FALSE)</f>
        <v>44631</v>
      </c>
      <c r="D743" s="12">
        <f>IFERROR(__xludf.DUMMYFUNCTION("""COMPUTED_VALUE"""),44631.0)</f>
        <v>44631</v>
      </c>
      <c r="E743" s="13">
        <f>IFERROR(__xludf.DUMMYFUNCTION("""COMPUTED_VALUE"""),0.3084953703692008)</f>
        <v>0.3084953704</v>
      </c>
      <c r="F743" s="10" t="str">
        <f>IFERROR(__xludf.DUMMYFUNCTION("""COMPUTED_VALUE"""),"Negative")</f>
        <v>Negative</v>
      </c>
      <c r="G743" s="10">
        <f>IFERROR(__xludf.DUMMYFUNCTION("""COMPUTED_VALUE"""),1.0)</f>
        <v>1</v>
      </c>
    </row>
    <row r="744">
      <c r="A744" s="6" t="str">
        <f>IFERROR(__xludf.DUMMYFUNCTION("""COMPUTED_VALUE"""),"FM1786")</f>
        <v>FM1786</v>
      </c>
      <c r="B744" s="6" t="str">
        <f>IFERROR(__xludf.DUMMYFUNCTION("""COMPUTED_VALUE"""),"RUN-BEND_2022-03-11_RFR-050")</f>
        <v>RUN-BEND_2022-03-11_RFR-050</v>
      </c>
      <c r="C744" s="7">
        <f>VLOOKUP(B744,'Run Reconcile'!A$2:B809,2,FALSE)</f>
        <v>44631</v>
      </c>
      <c r="D744" s="12">
        <f>IFERROR(__xludf.DUMMYFUNCTION("""COMPUTED_VALUE"""),44631.0)</f>
        <v>44631</v>
      </c>
      <c r="E744" s="13">
        <f>IFERROR(__xludf.DUMMYFUNCTION("""COMPUTED_VALUE"""),0.30917824073912925)</f>
        <v>0.3091782407</v>
      </c>
      <c r="F744" s="10" t="str">
        <f>IFERROR(__xludf.DUMMYFUNCTION("""COMPUTED_VALUE"""),"Negative")</f>
        <v>Negative</v>
      </c>
      <c r="G744" s="10">
        <f>IFERROR(__xludf.DUMMYFUNCTION("""COMPUTED_VALUE"""),1.0)</f>
        <v>1</v>
      </c>
    </row>
    <row r="745">
      <c r="A745" s="6" t="str">
        <f>IFERROR(__xludf.DUMMYFUNCTION("""COMPUTED_VALUE"""),"FM2063")</f>
        <v>FM2063</v>
      </c>
      <c r="B745" s="6" t="str">
        <f>IFERROR(__xludf.DUMMYFUNCTION("""COMPUTED_VALUE"""),"RUN-BEND_2022-03-11_RFR-050")</f>
        <v>RUN-BEND_2022-03-11_RFR-050</v>
      </c>
      <c r="C745" s="7">
        <f>VLOOKUP(B745,'Run Reconcile'!A$2:B809,2,FALSE)</f>
        <v>44631</v>
      </c>
      <c r="D745" s="12">
        <f>IFERROR(__xludf.DUMMYFUNCTION("""COMPUTED_VALUE"""),44631.0)</f>
        <v>44631</v>
      </c>
      <c r="E745" s="13">
        <f>IFERROR(__xludf.DUMMYFUNCTION("""COMPUTED_VALUE"""),0.3173032407394203)</f>
        <v>0.3173032407</v>
      </c>
      <c r="F745" s="10" t="str">
        <f>IFERROR(__xludf.DUMMYFUNCTION("""COMPUTED_VALUE"""),"Negative")</f>
        <v>Negative</v>
      </c>
      <c r="G745" s="10">
        <f>IFERROR(__xludf.DUMMYFUNCTION("""COMPUTED_VALUE"""),1.0)</f>
        <v>1</v>
      </c>
    </row>
    <row r="746">
      <c r="A746" s="6" t="str">
        <f>IFERROR(__xludf.DUMMYFUNCTION("""COMPUTED_VALUE"""),"FM39")</f>
        <v>FM39</v>
      </c>
      <c r="B746" s="6" t="str">
        <f>IFERROR(__xludf.DUMMYFUNCTION("""COMPUTED_VALUE"""),"RUN-BEND_2022-03-11_RFR-050")</f>
        <v>RUN-BEND_2022-03-11_RFR-050</v>
      </c>
      <c r="C746" s="7">
        <f>VLOOKUP(B746,'Run Reconcile'!A$2:B809,2,FALSE)</f>
        <v>44631</v>
      </c>
      <c r="D746" s="12">
        <f>IFERROR(__xludf.DUMMYFUNCTION("""COMPUTED_VALUE"""),44631.0)</f>
        <v>44631</v>
      </c>
      <c r="E746" s="13">
        <f>IFERROR(__xludf.DUMMYFUNCTION("""COMPUTED_VALUE"""),0.3235763888878864)</f>
        <v>0.3235763889</v>
      </c>
      <c r="F746" s="10" t="str">
        <f>IFERROR(__xludf.DUMMYFUNCTION("""COMPUTED_VALUE"""),"Negative")</f>
        <v>Negative</v>
      </c>
      <c r="G746" s="10">
        <f>IFERROR(__xludf.DUMMYFUNCTION("""COMPUTED_VALUE"""),1.0)</f>
        <v>1</v>
      </c>
    </row>
    <row r="747">
      <c r="A747" s="6" t="str">
        <f>IFERROR(__xludf.DUMMYFUNCTION("""COMPUTED_VALUE"""),"FM15")</f>
        <v>FM15</v>
      </c>
      <c r="B747" s="6" t="str">
        <f>IFERROR(__xludf.DUMMYFUNCTION("""COMPUTED_VALUE"""),"RUN-BEND_2022-03-11_RFR-050")</f>
        <v>RUN-BEND_2022-03-11_RFR-050</v>
      </c>
      <c r="C747" s="7">
        <f>VLOOKUP(B747,'Run Reconcile'!A$2:B809,2,FALSE)</f>
        <v>44631</v>
      </c>
      <c r="D747" s="12">
        <f>IFERROR(__xludf.DUMMYFUNCTION("""COMPUTED_VALUE"""),44631.0)</f>
        <v>44631</v>
      </c>
      <c r="E747" s="13">
        <f>IFERROR(__xludf.DUMMYFUNCTION("""COMPUTED_VALUE"""),0.3235879629646661)</f>
        <v>0.323587963</v>
      </c>
      <c r="F747" s="10" t="str">
        <f>IFERROR(__xludf.DUMMYFUNCTION("""COMPUTED_VALUE"""),"Negative")</f>
        <v>Negative</v>
      </c>
      <c r="G747" s="10">
        <f>IFERROR(__xludf.DUMMYFUNCTION("""COMPUTED_VALUE"""),1.0)</f>
        <v>1</v>
      </c>
    </row>
    <row r="748">
      <c r="A748" s="6" t="str">
        <f>IFERROR(__xludf.DUMMYFUNCTION("""COMPUTED_VALUE"""),"FM113")</f>
        <v>FM113</v>
      </c>
      <c r="B748" s="6" t="str">
        <f>IFERROR(__xludf.DUMMYFUNCTION("""COMPUTED_VALUE"""),"RUN-BEND_2022-03-11_RFR-050")</f>
        <v>RUN-BEND_2022-03-11_RFR-050</v>
      </c>
      <c r="C748" s="7">
        <f>VLOOKUP(B748,'Run Reconcile'!A$2:B809,2,FALSE)</f>
        <v>44631</v>
      </c>
      <c r="D748" s="12">
        <f>IFERROR(__xludf.DUMMYFUNCTION("""COMPUTED_VALUE"""),44631.0)</f>
        <v>44631</v>
      </c>
      <c r="E748" s="13">
        <f>IFERROR(__xludf.DUMMYFUNCTION("""COMPUTED_VALUE"""),0.32407407407299615)</f>
        <v>0.3240740741</v>
      </c>
      <c r="F748" s="10" t="str">
        <f>IFERROR(__xludf.DUMMYFUNCTION("""COMPUTED_VALUE"""),"Negative")</f>
        <v>Negative</v>
      </c>
      <c r="G748" s="10">
        <f>IFERROR(__xludf.DUMMYFUNCTION("""COMPUTED_VALUE"""),1.0)</f>
        <v>1</v>
      </c>
    </row>
    <row r="749">
      <c r="A749" s="6" t="str">
        <f>IFERROR(__xludf.DUMMYFUNCTION("""COMPUTED_VALUE"""),"FM404")</f>
        <v>FM404</v>
      </c>
      <c r="B749" s="6" t="str">
        <f>IFERROR(__xludf.DUMMYFUNCTION("""COMPUTED_VALUE"""),"RUN-BEND_2022-03-11_RFR-050")</f>
        <v>RUN-BEND_2022-03-11_RFR-050</v>
      </c>
      <c r="C749" s="7">
        <f>VLOOKUP(B749,'Run Reconcile'!A$2:B809,2,FALSE)</f>
        <v>44631</v>
      </c>
      <c r="D749" s="12">
        <f>IFERROR(__xludf.DUMMYFUNCTION("""COMPUTED_VALUE"""),44631.0)</f>
        <v>44631</v>
      </c>
      <c r="E749" s="13">
        <f>IFERROR(__xludf.DUMMYFUNCTION("""COMPUTED_VALUE"""),0.3271064814798592)</f>
        <v>0.3271064815</v>
      </c>
      <c r="F749" s="10" t="str">
        <f>IFERROR(__xludf.DUMMYFUNCTION("""COMPUTED_VALUE"""),"Negative")</f>
        <v>Negative</v>
      </c>
      <c r="G749" s="10">
        <f>IFERROR(__xludf.DUMMYFUNCTION("""COMPUTED_VALUE"""),1.0)</f>
        <v>1</v>
      </c>
    </row>
    <row r="750">
      <c r="A750" s="6" t="str">
        <f>IFERROR(__xludf.DUMMYFUNCTION("""COMPUTED_VALUE"""),"FM464")</f>
        <v>FM464</v>
      </c>
      <c r="B750" s="6" t="str">
        <f>IFERROR(__xludf.DUMMYFUNCTION("""COMPUTED_VALUE"""),"RUN-BEND_2022-03-11_RFR-050")</f>
        <v>RUN-BEND_2022-03-11_RFR-050</v>
      </c>
      <c r="C750" s="7">
        <f>VLOOKUP(B750,'Run Reconcile'!A$2:B809,2,FALSE)</f>
        <v>44631</v>
      </c>
      <c r="D750" s="12">
        <f>IFERROR(__xludf.DUMMYFUNCTION("""COMPUTED_VALUE"""),44631.0)</f>
        <v>44631</v>
      </c>
      <c r="E750" s="13">
        <f>IFERROR(__xludf.DUMMYFUNCTION("""COMPUTED_VALUE"""),0.3299884259249666)</f>
        <v>0.3299884259</v>
      </c>
      <c r="F750" s="10" t="str">
        <f>IFERROR(__xludf.DUMMYFUNCTION("""COMPUTED_VALUE"""),"Negative")</f>
        <v>Negative</v>
      </c>
      <c r="G750" s="10">
        <f>IFERROR(__xludf.DUMMYFUNCTION("""COMPUTED_VALUE"""),1.0)</f>
        <v>1</v>
      </c>
    </row>
    <row r="751">
      <c r="A751" s="6" t="str">
        <f>IFERROR(__xludf.DUMMYFUNCTION("""COMPUTED_VALUE"""),"FM360")</f>
        <v>FM360</v>
      </c>
      <c r="B751" s="6" t="str">
        <f>IFERROR(__xludf.DUMMYFUNCTION("""COMPUTED_VALUE"""),"RUN-BEND_2022-03-11_RFR-050")</f>
        <v>RUN-BEND_2022-03-11_RFR-050</v>
      </c>
      <c r="C751" s="7">
        <f>VLOOKUP(B751,'Run Reconcile'!A$2:B809,2,FALSE)</f>
        <v>44631</v>
      </c>
      <c r="D751" s="12">
        <f>IFERROR(__xludf.DUMMYFUNCTION("""COMPUTED_VALUE"""),44631.0)</f>
        <v>44631</v>
      </c>
      <c r="E751" s="13">
        <f>IFERROR(__xludf.DUMMYFUNCTION("""COMPUTED_VALUE"""),0.3314236111109494)</f>
        <v>0.3314236111</v>
      </c>
      <c r="F751" s="10" t="str">
        <f>IFERROR(__xludf.DUMMYFUNCTION("""COMPUTED_VALUE"""),"Negative")</f>
        <v>Negative</v>
      </c>
      <c r="G751" s="10">
        <f>IFERROR(__xludf.DUMMYFUNCTION("""COMPUTED_VALUE"""),1.0)</f>
        <v>1</v>
      </c>
    </row>
    <row r="752">
      <c r="A752" s="6" t="str">
        <f>IFERROR(__xludf.DUMMYFUNCTION("""COMPUTED_VALUE"""),"FM65")</f>
        <v>FM65</v>
      </c>
      <c r="B752" s="6" t="str">
        <f>IFERROR(__xludf.DUMMYFUNCTION("""COMPUTED_VALUE"""),"RUN-BEND_2022-03-11_RFR-050")</f>
        <v>RUN-BEND_2022-03-11_RFR-050</v>
      </c>
      <c r="C752" s="7">
        <f>VLOOKUP(B752,'Run Reconcile'!A$2:B809,2,FALSE)</f>
        <v>44631</v>
      </c>
      <c r="D752" s="12">
        <f>IFERROR(__xludf.DUMMYFUNCTION("""COMPUTED_VALUE"""),44631.0)</f>
        <v>44631</v>
      </c>
      <c r="E752" s="13">
        <f>IFERROR(__xludf.DUMMYFUNCTION("""COMPUTED_VALUE"""),0.3362962962964957)</f>
        <v>0.3362962963</v>
      </c>
      <c r="F752" s="10" t="str">
        <f>IFERROR(__xludf.DUMMYFUNCTION("""COMPUTED_VALUE"""),"Negative")</f>
        <v>Negative</v>
      </c>
      <c r="G752" s="10">
        <f>IFERROR(__xludf.DUMMYFUNCTION("""COMPUTED_VALUE"""),1.0)</f>
        <v>1</v>
      </c>
    </row>
    <row r="753">
      <c r="A753" s="6" t="str">
        <f>IFERROR(__xludf.DUMMYFUNCTION("""COMPUTED_VALUE"""),"FM599")</f>
        <v>FM599</v>
      </c>
      <c r="B753" s="6" t="str">
        <f>IFERROR(__xludf.DUMMYFUNCTION("""COMPUTED_VALUE"""),"RUN-BEND_2022-03-11_RFR-050")</f>
        <v>RUN-BEND_2022-03-11_RFR-050</v>
      </c>
      <c r="C753" s="7">
        <f>VLOOKUP(B753,'Run Reconcile'!A$2:B809,2,FALSE)</f>
        <v>44631</v>
      </c>
      <c r="D753" s="12">
        <f>IFERROR(__xludf.DUMMYFUNCTION("""COMPUTED_VALUE"""),44631.0)</f>
        <v>44631</v>
      </c>
      <c r="E753" s="13">
        <f>IFERROR(__xludf.DUMMYFUNCTION("""COMPUTED_VALUE"""),0.3406250000007276)</f>
        <v>0.340625</v>
      </c>
      <c r="F753" s="10" t="str">
        <f>IFERROR(__xludf.DUMMYFUNCTION("""COMPUTED_VALUE"""),"Negative")</f>
        <v>Negative</v>
      </c>
      <c r="G753" s="10">
        <f>IFERROR(__xludf.DUMMYFUNCTION("""COMPUTED_VALUE"""),1.0)</f>
        <v>1</v>
      </c>
    </row>
    <row r="754">
      <c r="A754" s="6" t="str">
        <f>IFERROR(__xludf.DUMMYFUNCTION("""COMPUTED_VALUE"""),"FM569")</f>
        <v>FM569</v>
      </c>
      <c r="B754" s="6" t="str">
        <f>IFERROR(__xludf.DUMMYFUNCTION("""COMPUTED_VALUE"""),"RUN-BEND_2022-03-11_RFR-050")</f>
        <v>RUN-BEND_2022-03-11_RFR-050</v>
      </c>
      <c r="C754" s="7">
        <f>VLOOKUP(B754,'Run Reconcile'!A$2:B809,2,FALSE)</f>
        <v>44631</v>
      </c>
      <c r="D754" s="12">
        <f>IFERROR(__xludf.DUMMYFUNCTION("""COMPUTED_VALUE"""),44631.0)</f>
        <v>44631</v>
      </c>
      <c r="E754" s="13">
        <f>IFERROR(__xludf.DUMMYFUNCTION("""COMPUTED_VALUE"""),0.340960648147302)</f>
        <v>0.3409606481</v>
      </c>
      <c r="F754" s="10" t="str">
        <f>IFERROR(__xludf.DUMMYFUNCTION("""COMPUTED_VALUE"""),"Negative")</f>
        <v>Negative</v>
      </c>
      <c r="G754" s="10">
        <f>IFERROR(__xludf.DUMMYFUNCTION("""COMPUTED_VALUE"""),1.0)</f>
        <v>1</v>
      </c>
    </row>
    <row r="755">
      <c r="A755" s="6" t="str">
        <f>IFERROR(__xludf.DUMMYFUNCTION("""COMPUTED_VALUE"""),"FM2044")</f>
        <v>FM2044</v>
      </c>
      <c r="B755" s="6" t="str">
        <f>IFERROR(__xludf.DUMMYFUNCTION("""COMPUTED_VALUE"""),"RUN-BEND_2022-03-11_RFR-050")</f>
        <v>RUN-BEND_2022-03-11_RFR-050</v>
      </c>
      <c r="C755" s="7">
        <f>VLOOKUP(B755,'Run Reconcile'!A$2:B809,2,FALSE)</f>
        <v>44631</v>
      </c>
      <c r="D755" s="12">
        <f>IFERROR(__xludf.DUMMYFUNCTION("""COMPUTED_VALUE"""),44631.0)</f>
        <v>44631</v>
      </c>
      <c r="E755" s="13">
        <f>IFERROR(__xludf.DUMMYFUNCTION("""COMPUTED_VALUE"""),0.34293981481459923)</f>
        <v>0.3429398148</v>
      </c>
      <c r="F755" s="10" t="str">
        <f>IFERROR(__xludf.DUMMYFUNCTION("""COMPUTED_VALUE"""),"Negative")</f>
        <v>Negative</v>
      </c>
      <c r="G755" s="10">
        <f>IFERROR(__xludf.DUMMYFUNCTION("""COMPUTED_VALUE"""),1.0)</f>
        <v>1</v>
      </c>
    </row>
    <row r="756">
      <c r="A756" s="6" t="str">
        <f>IFERROR(__xludf.DUMMYFUNCTION("""COMPUTED_VALUE"""),"MA375")</f>
        <v>MA375</v>
      </c>
      <c r="B756" s="6" t="str">
        <f>IFERROR(__xludf.DUMMYFUNCTION("""COMPUTED_VALUE"""),"RUN-BEND_2022-03-11_RFR-050")</f>
        <v>RUN-BEND_2022-03-11_RFR-050</v>
      </c>
      <c r="C756" s="7">
        <f>VLOOKUP(B756,'Run Reconcile'!A$2:B809,2,FALSE)</f>
        <v>44631</v>
      </c>
      <c r="D756" s="12">
        <f>IFERROR(__xludf.DUMMYFUNCTION("""COMPUTED_VALUE"""),44631.0)</f>
        <v>44631</v>
      </c>
      <c r="E756" s="13">
        <f>IFERROR(__xludf.DUMMYFUNCTION("""COMPUTED_VALUE"""),0.3450115740743058)</f>
        <v>0.3450115741</v>
      </c>
      <c r="F756" s="10" t="str">
        <f>IFERROR(__xludf.DUMMYFUNCTION("""COMPUTED_VALUE"""),"Negative")</f>
        <v>Negative</v>
      </c>
      <c r="G756" s="10">
        <f>IFERROR(__xludf.DUMMYFUNCTION("""COMPUTED_VALUE"""),1.0)</f>
        <v>1</v>
      </c>
    </row>
    <row r="757">
      <c r="A757" s="6" t="str">
        <f>IFERROR(__xludf.DUMMYFUNCTION("""COMPUTED_VALUE"""),"FM339")</f>
        <v>FM339</v>
      </c>
      <c r="B757" s="6" t="str">
        <f>IFERROR(__xludf.DUMMYFUNCTION("""COMPUTED_VALUE"""),"RUN-BEND_2022-03-11_RFR-050")</f>
        <v>RUN-BEND_2022-03-11_RFR-050</v>
      </c>
      <c r="C757" s="7">
        <f>VLOOKUP(B757,'Run Reconcile'!A$2:B809,2,FALSE)</f>
        <v>44631</v>
      </c>
      <c r="D757" s="12">
        <f>IFERROR(__xludf.DUMMYFUNCTION("""COMPUTED_VALUE"""),44631.0)</f>
        <v>44631</v>
      </c>
      <c r="E757" s="13">
        <f>IFERROR(__xludf.DUMMYFUNCTION("""COMPUTED_VALUE"""),0.39895833333503106)</f>
        <v>0.3989583333</v>
      </c>
      <c r="F757" s="10" t="str">
        <f>IFERROR(__xludf.DUMMYFUNCTION("""COMPUTED_VALUE"""),"Negative")</f>
        <v>Negative</v>
      </c>
      <c r="G757" s="10">
        <f>IFERROR(__xludf.DUMMYFUNCTION("""COMPUTED_VALUE"""),1.0)</f>
        <v>1</v>
      </c>
    </row>
    <row r="758">
      <c r="A758" s="6" t="str">
        <f>IFERROR(__xludf.DUMMYFUNCTION("""COMPUTED_VALUE"""),"FM371")</f>
        <v>FM371</v>
      </c>
      <c r="B758" s="6" t="str">
        <f>IFERROR(__xludf.DUMMYFUNCTION("""COMPUTED_VALUE"""),"RUN-BEND_2022-03-11_RFR-050")</f>
        <v>RUN-BEND_2022-03-11_RFR-050</v>
      </c>
      <c r="C758" s="7">
        <f>VLOOKUP(B758,'Run Reconcile'!A$2:B809,2,FALSE)</f>
        <v>44631</v>
      </c>
      <c r="D758" s="12">
        <f>IFERROR(__xludf.DUMMYFUNCTION("""COMPUTED_VALUE"""),44631.0)</f>
        <v>44631</v>
      </c>
      <c r="E758" s="13">
        <f>IFERROR(__xludf.DUMMYFUNCTION("""COMPUTED_VALUE"""),0.40513888888744987)</f>
        <v>0.4051388889</v>
      </c>
      <c r="F758" s="10" t="str">
        <f>IFERROR(__xludf.DUMMYFUNCTION("""COMPUTED_VALUE"""),"Negative")</f>
        <v>Negative</v>
      </c>
      <c r="G758" s="10">
        <f>IFERROR(__xludf.DUMMYFUNCTION("""COMPUTED_VALUE"""),1.0)</f>
        <v>1</v>
      </c>
    </row>
    <row r="759">
      <c r="A759" s="6" t="str">
        <f>IFERROR(__xludf.DUMMYFUNCTION("""COMPUTED_VALUE"""),"FM532")</f>
        <v>FM532</v>
      </c>
      <c r="B759" s="6" t="str">
        <f>IFERROR(__xludf.DUMMYFUNCTION("""COMPUTED_VALUE"""),"RUN-BEND_2022-04-14_RFR-051")</f>
        <v>RUN-BEND_2022-04-14_RFR-051</v>
      </c>
      <c r="C759" s="7">
        <f>VLOOKUP(B759,'Run Reconcile'!A$2:B809,2,FALSE)</f>
        <v>44665</v>
      </c>
      <c r="D759" s="12">
        <f>IFERROR(__xludf.DUMMYFUNCTION("""COMPUTED_VALUE"""),44665.0)</f>
        <v>44665</v>
      </c>
      <c r="E759" s="13">
        <f>IFERROR(__xludf.DUMMYFUNCTION("""COMPUTED_VALUE"""),0.32200231481328956)</f>
        <v>0.3220023148</v>
      </c>
      <c r="F759" s="10" t="str">
        <f>IFERROR(__xludf.DUMMYFUNCTION("""COMPUTED_VALUE"""),"Negative")</f>
        <v>Negative</v>
      </c>
      <c r="G759" s="10">
        <f>IFERROR(__xludf.DUMMYFUNCTION("""COMPUTED_VALUE"""),1.0)</f>
        <v>1</v>
      </c>
    </row>
    <row r="760">
      <c r="A760" s="6" t="str">
        <f>IFERROR(__xludf.DUMMYFUNCTION("""COMPUTED_VALUE"""),"MA1405")</f>
        <v>MA1405</v>
      </c>
      <c r="B760" s="6" t="str">
        <f>IFERROR(__xludf.DUMMYFUNCTION("""COMPUTED_VALUE"""),"RUN-BEND_2022-05-11_RFR-052")</f>
        <v>RUN-BEND_2022-05-11_RFR-052</v>
      </c>
      <c r="C760" s="7">
        <f>VLOOKUP(B760,'Run Reconcile'!A$2:B809,2,FALSE)</f>
        <v>44692</v>
      </c>
      <c r="D760" s="12">
        <f>IFERROR(__xludf.DUMMYFUNCTION("""COMPUTED_VALUE"""),44692.0)</f>
        <v>44692</v>
      </c>
      <c r="E760" s="13">
        <f>IFERROR(__xludf.DUMMYFUNCTION("""COMPUTED_VALUE"""),0.2778703703697829)</f>
        <v>0.2778703704</v>
      </c>
      <c r="F760" s="10" t="str">
        <f>IFERROR(__xludf.DUMMYFUNCTION("""COMPUTED_VALUE"""),"Negative")</f>
        <v>Negative</v>
      </c>
      <c r="G760" s="10">
        <f>IFERROR(__xludf.DUMMYFUNCTION("""COMPUTED_VALUE"""),1.0)</f>
        <v>1</v>
      </c>
    </row>
    <row r="761">
      <c r="A761" s="6" t="str">
        <f>IFERROR(__xludf.DUMMYFUNCTION("""COMPUTED_VALUE"""),"MA1453")</f>
        <v>MA1453</v>
      </c>
      <c r="B761" s="6" t="str">
        <f>IFERROR(__xludf.DUMMYFUNCTION("""COMPUTED_VALUE"""),"RUN-BEND_2022-05-11_RFR-052")</f>
        <v>RUN-BEND_2022-05-11_RFR-052</v>
      </c>
      <c r="C761" s="7">
        <f>VLOOKUP(B761,'Run Reconcile'!A$2:B809,2,FALSE)</f>
        <v>44692</v>
      </c>
      <c r="D761" s="12">
        <f>IFERROR(__xludf.DUMMYFUNCTION("""COMPUTED_VALUE"""),44692.0)</f>
        <v>44692</v>
      </c>
      <c r="E761" s="13">
        <f>IFERROR(__xludf.DUMMYFUNCTION("""COMPUTED_VALUE"""),0.278425925924239)</f>
        <v>0.2784259259</v>
      </c>
      <c r="F761" s="10" t="str">
        <f>IFERROR(__xludf.DUMMYFUNCTION("""COMPUTED_VALUE"""),"Negative")</f>
        <v>Negative</v>
      </c>
      <c r="G761" s="10">
        <f>IFERROR(__xludf.DUMMYFUNCTION("""COMPUTED_VALUE"""),1.0)</f>
        <v>1</v>
      </c>
    </row>
    <row r="762">
      <c r="A762" s="6" t="str">
        <f>IFERROR(__xludf.DUMMYFUNCTION("""COMPUTED_VALUE"""),"MA1397")</f>
        <v>MA1397</v>
      </c>
      <c r="B762" s="6" t="str">
        <f>IFERROR(__xludf.DUMMYFUNCTION("""COMPUTED_VALUE"""),"RUN-BEND_2022-05-11_RFR-052")</f>
        <v>RUN-BEND_2022-05-11_RFR-052</v>
      </c>
      <c r="C762" s="7">
        <f>VLOOKUP(B762,'Run Reconcile'!A$2:B809,2,FALSE)</f>
        <v>44692</v>
      </c>
      <c r="D762" s="12">
        <f>IFERROR(__xludf.DUMMYFUNCTION("""COMPUTED_VALUE"""),44692.0)</f>
        <v>44692</v>
      </c>
      <c r="E762" s="13">
        <f>IFERROR(__xludf.DUMMYFUNCTION("""COMPUTED_VALUE"""),0.27887731481314404)</f>
        <v>0.2788773148</v>
      </c>
      <c r="F762" s="10" t="str">
        <f>IFERROR(__xludf.DUMMYFUNCTION("""COMPUTED_VALUE"""),"Negative")</f>
        <v>Negative</v>
      </c>
      <c r="G762" s="10">
        <f>IFERROR(__xludf.DUMMYFUNCTION("""COMPUTED_VALUE"""),1.0)</f>
        <v>1</v>
      </c>
    </row>
    <row r="763">
      <c r="A763" s="6" t="str">
        <f>IFERROR(__xludf.DUMMYFUNCTION("""COMPUTED_VALUE"""),"MA1392")</f>
        <v>MA1392</v>
      </c>
      <c r="B763" s="6" t="str">
        <f>IFERROR(__xludf.DUMMYFUNCTION("""COMPUTED_VALUE"""),"RUN-BEND_2022-05-11_RFR-052")</f>
        <v>RUN-BEND_2022-05-11_RFR-052</v>
      </c>
      <c r="C763" s="7">
        <f>VLOOKUP(B763,'Run Reconcile'!A$2:B809,2,FALSE)</f>
        <v>44692</v>
      </c>
      <c r="D763" s="12">
        <f>IFERROR(__xludf.DUMMYFUNCTION("""COMPUTED_VALUE"""),44692.0)</f>
        <v>44692</v>
      </c>
      <c r="E763" s="13">
        <f>IFERROR(__xludf.DUMMYFUNCTION("""COMPUTED_VALUE"""),0.28885416666526)</f>
        <v>0.2888541667</v>
      </c>
      <c r="F763" s="10" t="str">
        <f>IFERROR(__xludf.DUMMYFUNCTION("""COMPUTED_VALUE"""),"Negative")</f>
        <v>Negative</v>
      </c>
      <c r="G763" s="10">
        <f>IFERROR(__xludf.DUMMYFUNCTION("""COMPUTED_VALUE"""),1.0)</f>
        <v>1</v>
      </c>
    </row>
    <row r="764">
      <c r="A764" s="6" t="str">
        <f>IFERROR(__xludf.DUMMYFUNCTION("""COMPUTED_VALUE"""),"MA1497")</f>
        <v>MA1497</v>
      </c>
      <c r="B764" s="6" t="str">
        <f>IFERROR(__xludf.DUMMYFUNCTION("""COMPUTED_VALUE"""),"RUN-BEND_2022-05-11_RFR-052")</f>
        <v>RUN-BEND_2022-05-11_RFR-052</v>
      </c>
      <c r="C764" s="7">
        <f>VLOOKUP(B764,'Run Reconcile'!A$2:B809,2,FALSE)</f>
        <v>44692</v>
      </c>
      <c r="D764" s="12">
        <f>IFERROR(__xludf.DUMMYFUNCTION("""COMPUTED_VALUE"""),44692.0)</f>
        <v>44692</v>
      </c>
      <c r="E764" s="13">
        <f>IFERROR(__xludf.DUMMYFUNCTION("""COMPUTED_VALUE"""),0.2918981481489027)</f>
        <v>0.2918981481</v>
      </c>
      <c r="F764" s="10" t="str">
        <f>IFERROR(__xludf.DUMMYFUNCTION("""COMPUTED_VALUE"""),"Negative")</f>
        <v>Negative</v>
      </c>
      <c r="G764" s="10">
        <f>IFERROR(__xludf.DUMMYFUNCTION("""COMPUTED_VALUE"""),1.0)</f>
        <v>1</v>
      </c>
    </row>
    <row r="765">
      <c r="A765" s="6" t="str">
        <f>IFERROR(__xludf.DUMMYFUNCTION("""COMPUTED_VALUE"""),"MA1429")</f>
        <v>MA1429</v>
      </c>
      <c r="B765" s="6" t="str">
        <f>IFERROR(__xludf.DUMMYFUNCTION("""COMPUTED_VALUE"""),"RUN-BEND_2022-05-11_RFR-052")</f>
        <v>RUN-BEND_2022-05-11_RFR-052</v>
      </c>
      <c r="C765" s="7">
        <f>VLOOKUP(B765,'Run Reconcile'!A$2:B809,2,FALSE)</f>
        <v>44692</v>
      </c>
      <c r="D765" s="12">
        <f>IFERROR(__xludf.DUMMYFUNCTION("""COMPUTED_VALUE"""),44692.0)</f>
        <v>44692</v>
      </c>
      <c r="E765" s="13">
        <f>IFERROR(__xludf.DUMMYFUNCTION("""COMPUTED_VALUE"""),0.30863425925781485)</f>
        <v>0.3086342593</v>
      </c>
      <c r="F765" s="10" t="str">
        <f>IFERROR(__xludf.DUMMYFUNCTION("""COMPUTED_VALUE"""),"Negative")</f>
        <v>Negative</v>
      </c>
      <c r="G765" s="10">
        <f>IFERROR(__xludf.DUMMYFUNCTION("""COMPUTED_VALUE"""),1.0)</f>
        <v>1</v>
      </c>
    </row>
    <row r="766">
      <c r="A766" s="6" t="str">
        <f>IFERROR(__xludf.DUMMYFUNCTION("""COMPUTED_VALUE"""),"MA1398")</f>
        <v>MA1398</v>
      </c>
      <c r="B766" s="6" t="str">
        <f>IFERROR(__xludf.DUMMYFUNCTION("""COMPUTED_VALUE"""),"RUN-BEND_2022-05-11_RFR-052")</f>
        <v>RUN-BEND_2022-05-11_RFR-052</v>
      </c>
      <c r="C766" s="7">
        <f>VLOOKUP(B766,'Run Reconcile'!A$2:B809,2,FALSE)</f>
        <v>44692</v>
      </c>
      <c r="D766" s="12">
        <f>IFERROR(__xludf.DUMMYFUNCTION("""COMPUTED_VALUE"""),44692.0)</f>
        <v>44692</v>
      </c>
      <c r="E766" s="13">
        <f>IFERROR(__xludf.DUMMYFUNCTION("""COMPUTED_VALUE"""),0.30903935185051523)</f>
        <v>0.3090393519</v>
      </c>
      <c r="F766" s="10" t="str">
        <f>IFERROR(__xludf.DUMMYFUNCTION("""COMPUTED_VALUE"""),"Negative")</f>
        <v>Negative</v>
      </c>
      <c r="G766" s="10">
        <f>IFERROR(__xludf.DUMMYFUNCTION("""COMPUTED_VALUE"""),1.0)</f>
        <v>1</v>
      </c>
    </row>
    <row r="767">
      <c r="A767" s="6" t="str">
        <f>IFERROR(__xludf.DUMMYFUNCTION("""COMPUTED_VALUE"""),"MA1384")</f>
        <v>MA1384</v>
      </c>
      <c r="B767" s="6" t="str">
        <f>IFERROR(__xludf.DUMMYFUNCTION("""COMPUTED_VALUE"""),"RUN-BEND_2022-05-11_RFR-052")</f>
        <v>RUN-BEND_2022-05-11_RFR-052</v>
      </c>
      <c r="C767" s="7">
        <f>VLOOKUP(B767,'Run Reconcile'!A$2:B809,2,FALSE)</f>
        <v>44692</v>
      </c>
      <c r="D767" s="12">
        <f>IFERROR(__xludf.DUMMYFUNCTION("""COMPUTED_VALUE"""),44692.0)</f>
        <v>44692</v>
      </c>
      <c r="E767" s="13">
        <f>IFERROR(__xludf.DUMMYFUNCTION("""COMPUTED_VALUE"""),0.3093634259275859)</f>
        <v>0.3093634259</v>
      </c>
      <c r="F767" s="10" t="str">
        <f>IFERROR(__xludf.DUMMYFUNCTION("""COMPUTED_VALUE"""),"Negative")</f>
        <v>Negative</v>
      </c>
      <c r="G767" s="10">
        <f>IFERROR(__xludf.DUMMYFUNCTION("""COMPUTED_VALUE"""),1.0)</f>
        <v>1</v>
      </c>
    </row>
    <row r="768">
      <c r="A768" s="6" t="str">
        <f>IFERROR(__xludf.DUMMYFUNCTION("""COMPUTED_VALUE"""),"FM512")</f>
        <v>FM512</v>
      </c>
      <c r="B768" s="6" t="str">
        <f>IFERROR(__xludf.DUMMYFUNCTION("""COMPUTED_VALUE"""),"RUN-BEND_2022-05-11_RFR-052")</f>
        <v>RUN-BEND_2022-05-11_RFR-052</v>
      </c>
      <c r="C768" s="7">
        <f>VLOOKUP(B768,'Run Reconcile'!A$2:B809,2,FALSE)</f>
        <v>44692</v>
      </c>
      <c r="D768" s="12">
        <f>IFERROR(__xludf.DUMMYFUNCTION("""COMPUTED_VALUE"""),44692.0)</f>
        <v>44692</v>
      </c>
      <c r="E768" s="13">
        <f>IFERROR(__xludf.DUMMYFUNCTION("""COMPUTED_VALUE"""),0.34565972222117125)</f>
        <v>0.3456597222</v>
      </c>
      <c r="F768" s="10" t="str">
        <f>IFERROR(__xludf.DUMMYFUNCTION("""COMPUTED_VALUE"""),"Negative")</f>
        <v>Negative</v>
      </c>
      <c r="G768" s="10">
        <f>IFERROR(__xludf.DUMMYFUNCTION("""COMPUTED_VALUE"""),1.0)</f>
        <v>1</v>
      </c>
    </row>
    <row r="769">
      <c r="A769" s="6" t="str">
        <f>IFERROR(__xludf.DUMMYFUNCTION("""COMPUTED_VALUE"""),"ARFBEND001")</f>
        <v>ARFBEND001</v>
      </c>
      <c r="B769" s="6" t="str">
        <f>IFERROR(__xludf.DUMMYFUNCTION("""COMPUTED_VALUE"""),"RUN-BEND_2022-03-03_RFR-044")</f>
        <v>RUN-BEND_2022-03-03_RFR-044</v>
      </c>
      <c r="C769" s="7">
        <f>VLOOKUP(B769,'Run Reconcile'!A$2:B809,2,FALSE)</f>
        <v>44623</v>
      </c>
      <c r="F769" s="10" t="str">
        <f>IFERROR(__xludf.DUMMYFUNCTION("""COMPUTED_VALUE"""),"Negative")</f>
        <v>Negative</v>
      </c>
    </row>
    <row r="770">
      <c r="A770" s="6" t="str">
        <f>IFERROR(__xludf.DUMMYFUNCTION("""COMPUTED_VALUE"""),"ARFBEND002")</f>
        <v>ARFBEND002</v>
      </c>
      <c r="B770" s="6" t="str">
        <f>IFERROR(__xludf.DUMMYFUNCTION("""COMPUTED_VALUE"""),"RUN-BEND_2022-03-03_RFR-044")</f>
        <v>RUN-BEND_2022-03-03_RFR-044</v>
      </c>
      <c r="C770" s="7">
        <f>VLOOKUP(B770,'Run Reconcile'!A$2:B809,2,FALSE)</f>
        <v>44623</v>
      </c>
      <c r="F770" s="10" t="str">
        <f>IFERROR(__xludf.DUMMYFUNCTION("""COMPUTED_VALUE"""),"Negative")</f>
        <v>Negative</v>
      </c>
    </row>
    <row r="771">
      <c r="A771" s="6" t="str">
        <f>IFERROR(__xludf.DUMMYFUNCTION("""COMPUTED_VALUE"""),"ARFBEND003")</f>
        <v>ARFBEND003</v>
      </c>
      <c r="B771" s="6" t="str">
        <f>IFERROR(__xludf.DUMMYFUNCTION("""COMPUTED_VALUE"""),"RUN-BEND_2022-01-05_RFR-010")</f>
        <v>RUN-BEND_2022-01-05_RFR-010</v>
      </c>
      <c r="C771" s="7">
        <f>VLOOKUP(B771,'Run Reconcile'!A$2:B809,2,FALSE)</f>
        <v>44566</v>
      </c>
      <c r="F771" s="10" t="str">
        <f>IFERROR(__xludf.DUMMYFUNCTION("""COMPUTED_VALUE"""),"Negative")</f>
        <v>Negative</v>
      </c>
    </row>
    <row r="772">
      <c r="A772" s="6" t="str">
        <f>IFERROR(__xludf.DUMMYFUNCTION("""COMPUTED_VALUE"""),"ARFBEND004")</f>
        <v>ARFBEND004</v>
      </c>
      <c r="B772" s="6" t="str">
        <f>IFERROR(__xludf.DUMMYFUNCTION("""COMPUTED_VALUE"""),"RUN-BEND_2022-01-07_RFR-011")</f>
        <v>RUN-BEND_2022-01-07_RFR-011</v>
      </c>
      <c r="C772" s="7">
        <f>VLOOKUP(B772,'Run Reconcile'!A$2:B809,2,FALSE)</f>
        <v>44568</v>
      </c>
      <c r="F772" s="10" t="str">
        <f>IFERROR(__xludf.DUMMYFUNCTION("""COMPUTED_VALUE"""),"Negative")</f>
        <v>Negative</v>
      </c>
    </row>
    <row r="773">
      <c r="A773" s="6" t="str">
        <f>IFERROR(__xludf.DUMMYFUNCTION("""COMPUTED_VALUE"""),"ARFBEND005")</f>
        <v>ARFBEND005</v>
      </c>
      <c r="B773" s="6" t="str">
        <f>IFERROR(__xludf.DUMMYFUNCTION("""COMPUTED_VALUE"""),"RUN-BEND_2022-02-21_RFR-037")</f>
        <v>RUN-BEND_2022-02-21_RFR-037</v>
      </c>
      <c r="C773" s="7">
        <f>VLOOKUP(B773,'Run Reconcile'!A$2:B809,2,FALSE)</f>
        <v>44613</v>
      </c>
      <c r="F773" s="10" t="str">
        <f>IFERROR(__xludf.DUMMYFUNCTION("""COMPUTED_VALUE"""),"Negative")</f>
        <v>Negative</v>
      </c>
    </row>
    <row r="774">
      <c r="C774" s="14"/>
    </row>
    <row r="775">
      <c r="C775" s="14"/>
    </row>
    <row r="776">
      <c r="C776" s="14"/>
    </row>
    <row r="777">
      <c r="C777" s="14"/>
    </row>
    <row r="778">
      <c r="C778" s="14"/>
    </row>
    <row r="779">
      <c r="C779" s="14"/>
    </row>
    <row r="780">
      <c r="C780" s="14"/>
    </row>
    <row r="781">
      <c r="C781" s="14"/>
    </row>
    <row r="782">
      <c r="C782" s="14"/>
    </row>
    <row r="783">
      <c r="C783" s="14"/>
    </row>
    <row r="784">
      <c r="C784" s="14"/>
    </row>
    <row r="785">
      <c r="C785" s="14"/>
    </row>
    <row r="786">
      <c r="C786" s="14"/>
    </row>
    <row r="787">
      <c r="C787" s="14"/>
    </row>
    <row r="788">
      <c r="C788" s="14"/>
    </row>
    <row r="789">
      <c r="C789" s="14"/>
    </row>
    <row r="790">
      <c r="C790" s="14"/>
    </row>
    <row r="791">
      <c r="C791" s="14"/>
    </row>
    <row r="792">
      <c r="C792" s="14"/>
    </row>
    <row r="793">
      <c r="C793" s="14"/>
    </row>
    <row r="794">
      <c r="C794" s="14"/>
    </row>
    <row r="795">
      <c r="C795" s="14"/>
    </row>
    <row r="796">
      <c r="C796" s="14"/>
    </row>
    <row r="797">
      <c r="C797" s="14"/>
    </row>
    <row r="798">
      <c r="C798" s="14"/>
    </row>
    <row r="799">
      <c r="C799" s="14"/>
    </row>
    <row r="800">
      <c r="C800" s="14"/>
    </row>
    <row r="801">
      <c r="C801" s="14"/>
    </row>
    <row r="802">
      <c r="C802" s="14"/>
    </row>
    <row r="803">
      <c r="C803" s="14"/>
    </row>
    <row r="804">
      <c r="C804" s="14"/>
    </row>
    <row r="805">
      <c r="C805" s="14"/>
    </row>
    <row r="806">
      <c r="C806" s="14"/>
    </row>
    <row r="807">
      <c r="C807" s="14"/>
    </row>
    <row r="808">
      <c r="C808" s="14"/>
    </row>
    <row r="809">
      <c r="C809"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88"/>
    <col customWidth="1" min="4" max="4" width="9.88"/>
    <col customWidth="1" min="5" max="5" width="9.5"/>
  </cols>
  <sheetData>
    <row r="1">
      <c r="A1" s="15" t="s">
        <v>0</v>
      </c>
      <c r="B1" s="15" t="s">
        <v>1</v>
      </c>
      <c r="C1" s="16" t="str">
        <f>CONCATENATE("Weekly Participants ",SUM(C2:C99))</f>
        <v>Weekly Participants 767</v>
      </c>
      <c r="D1" s="15" t="str">
        <f>CONCATENATE("Weekly Tubes Run ",SUM(D2:D99))</f>
        <v>Weekly Tubes Run 772</v>
      </c>
      <c r="E1" s="15" t="str">
        <f>CONCATENATE("Weekly Positive Tubes ",SUM(E2:E99))</f>
        <v>Weekly Positive Tubes 71</v>
      </c>
      <c r="F1" s="15" t="str">
        <f>CONCATENATE("Weekly Inconclusive Tubes ",SUM(F2:F99))</f>
        <v>Weekly Inconclusive Tubes 2</v>
      </c>
      <c r="G1" s="15" t="s">
        <v>2</v>
      </c>
      <c r="H1" s="5"/>
      <c r="I1" s="5"/>
      <c r="J1" s="5"/>
      <c r="K1" s="5"/>
      <c r="L1" s="5"/>
      <c r="M1" s="5"/>
      <c r="N1" s="5"/>
      <c r="O1" s="5"/>
      <c r="P1" s="5"/>
      <c r="Q1" s="5"/>
      <c r="R1" s="5"/>
      <c r="S1" s="5"/>
      <c r="T1" s="5"/>
      <c r="U1" s="5"/>
      <c r="V1" s="5"/>
      <c r="W1" s="5"/>
      <c r="X1" s="5"/>
      <c r="Y1" s="5"/>
      <c r="Z1" s="5"/>
      <c r="AA1" s="5"/>
    </row>
    <row r="2">
      <c r="A2" s="17">
        <f>MIN('ALL Tube Results'!C:C) - WEEKDAY(MIN('ALL Tube Results'!C:C), 3)
</f>
        <v>44536</v>
      </c>
      <c r="B2" s="18">
        <f t="shared" ref="B2:B24" si="1">A2+6</f>
        <v>44542</v>
      </c>
      <c r="C2" s="19">
        <f>SUMIFS('ALL Tube Results'!$G$2:$G99, 'ALL Tube Results'!$C$2:$C99, "&gt;="&amp;A2, 'ALL Tube Results'!$C$2:$C99, "&lt;="&amp;B2)
</f>
        <v>5</v>
      </c>
      <c r="D2" s="20">
        <f>COUNTIFS('ALL Tube Results'!$C2:$C99, "&gt;="&amp;A2, 'ALL Tube Results'!$C2:$C99, "&lt;="&amp;B2)</f>
        <v>5</v>
      </c>
      <c r="E2" s="20">
        <f>COUNTIFS('ALL Tube Results'!$C2:$C99, "&gt;="&amp;A2, 'ALL Tube Results'!$C2:$C99, "&lt;="&amp;B2, 'ALL Tube Results'!$F2:$F99, "Positive")</f>
        <v>0</v>
      </c>
      <c r="F2" s="20">
        <f>COUNTIFS('ALL Tube Results'!$C2:$C99, "&gt;="&amp;A2, 'ALL Tube Results'!$C2:$C99, "&lt;="&amp;B2, 'ALL Tube Results'!$F2:$F99, "Inconclusive")</f>
        <v>0</v>
      </c>
      <c r="G2" s="21">
        <f t="shared" ref="G2:G24" si="2">IFERROR(E2/D2,IFERROR(0/0,""))</f>
        <v>0</v>
      </c>
      <c r="I2" s="6" t="str">
        <f>TEXT(A2,"ddd")</f>
        <v>Mon</v>
      </c>
    </row>
    <row r="3">
      <c r="A3" s="22">
        <f>B2+1</f>
        <v>44543</v>
      </c>
      <c r="B3" s="18">
        <f t="shared" si="1"/>
        <v>44549</v>
      </c>
      <c r="C3" s="19">
        <f>SUMIFS('ALL Tube Results'!$G$2:$G99, 'ALL Tube Results'!$C$2:$C99, "&gt;="&amp;A3, 'ALL Tube Results'!$C$2:$C99, "&lt;="&amp;B3)
</f>
        <v>13</v>
      </c>
      <c r="D3" s="20">
        <f>COUNTIFS('ALL Tube Results'!$C3:$C99, "&gt;="&amp;A3, 'ALL Tube Results'!$C3:$C99, "&lt;="&amp;B3)</f>
        <v>13</v>
      </c>
      <c r="E3" s="20">
        <f>COUNTIFS('ALL Tube Results'!$C3:$C99, "&gt;="&amp;A3, 'ALL Tube Results'!$C3:$C99, "&lt;="&amp;B3, 'ALL Tube Results'!$F3:$F99, "Positive")</f>
        <v>1</v>
      </c>
      <c r="F3" s="20">
        <f>COUNTIFS('ALL Tube Results'!$C3:$C99, "&gt;="&amp;A3, 'ALL Tube Results'!$C3:$C99, "&lt;="&amp;B3, 'ALL Tube Results'!$F3:$F99, "Inconclusive")</f>
        <v>0</v>
      </c>
      <c r="G3" s="21">
        <f t="shared" si="2"/>
        <v>0.07692307692</v>
      </c>
    </row>
    <row r="4">
      <c r="A4" s="22">
        <f t="shared" ref="A4:A24" si="3">A3+7</f>
        <v>44550</v>
      </c>
      <c r="B4" s="18">
        <f t="shared" si="1"/>
        <v>44556</v>
      </c>
      <c r="C4" s="19">
        <f>SUMIFS('ALL Tube Results'!$G$2:$G99, 'ALL Tube Results'!$C$2:$C99, "&gt;="&amp;A4, 'ALL Tube Results'!$C$2:$C99, "&lt;="&amp;B4)
</f>
        <v>12</v>
      </c>
      <c r="D4" s="20">
        <f>COUNTIFS('ALL Tube Results'!$C4:$C99, "&gt;="&amp;A4, 'ALL Tube Results'!$C4:$C99, "&lt;="&amp;B4)</f>
        <v>12</v>
      </c>
      <c r="E4" s="20">
        <f>COUNTIFS('ALL Tube Results'!$C4:$C99, "&gt;="&amp;A4, 'ALL Tube Results'!$C4:$C99, "&lt;="&amp;B4, 'ALL Tube Results'!$F4:$F99, "Positive")</f>
        <v>0</v>
      </c>
      <c r="F4" s="20">
        <f>COUNTIFS('ALL Tube Results'!$C4:$C99, "&gt;="&amp;A4, 'ALL Tube Results'!$C4:$C99, "&lt;="&amp;B4, 'ALL Tube Results'!$F4:$F99, "Inconclusive")</f>
        <v>0</v>
      </c>
      <c r="G4" s="21">
        <f t="shared" si="2"/>
        <v>0</v>
      </c>
    </row>
    <row r="5">
      <c r="A5" s="22">
        <f t="shared" si="3"/>
        <v>44557</v>
      </c>
      <c r="B5" s="18">
        <f t="shared" si="1"/>
        <v>44563</v>
      </c>
      <c r="C5" s="19">
        <f>SUMIFS('ALL Tube Results'!$G$2:$G99, 'ALL Tube Results'!$C$2:$C99, "&gt;="&amp;A5, 'ALL Tube Results'!$C$2:$C99, "&lt;="&amp;B5)
</f>
        <v>27</v>
      </c>
      <c r="D5" s="20">
        <f>COUNTIFS('ALL Tube Results'!$C5:$C99, "&gt;="&amp;A5, 'ALL Tube Results'!$C5:$C99, "&lt;="&amp;B5)</f>
        <v>27</v>
      </c>
      <c r="E5" s="20">
        <f>COUNTIFS('ALL Tube Results'!$C5:$C99, "&gt;="&amp;A5, 'ALL Tube Results'!$C5:$C99, "&lt;="&amp;B5, 'ALL Tube Results'!$F5:$F99, "Positive")</f>
        <v>2</v>
      </c>
      <c r="F5" s="20">
        <f>COUNTIFS('ALL Tube Results'!$C5:$C99, "&gt;="&amp;A5, 'ALL Tube Results'!$C5:$C99, "&lt;="&amp;B5, 'ALL Tube Results'!$F5:$F99, "Inconclusive")</f>
        <v>0</v>
      </c>
      <c r="G5" s="21">
        <f t="shared" si="2"/>
        <v>0.07407407407</v>
      </c>
    </row>
    <row r="6">
      <c r="A6" s="22">
        <f t="shared" si="3"/>
        <v>44564</v>
      </c>
      <c r="B6" s="18">
        <f t="shared" si="1"/>
        <v>44570</v>
      </c>
      <c r="C6" s="19">
        <f>SUMIFS('ALL Tube Results'!$G$2:$G99, 'ALL Tube Results'!$C$2:$C99, "&gt;="&amp;A6, 'ALL Tube Results'!$C$2:$C99, "&lt;="&amp;B6)
</f>
        <v>54</v>
      </c>
      <c r="D6" s="20">
        <f>COUNTIFS('ALL Tube Results'!$C6:$C99, "&gt;="&amp;A6, 'ALL Tube Results'!$C6:$C99, "&lt;="&amp;B6)</f>
        <v>56</v>
      </c>
      <c r="E6" s="20">
        <f>COUNTIFS('ALL Tube Results'!$C6:$C99, "&gt;="&amp;A6, 'ALL Tube Results'!$C6:$C99, "&lt;="&amp;B6, 'ALL Tube Results'!$F6:$F99, "Positive")</f>
        <v>10</v>
      </c>
      <c r="F6" s="20">
        <f>COUNTIFS('ALL Tube Results'!$C6:$C99, "&gt;="&amp;A6, 'ALL Tube Results'!$C6:$C99, "&lt;="&amp;B6, 'ALL Tube Results'!$F6:$F99, "Inconclusive")</f>
        <v>1</v>
      </c>
      <c r="G6" s="21">
        <f t="shared" si="2"/>
        <v>0.1785714286</v>
      </c>
    </row>
    <row r="7">
      <c r="A7" s="22">
        <f t="shared" si="3"/>
        <v>44571</v>
      </c>
      <c r="B7" s="18">
        <f t="shared" si="1"/>
        <v>44577</v>
      </c>
      <c r="C7" s="19">
        <f>SUMIFS('ALL Tube Results'!$G$2:$G99, 'ALL Tube Results'!$C$2:$C99, "&gt;="&amp;A7, 'ALL Tube Results'!$C$2:$C99, "&lt;="&amp;B7)
</f>
        <v>75</v>
      </c>
      <c r="D7" s="20">
        <f>COUNTIFS('ALL Tube Results'!$C7:$C99, "&gt;="&amp;A7, 'ALL Tube Results'!$C7:$C99, "&lt;="&amp;B7)</f>
        <v>75</v>
      </c>
      <c r="E7" s="20">
        <f>COUNTIFS('ALL Tube Results'!$C7:$C99, "&gt;="&amp;A7, 'ALL Tube Results'!$C7:$C99, "&lt;="&amp;B7, 'ALL Tube Results'!$F7:$F99, "Positive")</f>
        <v>18</v>
      </c>
      <c r="F7" s="20">
        <f>COUNTIFS('ALL Tube Results'!$C7:$C99, "&gt;="&amp;A7, 'ALL Tube Results'!$C7:$C99, "&lt;="&amp;B7, 'ALL Tube Results'!$F7:$F99, "Inconclusive")</f>
        <v>0</v>
      </c>
      <c r="G7" s="21">
        <f t="shared" si="2"/>
        <v>0.24</v>
      </c>
    </row>
    <row r="8">
      <c r="A8" s="22">
        <f t="shared" si="3"/>
        <v>44578</v>
      </c>
      <c r="B8" s="18">
        <f t="shared" si="1"/>
        <v>44584</v>
      </c>
      <c r="C8" s="19">
        <f>SUMIFS('ALL Tube Results'!$G$2:$G99, 'ALL Tube Results'!$C$2:$C99, "&gt;="&amp;A8, 'ALL Tube Results'!$C$2:$C99, "&lt;="&amp;B8)
</f>
        <v>63</v>
      </c>
      <c r="D8" s="20">
        <f>COUNTIFS('ALL Tube Results'!$C8:$C99, "&gt;="&amp;A8, 'ALL Tube Results'!$C8:$C99, "&lt;="&amp;B8)</f>
        <v>63</v>
      </c>
      <c r="E8" s="20">
        <f>COUNTIFS('ALL Tube Results'!$C8:$C99, "&gt;="&amp;A8, 'ALL Tube Results'!$C8:$C99, "&lt;="&amp;B8, 'ALL Tube Results'!$F8:$F99, "Positive")</f>
        <v>23</v>
      </c>
      <c r="F8" s="20">
        <f>COUNTIFS('ALL Tube Results'!$C8:$C99, "&gt;="&amp;A8, 'ALL Tube Results'!$C8:$C99, "&lt;="&amp;B8, 'ALL Tube Results'!$F8:$F99, "Inconclusive")</f>
        <v>0</v>
      </c>
      <c r="G8" s="21">
        <f t="shared" si="2"/>
        <v>0.3650793651</v>
      </c>
    </row>
    <row r="9">
      <c r="A9" s="22">
        <f t="shared" si="3"/>
        <v>44585</v>
      </c>
      <c r="B9" s="18">
        <f t="shared" si="1"/>
        <v>44591</v>
      </c>
      <c r="C9" s="19">
        <f>SUMIFS('ALL Tube Results'!$G$2:$G99, 'ALL Tube Results'!$C$2:$C99, "&gt;="&amp;A9, 'ALL Tube Results'!$C$2:$C99, "&lt;="&amp;B9)
</f>
        <v>36</v>
      </c>
      <c r="D9" s="20">
        <f>COUNTIFS('ALL Tube Results'!$C9:$C99, "&gt;="&amp;A9, 'ALL Tube Results'!$C9:$C99, "&lt;="&amp;B9)</f>
        <v>36</v>
      </c>
      <c r="E9" s="20">
        <f>COUNTIFS('ALL Tube Results'!$C9:$C99, "&gt;="&amp;A9, 'ALL Tube Results'!$C9:$C99, "&lt;="&amp;B9, 'ALL Tube Results'!$F9:$F99, "Positive")</f>
        <v>4</v>
      </c>
      <c r="F9" s="20">
        <f>COUNTIFS('ALL Tube Results'!$C9:$C99, "&gt;="&amp;A9, 'ALL Tube Results'!$C9:$C99, "&lt;="&amp;B9, 'ALL Tube Results'!$F9:$F99, "Inconclusive")</f>
        <v>0</v>
      </c>
      <c r="G9" s="21">
        <f t="shared" si="2"/>
        <v>0.1111111111</v>
      </c>
    </row>
    <row r="10">
      <c r="A10" s="22">
        <f t="shared" si="3"/>
        <v>44592</v>
      </c>
      <c r="B10" s="18">
        <f t="shared" si="1"/>
        <v>44598</v>
      </c>
      <c r="C10" s="19">
        <f>SUMIFS('ALL Tube Results'!$G$2:$G99, 'ALL Tube Results'!$C$2:$C99, "&gt;="&amp;A10, 'ALL Tube Results'!$C$2:$C99, "&lt;="&amp;B10)
</f>
        <v>24</v>
      </c>
      <c r="D10" s="20">
        <f>COUNTIFS('ALL Tube Results'!$C10:$C99, "&gt;="&amp;A10, 'ALL Tube Results'!$C10:$C99, "&lt;="&amp;B10)</f>
        <v>24</v>
      </c>
      <c r="E10" s="20">
        <f>COUNTIFS('ALL Tube Results'!$C10:$C99, "&gt;="&amp;A10, 'ALL Tube Results'!$C10:$C99, "&lt;="&amp;B10, 'ALL Tube Results'!$F10:$F99, "Positive")</f>
        <v>1</v>
      </c>
      <c r="F10" s="20">
        <f>COUNTIFS('ALL Tube Results'!$C10:$C99, "&gt;="&amp;A10, 'ALL Tube Results'!$C10:$C99, "&lt;="&amp;B10, 'ALL Tube Results'!$F10:$F99, "Inconclusive")</f>
        <v>0</v>
      </c>
      <c r="G10" s="21">
        <f t="shared" si="2"/>
        <v>0.04166666667</v>
      </c>
    </row>
    <row r="11">
      <c r="A11" s="22">
        <f t="shared" si="3"/>
        <v>44599</v>
      </c>
      <c r="B11" s="18">
        <f t="shared" si="1"/>
        <v>44605</v>
      </c>
      <c r="C11" s="19">
        <f>SUMIFS('ALL Tube Results'!$G$2:$G99, 'ALL Tube Results'!$C$2:$C99, "&gt;="&amp;A11, 'ALL Tube Results'!$C$2:$C99, "&lt;="&amp;B11)
</f>
        <v>38</v>
      </c>
      <c r="D11" s="20">
        <f>COUNTIFS('ALL Tube Results'!$C11:$C99, "&gt;="&amp;A11, 'ALL Tube Results'!$C11:$C99, "&lt;="&amp;B11)</f>
        <v>38</v>
      </c>
      <c r="E11" s="20">
        <f>COUNTIFS('ALL Tube Results'!$C11:$C99, "&gt;="&amp;A11, 'ALL Tube Results'!$C11:$C99, "&lt;="&amp;B11, 'ALL Tube Results'!$F11:$F99, "Positive")</f>
        <v>6</v>
      </c>
      <c r="F11" s="20">
        <f>COUNTIFS('ALL Tube Results'!$C11:$C99, "&gt;="&amp;A11, 'ALL Tube Results'!$C11:$C99, "&lt;="&amp;B11, 'ALL Tube Results'!$F11:$F99, "Inconclusive")</f>
        <v>0</v>
      </c>
      <c r="G11" s="21">
        <f t="shared" si="2"/>
        <v>0.1578947368</v>
      </c>
    </row>
    <row r="12">
      <c r="A12" s="22">
        <f t="shared" si="3"/>
        <v>44606</v>
      </c>
      <c r="B12" s="18">
        <f t="shared" si="1"/>
        <v>44612</v>
      </c>
      <c r="C12" s="19">
        <f>SUMIFS('ALL Tube Results'!$G$2:$G99, 'ALL Tube Results'!$C$2:$C99, "&gt;="&amp;A12, 'ALL Tube Results'!$C$2:$C99, "&lt;="&amp;B12)
</f>
        <v>97</v>
      </c>
      <c r="D12" s="20">
        <f>COUNTIFS('ALL Tube Results'!$C12:$C99, "&gt;="&amp;A12, 'ALL Tube Results'!$C12:$C99, "&lt;="&amp;B12)</f>
        <v>97</v>
      </c>
      <c r="E12" s="20">
        <f>COUNTIFS('ALL Tube Results'!$C12:$C99, "&gt;="&amp;A12, 'ALL Tube Results'!$C12:$C99, "&lt;="&amp;B12, 'ALL Tube Results'!$F12:$F99, "Positive")</f>
        <v>0</v>
      </c>
      <c r="F12" s="20">
        <f>COUNTIFS('ALL Tube Results'!$C12:$C99, "&gt;="&amp;A12, 'ALL Tube Results'!$C12:$C99, "&lt;="&amp;B12, 'ALL Tube Results'!$F12:$F99, "Inconclusive")</f>
        <v>1</v>
      </c>
      <c r="G12" s="21">
        <f t="shared" si="2"/>
        <v>0</v>
      </c>
    </row>
    <row r="13">
      <c r="A13" s="22">
        <f t="shared" si="3"/>
        <v>44613</v>
      </c>
      <c r="B13" s="18">
        <f t="shared" si="1"/>
        <v>44619</v>
      </c>
      <c r="C13" s="19">
        <f>SUMIFS('ALL Tube Results'!$G$2:$G99, 'ALL Tube Results'!$C$2:$C99, "&gt;="&amp;A13, 'ALL Tube Results'!$C$2:$C99, "&lt;="&amp;B13)
</f>
        <v>128</v>
      </c>
      <c r="D13" s="20">
        <f>COUNTIFS('ALL Tube Results'!$C13:$C99, "&gt;="&amp;A13, 'ALL Tube Results'!$C13:$C99, "&lt;="&amp;B13)</f>
        <v>129</v>
      </c>
      <c r="E13" s="20">
        <f>COUNTIFS('ALL Tube Results'!$C13:$C99, "&gt;="&amp;A13, 'ALL Tube Results'!$C13:$C99, "&lt;="&amp;B13, 'ALL Tube Results'!$F13:$F99, "Positive")</f>
        <v>3</v>
      </c>
      <c r="F13" s="20">
        <f>COUNTIFS('ALL Tube Results'!$C13:$C99, "&gt;="&amp;A13, 'ALL Tube Results'!$C13:$C99, "&lt;="&amp;B13, 'ALL Tube Results'!$F13:$F99, "Inconclusive")</f>
        <v>0</v>
      </c>
      <c r="G13" s="21">
        <f t="shared" si="2"/>
        <v>0.02325581395</v>
      </c>
    </row>
    <row r="14">
      <c r="A14" s="22">
        <f t="shared" si="3"/>
        <v>44620</v>
      </c>
      <c r="B14" s="18">
        <f t="shared" si="1"/>
        <v>44626</v>
      </c>
      <c r="C14" s="19">
        <f>SUMIFS('ALL Tube Results'!$G$2:$G99, 'ALL Tube Results'!$C$2:$C99, "&gt;="&amp;A14, 'ALL Tube Results'!$C$2:$C99, "&lt;="&amp;B14)
</f>
        <v>99</v>
      </c>
      <c r="D14" s="20">
        <f>COUNTIFS('ALL Tube Results'!$C14:$C99, "&gt;="&amp;A14, 'ALL Tube Results'!$C14:$C99, "&lt;="&amp;B14)</f>
        <v>101</v>
      </c>
      <c r="E14" s="20">
        <f>COUNTIFS('ALL Tube Results'!$C14:$C99, "&gt;="&amp;A14, 'ALL Tube Results'!$C14:$C99, "&lt;="&amp;B14, 'ALL Tube Results'!$F14:$F99, "Positive")</f>
        <v>3</v>
      </c>
      <c r="F14" s="20">
        <f>COUNTIFS('ALL Tube Results'!$C14:$C99, "&gt;="&amp;A14, 'ALL Tube Results'!$C14:$C99, "&lt;="&amp;B14, 'ALL Tube Results'!$F14:$F99, "Inconclusive")</f>
        <v>0</v>
      </c>
      <c r="G14" s="21">
        <f t="shared" si="2"/>
        <v>0.0297029703</v>
      </c>
    </row>
    <row r="15">
      <c r="A15" s="22">
        <f t="shared" si="3"/>
        <v>44627</v>
      </c>
      <c r="B15" s="18">
        <f t="shared" si="1"/>
        <v>44633</v>
      </c>
      <c r="C15" s="19">
        <f>SUMIFS('ALL Tube Results'!$G$2:$G99, 'ALL Tube Results'!$C$2:$C99, "&gt;="&amp;A15, 'ALL Tube Results'!$C$2:$C99, "&lt;="&amp;B15)
</f>
        <v>86</v>
      </c>
      <c r="D15" s="20">
        <f>COUNTIFS('ALL Tube Results'!$C15:$C99, "&gt;="&amp;A15, 'ALL Tube Results'!$C15:$C99, "&lt;="&amp;B15)</f>
        <v>86</v>
      </c>
      <c r="E15" s="20">
        <f>COUNTIFS('ALL Tube Results'!$C15:$C99, "&gt;="&amp;A15, 'ALL Tube Results'!$C15:$C99, "&lt;="&amp;B15, 'ALL Tube Results'!$F15:$F99, "Positive")</f>
        <v>0</v>
      </c>
      <c r="F15" s="20">
        <f>COUNTIFS('ALL Tube Results'!$C15:$C99, "&gt;="&amp;A15, 'ALL Tube Results'!$C15:$C99, "&lt;="&amp;B15, 'ALL Tube Results'!$F15:$F99, "Inconclusive")</f>
        <v>0</v>
      </c>
      <c r="G15" s="21">
        <f t="shared" si="2"/>
        <v>0</v>
      </c>
    </row>
    <row r="16">
      <c r="A16" s="22">
        <f t="shared" si="3"/>
        <v>44634</v>
      </c>
      <c r="B16" s="18">
        <f t="shared" si="1"/>
        <v>44640</v>
      </c>
      <c r="C16" s="19">
        <f>SUMIFS('ALL Tube Results'!$G$2:$G99, 'ALL Tube Results'!$C$2:$C99, "&gt;="&amp;A16, 'ALL Tube Results'!$C$2:$C99, "&lt;="&amp;B16)
</f>
        <v>0</v>
      </c>
      <c r="D16" s="20">
        <f>COUNTIFS('ALL Tube Results'!$C16:$C99, "&gt;="&amp;A16, 'ALL Tube Results'!$C16:$C99, "&lt;="&amp;B16)</f>
        <v>0</v>
      </c>
      <c r="E16" s="20">
        <f>COUNTIFS('ALL Tube Results'!$C16:$C99, "&gt;="&amp;A16, 'ALL Tube Results'!$C16:$C99, "&lt;="&amp;B16, 'ALL Tube Results'!$F16:$F99, "Positive")</f>
        <v>0</v>
      </c>
      <c r="F16" s="20">
        <f>COUNTIFS('ALL Tube Results'!$C16:$C99, "&gt;="&amp;A16, 'ALL Tube Results'!$C16:$C99, "&lt;="&amp;B16, 'ALL Tube Results'!$F16:$F99, "Inconclusive")</f>
        <v>0</v>
      </c>
      <c r="G16" s="21" t="str">
        <f t="shared" si="2"/>
        <v/>
      </c>
    </row>
    <row r="17">
      <c r="A17" s="22">
        <f t="shared" si="3"/>
        <v>44641</v>
      </c>
      <c r="B17" s="18">
        <f t="shared" si="1"/>
        <v>44647</v>
      </c>
      <c r="C17" s="19">
        <f>SUMIFS('ALL Tube Results'!$G$2:$G99, 'ALL Tube Results'!$C$2:$C99, "&gt;="&amp;A17, 'ALL Tube Results'!$C$2:$C99, "&lt;="&amp;B17)
</f>
        <v>0</v>
      </c>
      <c r="D17" s="20">
        <f>COUNTIFS('ALL Tube Results'!$C17:$C99, "&gt;="&amp;A17, 'ALL Tube Results'!$C17:$C99, "&lt;="&amp;B17)</f>
        <v>0</v>
      </c>
      <c r="E17" s="20">
        <f>COUNTIFS('ALL Tube Results'!$C17:$C99, "&gt;="&amp;A17, 'ALL Tube Results'!$C17:$C99, "&lt;="&amp;B17, 'ALL Tube Results'!$F17:$F99, "Positive")</f>
        <v>0</v>
      </c>
      <c r="F17" s="20">
        <f>COUNTIFS('ALL Tube Results'!$C17:$C99, "&gt;="&amp;A17, 'ALL Tube Results'!$C17:$C99, "&lt;="&amp;B17, 'ALL Tube Results'!$F17:$F99, "Inconclusive")</f>
        <v>0</v>
      </c>
      <c r="G17" s="21" t="str">
        <f t="shared" si="2"/>
        <v/>
      </c>
    </row>
    <row r="18">
      <c r="A18" s="22">
        <f t="shared" si="3"/>
        <v>44648</v>
      </c>
      <c r="B18" s="18">
        <f t="shared" si="1"/>
        <v>44654</v>
      </c>
      <c r="C18" s="19">
        <f>SUMIFS('ALL Tube Results'!$G$2:$G99, 'ALL Tube Results'!$C$2:$C99, "&gt;="&amp;A18, 'ALL Tube Results'!$C$2:$C99, "&lt;="&amp;B18)
</f>
        <v>0</v>
      </c>
      <c r="D18" s="20">
        <f>COUNTIFS('ALL Tube Results'!$C18:$C99, "&gt;="&amp;A18, 'ALL Tube Results'!$C18:$C99, "&lt;="&amp;B18)</f>
        <v>0</v>
      </c>
      <c r="E18" s="20">
        <f>COUNTIFS('ALL Tube Results'!$C18:$C99, "&gt;="&amp;A18, 'ALL Tube Results'!$C18:$C99, "&lt;="&amp;B18, 'ALL Tube Results'!$F18:$F99, "Positive")</f>
        <v>0</v>
      </c>
      <c r="F18" s="20">
        <f>COUNTIFS('ALL Tube Results'!$C18:$C99, "&gt;="&amp;A18, 'ALL Tube Results'!$C18:$C99, "&lt;="&amp;B18, 'ALL Tube Results'!$F18:$F99, "Inconclusive")</f>
        <v>0</v>
      </c>
      <c r="G18" s="21" t="str">
        <f t="shared" si="2"/>
        <v/>
      </c>
    </row>
    <row r="19">
      <c r="A19" s="22">
        <f t="shared" si="3"/>
        <v>44655</v>
      </c>
      <c r="B19" s="18">
        <f t="shared" si="1"/>
        <v>44661</v>
      </c>
      <c r="C19" s="19">
        <f>SUMIFS('ALL Tube Results'!$G$2:$G99, 'ALL Tube Results'!$C$2:$C99, "&gt;="&amp;A19, 'ALL Tube Results'!$C$2:$C99, "&lt;="&amp;B19)
</f>
        <v>0</v>
      </c>
      <c r="D19" s="20">
        <f>COUNTIFS('ALL Tube Results'!$C19:$C99, "&gt;="&amp;A19, 'ALL Tube Results'!$C19:$C99, "&lt;="&amp;B19)</f>
        <v>0</v>
      </c>
      <c r="E19" s="20">
        <f>COUNTIFS('ALL Tube Results'!$C19:$C99, "&gt;="&amp;A19, 'ALL Tube Results'!$C19:$C99, "&lt;="&amp;B19, 'ALL Tube Results'!$F19:$F99, "Positive")</f>
        <v>0</v>
      </c>
      <c r="F19" s="20">
        <f>COUNTIFS('ALL Tube Results'!$C19:$C99, "&gt;="&amp;A19, 'ALL Tube Results'!$C19:$C99, "&lt;="&amp;B19, 'ALL Tube Results'!$F19:$F99, "Inconclusive")</f>
        <v>0</v>
      </c>
      <c r="G19" s="21" t="str">
        <f t="shared" si="2"/>
        <v/>
      </c>
    </row>
    <row r="20">
      <c r="A20" s="22">
        <f t="shared" si="3"/>
        <v>44662</v>
      </c>
      <c r="B20" s="18">
        <f t="shared" si="1"/>
        <v>44668</v>
      </c>
      <c r="C20" s="19">
        <f>SUMIFS('ALL Tube Results'!$G$2:$G99, 'ALL Tube Results'!$C$2:$C99, "&gt;="&amp;A20, 'ALL Tube Results'!$C$2:$C99, "&lt;="&amp;B20)
</f>
        <v>1</v>
      </c>
      <c r="D20" s="20">
        <f>COUNTIFS('ALL Tube Results'!$C20:$C99, "&gt;="&amp;A20, 'ALL Tube Results'!$C20:$C99, "&lt;="&amp;B20)</f>
        <v>1</v>
      </c>
      <c r="E20" s="20">
        <f>COUNTIFS('ALL Tube Results'!$C20:$C99, "&gt;="&amp;A20, 'ALL Tube Results'!$C20:$C99, "&lt;="&amp;B20, 'ALL Tube Results'!$F20:$F99, "Positive")</f>
        <v>0</v>
      </c>
      <c r="F20" s="20">
        <f>COUNTIFS('ALL Tube Results'!$C20:$C99, "&gt;="&amp;A20, 'ALL Tube Results'!$C20:$C99, "&lt;="&amp;B20, 'ALL Tube Results'!$F20:$F99, "Inconclusive")</f>
        <v>0</v>
      </c>
      <c r="G20" s="21">
        <f t="shared" si="2"/>
        <v>0</v>
      </c>
    </row>
    <row r="21">
      <c r="A21" s="22">
        <f t="shared" si="3"/>
        <v>44669</v>
      </c>
      <c r="B21" s="18">
        <f t="shared" si="1"/>
        <v>44675</v>
      </c>
      <c r="C21" s="19">
        <f>SUMIFS('ALL Tube Results'!$G$2:$G99, 'ALL Tube Results'!$C$2:$C99, "&gt;="&amp;A21, 'ALL Tube Results'!$C$2:$C99, "&lt;="&amp;B21)
</f>
        <v>0</v>
      </c>
      <c r="D21" s="20">
        <f>COUNTIFS('ALL Tube Results'!$C21:$C99, "&gt;="&amp;A21, 'ALL Tube Results'!$C21:$C99, "&lt;="&amp;B21)</f>
        <v>0</v>
      </c>
      <c r="E21" s="20">
        <f>COUNTIFS('ALL Tube Results'!$C21:$C99, "&gt;="&amp;A21, 'ALL Tube Results'!$C21:$C99, "&lt;="&amp;B21, 'ALL Tube Results'!$F21:$F99, "Positive")</f>
        <v>0</v>
      </c>
      <c r="F21" s="20">
        <f>COUNTIFS('ALL Tube Results'!$C21:$C99, "&gt;="&amp;A21, 'ALL Tube Results'!$C21:$C99, "&lt;="&amp;B21, 'ALL Tube Results'!$F21:$F99, "Inconclusive")</f>
        <v>0</v>
      </c>
      <c r="G21" s="21" t="str">
        <f t="shared" si="2"/>
        <v/>
      </c>
    </row>
    <row r="22">
      <c r="A22" s="22">
        <f t="shared" si="3"/>
        <v>44676</v>
      </c>
      <c r="B22" s="18">
        <f t="shared" si="1"/>
        <v>44682</v>
      </c>
      <c r="C22" s="19">
        <f>SUMIFS('ALL Tube Results'!$G$2:$G99, 'ALL Tube Results'!$C$2:$C99, "&gt;="&amp;A22, 'ALL Tube Results'!$C$2:$C99, "&lt;="&amp;B22)
</f>
        <v>0</v>
      </c>
      <c r="D22" s="20">
        <f>COUNTIFS('ALL Tube Results'!$C22:$C99, "&gt;="&amp;A22, 'ALL Tube Results'!$C22:$C99, "&lt;="&amp;B22)</f>
        <v>0</v>
      </c>
      <c r="E22" s="20">
        <f>COUNTIFS('ALL Tube Results'!$C22:$C99, "&gt;="&amp;A22, 'ALL Tube Results'!$C22:$C99, "&lt;="&amp;B22, 'ALL Tube Results'!$F22:$F99, "Positive")</f>
        <v>0</v>
      </c>
      <c r="F22" s="20">
        <f>COUNTIFS('ALL Tube Results'!$C22:$C99, "&gt;="&amp;A22, 'ALL Tube Results'!$C22:$C99, "&lt;="&amp;B22, 'ALL Tube Results'!$F22:$F99, "Inconclusive")</f>
        <v>0</v>
      </c>
      <c r="G22" s="21" t="str">
        <f t="shared" si="2"/>
        <v/>
      </c>
    </row>
    <row r="23">
      <c r="A23" s="22">
        <f t="shared" si="3"/>
        <v>44683</v>
      </c>
      <c r="B23" s="18">
        <f t="shared" si="1"/>
        <v>44689</v>
      </c>
      <c r="C23" s="19">
        <f>SUMIFS('ALL Tube Results'!$G$2:$G99, 'ALL Tube Results'!$C$2:$C99, "&gt;="&amp;A23, 'ALL Tube Results'!$C$2:$C99, "&lt;="&amp;B23)
</f>
        <v>0</v>
      </c>
      <c r="D23" s="20">
        <f>COUNTIFS('ALL Tube Results'!$C23:$C99, "&gt;="&amp;A23, 'ALL Tube Results'!$C23:$C99, "&lt;="&amp;B23)</f>
        <v>0</v>
      </c>
      <c r="E23" s="20">
        <f>COUNTIFS('ALL Tube Results'!$C23:$C99, "&gt;="&amp;A23, 'ALL Tube Results'!$C23:$C99, "&lt;="&amp;B23, 'ALL Tube Results'!$F23:$F99, "Positive")</f>
        <v>0</v>
      </c>
      <c r="F23" s="20">
        <f>COUNTIFS('ALL Tube Results'!$C23:$C99, "&gt;="&amp;A23, 'ALL Tube Results'!$C23:$C99, "&lt;="&amp;B23, 'ALL Tube Results'!$F23:$F99, "Inconclusive")</f>
        <v>0</v>
      </c>
      <c r="G23" s="21" t="str">
        <f t="shared" si="2"/>
        <v/>
      </c>
    </row>
    <row r="24">
      <c r="A24" s="22">
        <f t="shared" si="3"/>
        <v>44690</v>
      </c>
      <c r="B24" s="18">
        <f t="shared" si="1"/>
        <v>44696</v>
      </c>
      <c r="C24" s="19">
        <f>SUMIFS('ALL Tube Results'!$G$2:$G99, 'ALL Tube Results'!$C$2:$C99, "&gt;="&amp;A24, 'ALL Tube Results'!$C$2:$C99, "&lt;="&amp;B24)
</f>
        <v>9</v>
      </c>
      <c r="D24" s="20">
        <f>COUNTIFS('ALL Tube Results'!$C24:$C99, "&gt;="&amp;A24, 'ALL Tube Results'!$C24:$C99, "&lt;="&amp;B24)</f>
        <v>9</v>
      </c>
      <c r="E24" s="20">
        <f>COUNTIFS('ALL Tube Results'!$C24:$C99, "&gt;="&amp;A24, 'ALL Tube Results'!$C24:$C99, "&lt;="&amp;B24, 'ALL Tube Results'!$F24:$F99, "Positive")</f>
        <v>0</v>
      </c>
      <c r="F24" s="20">
        <f>COUNTIFS('ALL Tube Results'!$C24:$C99, "&gt;="&amp;A24, 'ALL Tube Results'!$C24:$C99, "&lt;="&amp;B24, 'ALL Tube Results'!$F24:$F99, "Inconclusive")</f>
        <v>0</v>
      </c>
      <c r="G24" s="21">
        <f t="shared" si="2"/>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6.88"/>
    <col customWidth="1" min="2" max="2" width="10.88"/>
    <col customWidth="1" min="3" max="3" width="8.88"/>
    <col customWidth="1" min="4" max="4" width="8.63"/>
    <col customWidth="1" min="5" max="5" width="8.25"/>
    <col customWidth="1" min="6" max="6" width="11.75"/>
    <col customWidth="1" min="7" max="7" width="4.25"/>
    <col customWidth="1" min="8" max="8" width="11.38"/>
    <col customWidth="1" min="9" max="11" width="3.13"/>
    <col customWidth="1" min="12" max="14" width="13.25"/>
    <col customWidth="1" min="15" max="15" width="3.75"/>
    <col customWidth="1" min="16" max="16" width="11.75"/>
    <col customWidth="1" min="17" max="17" width="2.63"/>
    <col customWidth="1" min="18" max="18" width="26.88" outlineLevel="1"/>
    <col customWidth="1" min="19" max="19" width="14.38" outlineLevel="1"/>
    <col min="20" max="20" width="12.63" outlineLevel="1"/>
    <col customWidth="1" min="21" max="21" width="13.0" outlineLevel="1"/>
    <col customWidth="1" min="22" max="22" width="5.25" outlineLevel="1"/>
    <col customWidth="1" min="23" max="23" width="4.88" outlineLevel="1"/>
    <col customWidth="1" min="24" max="24" width="3.13"/>
    <col customWidth="1" min="25" max="25" width="26.88" outlineLevel="1"/>
    <col customWidth="1" min="26" max="26" width="15.63" outlineLevel="1"/>
    <col min="27" max="30" width="12.63" outlineLevel="1"/>
    <col customWidth="1" min="31" max="31" width="7.13" outlineLevel="1"/>
    <col customWidth="1" min="32" max="32" width="3.13"/>
    <col customWidth="1" min="33" max="33" width="26.88" outlineLevel="1"/>
    <col customWidth="1" min="34" max="34" width="11.38" outlineLevel="1"/>
    <col customWidth="1" min="35" max="37" width="8.88" outlineLevel="1"/>
    <col customWidth="1" min="38" max="38" width="11.13" outlineLevel="1"/>
    <col customWidth="1" min="39" max="39" width="8.88" outlineLevel="1"/>
    <col customWidth="1" min="40" max="40" width="2.38"/>
    <col customWidth="1" min="41" max="41" width="18.38" outlineLevel="1"/>
    <col customWidth="1" min="42" max="42" width="9.25" outlineLevel="1"/>
    <col customWidth="1" min="43" max="43" width="8.88" outlineLevel="1"/>
    <col customWidth="1" min="44" max="44" width="8.63" outlineLevel="1"/>
    <col customWidth="1" min="45" max="45" width="11.13" outlineLevel="1"/>
    <col customWidth="1" min="46" max="46" width="5.5" outlineLevel="1"/>
    <col customWidth="1" min="47" max="47" width="2.38"/>
  </cols>
  <sheetData>
    <row r="1">
      <c r="A1" s="23" t="s">
        <v>3</v>
      </c>
      <c r="B1" s="24">
        <f>COUNT(B3:B259)</f>
        <v>44</v>
      </c>
      <c r="C1" s="24">
        <f t="shared" ref="C1:F1" si="1">SUM(C2:C259)</f>
        <v>772</v>
      </c>
      <c r="D1" s="24">
        <f t="shared" si="1"/>
        <v>699</v>
      </c>
      <c r="E1" s="24">
        <f t="shared" si="1"/>
        <v>71</v>
      </c>
      <c r="F1" s="24">
        <f t="shared" si="1"/>
        <v>2</v>
      </c>
      <c r="G1" s="24"/>
      <c r="H1" s="24">
        <f>SUM(H2:H259)</f>
        <v>0</v>
      </c>
      <c r="I1" s="25"/>
      <c r="J1" s="25"/>
      <c r="K1" s="25"/>
      <c r="L1" s="26">
        <f t="shared" ref="L1:N1" si="2">SUM(L2:L259)</f>
        <v>7</v>
      </c>
      <c r="M1" s="26">
        <f t="shared" si="2"/>
        <v>1</v>
      </c>
      <c r="N1" s="26">
        <f t="shared" si="2"/>
        <v>-3</v>
      </c>
      <c r="O1" s="24"/>
      <c r="P1" s="24">
        <f>SUM(P2:P259)</f>
        <v>5</v>
      </c>
      <c r="Q1" s="27"/>
      <c r="R1" s="28" t="s">
        <v>4</v>
      </c>
      <c r="S1" s="29" t="str">
        <f>CONCATENATE("Delta Run Reconciled to ALL Tubes ",T1-C1)</f>
        <v>Delta Run Reconciled to ALL Tubes 0</v>
      </c>
      <c r="T1" s="30">
        <f>SUM(T2:T259)</f>
        <v>772</v>
      </c>
      <c r="U1" s="31">
        <f>COUNTIF(U3:U259,FALSE)</f>
        <v>0</v>
      </c>
      <c r="V1" s="30">
        <f t="shared" ref="V1:W1" si="3">SUM(V2:V259)</f>
        <v>0</v>
      </c>
      <c r="W1" s="30">
        <f t="shared" si="3"/>
        <v>0</v>
      </c>
      <c r="X1" s="32"/>
      <c r="Y1" s="33" t="s">
        <v>5</v>
      </c>
      <c r="Z1" s="33"/>
      <c r="AA1" s="34">
        <f t="shared" ref="AA1:AD1" si="4">SUM(AA2:AA259)</f>
        <v>765</v>
      </c>
      <c r="AB1" s="34">
        <f t="shared" si="4"/>
        <v>690</v>
      </c>
      <c r="AC1" s="34">
        <f t="shared" si="4"/>
        <v>70</v>
      </c>
      <c r="AD1" s="34">
        <f t="shared" si="4"/>
        <v>5</v>
      </c>
      <c r="AE1" s="33"/>
      <c r="AF1" s="32"/>
      <c r="AG1" s="35" t="s">
        <v>6</v>
      </c>
      <c r="AH1" s="36"/>
      <c r="AI1" s="36">
        <f t="shared" ref="AI1:AM1" si="5">SUM(AI3:AI259)</f>
        <v>767</v>
      </c>
      <c r="AJ1" s="36">
        <f t="shared" si="5"/>
        <v>694</v>
      </c>
      <c r="AK1" s="36">
        <f t="shared" si="5"/>
        <v>71</v>
      </c>
      <c r="AL1" s="36">
        <f t="shared" si="5"/>
        <v>2</v>
      </c>
      <c r="AM1" s="36">
        <f t="shared" si="5"/>
        <v>0</v>
      </c>
      <c r="AN1" s="32"/>
      <c r="AO1" s="37" t="s">
        <v>7</v>
      </c>
      <c r="AP1" s="38">
        <f t="shared" ref="AP1:AT1" si="6">SUM(AP2:AP259)</f>
        <v>767</v>
      </c>
      <c r="AQ1" s="38">
        <f t="shared" si="6"/>
        <v>694</v>
      </c>
      <c r="AR1" s="38">
        <f t="shared" si="6"/>
        <v>71</v>
      </c>
      <c r="AS1" s="38">
        <f t="shared" si="6"/>
        <v>2</v>
      </c>
      <c r="AT1" s="38">
        <f t="shared" si="6"/>
        <v>0</v>
      </c>
      <c r="AU1" s="32"/>
    </row>
    <row r="2">
      <c r="A2" s="15" t="s">
        <v>8</v>
      </c>
      <c r="B2" s="39" t="s">
        <v>9</v>
      </c>
      <c r="C2" s="40" t="s">
        <v>10</v>
      </c>
      <c r="D2" s="39" t="s">
        <v>11</v>
      </c>
      <c r="E2" s="15" t="s">
        <v>12</v>
      </c>
      <c r="F2" s="15" t="s">
        <v>13</v>
      </c>
      <c r="G2" s="29"/>
      <c r="H2" s="29" t="s">
        <v>14</v>
      </c>
      <c r="I2" s="41" t="s">
        <v>15</v>
      </c>
      <c r="J2" s="41" t="s">
        <v>16</v>
      </c>
      <c r="K2" s="41" t="s">
        <v>17</v>
      </c>
      <c r="L2" s="41" t="s">
        <v>18</v>
      </c>
      <c r="M2" s="41" t="s">
        <v>19</v>
      </c>
      <c r="N2" s="41" t="s">
        <v>20</v>
      </c>
      <c r="O2" s="35"/>
      <c r="P2" s="35" t="s">
        <v>21</v>
      </c>
      <c r="Q2" s="42"/>
      <c r="R2" s="15" t="s">
        <v>8</v>
      </c>
      <c r="S2" s="15" t="s">
        <v>9</v>
      </c>
      <c r="T2" s="15" t="s">
        <v>22</v>
      </c>
      <c r="U2" s="16" t="s">
        <v>23</v>
      </c>
      <c r="V2" s="5"/>
      <c r="W2" s="5"/>
      <c r="X2" s="43"/>
      <c r="Y2" s="15" t="s">
        <v>24</v>
      </c>
      <c r="Z2" s="15" t="s">
        <v>9</v>
      </c>
      <c r="AA2" s="44" t="str">
        <f>'RFR Data - preExcl'!AK1</f>
        <v>RFR Audit
Num
Run Tubes</v>
      </c>
      <c r="AB2" s="15" t="s">
        <v>25</v>
      </c>
      <c r="AC2" s="5" t="str">
        <f>'RFR Data - preExcl'!AI1</f>
        <v>Audit
Pos Session
Calls</v>
      </c>
      <c r="AD2" s="5" t="str">
        <f>'RFR Data - preExcl'!AF1</f>
        <v>Audit
Inc Session Calls</v>
      </c>
      <c r="AE2" s="45" t="s">
        <v>26</v>
      </c>
      <c r="AF2" s="43"/>
      <c r="AG2" s="15" t="s">
        <v>27</v>
      </c>
      <c r="AH2" s="39" t="s">
        <v>9</v>
      </c>
      <c r="AI2" s="39" t="s">
        <v>10</v>
      </c>
      <c r="AJ2" s="39" t="s">
        <v>11</v>
      </c>
      <c r="AK2" s="15" t="s">
        <v>12</v>
      </c>
      <c r="AL2" s="15" t="s">
        <v>13</v>
      </c>
      <c r="AM2" s="15" t="s">
        <v>28</v>
      </c>
      <c r="AN2" s="43"/>
      <c r="AO2" s="5" t="str">
        <f>'APS Tubes by Date Import'!B1</f>
        <v>APS
COLLECT DATE</v>
      </c>
      <c r="AP2" s="39" t="s">
        <v>10</v>
      </c>
      <c r="AQ2" s="39" t="s">
        <v>11</v>
      </c>
      <c r="AR2" s="15" t="s">
        <v>12</v>
      </c>
      <c r="AS2" s="15" t="s">
        <v>13</v>
      </c>
      <c r="AT2" s="15" t="s">
        <v>28</v>
      </c>
      <c r="AU2" s="43"/>
    </row>
    <row r="3">
      <c r="A3" s="46" t="str">
        <f t="array" ref="A3:A47">SORT(UNIQUE('ALL Tube Results'!B2:B259))</f>
        <v>RUN-BEND_2021-12-10_APS-001</v>
      </c>
      <c r="B3" s="47">
        <f>VLOOKUP(A3,'Run Reconcile'!A$2:B259,2,FALSE)</f>
        <v>44540</v>
      </c>
      <c r="C3" s="48">
        <f>COUNTIF('ALL Tube Results'!B2:B259, A3)
</f>
        <v>5</v>
      </c>
      <c r="D3" s="49">
        <f>COUNTIFS('ALL Tube Results'!$B2:$B259, $A3, 'ALL Tube Results'!$F2:$F259, "Negative")
</f>
        <v>5</v>
      </c>
      <c r="E3" s="49">
        <f>COUNTIFS('ALL Tube Results'!$B2:$B259, $A3, 'ALL Tube Results'!$F2:$F259, "Positive")
</f>
        <v>0</v>
      </c>
      <c r="F3" s="49">
        <f>COUNTIFS('ALL Tube Results'!$B2:$B259, $A3, 'ALL Tube Results'!$F2:$F259, "Inconclusive")
</f>
        <v>0</v>
      </c>
      <c r="G3" s="50">
        <f t="shared" ref="G3:G46" si="7">IFERROR(VLOOKUP($A3,R$3:T259,3,FALSE),IFERROR(0/0,"")  )</f>
        <v>5</v>
      </c>
      <c r="H3" s="50" t="str">
        <f t="shared" ref="H3:H46" si="8">IF($C3=G3,IFERROR(0/0,""),$C3-G3)</f>
        <v/>
      </c>
      <c r="I3" s="51" t="str">
        <f t="shared" ref="I3:I46" si="9">IFERROR(VLOOKUP($A3,Y$3:AA259,3,FALSE),IFERROR(0/0,"")  )</f>
        <v/>
      </c>
      <c r="J3" s="52" t="str">
        <f t="shared" ref="J3:J46" si="10">IFERROR(VLOOKUP($A3,Y$3:AD259,5,FALSE),IFERROR(0/0,"")  )</f>
        <v/>
      </c>
      <c r="K3" s="52" t="str">
        <f t="shared" ref="K3:K46" si="11">IFERROR(VLOOKUP($A3,Y$3:AD259,6,FALSE),IFERROR(0/0,""))</f>
        <v/>
      </c>
      <c r="L3" s="51">
        <f t="shared" ref="L3:L46" si="12">IF($C3=I3,IFERROR(0/0,""),$C3-I3)</f>
        <v>5</v>
      </c>
      <c r="M3" s="52" t="str">
        <f t="shared" ref="M3:M46" si="13">IF($E3=J3,IFERROR(0/0,""),$E3-J3)</f>
        <v/>
      </c>
      <c r="N3" s="52" t="str">
        <f t="shared" ref="N3:N46" si="14">IF($F3=K3,IFERROR(0/0,""),$F3-K3)</f>
        <v/>
      </c>
      <c r="O3" s="53">
        <f t="shared" ref="O3:O46" si="15">IFERROR(VLOOKUP($A3,AG$3:AI259,3,FALSE),IFERROR(0/0,"")  )</f>
        <v>5</v>
      </c>
      <c r="P3" s="53" t="str">
        <f t="shared" ref="P3:P46" si="16">IF($C3=O3,IFERROR(0/0,""),$C3-O3)</f>
        <v/>
      </c>
      <c r="Q3" s="43"/>
      <c r="R3" s="54" t="str">
        <f t="array" ref="R3:S116">SORT('Run Reconcile'!A2:B259,1,TRUE)</f>
        <v>RUN-BEND_2021-12-10_APS-001</v>
      </c>
      <c r="S3" s="55">
        <v>44540.0</v>
      </c>
      <c r="T3" s="56">
        <f>VLOOKUP(R3,'Run Reconcile'!$A$2:$L259,12,FALSE)</f>
        <v>5</v>
      </c>
      <c r="U3" s="57" t="str">
        <f t="shared" ref="U3:U46" si="17">IF(EXACT(A2,R2),IFERROR(0/0,""),FALSE)</f>
        <v/>
      </c>
      <c r="V3" s="56"/>
      <c r="W3" s="56"/>
      <c r="X3" s="43"/>
      <c r="Y3" s="6" t="str">
        <f>IFERROR(__xludf.DUMMYFUNCTION("SORT(FILTER('Run Reconcile'!A2:B259,'Run Reconcile'!A2:A259&lt;&gt;""*"",REGEXMATCH('Run Reconcile'!A2:A259,""RFR-"")),1,TRUE)
"),"RUN-BEND_2021-12-13_RFR-002")</f>
        <v>RUN-BEND_2021-12-13_RFR-002</v>
      </c>
      <c r="Z3" s="55">
        <f>IFERROR(__xludf.DUMMYFUNCTION("""COMPUTED_VALUE"""),44543.0)</f>
        <v>44543</v>
      </c>
      <c r="AA3" s="51">
        <f t="array" ref="AA3">INDEX('RFR Data - preExcl'!AK$2:AK259,$AE3,1)</f>
        <v>7</v>
      </c>
      <c r="AB3" s="56">
        <f t="shared" ref="AB3:AB43" si="18">AA3-AC3-AD3</f>
        <v>7</v>
      </c>
      <c r="AC3" s="56">
        <f t="array" ref="AC3">INDEX('RFR Data - preExcl'!AI$2:AI259,$AE3,1)</f>
        <v>0</v>
      </c>
      <c r="AD3" s="56">
        <f t="array" ref="AD3">INDEX('RFR Data - preExcl'!AF$2:AF259,$AE3,1)</f>
        <v>0</v>
      </c>
      <c r="AE3" s="58">
        <f>IFNA(MATCH(Y3,'RFR Data - preExcl'!A$2:A259,0),"")</f>
        <v>2</v>
      </c>
      <c r="AF3" s="43"/>
      <c r="AG3" s="59" t="str">
        <f t="array" ref="AG3:AG47">SORT(UNIQUE('APS Tubes Import'!V2:V259))</f>
        <v>RUN-BEND_2021-12-10_APS-001</v>
      </c>
      <c r="AH3" s="60">
        <f>VLOOKUP(AG3,'Run Reconcile'!A$2:B259,2,FALSE)</f>
        <v>44540</v>
      </c>
      <c r="AI3" s="61">
        <f>COUNTIF('APS Tubes Import'!$V$2:$V259, AG3)
</f>
        <v>5</v>
      </c>
      <c r="AJ3" s="61">
        <f>COUNTIFS('APS Tubes Import'!V$2:V259, AG3, 'APS Tubes Import'!H$2:H259, "Negative")
</f>
        <v>5</v>
      </c>
      <c r="AK3" s="61">
        <f>COUNTIFS('APS Tubes Import'!V$2:V259, AG3, 'APS Tubes Import'!H$2:H259, "Positive")
</f>
        <v>0</v>
      </c>
      <c r="AL3" s="61">
        <f>COUNTIFS('APS Tubes Import'!V$2:V259, AG3, 'APS Tubes Import'!H$2:H259, "Inconclusive")
</f>
        <v>0</v>
      </c>
      <c r="AM3" s="61">
        <f>COUNTIFS('APS Tubes Import'!V$2:V259, AG3, 'APS Tubes Import'!H$2:H259, "Null")
</f>
        <v>0</v>
      </c>
      <c r="AN3" s="43"/>
      <c r="AO3" s="55">
        <f>'APS Tubes by Date Import'!B2</f>
        <v>44540</v>
      </c>
      <c r="AP3" s="56">
        <f>'APS Tubes by Date Import'!C2</f>
        <v>5</v>
      </c>
      <c r="AQ3" s="56">
        <f>'APS Tubes by Date Import'!D2</f>
        <v>5</v>
      </c>
      <c r="AR3" s="56">
        <f>'APS Tubes by Date Import'!E2</f>
        <v>0</v>
      </c>
      <c r="AS3" s="56">
        <f>'APS Tubes by Date Import'!F2</f>
        <v>0</v>
      </c>
      <c r="AT3" s="56">
        <f>'APS Tubes by Date Import'!G2</f>
        <v>0</v>
      </c>
      <c r="AU3" s="43"/>
    </row>
    <row r="4">
      <c r="A4" s="6" t="s">
        <v>29</v>
      </c>
      <c r="B4" s="47">
        <f>VLOOKUP(A4,'Run Reconcile'!A$2:B259,2,FALSE)</f>
        <v>44543</v>
      </c>
      <c r="C4" s="48">
        <f>COUNTIF('ALL Tube Results'!B3:B259, A4)
</f>
        <v>7</v>
      </c>
      <c r="D4" s="49">
        <f>COUNTIFS('ALL Tube Results'!$B3:$B259, $A4, 'ALL Tube Results'!$F3:$F259, "Negative")
</f>
        <v>7</v>
      </c>
      <c r="E4" s="49">
        <f>COUNTIFS('ALL Tube Results'!$B3:$B259, $A4, 'ALL Tube Results'!$F3:$F259, "Positive")
</f>
        <v>0</v>
      </c>
      <c r="F4" s="49">
        <f>COUNTIFS('ALL Tube Results'!$B3:$B259, $A4, 'ALL Tube Results'!$F3:$F259, "Inconclusive")
</f>
        <v>0</v>
      </c>
      <c r="G4" s="50">
        <f t="shared" si="7"/>
        <v>7</v>
      </c>
      <c r="H4" s="50" t="str">
        <f t="shared" si="8"/>
        <v/>
      </c>
      <c r="I4" s="51">
        <f t="shared" si="9"/>
        <v>7</v>
      </c>
      <c r="J4" s="52">
        <f t="shared" si="10"/>
        <v>0</v>
      </c>
      <c r="K4" s="52">
        <f t="shared" si="11"/>
        <v>0</v>
      </c>
      <c r="L4" s="51" t="str">
        <f t="shared" si="12"/>
        <v/>
      </c>
      <c r="M4" s="52" t="str">
        <f t="shared" si="13"/>
        <v/>
      </c>
      <c r="N4" s="52" t="str">
        <f t="shared" si="14"/>
        <v/>
      </c>
      <c r="O4" s="53">
        <f t="shared" si="15"/>
        <v>7</v>
      </c>
      <c r="P4" s="53" t="str">
        <f t="shared" si="16"/>
        <v/>
      </c>
      <c r="Q4" s="43"/>
      <c r="R4" s="6" t="s">
        <v>29</v>
      </c>
      <c r="S4" s="55">
        <v>44543.0</v>
      </c>
      <c r="T4" s="56">
        <f>VLOOKUP(R4,'Run Reconcile'!$A$2:$L259,12,FALSE)</f>
        <v>7</v>
      </c>
      <c r="U4" s="57" t="str">
        <f t="shared" si="17"/>
        <v/>
      </c>
      <c r="V4" s="56"/>
      <c r="W4" s="56"/>
      <c r="X4" s="43"/>
      <c r="Y4" s="6" t="str">
        <f>IFERROR(__xludf.DUMMYFUNCTION("""COMPUTED_VALUE"""),"RUN-BEND_2021-12-20_RFR-003")</f>
        <v>RUN-BEND_2021-12-20_RFR-003</v>
      </c>
      <c r="Z4" s="55">
        <f>IFERROR(__xludf.DUMMYFUNCTION("""COMPUTED_VALUE"""),44550.0)</f>
        <v>44550</v>
      </c>
      <c r="AA4" s="51">
        <f t="array" ref="AA4">INDEX('RFR Data - preExcl'!AK$2:AK259,$AE4,1)</f>
        <v>7</v>
      </c>
      <c r="AB4" s="56">
        <f t="shared" si="18"/>
        <v>7</v>
      </c>
      <c r="AC4" s="56">
        <f t="array" ref="AC4">INDEX('RFR Data - preExcl'!AI$2:AI259,$AE4,1)</f>
        <v>0</v>
      </c>
      <c r="AD4" s="56">
        <f t="array" ref="AD4">INDEX('RFR Data - preExcl'!AF$2:AF259,$AE4,1)</f>
        <v>0</v>
      </c>
      <c r="AE4" s="58">
        <f>IFNA(MATCH(Y4,'RFR Data - preExcl'!A$2:A259,0),"")</f>
        <v>3</v>
      </c>
      <c r="AF4" s="43"/>
      <c r="AG4" s="62" t="s">
        <v>29</v>
      </c>
      <c r="AH4" s="60">
        <f>VLOOKUP(AG4,'Run Reconcile'!A$2:B259,2,FALSE)</f>
        <v>44543</v>
      </c>
      <c r="AI4" s="61">
        <f>COUNTIF('APS Tubes Import'!$V$2:$V259, AG4)
</f>
        <v>7</v>
      </c>
      <c r="AJ4" s="61">
        <f>COUNTIFS('APS Tubes Import'!V$2:V259, AG4, 'APS Tubes Import'!H$2:H259, "Negative")
</f>
        <v>7</v>
      </c>
      <c r="AK4" s="61">
        <f>COUNTIFS('APS Tubes Import'!V$2:V259, AG4, 'APS Tubes Import'!H$2:H259, "Positive")
</f>
        <v>0</v>
      </c>
      <c r="AL4" s="61">
        <f>COUNTIFS('APS Tubes Import'!V$2:V259, AG4, 'APS Tubes Import'!H$2:H259, "Inconclusive")
</f>
        <v>0</v>
      </c>
      <c r="AM4" s="61">
        <f>COUNTIFS('APS Tubes Import'!V$2:V259, AG4, 'APS Tubes Import'!H$2:H259, "Null")
</f>
        <v>0</v>
      </c>
      <c r="AN4" s="43"/>
      <c r="AO4" s="55">
        <f>'APS Tubes by Date Import'!B3</f>
        <v>44543</v>
      </c>
      <c r="AP4" s="56">
        <f>'APS Tubes by Date Import'!C3</f>
        <v>7</v>
      </c>
      <c r="AQ4" s="56">
        <f>'APS Tubes by Date Import'!D3</f>
        <v>7</v>
      </c>
      <c r="AR4" s="56">
        <f>'APS Tubes by Date Import'!E3</f>
        <v>0</v>
      </c>
      <c r="AS4" s="56">
        <f>'APS Tubes by Date Import'!F3</f>
        <v>0</v>
      </c>
      <c r="AT4" s="56">
        <f>'APS Tubes by Date Import'!G3</f>
        <v>0</v>
      </c>
      <c r="AU4" s="43"/>
    </row>
    <row r="5">
      <c r="A5" s="6" t="s">
        <v>30</v>
      </c>
      <c r="B5" s="47">
        <f>VLOOKUP(A5,'Run Reconcile'!A$2:B259,2,FALSE)</f>
        <v>44545</v>
      </c>
      <c r="C5" s="48">
        <f>COUNTIF('ALL Tube Results'!B4:B259, A5)
</f>
        <v>4</v>
      </c>
      <c r="D5" s="49">
        <f>COUNTIFS('ALL Tube Results'!$B4:$B259, $A5, 'ALL Tube Results'!$F4:$F259, "Negative")
</f>
        <v>4</v>
      </c>
      <c r="E5" s="49">
        <f>COUNTIFS('ALL Tube Results'!$B4:$B259, $A5, 'ALL Tube Results'!$F4:$F259, "Positive")
</f>
        <v>0</v>
      </c>
      <c r="F5" s="49">
        <f>COUNTIFS('ALL Tube Results'!$B4:$B259, $A5, 'ALL Tube Results'!$F4:$F259, "Inconclusive")
</f>
        <v>0</v>
      </c>
      <c r="G5" s="50">
        <f t="shared" si="7"/>
        <v>4</v>
      </c>
      <c r="H5" s="50" t="str">
        <f t="shared" si="8"/>
        <v/>
      </c>
      <c r="I5" s="51" t="str">
        <f t="shared" si="9"/>
        <v/>
      </c>
      <c r="J5" s="52" t="str">
        <f t="shared" si="10"/>
        <v/>
      </c>
      <c r="K5" s="52" t="str">
        <f t="shared" si="11"/>
        <v/>
      </c>
      <c r="L5" s="51">
        <f t="shared" si="12"/>
        <v>4</v>
      </c>
      <c r="M5" s="52" t="str">
        <f t="shared" si="13"/>
        <v/>
      </c>
      <c r="N5" s="52" t="str">
        <f t="shared" si="14"/>
        <v/>
      </c>
      <c r="O5" s="53">
        <f t="shared" si="15"/>
        <v>4</v>
      </c>
      <c r="P5" s="53" t="str">
        <f t="shared" si="16"/>
        <v/>
      </c>
      <c r="Q5" s="43"/>
      <c r="R5" s="6" t="s">
        <v>30</v>
      </c>
      <c r="S5" s="55">
        <v>44545.0</v>
      </c>
      <c r="T5" s="56">
        <f>VLOOKUP(R5,'Run Reconcile'!$A$2:$L259,12,FALSE)</f>
        <v>4</v>
      </c>
      <c r="U5" s="57" t="str">
        <f t="shared" si="17"/>
        <v/>
      </c>
      <c r="V5" s="56"/>
      <c r="W5" s="56"/>
      <c r="X5" s="43"/>
      <c r="Y5" s="6" t="str">
        <f>IFERROR(__xludf.DUMMYFUNCTION("""COMPUTED_VALUE"""),"RUN-BEND_2021-12-22_RFR-004")</f>
        <v>RUN-BEND_2021-12-22_RFR-004</v>
      </c>
      <c r="Z5" s="55">
        <f>IFERROR(__xludf.DUMMYFUNCTION("""COMPUTED_VALUE"""),44552.0)</f>
        <v>44552</v>
      </c>
      <c r="AA5" s="51">
        <f t="array" ref="AA5">INDEX('RFR Data - preExcl'!AK$2:AK259,$AE5,1)</f>
        <v>5</v>
      </c>
      <c r="AB5" s="56">
        <f t="shared" si="18"/>
        <v>5</v>
      </c>
      <c r="AC5" s="56">
        <f t="array" ref="AC5">INDEX('RFR Data - preExcl'!AI$2:AI259,$AE5,1)</f>
        <v>0</v>
      </c>
      <c r="AD5" s="56">
        <f t="array" ref="AD5">INDEX('RFR Data - preExcl'!AF$2:AF259,$AE5,1)</f>
        <v>0</v>
      </c>
      <c r="AE5" s="58">
        <f>IFNA(MATCH(Y5,'RFR Data - preExcl'!A$2:A259,0),"")</f>
        <v>4</v>
      </c>
      <c r="AF5" s="43"/>
      <c r="AG5" s="62" t="s">
        <v>30</v>
      </c>
      <c r="AH5" s="60">
        <f>VLOOKUP(AG5,'Run Reconcile'!A$2:B259,2,FALSE)</f>
        <v>44545</v>
      </c>
      <c r="AI5" s="61">
        <f>COUNTIF('APS Tubes Import'!$V$2:$V259, AG5)
</f>
        <v>4</v>
      </c>
      <c r="AJ5" s="61">
        <f>COUNTIFS('APS Tubes Import'!V$2:V259, AG5, 'APS Tubes Import'!H$2:H259, "Negative")
</f>
        <v>4</v>
      </c>
      <c r="AK5" s="61">
        <f>COUNTIFS('APS Tubes Import'!V$2:V259, AG5, 'APS Tubes Import'!H$2:H259, "Positive")
</f>
        <v>0</v>
      </c>
      <c r="AL5" s="61">
        <f>COUNTIFS('APS Tubes Import'!V$2:V259, AG5, 'APS Tubes Import'!H$2:H259, "Inconclusive")
</f>
        <v>0</v>
      </c>
      <c r="AM5" s="61">
        <f>COUNTIFS('APS Tubes Import'!V$2:V259, AG5, 'APS Tubes Import'!H$2:H259, "Null")
</f>
        <v>0</v>
      </c>
      <c r="AN5" s="43"/>
      <c r="AO5" s="55">
        <f>'APS Tubes by Date Import'!B4</f>
        <v>44545</v>
      </c>
      <c r="AP5" s="56">
        <f>'APS Tubes by Date Import'!C4</f>
        <v>4</v>
      </c>
      <c r="AQ5" s="56">
        <f>'APS Tubes by Date Import'!D4</f>
        <v>4</v>
      </c>
      <c r="AR5" s="56">
        <f>'APS Tubes by Date Import'!E4</f>
        <v>0</v>
      </c>
      <c r="AS5" s="56">
        <f>'APS Tubes by Date Import'!F4</f>
        <v>0</v>
      </c>
      <c r="AT5" s="56">
        <f>'APS Tubes by Date Import'!G4</f>
        <v>0</v>
      </c>
      <c r="AU5" s="43"/>
    </row>
    <row r="6">
      <c r="A6" s="6" t="s">
        <v>31</v>
      </c>
      <c r="B6" s="47">
        <f>VLOOKUP(A6,'Run Reconcile'!A$2:B259,2,FALSE)</f>
        <v>44547</v>
      </c>
      <c r="C6" s="48">
        <f>COUNTIF('ALL Tube Results'!B5:B259, A6)
</f>
        <v>2</v>
      </c>
      <c r="D6" s="49">
        <f>COUNTIFS('ALL Tube Results'!$B5:$B259, $A6, 'ALL Tube Results'!$F5:$F259, "Negative")
</f>
        <v>1</v>
      </c>
      <c r="E6" s="49">
        <f>COUNTIFS('ALL Tube Results'!$B5:$B259, $A6, 'ALL Tube Results'!$F5:$F259, "Positive")
</f>
        <v>1</v>
      </c>
      <c r="F6" s="49">
        <f>COUNTIFS('ALL Tube Results'!$B5:$B259, $A6, 'ALL Tube Results'!$F5:$F259, "Inconclusive")
</f>
        <v>0</v>
      </c>
      <c r="G6" s="50">
        <f t="shared" si="7"/>
        <v>2</v>
      </c>
      <c r="H6" s="50" t="str">
        <f t="shared" si="8"/>
        <v/>
      </c>
      <c r="I6" s="51" t="str">
        <f t="shared" si="9"/>
        <v/>
      </c>
      <c r="J6" s="52" t="str">
        <f t="shared" si="10"/>
        <v/>
      </c>
      <c r="K6" s="52" t="str">
        <f t="shared" si="11"/>
        <v/>
      </c>
      <c r="L6" s="51">
        <f t="shared" si="12"/>
        <v>2</v>
      </c>
      <c r="M6" s="63">
        <f t="shared" si="13"/>
        <v>1</v>
      </c>
      <c r="N6" s="52" t="str">
        <f t="shared" si="14"/>
        <v/>
      </c>
      <c r="O6" s="53">
        <f t="shared" si="15"/>
        <v>2</v>
      </c>
      <c r="P6" s="53" t="str">
        <f t="shared" si="16"/>
        <v/>
      </c>
      <c r="Q6" s="43"/>
      <c r="R6" s="6" t="s">
        <v>31</v>
      </c>
      <c r="S6" s="55">
        <v>44547.0</v>
      </c>
      <c r="T6" s="56">
        <f>VLOOKUP(R6,'Run Reconcile'!$A$2:$L259,12,FALSE)</f>
        <v>2</v>
      </c>
      <c r="U6" s="57" t="str">
        <f t="shared" si="17"/>
        <v/>
      </c>
      <c r="V6" s="56"/>
      <c r="W6" s="56"/>
      <c r="X6" s="43"/>
      <c r="Y6" s="55" t="str">
        <f>IFERROR(__xludf.DUMMYFUNCTION("""COMPUTED_VALUE"""),"RUN-BEND_2021-12-27_RFR-005")</f>
        <v>RUN-BEND_2021-12-27_RFR-005</v>
      </c>
      <c r="Z6" s="55">
        <f>IFERROR(__xludf.DUMMYFUNCTION("""COMPUTED_VALUE"""),44557.0)</f>
        <v>44557</v>
      </c>
      <c r="AA6" s="51">
        <f t="array" ref="AA6">INDEX('RFR Data - preExcl'!AK$2:AK259,$AE6,1)</f>
        <v>15</v>
      </c>
      <c r="AB6" s="56">
        <f t="shared" si="18"/>
        <v>15</v>
      </c>
      <c r="AC6" s="56">
        <f t="array" ref="AC6">INDEX('RFR Data - preExcl'!AI$2:AI259,$AE6,1)</f>
        <v>0</v>
      </c>
      <c r="AD6" s="56">
        <f t="array" ref="AD6">INDEX('RFR Data - preExcl'!AF$2:AF259,$AE6,1)</f>
        <v>0</v>
      </c>
      <c r="AE6" s="58">
        <f>IFNA(MATCH(Y6,'RFR Data - preExcl'!A$2:A259,0),"")</f>
        <v>5</v>
      </c>
      <c r="AF6" s="43"/>
      <c r="AG6" s="62" t="s">
        <v>31</v>
      </c>
      <c r="AH6" s="60">
        <f>VLOOKUP(AG6,'Run Reconcile'!A$2:B259,2,FALSE)</f>
        <v>44547</v>
      </c>
      <c r="AI6" s="61">
        <f>COUNTIF('APS Tubes Import'!$V$2:$V259, AG6)
</f>
        <v>2</v>
      </c>
      <c r="AJ6" s="61">
        <f>COUNTIFS('APS Tubes Import'!V$2:V259, AG6, 'APS Tubes Import'!H$2:H259, "Negative")
</f>
        <v>1</v>
      </c>
      <c r="AK6" s="61">
        <f>COUNTIFS('APS Tubes Import'!V$2:V259, AG6, 'APS Tubes Import'!H$2:H259, "Positive")
</f>
        <v>1</v>
      </c>
      <c r="AL6" s="61">
        <f>COUNTIFS('APS Tubes Import'!V$2:V259, AG6, 'APS Tubes Import'!H$2:H259, "Inconclusive")
</f>
        <v>0</v>
      </c>
      <c r="AM6" s="61">
        <f>COUNTIFS('APS Tubes Import'!V$2:V259, AG6, 'APS Tubes Import'!H$2:H259, "Null")
</f>
        <v>0</v>
      </c>
      <c r="AN6" s="43"/>
      <c r="AO6" s="55">
        <f>'APS Tubes by Date Import'!B5</f>
        <v>44547</v>
      </c>
      <c r="AP6" s="56">
        <f>'APS Tubes by Date Import'!C5</f>
        <v>2</v>
      </c>
      <c r="AQ6" s="56">
        <f>'APS Tubes by Date Import'!D5</f>
        <v>1</v>
      </c>
      <c r="AR6" s="56">
        <f>'APS Tubes by Date Import'!E5</f>
        <v>1</v>
      </c>
      <c r="AS6" s="56">
        <f>'APS Tubes by Date Import'!F5</f>
        <v>0</v>
      </c>
      <c r="AT6" s="56">
        <f>'APS Tubes by Date Import'!G5</f>
        <v>0</v>
      </c>
      <c r="AU6" s="43"/>
    </row>
    <row r="7">
      <c r="A7" s="6" t="s">
        <v>32</v>
      </c>
      <c r="B7" s="47">
        <f>VLOOKUP(A7,'Run Reconcile'!A$2:B259,2,FALSE)</f>
        <v>44550</v>
      </c>
      <c r="C7" s="48">
        <f>COUNTIF('ALL Tube Results'!B6:B259, A7)
</f>
        <v>7</v>
      </c>
      <c r="D7" s="49">
        <f>COUNTIFS('ALL Tube Results'!$B6:$B259, $A7, 'ALL Tube Results'!$F6:$F259, "Negative")
</f>
        <v>7</v>
      </c>
      <c r="E7" s="49">
        <f>COUNTIFS('ALL Tube Results'!$B6:$B259, $A7, 'ALL Tube Results'!$F6:$F259, "Positive")
</f>
        <v>0</v>
      </c>
      <c r="F7" s="49">
        <f>COUNTIFS('ALL Tube Results'!$B6:$B259, $A7, 'ALL Tube Results'!$F6:$F259, "Inconclusive")
</f>
        <v>0</v>
      </c>
      <c r="G7" s="50">
        <f t="shared" si="7"/>
        <v>7</v>
      </c>
      <c r="H7" s="50" t="str">
        <f t="shared" si="8"/>
        <v/>
      </c>
      <c r="I7" s="51">
        <f t="shared" si="9"/>
        <v>7</v>
      </c>
      <c r="J7" s="52">
        <f t="shared" si="10"/>
        <v>0</v>
      </c>
      <c r="K7" s="52">
        <f t="shared" si="11"/>
        <v>0</v>
      </c>
      <c r="L7" s="51" t="str">
        <f t="shared" si="12"/>
        <v/>
      </c>
      <c r="M7" s="52" t="str">
        <f t="shared" si="13"/>
        <v/>
      </c>
      <c r="N7" s="52" t="str">
        <f t="shared" si="14"/>
        <v/>
      </c>
      <c r="O7" s="53">
        <f t="shared" si="15"/>
        <v>7</v>
      </c>
      <c r="P7" s="53" t="str">
        <f t="shared" si="16"/>
        <v/>
      </c>
      <c r="Q7" s="43"/>
      <c r="R7" s="6" t="s">
        <v>32</v>
      </c>
      <c r="S7" s="55">
        <v>44550.0</v>
      </c>
      <c r="T7" s="56">
        <f>VLOOKUP(R7,'Run Reconcile'!$A$2:$L259,12,FALSE)</f>
        <v>7</v>
      </c>
      <c r="U7" s="57" t="str">
        <f t="shared" si="17"/>
        <v/>
      </c>
      <c r="V7" s="56"/>
      <c r="W7" s="56"/>
      <c r="X7" s="43"/>
      <c r="Y7" s="6" t="str">
        <f>IFERROR(__xludf.DUMMYFUNCTION("""COMPUTED_VALUE"""),"RUN-BEND_2021-12-29_RFR-006")</f>
        <v>RUN-BEND_2021-12-29_RFR-006</v>
      </c>
      <c r="Z7" s="55">
        <f>IFERROR(__xludf.DUMMYFUNCTION("""COMPUTED_VALUE"""),44559.0)</f>
        <v>44559</v>
      </c>
      <c r="AA7" s="51">
        <f t="array" ref="AA7">INDEX('RFR Data - preExcl'!AK$2:AK259,$AE7,1)</f>
        <v>5</v>
      </c>
      <c r="AB7" s="56">
        <f t="shared" si="18"/>
        <v>5</v>
      </c>
      <c r="AC7" s="56">
        <f t="array" ref="AC7">INDEX('RFR Data - preExcl'!AI$2:AI259,$AE7,1)</f>
        <v>0</v>
      </c>
      <c r="AD7" s="56">
        <f t="array" ref="AD7">INDEX('RFR Data - preExcl'!AF$2:AF259,$AE7,1)</f>
        <v>0</v>
      </c>
      <c r="AE7" s="58">
        <f>IFNA(MATCH(Y7,'RFR Data - preExcl'!A$2:A259,0),"")</f>
        <v>6</v>
      </c>
      <c r="AF7" s="43"/>
      <c r="AG7" s="62" t="s">
        <v>32</v>
      </c>
      <c r="AH7" s="60">
        <f>VLOOKUP(AG7,'Run Reconcile'!A$2:B259,2,FALSE)</f>
        <v>44550</v>
      </c>
      <c r="AI7" s="61">
        <f>COUNTIF('APS Tubes Import'!$V$2:$V259, AG7)
</f>
        <v>7</v>
      </c>
      <c r="AJ7" s="61">
        <f>COUNTIFS('APS Tubes Import'!V$2:V259, AG7, 'APS Tubes Import'!H$2:H259, "Negative")
</f>
        <v>7</v>
      </c>
      <c r="AK7" s="61">
        <f>COUNTIFS('APS Tubes Import'!V$2:V259, AG7, 'APS Tubes Import'!H$2:H259, "Positive")
</f>
        <v>0</v>
      </c>
      <c r="AL7" s="61">
        <f>COUNTIFS('APS Tubes Import'!V$2:V259, AG7, 'APS Tubes Import'!H$2:H259, "Inconclusive")
</f>
        <v>0</v>
      </c>
      <c r="AM7" s="61">
        <f>COUNTIFS('APS Tubes Import'!V$2:V259, AG7, 'APS Tubes Import'!H$2:H259, "Null")
</f>
        <v>0</v>
      </c>
      <c r="AN7" s="43"/>
      <c r="AO7" s="55">
        <f>'APS Tubes by Date Import'!B6</f>
        <v>44549</v>
      </c>
      <c r="AP7" s="56">
        <f>'APS Tubes by Date Import'!C6</f>
        <v>1</v>
      </c>
      <c r="AQ7" s="56">
        <f>'APS Tubes by Date Import'!D6</f>
        <v>1</v>
      </c>
      <c r="AR7" s="56">
        <f>'APS Tubes by Date Import'!E6</f>
        <v>0</v>
      </c>
      <c r="AS7" s="56">
        <f>'APS Tubes by Date Import'!F6</f>
        <v>0</v>
      </c>
      <c r="AT7" s="56">
        <f>'APS Tubes by Date Import'!G6</f>
        <v>0</v>
      </c>
      <c r="AU7" s="43"/>
    </row>
    <row r="8">
      <c r="A8" s="6" t="s">
        <v>33</v>
      </c>
      <c r="B8" s="47">
        <f>VLOOKUP(A8,'Run Reconcile'!A$2:B259,2,FALSE)</f>
        <v>44552</v>
      </c>
      <c r="C8" s="48">
        <f>COUNTIF('ALL Tube Results'!B7:B259, A8)
</f>
        <v>5</v>
      </c>
      <c r="D8" s="49">
        <f>COUNTIFS('ALL Tube Results'!$B7:$B259, $A8, 'ALL Tube Results'!$F7:$F259, "Negative")
</f>
        <v>5</v>
      </c>
      <c r="E8" s="49">
        <f>COUNTIFS('ALL Tube Results'!$B7:$B259, $A8, 'ALL Tube Results'!$F7:$F259, "Positive")
</f>
        <v>0</v>
      </c>
      <c r="F8" s="49">
        <f>COUNTIFS('ALL Tube Results'!$B7:$B259, $A8, 'ALL Tube Results'!$F7:$F259, "Inconclusive")
</f>
        <v>0</v>
      </c>
      <c r="G8" s="50">
        <f t="shared" si="7"/>
        <v>5</v>
      </c>
      <c r="H8" s="50" t="str">
        <f t="shared" si="8"/>
        <v/>
      </c>
      <c r="I8" s="51">
        <f t="shared" si="9"/>
        <v>5</v>
      </c>
      <c r="J8" s="52">
        <f t="shared" si="10"/>
        <v>0</v>
      </c>
      <c r="K8" s="52">
        <f t="shared" si="11"/>
        <v>0</v>
      </c>
      <c r="L8" s="51" t="str">
        <f t="shared" si="12"/>
        <v/>
      </c>
      <c r="M8" s="52" t="str">
        <f t="shared" si="13"/>
        <v/>
      </c>
      <c r="N8" s="52" t="str">
        <f t="shared" si="14"/>
        <v/>
      </c>
      <c r="O8" s="53">
        <f t="shared" si="15"/>
        <v>5</v>
      </c>
      <c r="P8" s="53" t="str">
        <f t="shared" si="16"/>
        <v/>
      </c>
      <c r="Q8" s="43"/>
      <c r="R8" s="6" t="s">
        <v>33</v>
      </c>
      <c r="S8" s="55">
        <v>44552.0</v>
      </c>
      <c r="T8" s="56">
        <f>VLOOKUP(R8,'Run Reconcile'!$A$2:$L259,12,FALSE)</f>
        <v>5</v>
      </c>
      <c r="U8" s="57" t="str">
        <f t="shared" si="17"/>
        <v/>
      </c>
      <c r="V8" s="56"/>
      <c r="W8" s="56"/>
      <c r="X8" s="43"/>
      <c r="Y8" s="6" t="str">
        <f>IFERROR(__xludf.DUMMYFUNCTION("""COMPUTED_VALUE"""),"RUN-BEND_2021-12-31_RFR-007")</f>
        <v>RUN-BEND_2021-12-31_RFR-007</v>
      </c>
      <c r="Z8" s="55">
        <f>IFERROR(__xludf.DUMMYFUNCTION("""COMPUTED_VALUE"""),44561.0)</f>
        <v>44561</v>
      </c>
      <c r="AA8" s="51">
        <f t="array" ref="AA8">INDEX('RFR Data - preExcl'!AK$2:AK259,$AE8,1)</f>
        <v>8</v>
      </c>
      <c r="AB8" s="56">
        <f t="shared" si="18"/>
        <v>6</v>
      </c>
      <c r="AC8" s="56">
        <f t="array" ref="AC8">INDEX('RFR Data - preExcl'!AI$2:AI259,$AE8,1)</f>
        <v>2</v>
      </c>
      <c r="AD8" s="56">
        <f t="array" ref="AD8">INDEX('RFR Data - preExcl'!AF$2:AF259,$AE8,1)</f>
        <v>0</v>
      </c>
      <c r="AE8" s="58">
        <f>IFNA(MATCH(Y8,'RFR Data - preExcl'!A$2:A259,0),"")</f>
        <v>7</v>
      </c>
      <c r="AF8" s="43"/>
      <c r="AG8" s="62" t="s">
        <v>33</v>
      </c>
      <c r="AH8" s="60">
        <f>VLOOKUP(AG8,'Run Reconcile'!A$2:B259,2,FALSE)</f>
        <v>44552</v>
      </c>
      <c r="AI8" s="61">
        <f>COUNTIF('APS Tubes Import'!$V$2:$V259, AG8)
</f>
        <v>5</v>
      </c>
      <c r="AJ8" s="61">
        <f>COUNTIFS('APS Tubes Import'!V$2:V259, AG8, 'APS Tubes Import'!H$2:H259, "Negative")
</f>
        <v>5</v>
      </c>
      <c r="AK8" s="61">
        <f>COUNTIFS('APS Tubes Import'!V$2:V259, AG8, 'APS Tubes Import'!H$2:H259, "Positive")
</f>
        <v>0</v>
      </c>
      <c r="AL8" s="61">
        <f>COUNTIFS('APS Tubes Import'!V$2:V259, AG8, 'APS Tubes Import'!H$2:H259, "Inconclusive")
</f>
        <v>0</v>
      </c>
      <c r="AM8" s="61">
        <f>COUNTIFS('APS Tubes Import'!V$2:V259, AG8, 'APS Tubes Import'!H$2:H259, "Null")
</f>
        <v>0</v>
      </c>
      <c r="AN8" s="43"/>
      <c r="AO8" s="55">
        <f>'APS Tubes by Date Import'!B7</f>
        <v>44550</v>
      </c>
      <c r="AP8" s="56">
        <f>'APS Tubes by Date Import'!C7</f>
        <v>6</v>
      </c>
      <c r="AQ8" s="56">
        <f>'APS Tubes by Date Import'!D7</f>
        <v>6</v>
      </c>
      <c r="AR8" s="56">
        <f>'APS Tubes by Date Import'!E7</f>
        <v>0</v>
      </c>
      <c r="AS8" s="56">
        <f>'APS Tubes by Date Import'!F7</f>
        <v>0</v>
      </c>
      <c r="AT8" s="56">
        <f>'APS Tubes by Date Import'!G7</f>
        <v>0</v>
      </c>
      <c r="AU8" s="43"/>
    </row>
    <row r="9">
      <c r="A9" s="6" t="s">
        <v>34</v>
      </c>
      <c r="B9" s="47">
        <f>VLOOKUP(A9,'Run Reconcile'!A$2:B259,2,FALSE)</f>
        <v>44557</v>
      </c>
      <c r="C9" s="48">
        <f>COUNTIF('ALL Tube Results'!B8:B259, A9)
</f>
        <v>15</v>
      </c>
      <c r="D9" s="49">
        <f>COUNTIFS('ALL Tube Results'!$B8:$B259, $A9, 'ALL Tube Results'!$F8:$F259, "Negative")
</f>
        <v>15</v>
      </c>
      <c r="E9" s="49">
        <f>COUNTIFS('ALL Tube Results'!$B8:$B259, $A9, 'ALL Tube Results'!$F8:$F259, "Positive")
</f>
        <v>0</v>
      </c>
      <c r="F9" s="49">
        <f>COUNTIFS('ALL Tube Results'!$B8:$B259, $A9, 'ALL Tube Results'!$F8:$F259, "Inconclusive")
</f>
        <v>0</v>
      </c>
      <c r="G9" s="50">
        <f t="shared" si="7"/>
        <v>15</v>
      </c>
      <c r="H9" s="50" t="str">
        <f t="shared" si="8"/>
        <v/>
      </c>
      <c r="I9" s="51">
        <f t="shared" si="9"/>
        <v>15</v>
      </c>
      <c r="J9" s="52">
        <f t="shared" si="10"/>
        <v>0</v>
      </c>
      <c r="K9" s="52">
        <f t="shared" si="11"/>
        <v>0</v>
      </c>
      <c r="L9" s="51" t="str">
        <f t="shared" si="12"/>
        <v/>
      </c>
      <c r="M9" s="52" t="str">
        <f t="shared" si="13"/>
        <v/>
      </c>
      <c r="N9" s="52" t="str">
        <f t="shared" si="14"/>
        <v/>
      </c>
      <c r="O9" s="53">
        <f t="shared" si="15"/>
        <v>15</v>
      </c>
      <c r="P9" s="53" t="str">
        <f t="shared" si="16"/>
        <v/>
      </c>
      <c r="Q9" s="43"/>
      <c r="R9" s="55" t="s">
        <v>34</v>
      </c>
      <c r="S9" s="55">
        <v>44557.0</v>
      </c>
      <c r="T9" s="56">
        <f>VLOOKUP(R9,'Run Reconcile'!$A$2:$L259,12,FALSE)</f>
        <v>15</v>
      </c>
      <c r="U9" s="57" t="str">
        <f t="shared" si="17"/>
        <v/>
      </c>
      <c r="V9" s="56"/>
      <c r="W9" s="56"/>
      <c r="X9" s="43"/>
      <c r="Y9" s="6" t="str">
        <f>IFERROR(__xludf.DUMMYFUNCTION("""COMPUTED_VALUE"""),"RUN-BEND_2022-01-03_RFR-009")</f>
        <v>RUN-BEND_2022-01-03_RFR-009</v>
      </c>
      <c r="Z9" s="55">
        <f>IFERROR(__xludf.DUMMYFUNCTION("""COMPUTED_VALUE"""),44564.0)</f>
        <v>44564</v>
      </c>
      <c r="AA9" s="51">
        <f t="array" ref="AA9">INDEX('RFR Data - preExcl'!AK$2:AK259,$AE9,1)</f>
        <v>14</v>
      </c>
      <c r="AB9" s="56">
        <f t="shared" si="18"/>
        <v>10</v>
      </c>
      <c r="AC9" s="56">
        <f t="array" ref="AC9">INDEX('RFR Data - preExcl'!AI$2:AI259,$AE9,1)</f>
        <v>4</v>
      </c>
      <c r="AD9" s="56">
        <f t="array" ref="AD9">INDEX('RFR Data - preExcl'!AF$2:AF259,$AE9,1)</f>
        <v>0</v>
      </c>
      <c r="AE9" s="58">
        <f>IFNA(MATCH(Y9,'RFR Data - preExcl'!A$2:A259,0),"")</f>
        <v>9</v>
      </c>
      <c r="AF9" s="43"/>
      <c r="AG9" s="62" t="s">
        <v>34</v>
      </c>
      <c r="AH9" s="60">
        <f>VLOOKUP(AG9,'Run Reconcile'!A$2:B259,2,FALSE)</f>
        <v>44557</v>
      </c>
      <c r="AI9" s="61">
        <f>COUNTIF('APS Tubes Import'!$V$2:$V259, AG9)
</f>
        <v>15</v>
      </c>
      <c r="AJ9" s="61">
        <f>COUNTIFS('APS Tubes Import'!V$2:V259, AG9, 'APS Tubes Import'!H$2:H259, "Negative")
</f>
        <v>15</v>
      </c>
      <c r="AK9" s="61">
        <f>COUNTIFS('APS Tubes Import'!V$2:V259, AG9, 'APS Tubes Import'!H$2:H259, "Positive")
</f>
        <v>0</v>
      </c>
      <c r="AL9" s="61">
        <f>COUNTIFS('APS Tubes Import'!V$2:V259, AG9, 'APS Tubes Import'!H$2:H259, "Inconclusive")
</f>
        <v>0</v>
      </c>
      <c r="AM9" s="61">
        <f>COUNTIFS('APS Tubes Import'!V$2:V259, AG9, 'APS Tubes Import'!H$2:H259, "Null")
</f>
        <v>0</v>
      </c>
      <c r="AN9" s="43"/>
      <c r="AO9" s="55">
        <f>'APS Tubes by Date Import'!B8</f>
        <v>44551</v>
      </c>
      <c r="AP9" s="56">
        <f>'APS Tubes by Date Import'!C8</f>
        <v>2</v>
      </c>
      <c r="AQ9" s="56">
        <f>'APS Tubes by Date Import'!D8</f>
        <v>2</v>
      </c>
      <c r="AR9" s="56">
        <f>'APS Tubes by Date Import'!E8</f>
        <v>0</v>
      </c>
      <c r="AS9" s="56">
        <f>'APS Tubes by Date Import'!F8</f>
        <v>0</v>
      </c>
      <c r="AT9" s="56">
        <f>'APS Tubes by Date Import'!G8</f>
        <v>0</v>
      </c>
      <c r="AU9" s="43"/>
    </row>
    <row r="10">
      <c r="A10" s="6" t="s">
        <v>35</v>
      </c>
      <c r="B10" s="47">
        <f>VLOOKUP(A10,'Run Reconcile'!A$2:B259,2,FALSE)</f>
        <v>44559</v>
      </c>
      <c r="C10" s="48">
        <f>COUNTIF('ALL Tube Results'!B9:B259, A10)
</f>
        <v>4</v>
      </c>
      <c r="D10" s="49">
        <f>COUNTIFS('ALL Tube Results'!$B9:$B259, $A10, 'ALL Tube Results'!$F9:$F259, "Negative")
</f>
        <v>4</v>
      </c>
      <c r="E10" s="49">
        <f>COUNTIFS('ALL Tube Results'!$B9:$B259, $A10, 'ALL Tube Results'!$F9:$F259, "Positive")
</f>
        <v>0</v>
      </c>
      <c r="F10" s="49">
        <f>COUNTIFS('ALL Tube Results'!$B9:$B259, $A10, 'ALL Tube Results'!$F9:$F259, "Inconclusive")
</f>
        <v>0</v>
      </c>
      <c r="G10" s="50">
        <f t="shared" si="7"/>
        <v>4</v>
      </c>
      <c r="H10" s="50" t="str">
        <f t="shared" si="8"/>
        <v/>
      </c>
      <c r="I10" s="51">
        <f t="shared" si="9"/>
        <v>5</v>
      </c>
      <c r="J10" s="52">
        <f t="shared" si="10"/>
        <v>0</v>
      </c>
      <c r="K10" s="52">
        <f t="shared" si="11"/>
        <v>0</v>
      </c>
      <c r="L10" s="51">
        <f t="shared" si="12"/>
        <v>-1</v>
      </c>
      <c r="M10" s="52" t="str">
        <f t="shared" si="13"/>
        <v/>
      </c>
      <c r="N10" s="52" t="str">
        <f t="shared" si="14"/>
        <v/>
      </c>
      <c r="O10" s="53">
        <f t="shared" si="15"/>
        <v>4</v>
      </c>
      <c r="P10" s="53" t="str">
        <f t="shared" si="16"/>
        <v/>
      </c>
      <c r="Q10" s="43"/>
      <c r="R10" s="6" t="s">
        <v>35</v>
      </c>
      <c r="S10" s="55">
        <v>44559.0</v>
      </c>
      <c r="T10" s="56">
        <f>VLOOKUP(R10,'Run Reconcile'!$A$2:$L259,12,FALSE)</f>
        <v>4</v>
      </c>
      <c r="U10" s="57" t="str">
        <f t="shared" si="17"/>
        <v/>
      </c>
      <c r="V10" s="56"/>
      <c r="W10" s="56"/>
      <c r="X10" s="43"/>
      <c r="Y10" s="6" t="str">
        <f>IFERROR(__xludf.DUMMYFUNCTION("""COMPUTED_VALUE"""),"RUN-BEND_2022-01-05_RFR-010")</f>
        <v>RUN-BEND_2022-01-05_RFR-010</v>
      </c>
      <c r="Z10" s="55">
        <f>IFERROR(__xludf.DUMMYFUNCTION("""COMPUTED_VALUE"""),44566.0)</f>
        <v>44566</v>
      </c>
      <c r="AA10" s="51">
        <f t="array" ref="AA10">INDEX('RFR Data - preExcl'!AK$2:AK259,$AE10,1)</f>
        <v>21</v>
      </c>
      <c r="AB10" s="56">
        <f t="shared" si="18"/>
        <v>18</v>
      </c>
      <c r="AC10" s="56">
        <f t="array" ref="AC10">INDEX('RFR Data - preExcl'!AI$2:AI259,$AE10,1)</f>
        <v>3</v>
      </c>
      <c r="AD10" s="56">
        <f t="array" ref="AD10">INDEX('RFR Data - preExcl'!AF$2:AF259,$AE10,1)</f>
        <v>0</v>
      </c>
      <c r="AE10" s="58">
        <f>IFNA(MATCH(Y10,'RFR Data - preExcl'!A$2:A259,0),"")</f>
        <v>10</v>
      </c>
      <c r="AF10" s="43"/>
      <c r="AG10" s="62" t="s">
        <v>35</v>
      </c>
      <c r="AH10" s="60">
        <f>VLOOKUP(AG10,'Run Reconcile'!A$2:B259,2,FALSE)</f>
        <v>44559</v>
      </c>
      <c r="AI10" s="61">
        <f>COUNTIF('APS Tubes Import'!$V$2:$V259, AG10)
</f>
        <v>4</v>
      </c>
      <c r="AJ10" s="61">
        <f>COUNTIFS('APS Tubes Import'!V$2:V259, AG10, 'APS Tubes Import'!H$2:H259, "Negative")
</f>
        <v>4</v>
      </c>
      <c r="AK10" s="61">
        <f>COUNTIFS('APS Tubes Import'!V$2:V259, AG10, 'APS Tubes Import'!H$2:H259, "Positive")
</f>
        <v>0</v>
      </c>
      <c r="AL10" s="61">
        <f>COUNTIFS('APS Tubes Import'!V$2:V259, AG10, 'APS Tubes Import'!H$2:H259, "Inconclusive")
</f>
        <v>0</v>
      </c>
      <c r="AM10" s="61">
        <f>COUNTIFS('APS Tubes Import'!V$2:V259, AG10, 'APS Tubes Import'!H$2:H259, "Null")
</f>
        <v>0</v>
      </c>
      <c r="AN10" s="43"/>
      <c r="AO10" s="55">
        <f>'APS Tubes by Date Import'!B9</f>
        <v>44552</v>
      </c>
      <c r="AP10" s="56">
        <f>'APS Tubes by Date Import'!C9</f>
        <v>3</v>
      </c>
      <c r="AQ10" s="56">
        <f>'APS Tubes by Date Import'!D9</f>
        <v>3</v>
      </c>
      <c r="AR10" s="56">
        <f>'APS Tubes by Date Import'!E9</f>
        <v>0</v>
      </c>
      <c r="AS10" s="56">
        <f>'APS Tubes by Date Import'!F9</f>
        <v>0</v>
      </c>
      <c r="AT10" s="56">
        <f>'APS Tubes by Date Import'!G9</f>
        <v>0</v>
      </c>
      <c r="AU10" s="43"/>
    </row>
    <row r="11">
      <c r="A11" s="6" t="s">
        <v>36</v>
      </c>
      <c r="B11" s="47">
        <f>VLOOKUP(A11,'Run Reconcile'!A$2:B259,2,FALSE)</f>
        <v>44561</v>
      </c>
      <c r="C11" s="48">
        <f>COUNTIF('ALL Tube Results'!B10:B259, A11)
</f>
        <v>8</v>
      </c>
      <c r="D11" s="49">
        <f>COUNTIFS('ALL Tube Results'!$B10:$B259, $A11, 'ALL Tube Results'!$F10:$F259, "Negative")
</f>
        <v>6</v>
      </c>
      <c r="E11" s="49">
        <f>COUNTIFS('ALL Tube Results'!$B10:$B259, $A11, 'ALL Tube Results'!$F10:$F259, "Positive")
</f>
        <v>2</v>
      </c>
      <c r="F11" s="49">
        <f>COUNTIFS('ALL Tube Results'!$B10:$B259, $A11, 'ALL Tube Results'!$F10:$F259, "Inconclusive")
</f>
        <v>0</v>
      </c>
      <c r="G11" s="50">
        <f t="shared" si="7"/>
        <v>8</v>
      </c>
      <c r="H11" s="50" t="str">
        <f t="shared" si="8"/>
        <v/>
      </c>
      <c r="I11" s="51">
        <f t="shared" si="9"/>
        <v>8</v>
      </c>
      <c r="J11" s="52">
        <f t="shared" si="10"/>
        <v>2</v>
      </c>
      <c r="K11" s="52">
        <f t="shared" si="11"/>
        <v>0</v>
      </c>
      <c r="L11" s="51" t="str">
        <f t="shared" si="12"/>
        <v/>
      </c>
      <c r="M11" s="52" t="str">
        <f t="shared" si="13"/>
        <v/>
      </c>
      <c r="N11" s="52" t="str">
        <f t="shared" si="14"/>
        <v/>
      </c>
      <c r="O11" s="53">
        <f t="shared" si="15"/>
        <v>8</v>
      </c>
      <c r="P11" s="53" t="str">
        <f t="shared" si="16"/>
        <v/>
      </c>
      <c r="Q11" s="43"/>
      <c r="R11" s="6" t="s">
        <v>36</v>
      </c>
      <c r="S11" s="55">
        <v>44561.0</v>
      </c>
      <c r="T11" s="56">
        <f>VLOOKUP(R11,'Run Reconcile'!$A$2:$L259,12,FALSE)</f>
        <v>8</v>
      </c>
      <c r="U11" s="57" t="str">
        <f t="shared" si="17"/>
        <v/>
      </c>
      <c r="V11" s="56"/>
      <c r="W11" s="56"/>
      <c r="X11" s="43"/>
      <c r="Y11" s="6" t="str">
        <f>IFERROR(__xludf.DUMMYFUNCTION("""COMPUTED_VALUE"""),"RUN-BEND_2022-01-07_RFR-011")</f>
        <v>RUN-BEND_2022-01-07_RFR-011</v>
      </c>
      <c r="Z11" s="55">
        <f>IFERROR(__xludf.DUMMYFUNCTION("""COMPUTED_VALUE"""),44568.0)</f>
        <v>44568</v>
      </c>
      <c r="AA11" s="51">
        <f t="array" ref="AA11">INDEX('RFR Data - preExcl'!AK$2:AK259,$AE11,1)</f>
        <v>21</v>
      </c>
      <c r="AB11" s="56">
        <f t="shared" si="18"/>
        <v>17</v>
      </c>
      <c r="AC11" s="56">
        <f t="array" ref="AC11">INDEX('RFR Data - preExcl'!AI$2:AI259,$AE11,1)</f>
        <v>3</v>
      </c>
      <c r="AD11" s="56">
        <f t="array" ref="AD11">INDEX('RFR Data - preExcl'!AF$2:AF259,$AE11,1)</f>
        <v>1</v>
      </c>
      <c r="AE11" s="58">
        <f>IFNA(MATCH(Y11,'RFR Data - preExcl'!A$2:A259,0),"")</f>
        <v>11</v>
      </c>
      <c r="AF11" s="43"/>
      <c r="AG11" s="62" t="s">
        <v>36</v>
      </c>
      <c r="AH11" s="60">
        <f>VLOOKUP(AG11,'Run Reconcile'!A$2:B259,2,FALSE)</f>
        <v>44561</v>
      </c>
      <c r="AI11" s="61">
        <f>COUNTIF('APS Tubes Import'!$V$2:$V259, AG11)
</f>
        <v>8</v>
      </c>
      <c r="AJ11" s="61">
        <f>COUNTIFS('APS Tubes Import'!V$2:V259, AG11, 'APS Tubes Import'!H$2:H259, "Negative")
</f>
        <v>6</v>
      </c>
      <c r="AK11" s="61">
        <f>COUNTIFS('APS Tubes Import'!V$2:V259, AG11, 'APS Tubes Import'!H$2:H259, "Positive")
</f>
        <v>2</v>
      </c>
      <c r="AL11" s="61">
        <f>COUNTIFS('APS Tubes Import'!V$2:V259, AG11, 'APS Tubes Import'!H$2:H259, "Inconclusive")
</f>
        <v>0</v>
      </c>
      <c r="AM11" s="61">
        <f>COUNTIFS('APS Tubes Import'!V$2:V259, AG11, 'APS Tubes Import'!H$2:H259, "Null")
</f>
        <v>0</v>
      </c>
      <c r="AN11" s="43"/>
      <c r="AO11" s="55">
        <f>'APS Tubes by Date Import'!B10</f>
        <v>44556</v>
      </c>
      <c r="AP11" s="56">
        <f>'APS Tubes by Date Import'!C10</f>
        <v>1</v>
      </c>
      <c r="AQ11" s="56">
        <f>'APS Tubes by Date Import'!D10</f>
        <v>1</v>
      </c>
      <c r="AR11" s="56">
        <f>'APS Tubes by Date Import'!E10</f>
        <v>0</v>
      </c>
      <c r="AS11" s="56">
        <f>'APS Tubes by Date Import'!F10</f>
        <v>0</v>
      </c>
      <c r="AT11" s="56">
        <f>'APS Tubes by Date Import'!G10</f>
        <v>0</v>
      </c>
      <c r="AU11" s="43"/>
    </row>
    <row r="12">
      <c r="A12" s="6" t="s">
        <v>37</v>
      </c>
      <c r="B12" s="47">
        <f>VLOOKUP(A12,'Run Reconcile'!A$2:B259,2,FALSE)</f>
        <v>44564</v>
      </c>
      <c r="C12" s="48">
        <f>COUNTIF('ALL Tube Results'!B11:B259, A12)
</f>
        <v>14</v>
      </c>
      <c r="D12" s="49">
        <f>COUNTIFS('ALL Tube Results'!$B11:$B259, $A12, 'ALL Tube Results'!$F11:$F259, "Negative")
</f>
        <v>10</v>
      </c>
      <c r="E12" s="49">
        <f>COUNTIFS('ALL Tube Results'!$B11:$B259, $A12, 'ALL Tube Results'!$F11:$F259, "Positive")
</f>
        <v>4</v>
      </c>
      <c r="F12" s="49">
        <f>COUNTIFS('ALL Tube Results'!$B11:$B259, $A12, 'ALL Tube Results'!$F11:$F259, "Inconclusive")
</f>
        <v>0</v>
      </c>
      <c r="G12" s="50">
        <f t="shared" si="7"/>
        <v>14</v>
      </c>
      <c r="H12" s="50" t="str">
        <f t="shared" si="8"/>
        <v/>
      </c>
      <c r="I12" s="51">
        <f t="shared" si="9"/>
        <v>14</v>
      </c>
      <c r="J12" s="52">
        <f t="shared" si="10"/>
        <v>4</v>
      </c>
      <c r="K12" s="52">
        <f t="shared" si="11"/>
        <v>0</v>
      </c>
      <c r="L12" s="51" t="str">
        <f t="shared" si="12"/>
        <v/>
      </c>
      <c r="M12" s="52" t="str">
        <f t="shared" si="13"/>
        <v/>
      </c>
      <c r="N12" s="52" t="str">
        <f t="shared" si="14"/>
        <v/>
      </c>
      <c r="O12" s="53">
        <f t="shared" si="15"/>
        <v>14</v>
      </c>
      <c r="P12" s="53" t="str">
        <f t="shared" si="16"/>
        <v/>
      </c>
      <c r="Q12" s="43"/>
      <c r="R12" s="6" t="s">
        <v>37</v>
      </c>
      <c r="S12" s="55">
        <v>44564.0</v>
      </c>
      <c r="T12" s="56">
        <f>VLOOKUP(R12,'Run Reconcile'!$A$2:$L259,12,FALSE)</f>
        <v>14</v>
      </c>
      <c r="U12" s="57" t="str">
        <f t="shared" si="17"/>
        <v/>
      </c>
      <c r="V12" s="56"/>
      <c r="W12" s="56"/>
      <c r="X12" s="43"/>
      <c r="Y12" s="6" t="str">
        <f>IFERROR(__xludf.DUMMYFUNCTION("""COMPUTED_VALUE"""),"RUN-BEND_2022-01-10_RFR-012")</f>
        <v>RUN-BEND_2022-01-10_RFR-012</v>
      </c>
      <c r="Z12" s="55">
        <f>IFERROR(__xludf.DUMMYFUNCTION("""COMPUTED_VALUE"""),44571.0)</f>
        <v>44571</v>
      </c>
      <c r="AA12" s="51">
        <f t="array" ref="AA12">INDEX('RFR Data - preExcl'!AK$2:AK259,$AE12,1)</f>
        <v>31</v>
      </c>
      <c r="AB12" s="56">
        <f t="shared" si="18"/>
        <v>21</v>
      </c>
      <c r="AC12" s="56">
        <f t="array" ref="AC12">INDEX('RFR Data - preExcl'!AI$2:AI259,$AE12,1)</f>
        <v>8</v>
      </c>
      <c r="AD12" s="56">
        <f t="array" ref="AD12">INDEX('RFR Data - preExcl'!AF$2:AF259,$AE12,1)</f>
        <v>2</v>
      </c>
      <c r="AE12" s="58">
        <f>IFNA(MATCH(Y12,'RFR Data - preExcl'!A$2:A259,0),"")</f>
        <v>12</v>
      </c>
      <c r="AF12" s="43"/>
      <c r="AG12" s="62" t="s">
        <v>37</v>
      </c>
      <c r="AH12" s="60">
        <f>VLOOKUP(AG12,'Run Reconcile'!A$2:B259,2,FALSE)</f>
        <v>44564</v>
      </c>
      <c r="AI12" s="61">
        <f>COUNTIF('APS Tubes Import'!$V$2:$V259, AG12)
</f>
        <v>14</v>
      </c>
      <c r="AJ12" s="61">
        <f>COUNTIFS('APS Tubes Import'!V$2:V259, AG12, 'APS Tubes Import'!H$2:H259, "Negative")
</f>
        <v>10</v>
      </c>
      <c r="AK12" s="61">
        <f>COUNTIFS('APS Tubes Import'!V$2:V259, AG12, 'APS Tubes Import'!H$2:H259, "Positive")
</f>
        <v>4</v>
      </c>
      <c r="AL12" s="61">
        <f>COUNTIFS('APS Tubes Import'!V$2:V259, AG12, 'APS Tubes Import'!H$2:H259, "Inconclusive")
</f>
        <v>0</v>
      </c>
      <c r="AM12" s="61">
        <f>COUNTIFS('APS Tubes Import'!V$2:V259, AG12, 'APS Tubes Import'!H$2:H259, "Null")
</f>
        <v>0</v>
      </c>
      <c r="AN12" s="43"/>
      <c r="AO12" s="55">
        <f>'APS Tubes by Date Import'!B11</f>
        <v>44557</v>
      </c>
      <c r="AP12" s="56">
        <f>'APS Tubes by Date Import'!C11</f>
        <v>14</v>
      </c>
      <c r="AQ12" s="56">
        <f>'APS Tubes by Date Import'!D11</f>
        <v>14</v>
      </c>
      <c r="AR12" s="56">
        <f>'APS Tubes by Date Import'!E11</f>
        <v>0</v>
      </c>
      <c r="AS12" s="56">
        <f>'APS Tubes by Date Import'!F11</f>
        <v>0</v>
      </c>
      <c r="AT12" s="56">
        <f>'APS Tubes by Date Import'!G11</f>
        <v>0</v>
      </c>
      <c r="AU12" s="43"/>
    </row>
    <row r="13">
      <c r="A13" s="6" t="s">
        <v>38</v>
      </c>
      <c r="B13" s="47">
        <f>VLOOKUP(A13,'Run Reconcile'!A$2:B259,2,FALSE)</f>
        <v>44566</v>
      </c>
      <c r="C13" s="48">
        <f>COUNTIF('ALL Tube Results'!B12:B259, A13)
</f>
        <v>21</v>
      </c>
      <c r="D13" s="49">
        <f>COUNTIFS('ALL Tube Results'!$B12:$B259, $A13, 'ALL Tube Results'!$F12:$F259, "Negative")
</f>
        <v>18</v>
      </c>
      <c r="E13" s="49">
        <f>COUNTIFS('ALL Tube Results'!$B12:$B259, $A13, 'ALL Tube Results'!$F12:$F259, "Positive")
</f>
        <v>3</v>
      </c>
      <c r="F13" s="49">
        <f>COUNTIFS('ALL Tube Results'!$B12:$B259, $A13, 'ALL Tube Results'!$F12:$F259, "Inconclusive")
</f>
        <v>0</v>
      </c>
      <c r="G13" s="50">
        <f t="shared" si="7"/>
        <v>21</v>
      </c>
      <c r="H13" s="50" t="str">
        <f t="shared" si="8"/>
        <v/>
      </c>
      <c r="I13" s="51">
        <f t="shared" si="9"/>
        <v>21</v>
      </c>
      <c r="J13" s="52">
        <f t="shared" si="10"/>
        <v>3</v>
      </c>
      <c r="K13" s="52">
        <f t="shared" si="11"/>
        <v>0</v>
      </c>
      <c r="L13" s="51" t="str">
        <f t="shared" si="12"/>
        <v/>
      </c>
      <c r="M13" s="52" t="str">
        <f t="shared" si="13"/>
        <v/>
      </c>
      <c r="N13" s="52" t="str">
        <f t="shared" si="14"/>
        <v/>
      </c>
      <c r="O13" s="53">
        <f t="shared" si="15"/>
        <v>20</v>
      </c>
      <c r="P13" s="53">
        <f t="shared" si="16"/>
        <v>1</v>
      </c>
      <c r="Q13" s="43"/>
      <c r="R13" s="6" t="s">
        <v>38</v>
      </c>
      <c r="S13" s="55">
        <v>44566.0</v>
      </c>
      <c r="T13" s="56">
        <f>VLOOKUP(R13,'Run Reconcile'!$A$2:$L259,12,FALSE)</f>
        <v>21</v>
      </c>
      <c r="U13" s="57" t="str">
        <f t="shared" si="17"/>
        <v/>
      </c>
      <c r="V13" s="56"/>
      <c r="W13" s="56"/>
      <c r="X13" s="43"/>
      <c r="Y13" s="6" t="str">
        <f>IFERROR(__xludf.DUMMYFUNCTION("""COMPUTED_VALUE"""),"RUN-BEND_2022-01-12_RFR-013")</f>
        <v>RUN-BEND_2022-01-12_RFR-013</v>
      </c>
      <c r="Z13" s="55">
        <f>IFERROR(__xludf.DUMMYFUNCTION("""COMPUTED_VALUE"""),44573.0)</f>
        <v>44573</v>
      </c>
      <c r="AA13" s="51">
        <f t="array" ref="AA13">INDEX('RFR Data - preExcl'!AK$2:AK259,$AE13,1)</f>
        <v>22</v>
      </c>
      <c r="AB13" s="56">
        <f t="shared" si="18"/>
        <v>18</v>
      </c>
      <c r="AC13" s="56">
        <f t="array" ref="AC13">INDEX('RFR Data - preExcl'!AI$2:AI259,$AE13,1)</f>
        <v>4</v>
      </c>
      <c r="AD13" s="56">
        <f t="array" ref="AD13">INDEX('RFR Data - preExcl'!AF$2:AF259,$AE13,1)</f>
        <v>0</v>
      </c>
      <c r="AE13" s="58">
        <f>IFNA(MATCH(Y13,'RFR Data - preExcl'!A$2:A259,0),"")</f>
        <v>13</v>
      </c>
      <c r="AF13" s="43"/>
      <c r="AG13" s="62" t="s">
        <v>38</v>
      </c>
      <c r="AH13" s="60">
        <f>VLOOKUP(AG13,'Run Reconcile'!A$2:B259,2,FALSE)</f>
        <v>44566</v>
      </c>
      <c r="AI13" s="61">
        <f>COUNTIF('APS Tubes Import'!$V$2:$V259, AG13)
</f>
        <v>20</v>
      </c>
      <c r="AJ13" s="61">
        <f>COUNTIFS('APS Tubes Import'!V$2:V259, AG13, 'APS Tubes Import'!H$2:H259, "Negative")
</f>
        <v>17</v>
      </c>
      <c r="AK13" s="61">
        <f>COUNTIFS('APS Tubes Import'!V$2:V259, AG13, 'APS Tubes Import'!H$2:H259, "Positive")
</f>
        <v>3</v>
      </c>
      <c r="AL13" s="61">
        <f>COUNTIFS('APS Tubes Import'!V$2:V259, AG13, 'APS Tubes Import'!H$2:H259, "Inconclusive")
</f>
        <v>0</v>
      </c>
      <c r="AM13" s="61">
        <f>COUNTIFS('APS Tubes Import'!V$2:V259, AG13, 'APS Tubes Import'!H$2:H259, "Null")
</f>
        <v>0</v>
      </c>
      <c r="AN13" s="43"/>
      <c r="AO13" s="55">
        <f>'APS Tubes by Date Import'!B12</f>
        <v>44559</v>
      </c>
      <c r="AP13" s="56">
        <f>'APS Tubes by Date Import'!C12</f>
        <v>4</v>
      </c>
      <c r="AQ13" s="56">
        <f>'APS Tubes by Date Import'!D12</f>
        <v>4</v>
      </c>
      <c r="AR13" s="56">
        <f>'APS Tubes by Date Import'!E12</f>
        <v>0</v>
      </c>
      <c r="AS13" s="56">
        <f>'APS Tubes by Date Import'!F12</f>
        <v>0</v>
      </c>
      <c r="AT13" s="56">
        <f>'APS Tubes by Date Import'!G12</f>
        <v>0</v>
      </c>
      <c r="AU13" s="43"/>
    </row>
    <row r="14">
      <c r="A14" s="6" t="s">
        <v>39</v>
      </c>
      <c r="B14" s="47">
        <f>VLOOKUP(A14,'Run Reconcile'!A$2:B259,2,FALSE)</f>
        <v>44568</v>
      </c>
      <c r="C14" s="48">
        <f>COUNTIF('ALL Tube Results'!B13:B259, A14)
</f>
        <v>21</v>
      </c>
      <c r="D14" s="49">
        <f>COUNTIFS('ALL Tube Results'!$B13:$B259, $A14, 'ALL Tube Results'!$F13:$F259, "Negative")
</f>
        <v>17</v>
      </c>
      <c r="E14" s="49">
        <f>COUNTIFS('ALL Tube Results'!$B13:$B259, $A14, 'ALL Tube Results'!$F13:$F259, "Positive")
</f>
        <v>3</v>
      </c>
      <c r="F14" s="49">
        <f>COUNTIFS('ALL Tube Results'!$B13:$B259, $A14, 'ALL Tube Results'!$F13:$F259, "Inconclusive")
</f>
        <v>1</v>
      </c>
      <c r="G14" s="50">
        <f t="shared" si="7"/>
        <v>21</v>
      </c>
      <c r="H14" s="50" t="str">
        <f t="shared" si="8"/>
        <v/>
      </c>
      <c r="I14" s="51">
        <f t="shared" si="9"/>
        <v>21</v>
      </c>
      <c r="J14" s="52">
        <f t="shared" si="10"/>
        <v>3</v>
      </c>
      <c r="K14" s="52">
        <f t="shared" si="11"/>
        <v>1</v>
      </c>
      <c r="L14" s="51" t="str">
        <f t="shared" si="12"/>
        <v/>
      </c>
      <c r="M14" s="52" t="str">
        <f t="shared" si="13"/>
        <v/>
      </c>
      <c r="N14" s="52" t="str">
        <f t="shared" si="14"/>
        <v/>
      </c>
      <c r="O14" s="53">
        <f t="shared" si="15"/>
        <v>20</v>
      </c>
      <c r="P14" s="53">
        <f t="shared" si="16"/>
        <v>1</v>
      </c>
      <c r="Q14" s="43"/>
      <c r="R14" s="6" t="s">
        <v>39</v>
      </c>
      <c r="S14" s="55">
        <v>44568.0</v>
      </c>
      <c r="T14" s="56">
        <f>VLOOKUP(R14,'Run Reconcile'!$A$2:$L259,12,FALSE)</f>
        <v>21</v>
      </c>
      <c r="U14" s="57" t="str">
        <f t="shared" si="17"/>
        <v/>
      </c>
      <c r="V14" s="56"/>
      <c r="W14" s="56"/>
      <c r="X14" s="43"/>
      <c r="Y14" s="6" t="str">
        <f>IFERROR(__xludf.DUMMYFUNCTION("""COMPUTED_VALUE"""),"RUN-BEND_2022-01-14_RFR-014")</f>
        <v>RUN-BEND_2022-01-14_RFR-014</v>
      </c>
      <c r="Z14" s="55">
        <f>IFERROR(__xludf.DUMMYFUNCTION("""COMPUTED_VALUE"""),44575.0)</f>
        <v>44575</v>
      </c>
      <c r="AA14" s="51">
        <f t="array" ref="AA14">INDEX('RFR Data - preExcl'!AK$2:AK259,$AE14,1)</f>
        <v>22</v>
      </c>
      <c r="AB14" s="56">
        <f t="shared" si="18"/>
        <v>15</v>
      </c>
      <c r="AC14" s="56">
        <f t="array" ref="AC14">INDEX('RFR Data - preExcl'!AI$2:AI259,$AE14,1)</f>
        <v>7</v>
      </c>
      <c r="AD14" s="56">
        <f t="array" ref="AD14">INDEX('RFR Data - preExcl'!AF$2:AF259,$AE14,1)</f>
        <v>0</v>
      </c>
      <c r="AE14" s="58">
        <f>IFNA(MATCH(Y14,'RFR Data - preExcl'!A$2:A259,0),"")</f>
        <v>14</v>
      </c>
      <c r="AF14" s="43"/>
      <c r="AG14" s="62" t="s">
        <v>39</v>
      </c>
      <c r="AH14" s="60">
        <f>VLOOKUP(AG14,'Run Reconcile'!A$2:B259,2,FALSE)</f>
        <v>44568</v>
      </c>
      <c r="AI14" s="61">
        <f>COUNTIF('APS Tubes Import'!$V$2:$V259, AG14)
</f>
        <v>20</v>
      </c>
      <c r="AJ14" s="61">
        <f>COUNTIFS('APS Tubes Import'!V$2:V259, AG14, 'APS Tubes Import'!H$2:H259, "Negative")
</f>
        <v>16</v>
      </c>
      <c r="AK14" s="61">
        <f>COUNTIFS('APS Tubes Import'!V$2:V259, AG14, 'APS Tubes Import'!H$2:H259, "Positive")
</f>
        <v>3</v>
      </c>
      <c r="AL14" s="61">
        <f>COUNTIFS('APS Tubes Import'!V$2:V259, AG14, 'APS Tubes Import'!H$2:H259, "Inconclusive")
</f>
        <v>1</v>
      </c>
      <c r="AM14" s="61">
        <f>COUNTIFS('APS Tubes Import'!V$2:V259, AG14, 'APS Tubes Import'!H$2:H259, "Null")
</f>
        <v>0</v>
      </c>
      <c r="AN14" s="43"/>
      <c r="AO14" s="55">
        <f>'APS Tubes by Date Import'!B13</f>
        <v>44561</v>
      </c>
      <c r="AP14" s="56">
        <f>'APS Tubes by Date Import'!C13</f>
        <v>8</v>
      </c>
      <c r="AQ14" s="56">
        <f>'APS Tubes by Date Import'!D13</f>
        <v>6</v>
      </c>
      <c r="AR14" s="56">
        <f>'APS Tubes by Date Import'!E13</f>
        <v>2</v>
      </c>
      <c r="AS14" s="56">
        <f>'APS Tubes by Date Import'!F13</f>
        <v>0</v>
      </c>
      <c r="AT14" s="56">
        <f>'APS Tubes by Date Import'!G13</f>
        <v>0</v>
      </c>
      <c r="AU14" s="43"/>
    </row>
    <row r="15">
      <c r="A15" s="6" t="s">
        <v>40</v>
      </c>
      <c r="B15" s="47">
        <f>VLOOKUP(A15,'Run Reconcile'!A$2:B259,2,FALSE)</f>
        <v>44571</v>
      </c>
      <c r="C15" s="48">
        <f>COUNTIF('ALL Tube Results'!B14:B259, A15)
</f>
        <v>31</v>
      </c>
      <c r="D15" s="49">
        <f>COUNTIFS('ALL Tube Results'!$B14:$B259, $A15, 'ALL Tube Results'!$F14:$F259, "Negative")
</f>
        <v>24</v>
      </c>
      <c r="E15" s="49">
        <f>COUNTIFS('ALL Tube Results'!$B14:$B259, $A15, 'ALL Tube Results'!$F14:$F259, "Positive")
</f>
        <v>7</v>
      </c>
      <c r="F15" s="49">
        <f>COUNTIFS('ALL Tube Results'!$B14:$B259, $A15, 'ALL Tube Results'!$F14:$F259, "Inconclusive")
</f>
        <v>0</v>
      </c>
      <c r="G15" s="50">
        <f t="shared" si="7"/>
        <v>31</v>
      </c>
      <c r="H15" s="50" t="str">
        <f t="shared" si="8"/>
        <v/>
      </c>
      <c r="I15" s="51">
        <f t="shared" si="9"/>
        <v>31</v>
      </c>
      <c r="J15" s="52">
        <f t="shared" si="10"/>
        <v>8</v>
      </c>
      <c r="K15" s="52">
        <f t="shared" si="11"/>
        <v>2</v>
      </c>
      <c r="L15" s="51" t="str">
        <f t="shared" si="12"/>
        <v/>
      </c>
      <c r="M15" s="64">
        <f t="shared" si="13"/>
        <v>-1</v>
      </c>
      <c r="N15" s="65">
        <f t="shared" si="14"/>
        <v>-2</v>
      </c>
      <c r="O15" s="53">
        <f t="shared" si="15"/>
        <v>31</v>
      </c>
      <c r="P15" s="53" t="str">
        <f t="shared" si="16"/>
        <v/>
      </c>
      <c r="Q15" s="43"/>
      <c r="R15" s="6" t="s">
        <v>40</v>
      </c>
      <c r="S15" s="55">
        <v>44571.0</v>
      </c>
      <c r="T15" s="56">
        <f>VLOOKUP(R15,'Run Reconcile'!$A$2:$L259,12,FALSE)</f>
        <v>31</v>
      </c>
      <c r="U15" s="57" t="str">
        <f t="shared" si="17"/>
        <v/>
      </c>
      <c r="V15" s="56"/>
      <c r="W15" s="56"/>
      <c r="X15" s="43"/>
      <c r="Y15" s="6" t="str">
        <f>IFERROR(__xludf.DUMMYFUNCTION("""COMPUTED_VALUE"""),"RUN-BEND_2022-01-19_RFR-015")</f>
        <v>RUN-BEND_2022-01-19_RFR-015</v>
      </c>
      <c r="Z15" s="55">
        <f>IFERROR(__xludf.DUMMYFUNCTION("""COMPUTED_VALUE"""),44580.0)</f>
        <v>44580</v>
      </c>
      <c r="AA15" s="51">
        <f t="array" ref="AA15">INDEX('RFR Data - preExcl'!AK$2:AK259,$AE15,1)</f>
        <v>33</v>
      </c>
      <c r="AB15" s="56">
        <f t="shared" si="18"/>
        <v>24</v>
      </c>
      <c r="AC15" s="56">
        <f t="array" ref="AC15">INDEX('RFR Data - preExcl'!AI$2:AI259,$AE15,1)</f>
        <v>9</v>
      </c>
      <c r="AD15" s="56">
        <f t="array" ref="AD15">INDEX('RFR Data - preExcl'!AF$2:AF259,$AE15,1)</f>
        <v>0</v>
      </c>
      <c r="AE15" s="58">
        <f>IFNA(MATCH(Y15,'RFR Data - preExcl'!A$2:A259,0),"")</f>
        <v>15</v>
      </c>
      <c r="AF15" s="43"/>
      <c r="AG15" s="62" t="s">
        <v>40</v>
      </c>
      <c r="AH15" s="60">
        <f>VLOOKUP(AG15,'Run Reconcile'!A$2:B259,2,FALSE)</f>
        <v>44571</v>
      </c>
      <c r="AI15" s="61">
        <f>COUNTIF('APS Tubes Import'!$V$2:$V259, AG15)
</f>
        <v>31</v>
      </c>
      <c r="AJ15" s="61">
        <f>COUNTIFS('APS Tubes Import'!V$2:V259, AG15, 'APS Tubes Import'!H$2:H259, "Negative")
</f>
        <v>24</v>
      </c>
      <c r="AK15" s="61">
        <f>COUNTIFS('APS Tubes Import'!V$2:V259, AG15, 'APS Tubes Import'!H$2:H259, "Positive")
</f>
        <v>7</v>
      </c>
      <c r="AL15" s="61">
        <f>COUNTIFS('APS Tubes Import'!V$2:V259, AG15, 'APS Tubes Import'!H$2:H259, "Inconclusive")
</f>
        <v>0</v>
      </c>
      <c r="AM15" s="61">
        <f>COUNTIFS('APS Tubes Import'!V$2:V259, AG15, 'APS Tubes Import'!H$2:H259, "Null")
</f>
        <v>0</v>
      </c>
      <c r="AN15" s="43"/>
      <c r="AO15" s="55">
        <f>'APS Tubes by Date Import'!B14</f>
        <v>44564</v>
      </c>
      <c r="AP15" s="56">
        <f>'APS Tubes by Date Import'!C14</f>
        <v>14</v>
      </c>
      <c r="AQ15" s="56">
        <f>'APS Tubes by Date Import'!D14</f>
        <v>10</v>
      </c>
      <c r="AR15" s="56">
        <f>'APS Tubes by Date Import'!E14</f>
        <v>4</v>
      </c>
      <c r="AS15" s="56">
        <f>'APS Tubes by Date Import'!F14</f>
        <v>0</v>
      </c>
      <c r="AT15" s="56">
        <f>'APS Tubes by Date Import'!G14</f>
        <v>0</v>
      </c>
      <c r="AU15" s="43"/>
    </row>
    <row r="16">
      <c r="A16" s="6" t="s">
        <v>41</v>
      </c>
      <c r="B16" s="47">
        <f>VLOOKUP(A16,'Run Reconcile'!A$2:B259,2,FALSE)</f>
        <v>44573</v>
      </c>
      <c r="C16" s="48">
        <f>COUNTIF('ALL Tube Results'!B15:B259, A16)
</f>
        <v>22</v>
      </c>
      <c r="D16" s="49">
        <f>COUNTIFS('ALL Tube Results'!$B15:$B259, $A16, 'ALL Tube Results'!$F15:$F259, "Negative")
</f>
        <v>18</v>
      </c>
      <c r="E16" s="49">
        <f>COUNTIFS('ALL Tube Results'!$B15:$B259, $A16, 'ALL Tube Results'!$F15:$F259, "Positive")
</f>
        <v>4</v>
      </c>
      <c r="F16" s="49">
        <f>COUNTIFS('ALL Tube Results'!$B15:$B259, $A16, 'ALL Tube Results'!$F15:$F259, "Inconclusive")
</f>
        <v>0</v>
      </c>
      <c r="G16" s="50">
        <f t="shared" si="7"/>
        <v>22</v>
      </c>
      <c r="H16" s="50" t="str">
        <f t="shared" si="8"/>
        <v/>
      </c>
      <c r="I16" s="51">
        <f t="shared" si="9"/>
        <v>22</v>
      </c>
      <c r="J16" s="52">
        <f t="shared" si="10"/>
        <v>4</v>
      </c>
      <c r="K16" s="52">
        <f t="shared" si="11"/>
        <v>0</v>
      </c>
      <c r="L16" s="51" t="str">
        <f t="shared" si="12"/>
        <v/>
      </c>
      <c r="M16" s="52" t="str">
        <f t="shared" si="13"/>
        <v/>
      </c>
      <c r="N16" s="52" t="str">
        <f t="shared" si="14"/>
        <v/>
      </c>
      <c r="O16" s="53">
        <f t="shared" si="15"/>
        <v>22</v>
      </c>
      <c r="P16" s="53" t="str">
        <f t="shared" si="16"/>
        <v/>
      </c>
      <c r="Q16" s="43"/>
      <c r="R16" s="6" t="s">
        <v>41</v>
      </c>
      <c r="S16" s="55">
        <v>44573.0</v>
      </c>
      <c r="T16" s="56">
        <f>VLOOKUP(R16,'Run Reconcile'!$A$2:$L259,12,FALSE)</f>
        <v>22</v>
      </c>
      <c r="U16" s="57" t="str">
        <f t="shared" si="17"/>
        <v/>
      </c>
      <c r="V16" s="56"/>
      <c r="W16" s="56"/>
      <c r="X16" s="43"/>
      <c r="Y16" s="6" t="str">
        <f>IFERROR(__xludf.DUMMYFUNCTION("""COMPUTED_VALUE"""),"RUN-BEND_2022-01-19_RFR-016")</f>
        <v>RUN-BEND_2022-01-19_RFR-016</v>
      </c>
      <c r="Z16" s="55">
        <f>IFERROR(__xludf.DUMMYFUNCTION("""COMPUTED_VALUE"""),44580.0)</f>
        <v>44580</v>
      </c>
      <c r="AA16" s="51">
        <f t="array" ref="AA16">INDEX('RFR Data - preExcl'!AK$2:AK259,$AE16,1)</f>
        <v>16</v>
      </c>
      <c r="AB16" s="56">
        <f t="shared" si="18"/>
        <v>10</v>
      </c>
      <c r="AC16" s="56">
        <f t="array" ref="AC16">INDEX('RFR Data - preExcl'!AI$2:AI259,$AE16,1)</f>
        <v>6</v>
      </c>
      <c r="AD16" s="56">
        <f t="array" ref="AD16">INDEX('RFR Data - preExcl'!AF$2:AF259,$AE16,1)</f>
        <v>0</v>
      </c>
      <c r="AE16" s="58">
        <f>IFNA(MATCH(Y16,'RFR Data - preExcl'!A$2:A259,0),"")</f>
        <v>16</v>
      </c>
      <c r="AF16" s="43"/>
      <c r="AG16" s="62" t="s">
        <v>41</v>
      </c>
      <c r="AH16" s="60">
        <f>VLOOKUP(AG16,'Run Reconcile'!A$2:B259,2,FALSE)</f>
        <v>44573</v>
      </c>
      <c r="AI16" s="61">
        <f>COUNTIF('APS Tubes Import'!$V$2:$V259, AG16)
</f>
        <v>22</v>
      </c>
      <c r="AJ16" s="61">
        <f>COUNTIFS('APS Tubes Import'!V$2:V259, AG16, 'APS Tubes Import'!H$2:H259, "Negative")
</f>
        <v>18</v>
      </c>
      <c r="AK16" s="61">
        <f>COUNTIFS('APS Tubes Import'!V$2:V259, AG16, 'APS Tubes Import'!H$2:H259, "Positive")
</f>
        <v>4</v>
      </c>
      <c r="AL16" s="61">
        <f>COUNTIFS('APS Tubes Import'!V$2:V259, AG16, 'APS Tubes Import'!H$2:H259, "Inconclusive")
</f>
        <v>0</v>
      </c>
      <c r="AM16" s="61">
        <f>COUNTIFS('APS Tubes Import'!V$2:V259, AG16, 'APS Tubes Import'!H$2:H259, "Null")
</f>
        <v>0</v>
      </c>
      <c r="AN16" s="43"/>
      <c r="AO16" s="55">
        <f>'APS Tubes by Date Import'!B15</f>
        <v>44565</v>
      </c>
      <c r="AP16" s="56">
        <f>'APS Tubes by Date Import'!C15</f>
        <v>2</v>
      </c>
      <c r="AQ16" s="56">
        <f>'APS Tubes by Date Import'!D15</f>
        <v>2</v>
      </c>
      <c r="AR16" s="56">
        <f>'APS Tubes by Date Import'!E15</f>
        <v>0</v>
      </c>
      <c r="AS16" s="56">
        <f>'APS Tubes by Date Import'!F15</f>
        <v>0</v>
      </c>
      <c r="AT16" s="56">
        <f>'APS Tubes by Date Import'!G15</f>
        <v>0</v>
      </c>
      <c r="AU16" s="43"/>
    </row>
    <row r="17">
      <c r="A17" s="6" t="s">
        <v>42</v>
      </c>
      <c r="B17" s="47">
        <f>VLOOKUP(A17,'Run Reconcile'!A$2:B259,2,FALSE)</f>
        <v>44575</v>
      </c>
      <c r="C17" s="48">
        <f>COUNTIF('ALL Tube Results'!B16:B259, A17)
</f>
        <v>22</v>
      </c>
      <c r="D17" s="49">
        <f>COUNTIFS('ALL Tube Results'!$B16:$B259, $A17, 'ALL Tube Results'!$F16:$F259, "Negative")
</f>
        <v>15</v>
      </c>
      <c r="E17" s="49">
        <f>COUNTIFS('ALL Tube Results'!$B16:$B259, $A17, 'ALL Tube Results'!$F16:$F259, "Positive")
</f>
        <v>7</v>
      </c>
      <c r="F17" s="49">
        <f>COUNTIFS('ALL Tube Results'!$B16:$B259, $A17, 'ALL Tube Results'!$F16:$F259, "Inconclusive")
</f>
        <v>0</v>
      </c>
      <c r="G17" s="50">
        <f t="shared" si="7"/>
        <v>22</v>
      </c>
      <c r="H17" s="50" t="str">
        <f t="shared" si="8"/>
        <v/>
      </c>
      <c r="I17" s="51">
        <f t="shared" si="9"/>
        <v>22</v>
      </c>
      <c r="J17" s="52">
        <f t="shared" si="10"/>
        <v>7</v>
      </c>
      <c r="K17" s="52">
        <f t="shared" si="11"/>
        <v>0</v>
      </c>
      <c r="L17" s="51" t="str">
        <f t="shared" si="12"/>
        <v/>
      </c>
      <c r="M17" s="52" t="str">
        <f t="shared" si="13"/>
        <v/>
      </c>
      <c r="N17" s="52" t="str">
        <f t="shared" si="14"/>
        <v/>
      </c>
      <c r="O17" s="53">
        <f t="shared" si="15"/>
        <v>22</v>
      </c>
      <c r="P17" s="53" t="str">
        <f t="shared" si="16"/>
        <v/>
      </c>
      <c r="Q17" s="43"/>
      <c r="R17" s="6" t="s">
        <v>42</v>
      </c>
      <c r="S17" s="55">
        <v>44575.0</v>
      </c>
      <c r="T17" s="56">
        <f>VLOOKUP(R17,'Run Reconcile'!$A$2:$L259,12,FALSE)</f>
        <v>22</v>
      </c>
      <c r="U17" s="57" t="str">
        <f t="shared" si="17"/>
        <v/>
      </c>
      <c r="V17" s="56"/>
      <c r="W17" s="56"/>
      <c r="X17" s="43"/>
      <c r="Y17" s="6" t="str">
        <f>IFERROR(__xludf.DUMMYFUNCTION("""COMPUTED_VALUE"""),"RUN-BEND_2022-01-21_RFR-017")</f>
        <v>RUN-BEND_2022-01-21_RFR-017</v>
      </c>
      <c r="Z17" s="55">
        <f>IFERROR(__xludf.DUMMYFUNCTION("""COMPUTED_VALUE"""),44582.0)</f>
        <v>44582</v>
      </c>
      <c r="AA17" s="51">
        <f t="array" ref="AA17">INDEX('RFR Data - preExcl'!AK$2:AK259,$AE17,1)</f>
        <v>14</v>
      </c>
      <c r="AB17" s="56">
        <f t="shared" si="18"/>
        <v>7</v>
      </c>
      <c r="AC17" s="56">
        <f t="array" ref="AC17">INDEX('RFR Data - preExcl'!AI$2:AI259,$AE17,1)</f>
        <v>7</v>
      </c>
      <c r="AD17" s="56">
        <f t="array" ref="AD17">INDEX('RFR Data - preExcl'!AF$2:AF259,$AE17,1)</f>
        <v>0</v>
      </c>
      <c r="AE17" s="58">
        <f>IFNA(MATCH(Y17,'RFR Data - preExcl'!A$2:A259,0),"")</f>
        <v>17</v>
      </c>
      <c r="AF17" s="43"/>
      <c r="AG17" s="62" t="s">
        <v>42</v>
      </c>
      <c r="AH17" s="60">
        <f>VLOOKUP(AG17,'Run Reconcile'!A$2:B259,2,FALSE)</f>
        <v>44575</v>
      </c>
      <c r="AI17" s="61">
        <f>COUNTIF('APS Tubes Import'!$V$2:$V259, AG17)
</f>
        <v>22</v>
      </c>
      <c r="AJ17" s="61">
        <f>COUNTIFS('APS Tubes Import'!V$2:V259, AG17, 'APS Tubes Import'!H$2:H259, "Negative")
</f>
        <v>15</v>
      </c>
      <c r="AK17" s="61">
        <f>COUNTIFS('APS Tubes Import'!V$2:V259, AG17, 'APS Tubes Import'!H$2:H259, "Positive")
</f>
        <v>7</v>
      </c>
      <c r="AL17" s="61">
        <f>COUNTIFS('APS Tubes Import'!V$2:V259, AG17, 'APS Tubes Import'!H$2:H259, "Inconclusive")
</f>
        <v>0</v>
      </c>
      <c r="AM17" s="61">
        <f>COUNTIFS('APS Tubes Import'!V$2:V259, AG17, 'APS Tubes Import'!H$2:H259, "Null")
</f>
        <v>0</v>
      </c>
      <c r="AN17" s="43"/>
      <c r="AO17" s="55">
        <f>'APS Tubes by Date Import'!B16</f>
        <v>44566</v>
      </c>
      <c r="AP17" s="56">
        <f>'APS Tubes by Date Import'!C16</f>
        <v>18</v>
      </c>
      <c r="AQ17" s="56">
        <f>'APS Tubes by Date Import'!D16</f>
        <v>15</v>
      </c>
      <c r="AR17" s="56">
        <f>'APS Tubes by Date Import'!E16</f>
        <v>3</v>
      </c>
      <c r="AS17" s="56">
        <f>'APS Tubes by Date Import'!F16</f>
        <v>0</v>
      </c>
      <c r="AT17" s="56">
        <f>'APS Tubes by Date Import'!G16</f>
        <v>0</v>
      </c>
      <c r="AU17" s="43"/>
    </row>
    <row r="18">
      <c r="A18" s="6" t="s">
        <v>43</v>
      </c>
      <c r="B18" s="47">
        <f>VLOOKUP(A18,'Run Reconcile'!A$2:B259,2,FALSE)</f>
        <v>44580</v>
      </c>
      <c r="C18" s="48">
        <f>COUNTIF('ALL Tube Results'!B17:B259, A18)
</f>
        <v>33</v>
      </c>
      <c r="D18" s="49">
        <f>COUNTIFS('ALL Tube Results'!$B17:$B259, $A18, 'ALL Tube Results'!$F17:$F259, "Negative")
</f>
        <v>24</v>
      </c>
      <c r="E18" s="49">
        <f>COUNTIFS('ALL Tube Results'!$B17:$B259, $A18, 'ALL Tube Results'!$F17:$F259, "Positive")
</f>
        <v>9</v>
      </c>
      <c r="F18" s="49">
        <f>COUNTIFS('ALL Tube Results'!$B17:$B259, $A18, 'ALL Tube Results'!$F17:$F259, "Inconclusive")
</f>
        <v>0</v>
      </c>
      <c r="G18" s="50">
        <f t="shared" si="7"/>
        <v>33</v>
      </c>
      <c r="H18" s="50" t="str">
        <f t="shared" si="8"/>
        <v/>
      </c>
      <c r="I18" s="51">
        <f t="shared" si="9"/>
        <v>33</v>
      </c>
      <c r="J18" s="52">
        <f t="shared" si="10"/>
        <v>9</v>
      </c>
      <c r="K18" s="52">
        <f t="shared" si="11"/>
        <v>0</v>
      </c>
      <c r="L18" s="51" t="str">
        <f t="shared" si="12"/>
        <v/>
      </c>
      <c r="M18" s="52" t="str">
        <f t="shared" si="13"/>
        <v/>
      </c>
      <c r="N18" s="52" t="str">
        <f t="shared" si="14"/>
        <v/>
      </c>
      <c r="O18" s="53">
        <f t="shared" si="15"/>
        <v>33</v>
      </c>
      <c r="P18" s="53" t="str">
        <f t="shared" si="16"/>
        <v/>
      </c>
      <c r="Q18" s="43"/>
      <c r="R18" s="6" t="s">
        <v>43</v>
      </c>
      <c r="S18" s="55">
        <v>44580.0</v>
      </c>
      <c r="T18" s="56">
        <f>VLOOKUP(R18,'Run Reconcile'!$A$2:$L259,12,FALSE)</f>
        <v>33</v>
      </c>
      <c r="U18" s="57" t="str">
        <f t="shared" si="17"/>
        <v/>
      </c>
      <c r="V18" s="56"/>
      <c r="W18" s="56"/>
      <c r="X18" s="43"/>
      <c r="Y18" s="6" t="str">
        <f>IFERROR(__xludf.DUMMYFUNCTION("""COMPUTED_VALUE"""),"RUN-BEND_2022-01-24_RFR-019")</f>
        <v>RUN-BEND_2022-01-24_RFR-019</v>
      </c>
      <c r="Z18" s="55">
        <f>IFERROR(__xludf.DUMMYFUNCTION("""COMPUTED_VALUE"""),44585.0)</f>
        <v>44585</v>
      </c>
      <c r="AA18" s="51">
        <f t="array" ref="AA18">INDEX('RFR Data - preExcl'!AK$2:AK259,$AE18,1)</f>
        <v>16</v>
      </c>
      <c r="AB18" s="56">
        <f t="shared" si="18"/>
        <v>11</v>
      </c>
      <c r="AC18" s="56">
        <f t="array" ref="AC18">INDEX('RFR Data - preExcl'!AI$2:AI259,$AE18,1)</f>
        <v>4</v>
      </c>
      <c r="AD18" s="56">
        <f t="array" ref="AD18">INDEX('RFR Data - preExcl'!AF$2:AF259,$AE18,1)</f>
        <v>1</v>
      </c>
      <c r="AE18" s="58">
        <f>IFNA(MATCH(Y18,'RFR Data - preExcl'!A$2:A259,0),"")</f>
        <v>19</v>
      </c>
      <c r="AF18" s="43"/>
      <c r="AG18" s="6" t="s">
        <v>43</v>
      </c>
      <c r="AH18" s="60">
        <f>VLOOKUP(AG18,'Run Reconcile'!A$2:B259,2,FALSE)</f>
        <v>44580</v>
      </c>
      <c r="AI18" s="61">
        <f>COUNTIF('APS Tubes Import'!$V$2:$V259, AG18)
</f>
        <v>33</v>
      </c>
      <c r="AJ18" s="61">
        <f>COUNTIFS('APS Tubes Import'!V$2:V259, AG18, 'APS Tubes Import'!H$2:H259, "Negative")
</f>
        <v>24</v>
      </c>
      <c r="AK18" s="61">
        <f>COUNTIFS('APS Tubes Import'!V$2:V259, AG18, 'APS Tubes Import'!H$2:H259, "Positive")
</f>
        <v>9</v>
      </c>
      <c r="AL18" s="61">
        <f>COUNTIFS('APS Tubes Import'!V$2:V259, AG18, 'APS Tubes Import'!H$2:H259, "Inconclusive")
</f>
        <v>0</v>
      </c>
      <c r="AM18" s="61">
        <f>COUNTIFS('APS Tubes Import'!V$2:V259, AG18, 'APS Tubes Import'!H$2:H259, "Null")
</f>
        <v>0</v>
      </c>
      <c r="AN18" s="43"/>
      <c r="AO18" s="55">
        <f>'APS Tubes by Date Import'!B17</f>
        <v>44567</v>
      </c>
      <c r="AP18" s="56">
        <f>'APS Tubes by Date Import'!C17</f>
        <v>4</v>
      </c>
      <c r="AQ18" s="56">
        <f>'APS Tubes by Date Import'!D17</f>
        <v>4</v>
      </c>
      <c r="AR18" s="56">
        <f>'APS Tubes by Date Import'!E17</f>
        <v>0</v>
      </c>
      <c r="AS18" s="56">
        <f>'APS Tubes by Date Import'!F17</f>
        <v>0</v>
      </c>
      <c r="AT18" s="56">
        <f>'APS Tubes by Date Import'!G17</f>
        <v>0</v>
      </c>
      <c r="AU18" s="43"/>
    </row>
    <row r="19">
      <c r="A19" s="6" t="s">
        <v>44</v>
      </c>
      <c r="B19" s="47">
        <f>VLOOKUP(A19,'Run Reconcile'!A$2:B259,2,FALSE)</f>
        <v>44580</v>
      </c>
      <c r="C19" s="48">
        <f>COUNTIF('ALL Tube Results'!B18:B259, A19)
</f>
        <v>15</v>
      </c>
      <c r="D19" s="49">
        <f>COUNTIFS('ALL Tube Results'!$B18:$B259, $A19, 'ALL Tube Results'!$F18:$F259, "Negative")
</f>
        <v>9</v>
      </c>
      <c r="E19" s="49">
        <f>COUNTIFS('ALL Tube Results'!$B18:$B259, $A19, 'ALL Tube Results'!$F18:$F259, "Positive")
</f>
        <v>6</v>
      </c>
      <c r="F19" s="49">
        <f>COUNTIFS('ALL Tube Results'!$B18:$B259, $A19, 'ALL Tube Results'!$F18:$F259, "Inconclusive")
</f>
        <v>0</v>
      </c>
      <c r="G19" s="50">
        <f t="shared" si="7"/>
        <v>15</v>
      </c>
      <c r="H19" s="50" t="str">
        <f t="shared" si="8"/>
        <v/>
      </c>
      <c r="I19" s="51">
        <f t="shared" si="9"/>
        <v>16</v>
      </c>
      <c r="J19" s="52">
        <f t="shared" si="10"/>
        <v>6</v>
      </c>
      <c r="K19" s="52">
        <f t="shared" si="11"/>
        <v>0</v>
      </c>
      <c r="L19" s="51">
        <f t="shared" si="12"/>
        <v>-1</v>
      </c>
      <c r="M19" s="52" t="str">
        <f t="shared" si="13"/>
        <v/>
      </c>
      <c r="N19" s="52" t="str">
        <f t="shared" si="14"/>
        <v/>
      </c>
      <c r="O19" s="53">
        <f t="shared" si="15"/>
        <v>15</v>
      </c>
      <c r="P19" s="53" t="str">
        <f t="shared" si="16"/>
        <v/>
      </c>
      <c r="Q19" s="43"/>
      <c r="R19" s="6" t="s">
        <v>44</v>
      </c>
      <c r="S19" s="55">
        <v>44580.0</v>
      </c>
      <c r="T19" s="56">
        <f>VLOOKUP(R19,'Run Reconcile'!$A$2:$L259,12,FALSE)</f>
        <v>15</v>
      </c>
      <c r="U19" s="57" t="str">
        <f t="shared" si="17"/>
        <v/>
      </c>
      <c r="V19" s="56"/>
      <c r="W19" s="56"/>
      <c r="X19" s="43"/>
      <c r="Y19" s="6" t="str">
        <f>IFERROR(__xludf.DUMMYFUNCTION("""COMPUTED_VALUE"""),"RUN-BEND_2022-01-26_RFR-020")</f>
        <v>RUN-BEND_2022-01-26_RFR-020</v>
      </c>
      <c r="Z19" s="55">
        <f>IFERROR(__xludf.DUMMYFUNCTION("""COMPUTED_VALUE"""),44587.0)</f>
        <v>44587</v>
      </c>
      <c r="AA19" s="51">
        <f t="array" ref="AA19">INDEX('RFR Data - preExcl'!AK$2:AK259,$AE19,1)</f>
        <v>13</v>
      </c>
      <c r="AB19" s="56">
        <f t="shared" si="18"/>
        <v>13</v>
      </c>
      <c r="AC19" s="56">
        <f t="array" ref="AC19">INDEX('RFR Data - preExcl'!AI$2:AI259,$AE19,1)</f>
        <v>0</v>
      </c>
      <c r="AD19" s="56">
        <f t="array" ref="AD19">INDEX('RFR Data - preExcl'!AF$2:AF259,$AE19,1)</f>
        <v>0</v>
      </c>
      <c r="AE19" s="58">
        <f>IFNA(MATCH(Y19,'RFR Data - preExcl'!A$2:A259,0),"")</f>
        <v>20</v>
      </c>
      <c r="AF19" s="43"/>
      <c r="AG19" s="6" t="s">
        <v>44</v>
      </c>
      <c r="AH19" s="60">
        <f>VLOOKUP(AG19,'Run Reconcile'!A$2:B259,2,FALSE)</f>
        <v>44580</v>
      </c>
      <c r="AI19" s="61">
        <f>COUNTIF('APS Tubes Import'!$V$2:$V259, AG19)
</f>
        <v>15</v>
      </c>
      <c r="AJ19" s="61">
        <f>COUNTIFS('APS Tubes Import'!V$2:V259, AG19, 'APS Tubes Import'!H$2:H259, "Negative")
</f>
        <v>9</v>
      </c>
      <c r="AK19" s="61">
        <f>COUNTIFS('APS Tubes Import'!V$2:V259, AG19, 'APS Tubes Import'!H$2:H259, "Positive")
</f>
        <v>6</v>
      </c>
      <c r="AL19" s="61">
        <f>COUNTIFS('APS Tubes Import'!V$2:V259, AG19, 'APS Tubes Import'!H$2:H259, "Inconclusive")
</f>
        <v>0</v>
      </c>
      <c r="AM19" s="61">
        <f>COUNTIFS('APS Tubes Import'!V$2:V259, AG19, 'APS Tubes Import'!H$2:H259, "Null")
</f>
        <v>0</v>
      </c>
      <c r="AN19" s="43"/>
      <c r="AO19" s="55">
        <f>'APS Tubes by Date Import'!B18</f>
        <v>44568</v>
      </c>
      <c r="AP19" s="56">
        <f>'APS Tubes by Date Import'!C18</f>
        <v>16</v>
      </c>
      <c r="AQ19" s="56">
        <f>'APS Tubes by Date Import'!D18</f>
        <v>12</v>
      </c>
      <c r="AR19" s="56">
        <f>'APS Tubes by Date Import'!E18</f>
        <v>3</v>
      </c>
      <c r="AS19" s="56">
        <f>'APS Tubes by Date Import'!F18</f>
        <v>1</v>
      </c>
      <c r="AT19" s="56">
        <f>'APS Tubes by Date Import'!G18</f>
        <v>0</v>
      </c>
      <c r="AU19" s="43"/>
    </row>
    <row r="20">
      <c r="A20" s="6" t="s">
        <v>45</v>
      </c>
      <c r="B20" s="47">
        <f>VLOOKUP(A20,'Run Reconcile'!A$2:B259,2,FALSE)</f>
        <v>44582</v>
      </c>
      <c r="C20" s="48">
        <f>COUNTIF('ALL Tube Results'!B19:B259, A20)
</f>
        <v>15</v>
      </c>
      <c r="D20" s="49">
        <f>COUNTIFS('ALL Tube Results'!$B19:$B259, $A20, 'ALL Tube Results'!$F19:$F259, "Negative")
</f>
        <v>7</v>
      </c>
      <c r="E20" s="49">
        <f>COUNTIFS('ALL Tube Results'!$B19:$B259, $A20, 'ALL Tube Results'!$F19:$F259, "Positive")
</f>
        <v>8</v>
      </c>
      <c r="F20" s="49">
        <f>COUNTIFS('ALL Tube Results'!$B19:$B259, $A20, 'ALL Tube Results'!$F19:$F259, "Inconclusive")
</f>
        <v>0</v>
      </c>
      <c r="G20" s="50">
        <f t="shared" si="7"/>
        <v>15</v>
      </c>
      <c r="H20" s="50" t="str">
        <f t="shared" si="8"/>
        <v/>
      </c>
      <c r="I20" s="51">
        <f t="shared" si="9"/>
        <v>14</v>
      </c>
      <c r="J20" s="52">
        <f t="shared" si="10"/>
        <v>7</v>
      </c>
      <c r="K20" s="52">
        <f t="shared" si="11"/>
        <v>0</v>
      </c>
      <c r="L20" s="51">
        <f t="shared" si="12"/>
        <v>1</v>
      </c>
      <c r="M20" s="64">
        <f t="shared" si="13"/>
        <v>1</v>
      </c>
      <c r="N20" s="52" t="str">
        <f t="shared" si="14"/>
        <v/>
      </c>
      <c r="O20" s="53">
        <f t="shared" si="15"/>
        <v>15</v>
      </c>
      <c r="P20" s="53" t="str">
        <f t="shared" si="16"/>
        <v/>
      </c>
      <c r="Q20" s="43"/>
      <c r="R20" s="6" t="s">
        <v>45</v>
      </c>
      <c r="S20" s="55">
        <v>44582.0</v>
      </c>
      <c r="T20" s="56">
        <f>VLOOKUP(R20,'Run Reconcile'!$A$2:$L259,12,FALSE)</f>
        <v>15</v>
      </c>
      <c r="U20" s="57" t="str">
        <f t="shared" si="17"/>
        <v/>
      </c>
      <c r="V20" s="56"/>
      <c r="W20" s="56"/>
      <c r="X20" s="43"/>
      <c r="Y20" s="6" t="str">
        <f>IFERROR(__xludf.DUMMYFUNCTION("""COMPUTED_VALUE"""),"RUN-BEND_2022-01-28_RFR-022")</f>
        <v>RUN-BEND_2022-01-28_RFR-022</v>
      </c>
      <c r="Z20" s="55">
        <f>IFERROR(__xludf.DUMMYFUNCTION("""COMPUTED_VALUE"""),44589.0)</f>
        <v>44589</v>
      </c>
      <c r="AA20" s="51">
        <f t="array" ref="AA20">INDEX('RFR Data - preExcl'!AK$2:AK259,$AE20,1)</f>
        <v>7</v>
      </c>
      <c r="AB20" s="56">
        <f t="shared" si="18"/>
        <v>7</v>
      </c>
      <c r="AC20" s="56">
        <f t="array" ref="AC20">INDEX('RFR Data - preExcl'!AI$2:AI259,$AE20,1)</f>
        <v>0</v>
      </c>
      <c r="AD20" s="56">
        <f t="array" ref="AD20">INDEX('RFR Data - preExcl'!AF$2:AF259,$AE20,1)</f>
        <v>0</v>
      </c>
      <c r="AE20" s="58">
        <f>IFNA(MATCH(Y20,'RFR Data - preExcl'!A$2:A259,0),"")</f>
        <v>22</v>
      </c>
      <c r="AF20" s="43"/>
      <c r="AG20" s="62" t="s">
        <v>45</v>
      </c>
      <c r="AH20" s="60">
        <f>VLOOKUP(AG20,'Run Reconcile'!A$2:B259,2,FALSE)</f>
        <v>44582</v>
      </c>
      <c r="AI20" s="61">
        <f>COUNTIF('APS Tubes Import'!$V$2:$V259, AG20)
</f>
        <v>15</v>
      </c>
      <c r="AJ20" s="61">
        <f>COUNTIFS('APS Tubes Import'!V$2:V259, AG20, 'APS Tubes Import'!H$2:H259, "Negative")
</f>
        <v>7</v>
      </c>
      <c r="AK20" s="61">
        <f>COUNTIFS('APS Tubes Import'!V$2:V259, AG20, 'APS Tubes Import'!H$2:H259, "Positive")
</f>
        <v>8</v>
      </c>
      <c r="AL20" s="61">
        <f>COUNTIFS('APS Tubes Import'!V$2:V259, AG20, 'APS Tubes Import'!H$2:H259, "Inconclusive")
</f>
        <v>0</v>
      </c>
      <c r="AM20" s="61">
        <f>COUNTIFS('APS Tubes Import'!V$2:V259, AG20, 'APS Tubes Import'!H$2:H259, "Null")
</f>
        <v>0</v>
      </c>
      <c r="AN20" s="43"/>
      <c r="AO20" s="55">
        <f>'APS Tubes by Date Import'!B19</f>
        <v>44571</v>
      </c>
      <c r="AP20" s="56">
        <f>'APS Tubes by Date Import'!C19</f>
        <v>31</v>
      </c>
      <c r="AQ20" s="56">
        <f>'APS Tubes by Date Import'!D19</f>
        <v>24</v>
      </c>
      <c r="AR20" s="56">
        <f>'APS Tubes by Date Import'!E19</f>
        <v>7</v>
      </c>
      <c r="AS20" s="56">
        <f>'APS Tubes by Date Import'!F19</f>
        <v>0</v>
      </c>
      <c r="AT20" s="56">
        <f>'APS Tubes by Date Import'!G19</f>
        <v>0</v>
      </c>
      <c r="AU20" s="43"/>
    </row>
    <row r="21">
      <c r="A21" s="6" t="s">
        <v>46</v>
      </c>
      <c r="B21" s="47">
        <f>VLOOKUP(A21,'Run Reconcile'!A$2:B259,2,FALSE)</f>
        <v>44585</v>
      </c>
      <c r="C21" s="48">
        <f>COUNTIF('ALL Tube Results'!B20:B259, A21)
</f>
        <v>16</v>
      </c>
      <c r="D21" s="49">
        <f>COUNTIFS('ALL Tube Results'!$B20:$B259, $A21, 'ALL Tube Results'!$F20:$F259, "Negative")
</f>
        <v>12</v>
      </c>
      <c r="E21" s="49">
        <f>COUNTIFS('ALL Tube Results'!$B20:$B259, $A21, 'ALL Tube Results'!$F20:$F259, "Positive")
</f>
        <v>4</v>
      </c>
      <c r="F21" s="49">
        <f>COUNTIFS('ALL Tube Results'!$B20:$B259, $A21, 'ALL Tube Results'!$F20:$F259, "Inconclusive")
</f>
        <v>0</v>
      </c>
      <c r="G21" s="50">
        <f t="shared" si="7"/>
        <v>16</v>
      </c>
      <c r="H21" s="50" t="str">
        <f t="shared" si="8"/>
        <v/>
      </c>
      <c r="I21" s="51">
        <f t="shared" si="9"/>
        <v>16</v>
      </c>
      <c r="J21" s="52">
        <f t="shared" si="10"/>
        <v>4</v>
      </c>
      <c r="K21" s="52">
        <f t="shared" si="11"/>
        <v>1</v>
      </c>
      <c r="L21" s="51" t="str">
        <f t="shared" si="12"/>
        <v/>
      </c>
      <c r="M21" s="52" t="str">
        <f t="shared" si="13"/>
        <v/>
      </c>
      <c r="N21" s="65">
        <f t="shared" si="14"/>
        <v>-1</v>
      </c>
      <c r="O21" s="53">
        <f t="shared" si="15"/>
        <v>16</v>
      </c>
      <c r="P21" s="53" t="str">
        <f t="shared" si="16"/>
        <v/>
      </c>
      <c r="Q21" s="43"/>
      <c r="R21" s="6" t="s">
        <v>46</v>
      </c>
      <c r="S21" s="55">
        <v>44585.0</v>
      </c>
      <c r="T21" s="56">
        <f>VLOOKUP(R21,'Run Reconcile'!$A$2:$L259,12,FALSE)</f>
        <v>16</v>
      </c>
      <c r="U21" s="57" t="str">
        <f t="shared" si="17"/>
        <v/>
      </c>
      <c r="V21" s="56"/>
      <c r="W21" s="56"/>
      <c r="X21" s="43"/>
      <c r="Y21" s="6" t="str">
        <f>IFERROR(__xludf.DUMMYFUNCTION("""COMPUTED_VALUE"""),"RUN-BEND_2022-01-31_RFR-024")</f>
        <v>RUN-BEND_2022-01-31_RFR-024</v>
      </c>
      <c r="Z21" s="55">
        <f>IFERROR(__xludf.DUMMYFUNCTION("""COMPUTED_VALUE"""),44592.0)</f>
        <v>44592</v>
      </c>
      <c r="AA21" s="51">
        <f t="array" ref="AA21">INDEX('RFR Data - preExcl'!AK$2:AK259,$AE21,1)</f>
        <v>10</v>
      </c>
      <c r="AB21" s="56">
        <f t="shared" si="18"/>
        <v>10</v>
      </c>
      <c r="AC21" s="56">
        <f t="array" ref="AC21">INDEX('RFR Data - preExcl'!AI$2:AI259,$AE21,1)</f>
        <v>0</v>
      </c>
      <c r="AD21" s="56">
        <f t="array" ref="AD21">INDEX('RFR Data - preExcl'!AF$2:AF259,$AE21,1)</f>
        <v>0</v>
      </c>
      <c r="AE21" s="58">
        <f>IFNA(MATCH(Y21,'RFR Data - preExcl'!A$2:A259,0),"")</f>
        <v>24</v>
      </c>
      <c r="AF21" s="43"/>
      <c r="AG21" s="62" t="s">
        <v>46</v>
      </c>
      <c r="AH21" s="60">
        <f>VLOOKUP(AG21,'Run Reconcile'!A$2:B259,2,FALSE)</f>
        <v>44585</v>
      </c>
      <c r="AI21" s="61">
        <f>COUNTIF('APS Tubes Import'!$V$2:$V259, AG21)
</f>
        <v>16</v>
      </c>
      <c r="AJ21" s="61">
        <f>COUNTIFS('APS Tubes Import'!V$2:V259, AG21, 'APS Tubes Import'!H$2:H259, "Negative")
</f>
        <v>12</v>
      </c>
      <c r="AK21" s="61">
        <f>COUNTIFS('APS Tubes Import'!V$2:V259, AG21, 'APS Tubes Import'!H$2:H259, "Positive")
</f>
        <v>4</v>
      </c>
      <c r="AL21" s="61">
        <f>COUNTIFS('APS Tubes Import'!V$2:V259, AG21, 'APS Tubes Import'!H$2:H259, "Inconclusive")
</f>
        <v>0</v>
      </c>
      <c r="AM21" s="61">
        <f>COUNTIFS('APS Tubes Import'!V$2:V259, AG21, 'APS Tubes Import'!H$2:H259, "Null")
</f>
        <v>0</v>
      </c>
      <c r="AN21" s="43"/>
      <c r="AO21" s="55">
        <f>'APS Tubes by Date Import'!B20</f>
        <v>44573</v>
      </c>
      <c r="AP21" s="56">
        <f>'APS Tubes by Date Import'!C20</f>
        <v>22</v>
      </c>
      <c r="AQ21" s="56">
        <f>'APS Tubes by Date Import'!D20</f>
        <v>18</v>
      </c>
      <c r="AR21" s="56">
        <f>'APS Tubes by Date Import'!E20</f>
        <v>4</v>
      </c>
      <c r="AS21" s="56">
        <f>'APS Tubes by Date Import'!F20</f>
        <v>0</v>
      </c>
      <c r="AT21" s="56">
        <f>'APS Tubes by Date Import'!G20</f>
        <v>0</v>
      </c>
      <c r="AU21" s="43"/>
    </row>
    <row r="22">
      <c r="A22" s="6" t="s">
        <v>47</v>
      </c>
      <c r="B22" s="47">
        <f>VLOOKUP(A22,'Run Reconcile'!A$2:B259,2,FALSE)</f>
        <v>44587</v>
      </c>
      <c r="C22" s="48">
        <f>COUNTIF('ALL Tube Results'!B21:B259, A22)
</f>
        <v>13</v>
      </c>
      <c r="D22" s="49">
        <f>COUNTIFS('ALL Tube Results'!$B21:$B259, $A22, 'ALL Tube Results'!$F21:$F259, "Negative")
</f>
        <v>13</v>
      </c>
      <c r="E22" s="49">
        <f>COUNTIFS('ALL Tube Results'!$B21:$B259, $A22, 'ALL Tube Results'!$F21:$F259, "Positive")
</f>
        <v>0</v>
      </c>
      <c r="F22" s="49">
        <f>COUNTIFS('ALL Tube Results'!$B21:$B259, $A22, 'ALL Tube Results'!$F21:$F259, "Inconclusive")
</f>
        <v>0</v>
      </c>
      <c r="G22" s="50">
        <f t="shared" si="7"/>
        <v>13</v>
      </c>
      <c r="H22" s="50" t="str">
        <f t="shared" si="8"/>
        <v/>
      </c>
      <c r="I22" s="51">
        <f t="shared" si="9"/>
        <v>13</v>
      </c>
      <c r="J22" s="52">
        <f t="shared" si="10"/>
        <v>0</v>
      </c>
      <c r="K22" s="52">
        <f t="shared" si="11"/>
        <v>0</v>
      </c>
      <c r="L22" s="51" t="str">
        <f t="shared" si="12"/>
        <v/>
      </c>
      <c r="M22" s="52" t="str">
        <f t="shared" si="13"/>
        <v/>
      </c>
      <c r="N22" s="52" t="str">
        <f t="shared" si="14"/>
        <v/>
      </c>
      <c r="O22" s="53">
        <f t="shared" si="15"/>
        <v>13</v>
      </c>
      <c r="P22" s="53" t="str">
        <f t="shared" si="16"/>
        <v/>
      </c>
      <c r="Q22" s="43"/>
      <c r="R22" s="6" t="s">
        <v>47</v>
      </c>
      <c r="S22" s="55">
        <v>44587.0</v>
      </c>
      <c r="T22" s="56">
        <f>VLOOKUP(R22,'Run Reconcile'!$A$2:$L259,12,FALSE)</f>
        <v>13</v>
      </c>
      <c r="U22" s="57" t="str">
        <f t="shared" si="17"/>
        <v/>
      </c>
      <c r="V22" s="56"/>
      <c r="W22" s="56"/>
      <c r="X22" s="43"/>
      <c r="Y22" s="6" t="str">
        <f>IFERROR(__xludf.DUMMYFUNCTION("""COMPUTED_VALUE"""),"RUN-BEND_2022-02-02_RFR-025")</f>
        <v>RUN-BEND_2022-02-02_RFR-025</v>
      </c>
      <c r="Z22" s="55">
        <f>IFERROR(__xludf.DUMMYFUNCTION("""COMPUTED_VALUE"""),44594.0)</f>
        <v>44594</v>
      </c>
      <c r="AA22" s="51">
        <f t="array" ref="AA22">INDEX('RFR Data - preExcl'!AK$2:AK259,$AE22,1)</f>
        <v>10</v>
      </c>
      <c r="AB22" s="56">
        <f t="shared" si="18"/>
        <v>9</v>
      </c>
      <c r="AC22" s="56">
        <f t="array" ref="AC22">INDEX('RFR Data - preExcl'!AI$2:AI259,$AE22,1)</f>
        <v>1</v>
      </c>
      <c r="AD22" s="56">
        <f t="array" ref="AD22">INDEX('RFR Data - preExcl'!AF$2:AF259,$AE22,1)</f>
        <v>0</v>
      </c>
      <c r="AE22" s="58">
        <f>IFNA(MATCH(Y22,'RFR Data - preExcl'!A$2:A259,0),"")</f>
        <v>25</v>
      </c>
      <c r="AF22" s="43"/>
      <c r="AG22" s="62" t="s">
        <v>47</v>
      </c>
      <c r="AH22" s="60">
        <f>VLOOKUP(AG22,'Run Reconcile'!A$2:B259,2,FALSE)</f>
        <v>44587</v>
      </c>
      <c r="AI22" s="61">
        <f>COUNTIF('APS Tubes Import'!$V$2:$V259, AG22)
</f>
        <v>13</v>
      </c>
      <c r="AJ22" s="61">
        <f>COUNTIFS('APS Tubes Import'!V$2:V259, AG22, 'APS Tubes Import'!H$2:H259, "Negative")
</f>
        <v>13</v>
      </c>
      <c r="AK22" s="61">
        <f>COUNTIFS('APS Tubes Import'!V$2:V259, AG22, 'APS Tubes Import'!H$2:H259, "Positive")
</f>
        <v>0</v>
      </c>
      <c r="AL22" s="61">
        <f>COUNTIFS('APS Tubes Import'!V$2:V259, AG22, 'APS Tubes Import'!H$2:H259, "Inconclusive")
</f>
        <v>0</v>
      </c>
      <c r="AM22" s="61">
        <f>COUNTIFS('APS Tubes Import'!V$2:V259, AG22, 'APS Tubes Import'!H$2:H259, "Null")
</f>
        <v>0</v>
      </c>
      <c r="AN22" s="43"/>
      <c r="AO22" s="55">
        <f>'APS Tubes by Date Import'!B21</f>
        <v>44574</v>
      </c>
      <c r="AP22" s="56">
        <f>'APS Tubes by Date Import'!C21</f>
        <v>5</v>
      </c>
      <c r="AQ22" s="56">
        <f>'APS Tubes by Date Import'!D21</f>
        <v>3</v>
      </c>
      <c r="AR22" s="56">
        <f>'APS Tubes by Date Import'!E21</f>
        <v>2</v>
      </c>
      <c r="AS22" s="56">
        <f>'APS Tubes by Date Import'!F21</f>
        <v>0</v>
      </c>
      <c r="AT22" s="56">
        <f>'APS Tubes by Date Import'!G21</f>
        <v>0</v>
      </c>
      <c r="AU22" s="43"/>
    </row>
    <row r="23">
      <c r="A23" s="6" t="s">
        <v>48</v>
      </c>
      <c r="B23" s="47">
        <f>VLOOKUP(A23,'Run Reconcile'!A$2:B259,2,FALSE)</f>
        <v>44589</v>
      </c>
      <c r="C23" s="48">
        <f>COUNTIF('ALL Tube Results'!B22:B259, A23)
</f>
        <v>7</v>
      </c>
      <c r="D23" s="49">
        <f>COUNTIFS('ALL Tube Results'!$B22:$B259, $A23, 'ALL Tube Results'!$F22:$F259, "Negative")
</f>
        <v>7</v>
      </c>
      <c r="E23" s="49">
        <f>COUNTIFS('ALL Tube Results'!$B22:$B259, $A23, 'ALL Tube Results'!$F22:$F259, "Positive")
</f>
        <v>0</v>
      </c>
      <c r="F23" s="49">
        <f>COUNTIFS('ALL Tube Results'!$B22:$B259, $A23, 'ALL Tube Results'!$F22:$F259, "Inconclusive")
</f>
        <v>0</v>
      </c>
      <c r="G23" s="50">
        <f t="shared" si="7"/>
        <v>7</v>
      </c>
      <c r="H23" s="50" t="str">
        <f t="shared" si="8"/>
        <v/>
      </c>
      <c r="I23" s="51">
        <f t="shared" si="9"/>
        <v>7</v>
      </c>
      <c r="J23" s="52">
        <f t="shared" si="10"/>
        <v>0</v>
      </c>
      <c r="K23" s="52">
        <f t="shared" si="11"/>
        <v>0</v>
      </c>
      <c r="L23" s="51" t="str">
        <f t="shared" si="12"/>
        <v/>
      </c>
      <c r="M23" s="52" t="str">
        <f t="shared" si="13"/>
        <v/>
      </c>
      <c r="N23" s="52" t="str">
        <f t="shared" si="14"/>
        <v/>
      </c>
      <c r="O23" s="53">
        <f t="shared" si="15"/>
        <v>7</v>
      </c>
      <c r="P23" s="53" t="str">
        <f t="shared" si="16"/>
        <v/>
      </c>
      <c r="Q23" s="43"/>
      <c r="R23" s="6" t="s">
        <v>48</v>
      </c>
      <c r="S23" s="55">
        <v>44589.0</v>
      </c>
      <c r="T23" s="56">
        <f>VLOOKUP(R23,'Run Reconcile'!$A$2:$L259,12,FALSE)</f>
        <v>7</v>
      </c>
      <c r="U23" s="57" t="str">
        <f t="shared" si="17"/>
        <v/>
      </c>
      <c r="V23" s="56"/>
      <c r="W23" s="56"/>
      <c r="X23" s="43"/>
      <c r="Y23" s="6" t="str">
        <f>IFERROR(__xludf.DUMMYFUNCTION("""COMPUTED_VALUE"""),"RUN-BEND_2022-02-04_RFR-026")</f>
        <v>RUN-BEND_2022-02-04_RFR-026</v>
      </c>
      <c r="Z23" s="55">
        <f>IFERROR(__xludf.DUMMYFUNCTION("""COMPUTED_VALUE"""),44596.0)</f>
        <v>44596</v>
      </c>
      <c r="AA23" s="51">
        <f t="array" ref="AA23">INDEX('RFR Data - preExcl'!AK$2:AK259,$AE23,1)</f>
        <v>6</v>
      </c>
      <c r="AB23" s="56">
        <f t="shared" si="18"/>
        <v>6</v>
      </c>
      <c r="AC23" s="56">
        <f t="array" ref="AC23">INDEX('RFR Data - preExcl'!AI$2:AI259,$AE23,1)</f>
        <v>0</v>
      </c>
      <c r="AD23" s="56">
        <f t="array" ref="AD23">INDEX('RFR Data - preExcl'!AF$2:AF259,$AE23,1)</f>
        <v>0</v>
      </c>
      <c r="AE23" s="58">
        <f>IFNA(MATCH(Y23,'RFR Data - preExcl'!A$2:A259,0),"")</f>
        <v>26</v>
      </c>
      <c r="AF23" s="43"/>
      <c r="AG23" s="62" t="s">
        <v>48</v>
      </c>
      <c r="AH23" s="60">
        <f>VLOOKUP(AG23,'Run Reconcile'!A$2:B259,2,FALSE)</f>
        <v>44589</v>
      </c>
      <c r="AI23" s="61">
        <f>COUNTIF('APS Tubes Import'!$V$2:$V259, AG23)
</f>
        <v>7</v>
      </c>
      <c r="AJ23" s="61">
        <f>COUNTIFS('APS Tubes Import'!V$2:V259, AG23, 'APS Tubes Import'!H$2:H259, "Negative")
</f>
        <v>7</v>
      </c>
      <c r="AK23" s="61">
        <f>COUNTIFS('APS Tubes Import'!V$2:V259, AG23, 'APS Tubes Import'!H$2:H259, "Positive")
</f>
        <v>0</v>
      </c>
      <c r="AL23" s="61">
        <f>COUNTIFS('APS Tubes Import'!V$2:V259, AG23, 'APS Tubes Import'!H$2:H259, "Inconclusive")
</f>
        <v>0</v>
      </c>
      <c r="AM23" s="61">
        <f>COUNTIFS('APS Tubes Import'!V$2:V259, AG23, 'APS Tubes Import'!H$2:H259, "Null")
</f>
        <v>0</v>
      </c>
      <c r="AN23" s="43"/>
      <c r="AO23" s="55">
        <f>'APS Tubes by Date Import'!B22</f>
        <v>44575</v>
      </c>
      <c r="AP23" s="56">
        <f>'APS Tubes by Date Import'!C22</f>
        <v>17</v>
      </c>
      <c r="AQ23" s="56">
        <f>'APS Tubes by Date Import'!D22</f>
        <v>12</v>
      </c>
      <c r="AR23" s="56">
        <f>'APS Tubes by Date Import'!E22</f>
        <v>5</v>
      </c>
      <c r="AS23" s="56">
        <f>'APS Tubes by Date Import'!F22</f>
        <v>0</v>
      </c>
      <c r="AT23" s="56">
        <f>'APS Tubes by Date Import'!G22</f>
        <v>0</v>
      </c>
      <c r="AU23" s="43"/>
    </row>
    <row r="24">
      <c r="A24" s="6" t="s">
        <v>49</v>
      </c>
      <c r="B24" s="47">
        <f>VLOOKUP(A24,'Run Reconcile'!A$2:B259,2,FALSE)</f>
        <v>44592</v>
      </c>
      <c r="C24" s="48">
        <f>COUNTIF('ALL Tube Results'!B23:B259, A24)
</f>
        <v>10</v>
      </c>
      <c r="D24" s="49">
        <f>COUNTIFS('ALL Tube Results'!$B23:$B259, $A24, 'ALL Tube Results'!$F23:$F259, "Negative")
</f>
        <v>10</v>
      </c>
      <c r="E24" s="49">
        <f>COUNTIFS('ALL Tube Results'!$B23:$B259, $A24, 'ALL Tube Results'!$F23:$F259, "Positive")
</f>
        <v>0</v>
      </c>
      <c r="F24" s="49">
        <f>COUNTIFS('ALL Tube Results'!$B23:$B259, $A24, 'ALL Tube Results'!$F23:$F259, "Inconclusive")
</f>
        <v>0</v>
      </c>
      <c r="G24" s="50">
        <f t="shared" si="7"/>
        <v>10</v>
      </c>
      <c r="H24" s="50" t="str">
        <f t="shared" si="8"/>
        <v/>
      </c>
      <c r="I24" s="51">
        <f t="shared" si="9"/>
        <v>10</v>
      </c>
      <c r="J24" s="52">
        <f t="shared" si="10"/>
        <v>0</v>
      </c>
      <c r="K24" s="52">
        <f t="shared" si="11"/>
        <v>0</v>
      </c>
      <c r="L24" s="51" t="str">
        <f t="shared" si="12"/>
        <v/>
      </c>
      <c r="M24" s="52" t="str">
        <f t="shared" si="13"/>
        <v/>
      </c>
      <c r="N24" s="52" t="str">
        <f t="shared" si="14"/>
        <v/>
      </c>
      <c r="O24" s="53">
        <f t="shared" si="15"/>
        <v>10</v>
      </c>
      <c r="P24" s="53" t="str">
        <f t="shared" si="16"/>
        <v/>
      </c>
      <c r="Q24" s="43"/>
      <c r="R24" s="6" t="s">
        <v>49</v>
      </c>
      <c r="S24" s="55">
        <v>44592.0</v>
      </c>
      <c r="T24" s="56">
        <f>VLOOKUP(R24,'Run Reconcile'!$A$2:$L259,12,FALSE)</f>
        <v>10</v>
      </c>
      <c r="U24" s="57" t="str">
        <f t="shared" si="17"/>
        <v/>
      </c>
      <c r="V24" s="56"/>
      <c r="W24" s="56"/>
      <c r="X24" s="43"/>
      <c r="Y24" s="6" t="str">
        <f>IFERROR(__xludf.DUMMYFUNCTION("""COMPUTED_VALUE"""),"RUN-BEND_2022-02-07_RFR-027")</f>
        <v>RUN-BEND_2022-02-07_RFR-027</v>
      </c>
      <c r="Z24" s="55">
        <f>IFERROR(__xludf.DUMMYFUNCTION("""COMPUTED_VALUE"""),44599.0)</f>
        <v>44599</v>
      </c>
      <c r="AA24" s="51">
        <f t="array" ref="AA24">INDEX('RFR Data - preExcl'!AK$2:AK259,$AE24,1)</f>
        <v>14</v>
      </c>
      <c r="AB24" s="56">
        <f t="shared" si="18"/>
        <v>13</v>
      </c>
      <c r="AC24" s="56">
        <f t="array" ref="AC24">INDEX('RFR Data - preExcl'!AI$2:AI259,$AE24,1)</f>
        <v>1</v>
      </c>
      <c r="AD24" s="56">
        <f t="array" ref="AD24">INDEX('RFR Data - preExcl'!AF$2:AF259,$AE24,1)</f>
        <v>0</v>
      </c>
      <c r="AE24" s="58">
        <f>IFNA(MATCH(Y24,'RFR Data - preExcl'!A$2:A259,0),"")</f>
        <v>27</v>
      </c>
      <c r="AF24" s="43"/>
      <c r="AG24" s="62" t="s">
        <v>49</v>
      </c>
      <c r="AH24" s="60">
        <f>VLOOKUP(AG24,'Run Reconcile'!A$2:B259,2,FALSE)</f>
        <v>44592</v>
      </c>
      <c r="AI24" s="61">
        <f>COUNTIF('APS Tubes Import'!$V$2:$V259, AG24)
</f>
        <v>10</v>
      </c>
      <c r="AJ24" s="61">
        <f>COUNTIFS('APS Tubes Import'!V$2:V259, AG24, 'APS Tubes Import'!H$2:H259, "Negative")
</f>
        <v>10</v>
      </c>
      <c r="AK24" s="61">
        <f>COUNTIFS('APS Tubes Import'!V$2:V259, AG24, 'APS Tubes Import'!H$2:H259, "Positive")
</f>
        <v>0</v>
      </c>
      <c r="AL24" s="61">
        <f>COUNTIFS('APS Tubes Import'!V$2:V259, AG24, 'APS Tubes Import'!H$2:H259, "Inconclusive")
</f>
        <v>0</v>
      </c>
      <c r="AM24" s="61">
        <f>COUNTIFS('APS Tubes Import'!V$2:V259, AG24, 'APS Tubes Import'!H$2:H259, "Null")
</f>
        <v>0</v>
      </c>
      <c r="AN24" s="43"/>
      <c r="AO24" s="55">
        <f>'APS Tubes by Date Import'!B23</f>
        <v>44578</v>
      </c>
      <c r="AP24" s="56">
        <f>'APS Tubes by Date Import'!C23</f>
        <v>1</v>
      </c>
      <c r="AQ24" s="56">
        <f>'APS Tubes by Date Import'!D23</f>
        <v>1</v>
      </c>
      <c r="AR24" s="56">
        <f>'APS Tubes by Date Import'!E23</f>
        <v>0</v>
      </c>
      <c r="AS24" s="56">
        <f>'APS Tubes by Date Import'!F23</f>
        <v>0</v>
      </c>
      <c r="AT24" s="56">
        <f>'APS Tubes by Date Import'!G23</f>
        <v>0</v>
      </c>
      <c r="AU24" s="43"/>
    </row>
    <row r="25">
      <c r="A25" s="6" t="s">
        <v>50</v>
      </c>
      <c r="B25" s="47">
        <f>VLOOKUP(A25,'Run Reconcile'!A$2:B259,2,FALSE)</f>
        <v>44594</v>
      </c>
      <c r="C25" s="48">
        <f>COUNTIF('ALL Tube Results'!B24:B259, A25)
</f>
        <v>9</v>
      </c>
      <c r="D25" s="49">
        <f>COUNTIFS('ALL Tube Results'!$B24:$B259, $A25, 'ALL Tube Results'!$F24:$F259, "Negative")
</f>
        <v>8</v>
      </c>
      <c r="E25" s="49">
        <f>COUNTIFS('ALL Tube Results'!$B24:$B259, $A25, 'ALL Tube Results'!$F24:$F259, "Positive")
</f>
        <v>1</v>
      </c>
      <c r="F25" s="49">
        <f>COUNTIFS('ALL Tube Results'!$B24:$B259, $A25, 'ALL Tube Results'!$F24:$F259, "Inconclusive")
</f>
        <v>0</v>
      </c>
      <c r="G25" s="50">
        <f t="shared" si="7"/>
        <v>9</v>
      </c>
      <c r="H25" s="50" t="str">
        <f t="shared" si="8"/>
        <v/>
      </c>
      <c r="I25" s="51">
        <f t="shared" si="9"/>
        <v>10</v>
      </c>
      <c r="J25" s="52">
        <f t="shared" si="10"/>
        <v>1</v>
      </c>
      <c r="K25" s="52">
        <f t="shared" si="11"/>
        <v>0</v>
      </c>
      <c r="L25" s="51">
        <f t="shared" si="12"/>
        <v>-1</v>
      </c>
      <c r="M25" s="52" t="str">
        <f t="shared" si="13"/>
        <v/>
      </c>
      <c r="N25" s="52" t="str">
        <f t="shared" si="14"/>
        <v/>
      </c>
      <c r="O25" s="53">
        <f t="shared" si="15"/>
        <v>9</v>
      </c>
      <c r="P25" s="53" t="str">
        <f t="shared" si="16"/>
        <v/>
      </c>
      <c r="Q25" s="43"/>
      <c r="R25" s="6" t="s">
        <v>50</v>
      </c>
      <c r="S25" s="55">
        <v>44594.0</v>
      </c>
      <c r="T25" s="56">
        <f>VLOOKUP(R25,'Run Reconcile'!$A$2:$L259,12,FALSE)</f>
        <v>9</v>
      </c>
      <c r="U25" s="57" t="str">
        <f t="shared" si="17"/>
        <v/>
      </c>
      <c r="V25" s="56"/>
      <c r="W25" s="56"/>
      <c r="X25" s="43"/>
      <c r="Y25" s="6" t="str">
        <f>IFERROR(__xludf.DUMMYFUNCTION("""COMPUTED_VALUE"""),"RUN-BEND_2022-02-09_RFR-028")</f>
        <v>RUN-BEND_2022-02-09_RFR-028</v>
      </c>
      <c r="Z25" s="55">
        <f>IFERROR(__xludf.DUMMYFUNCTION("""COMPUTED_VALUE"""),44601.0)</f>
        <v>44601</v>
      </c>
      <c r="AA25" s="51">
        <f t="array" ref="AA25">INDEX('RFR Data - preExcl'!AK$2:AK259,$AE25,1)</f>
        <v>14</v>
      </c>
      <c r="AB25" s="56">
        <f t="shared" si="18"/>
        <v>13</v>
      </c>
      <c r="AC25" s="56">
        <f t="array" ref="AC25">INDEX('RFR Data - preExcl'!AI$2:AI259,$AE25,1)</f>
        <v>1</v>
      </c>
      <c r="AD25" s="56">
        <f t="array" ref="AD25">INDEX('RFR Data - preExcl'!AF$2:AF259,$AE25,1)</f>
        <v>0</v>
      </c>
      <c r="AE25" s="58">
        <f>IFNA(MATCH(Y25,'RFR Data - preExcl'!A$2:A259,0),"")</f>
        <v>28</v>
      </c>
      <c r="AF25" s="43"/>
      <c r="AG25" s="62" t="s">
        <v>50</v>
      </c>
      <c r="AH25" s="60">
        <f>VLOOKUP(AG25,'Run Reconcile'!A$2:B259,2,FALSE)</f>
        <v>44594</v>
      </c>
      <c r="AI25" s="61">
        <f>COUNTIF('APS Tubes Import'!$V$2:$V259, AG25)
</f>
        <v>9</v>
      </c>
      <c r="AJ25" s="61">
        <f>COUNTIFS('APS Tubes Import'!V$2:V259, AG25, 'APS Tubes Import'!H$2:H259, "Negative")
</f>
        <v>8</v>
      </c>
      <c r="AK25" s="61">
        <f>COUNTIFS('APS Tubes Import'!V$2:V259, AG25, 'APS Tubes Import'!H$2:H259, "Positive")
</f>
        <v>1</v>
      </c>
      <c r="AL25" s="61">
        <f>COUNTIFS('APS Tubes Import'!V$2:V259, AG25, 'APS Tubes Import'!H$2:H259, "Inconclusive")
</f>
        <v>0</v>
      </c>
      <c r="AM25" s="61">
        <f>COUNTIFS('APS Tubes Import'!V$2:V259, AG25, 'APS Tubes Import'!H$2:H259, "Null")
</f>
        <v>0</v>
      </c>
      <c r="AN25" s="43"/>
      <c r="AO25" s="55">
        <f>'APS Tubes by Date Import'!B24</f>
        <v>44579</v>
      </c>
      <c r="AP25" s="56">
        <f>'APS Tubes by Date Import'!C24</f>
        <v>33</v>
      </c>
      <c r="AQ25" s="56">
        <f>'APS Tubes by Date Import'!D24</f>
        <v>24</v>
      </c>
      <c r="AR25" s="56">
        <f>'APS Tubes by Date Import'!E24</f>
        <v>9</v>
      </c>
      <c r="AS25" s="56">
        <f>'APS Tubes by Date Import'!F24</f>
        <v>0</v>
      </c>
      <c r="AT25" s="56">
        <f>'APS Tubes by Date Import'!G24</f>
        <v>0</v>
      </c>
      <c r="AU25" s="43"/>
    </row>
    <row r="26">
      <c r="A26" s="6" t="s">
        <v>51</v>
      </c>
      <c r="B26" s="47">
        <f>VLOOKUP(A26,'Run Reconcile'!A$2:B259,2,FALSE)</f>
        <v>44596</v>
      </c>
      <c r="C26" s="48">
        <f>COUNTIF('ALL Tube Results'!B25:B259, A26)
</f>
        <v>5</v>
      </c>
      <c r="D26" s="49">
        <f>COUNTIFS('ALL Tube Results'!$B25:$B259, $A26, 'ALL Tube Results'!$F25:$F259, "Negative")
</f>
        <v>5</v>
      </c>
      <c r="E26" s="49">
        <f>COUNTIFS('ALL Tube Results'!$B25:$B259, $A26, 'ALL Tube Results'!$F25:$F259, "Positive")
</f>
        <v>0</v>
      </c>
      <c r="F26" s="49">
        <f>COUNTIFS('ALL Tube Results'!$B25:$B259, $A26, 'ALL Tube Results'!$F25:$F259, "Inconclusive")
</f>
        <v>0</v>
      </c>
      <c r="G26" s="50">
        <f t="shared" si="7"/>
        <v>5</v>
      </c>
      <c r="H26" s="50" t="str">
        <f t="shared" si="8"/>
        <v/>
      </c>
      <c r="I26" s="51">
        <f t="shared" si="9"/>
        <v>6</v>
      </c>
      <c r="J26" s="52">
        <f t="shared" si="10"/>
        <v>0</v>
      </c>
      <c r="K26" s="52">
        <f t="shared" si="11"/>
        <v>0</v>
      </c>
      <c r="L26" s="51">
        <f t="shared" si="12"/>
        <v>-1</v>
      </c>
      <c r="M26" s="52" t="str">
        <f t="shared" si="13"/>
        <v/>
      </c>
      <c r="N26" s="52" t="str">
        <f t="shared" si="14"/>
        <v/>
      </c>
      <c r="O26" s="53">
        <f t="shared" si="15"/>
        <v>5</v>
      </c>
      <c r="P26" s="53" t="str">
        <f t="shared" si="16"/>
        <v/>
      </c>
      <c r="Q26" s="43"/>
      <c r="R26" s="6" t="s">
        <v>51</v>
      </c>
      <c r="S26" s="55">
        <v>44596.0</v>
      </c>
      <c r="T26" s="56">
        <f>VLOOKUP(R26,'Run Reconcile'!$A$2:$L259,12,FALSE)</f>
        <v>5</v>
      </c>
      <c r="U26" s="57" t="str">
        <f t="shared" si="17"/>
        <v/>
      </c>
      <c r="V26" s="56"/>
      <c r="W26" s="56"/>
      <c r="X26" s="43"/>
      <c r="Y26" s="6" t="str">
        <f>IFERROR(__xludf.DUMMYFUNCTION("""COMPUTED_VALUE"""),"RUN-BEND_2022-02-11_RFR-030")</f>
        <v>RUN-BEND_2022-02-11_RFR-030</v>
      </c>
      <c r="Z26" s="55">
        <f>IFERROR(__xludf.DUMMYFUNCTION("""COMPUTED_VALUE"""),44603.0)</f>
        <v>44603</v>
      </c>
      <c r="AA26" s="51">
        <f t="array" ref="AA26">INDEX('RFR Data - preExcl'!AK$2:AK259,$AE26,1)</f>
        <v>9</v>
      </c>
      <c r="AB26" s="56">
        <f t="shared" si="18"/>
        <v>7</v>
      </c>
      <c r="AC26" s="56">
        <f t="array" ref="AC26">INDEX('RFR Data - preExcl'!AI$2:AI259,$AE26,1)</f>
        <v>2</v>
      </c>
      <c r="AD26" s="56">
        <f t="array" ref="AD26">INDEX('RFR Data - preExcl'!AF$2:AF259,$AE26,1)</f>
        <v>0</v>
      </c>
      <c r="AE26" s="58">
        <f>IFNA(MATCH(Y26,'RFR Data - preExcl'!A$2:A259,0),"")</f>
        <v>30</v>
      </c>
      <c r="AF26" s="43"/>
      <c r="AG26" s="62" t="s">
        <v>51</v>
      </c>
      <c r="AH26" s="60">
        <f>VLOOKUP(AG26,'Run Reconcile'!A$2:B259,2,FALSE)</f>
        <v>44596</v>
      </c>
      <c r="AI26" s="61">
        <f>COUNTIF('APS Tubes Import'!$V$2:$V259, AG26)
</f>
        <v>5</v>
      </c>
      <c r="AJ26" s="61">
        <f>COUNTIFS('APS Tubes Import'!V$2:V259, AG26, 'APS Tubes Import'!H$2:H259, "Negative")
</f>
        <v>5</v>
      </c>
      <c r="AK26" s="61">
        <f>COUNTIFS('APS Tubes Import'!V$2:V259, AG26, 'APS Tubes Import'!H$2:H259, "Positive")
</f>
        <v>0</v>
      </c>
      <c r="AL26" s="61">
        <f>COUNTIFS('APS Tubes Import'!V$2:V259, AG26, 'APS Tubes Import'!H$2:H259, "Inconclusive")
</f>
        <v>0</v>
      </c>
      <c r="AM26" s="61">
        <f>COUNTIFS('APS Tubes Import'!V$2:V259, AG26, 'APS Tubes Import'!H$2:H259, "Null")
</f>
        <v>0</v>
      </c>
      <c r="AN26" s="43"/>
      <c r="AO26" s="55">
        <f>'APS Tubes by Date Import'!B25</f>
        <v>44580</v>
      </c>
      <c r="AP26" s="56">
        <f>'APS Tubes by Date Import'!C25</f>
        <v>14</v>
      </c>
      <c r="AQ26" s="56">
        <f>'APS Tubes by Date Import'!D25</f>
        <v>8</v>
      </c>
      <c r="AR26" s="56">
        <f>'APS Tubes by Date Import'!E25</f>
        <v>6</v>
      </c>
      <c r="AS26" s="56">
        <f>'APS Tubes by Date Import'!F25</f>
        <v>0</v>
      </c>
      <c r="AT26" s="56">
        <f>'APS Tubes by Date Import'!G25</f>
        <v>0</v>
      </c>
      <c r="AU26" s="43"/>
    </row>
    <row r="27">
      <c r="A27" s="6" t="s">
        <v>52</v>
      </c>
      <c r="B27" s="47">
        <f>VLOOKUP(A27,'Run Reconcile'!A$2:B259,2,FALSE)</f>
        <v>44599</v>
      </c>
      <c r="C27" s="48">
        <f>COUNTIF('ALL Tube Results'!B26:B259, A27)
</f>
        <v>13</v>
      </c>
      <c r="D27" s="49">
        <f>COUNTIFS('ALL Tube Results'!$B26:$B259, $A27, 'ALL Tube Results'!$F26:$F259, "Negative")
</f>
        <v>12</v>
      </c>
      <c r="E27" s="49">
        <f>COUNTIFS('ALL Tube Results'!$B26:$B259, $A27, 'ALL Tube Results'!$F26:$F259, "Positive")
</f>
        <v>1</v>
      </c>
      <c r="F27" s="49">
        <f>COUNTIFS('ALL Tube Results'!$B26:$B259, $A27, 'ALL Tube Results'!$F26:$F259, "Inconclusive")
</f>
        <v>0</v>
      </c>
      <c r="G27" s="50">
        <f t="shared" si="7"/>
        <v>13</v>
      </c>
      <c r="H27" s="50" t="str">
        <f t="shared" si="8"/>
        <v/>
      </c>
      <c r="I27" s="51">
        <f t="shared" si="9"/>
        <v>14</v>
      </c>
      <c r="J27" s="52">
        <f t="shared" si="10"/>
        <v>1</v>
      </c>
      <c r="K27" s="52">
        <f t="shared" si="11"/>
        <v>0</v>
      </c>
      <c r="L27" s="51">
        <f t="shared" si="12"/>
        <v>-1</v>
      </c>
      <c r="M27" s="52" t="str">
        <f t="shared" si="13"/>
        <v/>
      </c>
      <c r="N27" s="52" t="str">
        <f t="shared" si="14"/>
        <v/>
      </c>
      <c r="O27" s="53">
        <f t="shared" si="15"/>
        <v>13</v>
      </c>
      <c r="P27" s="53" t="str">
        <f t="shared" si="16"/>
        <v/>
      </c>
      <c r="Q27" s="43"/>
      <c r="R27" s="6" t="s">
        <v>52</v>
      </c>
      <c r="S27" s="55">
        <v>44599.0</v>
      </c>
      <c r="T27" s="56">
        <f>VLOOKUP(R27,'Run Reconcile'!$A$2:$L259,12,FALSE)</f>
        <v>13</v>
      </c>
      <c r="U27" s="57" t="str">
        <f t="shared" si="17"/>
        <v/>
      </c>
      <c r="V27" s="56"/>
      <c r="W27" s="56"/>
      <c r="X27" s="43"/>
      <c r="Y27" s="6" t="str">
        <f>IFERROR(__xludf.DUMMYFUNCTION("""COMPUTED_VALUE"""),"RUN-BEND_2022-02-12_RFR-031")</f>
        <v>RUN-BEND_2022-02-12_RFR-031</v>
      </c>
      <c r="Z27" s="55">
        <f>IFERROR(__xludf.DUMMYFUNCTION("""COMPUTED_VALUE"""),44604.0)</f>
        <v>44604</v>
      </c>
      <c r="AA27" s="51">
        <f t="array" ref="AA27">INDEX('RFR Data - preExcl'!AK$2:AK259,$AE27,1)</f>
        <v>2</v>
      </c>
      <c r="AB27" s="56">
        <f t="shared" si="18"/>
        <v>0</v>
      </c>
      <c r="AC27" s="56">
        <f t="array" ref="AC27">INDEX('RFR Data - preExcl'!AI$2:AI259,$AE27,1)</f>
        <v>2</v>
      </c>
      <c r="AD27" s="56">
        <f t="array" ref="AD27">INDEX('RFR Data - preExcl'!AF$2:AF259,$AE27,1)</f>
        <v>0</v>
      </c>
      <c r="AE27" s="58">
        <f>IFNA(MATCH(Y27,'RFR Data - preExcl'!A$2:A259,0),"")</f>
        <v>31</v>
      </c>
      <c r="AF27" s="43"/>
      <c r="AG27" s="62" t="s">
        <v>52</v>
      </c>
      <c r="AH27" s="60">
        <f>VLOOKUP(AG27,'Run Reconcile'!A$2:B259,2,FALSE)</f>
        <v>44599</v>
      </c>
      <c r="AI27" s="61">
        <f>COUNTIF('APS Tubes Import'!$V$2:$V259, AG27)
</f>
        <v>13</v>
      </c>
      <c r="AJ27" s="61">
        <f>COUNTIFS('APS Tubes Import'!V$2:V259, AG27, 'APS Tubes Import'!H$2:H259, "Negative")
</f>
        <v>12</v>
      </c>
      <c r="AK27" s="61">
        <f>COUNTIFS('APS Tubes Import'!V$2:V259, AG27, 'APS Tubes Import'!H$2:H259, "Positive")
</f>
        <v>1</v>
      </c>
      <c r="AL27" s="61">
        <f>COUNTIFS('APS Tubes Import'!V$2:V259, AG27, 'APS Tubes Import'!H$2:H259, "Inconclusive")
</f>
        <v>0</v>
      </c>
      <c r="AM27" s="61">
        <f>COUNTIFS('APS Tubes Import'!V$2:V259, AG27, 'APS Tubes Import'!H$2:H259, "Null")
</f>
        <v>0</v>
      </c>
      <c r="AN27" s="43"/>
      <c r="AO27" s="55">
        <f>'APS Tubes by Date Import'!B26</f>
        <v>44581</v>
      </c>
      <c r="AP27" s="56">
        <f>'APS Tubes by Date Import'!C26</f>
        <v>1</v>
      </c>
      <c r="AQ27" s="56">
        <f>'APS Tubes by Date Import'!D26</f>
        <v>0</v>
      </c>
      <c r="AR27" s="56">
        <f>'APS Tubes by Date Import'!E26</f>
        <v>1</v>
      </c>
      <c r="AS27" s="56">
        <f>'APS Tubes by Date Import'!F26</f>
        <v>0</v>
      </c>
      <c r="AT27" s="56">
        <f>'APS Tubes by Date Import'!G26</f>
        <v>0</v>
      </c>
      <c r="AU27" s="43"/>
    </row>
    <row r="28">
      <c r="A28" s="6" t="s">
        <v>53</v>
      </c>
      <c r="B28" s="47">
        <f>VLOOKUP(A28,'Run Reconcile'!A$2:B259,2,FALSE)</f>
        <v>44601</v>
      </c>
      <c r="C28" s="48">
        <f>COUNTIF('ALL Tube Results'!B27:B259, A28)
</f>
        <v>14</v>
      </c>
      <c r="D28" s="49">
        <f>COUNTIFS('ALL Tube Results'!$B27:$B259, $A28, 'ALL Tube Results'!$F27:$F259, "Negative")
</f>
        <v>13</v>
      </c>
      <c r="E28" s="49">
        <f>COUNTIFS('ALL Tube Results'!$B27:$B259, $A28, 'ALL Tube Results'!$F27:$F259, "Positive")
</f>
        <v>1</v>
      </c>
      <c r="F28" s="49">
        <f>COUNTIFS('ALL Tube Results'!$B27:$B259, $A28, 'ALL Tube Results'!$F27:$F259, "Inconclusive")
</f>
        <v>0</v>
      </c>
      <c r="G28" s="50">
        <f t="shared" si="7"/>
        <v>14</v>
      </c>
      <c r="H28" s="50" t="str">
        <f t="shared" si="8"/>
        <v/>
      </c>
      <c r="I28" s="51">
        <f t="shared" si="9"/>
        <v>14</v>
      </c>
      <c r="J28" s="52">
        <f t="shared" si="10"/>
        <v>1</v>
      </c>
      <c r="K28" s="52">
        <f t="shared" si="11"/>
        <v>0</v>
      </c>
      <c r="L28" s="51" t="str">
        <f t="shared" si="12"/>
        <v/>
      </c>
      <c r="M28" s="52" t="str">
        <f t="shared" si="13"/>
        <v/>
      </c>
      <c r="N28" s="52" t="str">
        <f t="shared" si="14"/>
        <v/>
      </c>
      <c r="O28" s="53">
        <f t="shared" si="15"/>
        <v>14</v>
      </c>
      <c r="P28" s="53" t="str">
        <f t="shared" si="16"/>
        <v/>
      </c>
      <c r="Q28" s="43"/>
      <c r="R28" s="6" t="s">
        <v>53</v>
      </c>
      <c r="S28" s="55">
        <v>44601.0</v>
      </c>
      <c r="T28" s="56">
        <f>VLOOKUP(R28,'Run Reconcile'!$A$2:$L259,12,FALSE)</f>
        <v>14</v>
      </c>
      <c r="U28" s="57" t="str">
        <f t="shared" si="17"/>
        <v/>
      </c>
      <c r="V28" s="56"/>
      <c r="W28" s="56"/>
      <c r="X28" s="43"/>
      <c r="Y28" s="6" t="str">
        <f>IFERROR(__xludf.DUMMYFUNCTION("""COMPUTED_VALUE"""),"RUN-BEND_2022-02-15_RFR-032")</f>
        <v>RUN-BEND_2022-02-15_RFR-032</v>
      </c>
      <c r="Z28" s="55">
        <f>IFERROR(__xludf.DUMMYFUNCTION("""COMPUTED_VALUE"""),44607.0)</f>
        <v>44607</v>
      </c>
      <c r="AA28" s="51">
        <f t="array" ref="AA28">INDEX('RFR Data - preExcl'!AK$2:AK259,$AE28,1)</f>
        <v>33</v>
      </c>
      <c r="AB28" s="56">
        <f t="shared" si="18"/>
        <v>33</v>
      </c>
      <c r="AC28" s="56">
        <f t="array" ref="AC28">INDEX('RFR Data - preExcl'!AI$2:AI259,$AE28,1)</f>
        <v>0</v>
      </c>
      <c r="AD28" s="56">
        <f t="array" ref="AD28">INDEX('RFR Data - preExcl'!AF$2:AF259,$AE28,1)</f>
        <v>0</v>
      </c>
      <c r="AE28" s="58">
        <f>IFNA(MATCH(Y28,'RFR Data - preExcl'!A$2:A259,0),"")</f>
        <v>32</v>
      </c>
      <c r="AF28" s="43"/>
      <c r="AG28" s="62" t="s">
        <v>53</v>
      </c>
      <c r="AH28" s="60">
        <f>VLOOKUP(AG28,'Run Reconcile'!A$2:B259,2,FALSE)</f>
        <v>44601</v>
      </c>
      <c r="AI28" s="61">
        <f>COUNTIF('APS Tubes Import'!$V$2:$V259, AG28)
</f>
        <v>14</v>
      </c>
      <c r="AJ28" s="61">
        <f>COUNTIFS('APS Tubes Import'!V$2:V259, AG28, 'APS Tubes Import'!H$2:H259, "Negative")
</f>
        <v>13</v>
      </c>
      <c r="AK28" s="61">
        <f>COUNTIFS('APS Tubes Import'!V$2:V259, AG28, 'APS Tubes Import'!H$2:H259, "Positive")
</f>
        <v>1</v>
      </c>
      <c r="AL28" s="61">
        <f>COUNTIFS('APS Tubes Import'!V$2:V259, AG28, 'APS Tubes Import'!H$2:H259, "Inconclusive")
</f>
        <v>0</v>
      </c>
      <c r="AM28" s="61">
        <f>COUNTIFS('APS Tubes Import'!V$2:V259, AG28, 'APS Tubes Import'!H$2:H259, "Null")
</f>
        <v>0</v>
      </c>
      <c r="AN28" s="43"/>
      <c r="AO28" s="55">
        <f>'APS Tubes by Date Import'!B27</f>
        <v>44582</v>
      </c>
      <c r="AP28" s="56">
        <f>'APS Tubes by Date Import'!C27</f>
        <v>14</v>
      </c>
      <c r="AQ28" s="56">
        <f>'APS Tubes by Date Import'!D27</f>
        <v>7</v>
      </c>
      <c r="AR28" s="56">
        <f>'APS Tubes by Date Import'!E27</f>
        <v>7</v>
      </c>
      <c r="AS28" s="56">
        <f>'APS Tubes by Date Import'!F27</f>
        <v>0</v>
      </c>
      <c r="AT28" s="56">
        <f>'APS Tubes by Date Import'!G27</f>
        <v>0</v>
      </c>
      <c r="AU28" s="43"/>
    </row>
    <row r="29">
      <c r="A29" s="6" t="s">
        <v>54</v>
      </c>
      <c r="B29" s="47">
        <f>VLOOKUP(A29,'Run Reconcile'!A$2:B259,2,FALSE)</f>
        <v>44603</v>
      </c>
      <c r="C29" s="48">
        <f>COUNTIF('ALL Tube Results'!B28:B259, A29)
</f>
        <v>9</v>
      </c>
      <c r="D29" s="49">
        <f>COUNTIFS('ALL Tube Results'!$B28:$B259, $A29, 'ALL Tube Results'!$F28:$F259, "Negative")
</f>
        <v>7</v>
      </c>
      <c r="E29" s="49">
        <f>COUNTIFS('ALL Tube Results'!$B28:$B259, $A29, 'ALL Tube Results'!$F28:$F259, "Positive")
</f>
        <v>2</v>
      </c>
      <c r="F29" s="49">
        <f>COUNTIFS('ALL Tube Results'!$B28:$B259, $A29, 'ALL Tube Results'!$F28:$F259, "Inconclusive")
</f>
        <v>0</v>
      </c>
      <c r="G29" s="50">
        <f t="shared" si="7"/>
        <v>9</v>
      </c>
      <c r="H29" s="50" t="str">
        <f t="shared" si="8"/>
        <v/>
      </c>
      <c r="I29" s="51">
        <f t="shared" si="9"/>
        <v>9</v>
      </c>
      <c r="J29" s="52">
        <f t="shared" si="10"/>
        <v>2</v>
      </c>
      <c r="K29" s="52">
        <f t="shared" si="11"/>
        <v>0</v>
      </c>
      <c r="L29" s="51" t="str">
        <f t="shared" si="12"/>
        <v/>
      </c>
      <c r="M29" s="52" t="str">
        <f t="shared" si="13"/>
        <v/>
      </c>
      <c r="N29" s="52" t="str">
        <f t="shared" si="14"/>
        <v/>
      </c>
      <c r="O29" s="53">
        <f t="shared" si="15"/>
        <v>9</v>
      </c>
      <c r="P29" s="53" t="str">
        <f t="shared" si="16"/>
        <v/>
      </c>
      <c r="Q29" s="43"/>
      <c r="R29" s="6" t="s">
        <v>54</v>
      </c>
      <c r="S29" s="55">
        <v>44603.0</v>
      </c>
      <c r="T29" s="56">
        <f>VLOOKUP(R29,'Run Reconcile'!$A$2:$L259,12,FALSE)</f>
        <v>9</v>
      </c>
      <c r="U29" s="57" t="str">
        <f t="shared" si="17"/>
        <v/>
      </c>
      <c r="V29" s="56"/>
      <c r="W29" s="56"/>
      <c r="X29" s="43"/>
      <c r="Y29" s="6" t="str">
        <f>IFERROR(__xludf.DUMMYFUNCTION("""COMPUTED_VALUE"""),"RUN-BEND_2022-02-17_RFR-035")</f>
        <v>RUN-BEND_2022-02-17_RFR-035</v>
      </c>
      <c r="Z29" s="55">
        <f>IFERROR(__xludf.DUMMYFUNCTION("""COMPUTED_VALUE"""),44609.0)</f>
        <v>44609</v>
      </c>
      <c r="AA29" s="51">
        <f t="array" ref="AA29">INDEX('RFR Data - preExcl'!AK$2:AK259,$AE29,1)</f>
        <v>32</v>
      </c>
      <c r="AB29" s="56">
        <f t="shared" si="18"/>
        <v>31</v>
      </c>
      <c r="AC29" s="56">
        <f t="array" ref="AC29">INDEX('RFR Data - preExcl'!AI$2:AI259,$AE29,1)</f>
        <v>0</v>
      </c>
      <c r="AD29" s="56">
        <f t="array" ref="AD29">INDEX('RFR Data - preExcl'!AF$2:AF259,$AE29,1)</f>
        <v>1</v>
      </c>
      <c r="AE29" s="58">
        <f>IFNA(MATCH(Y29,'RFR Data - preExcl'!A$2:A259,0),"")</f>
        <v>35</v>
      </c>
      <c r="AF29" s="43"/>
      <c r="AG29" s="62" t="s">
        <v>54</v>
      </c>
      <c r="AH29" s="60">
        <f>VLOOKUP(AG29,'Run Reconcile'!A$2:B259,2,FALSE)</f>
        <v>44603</v>
      </c>
      <c r="AI29" s="61">
        <f>COUNTIF('APS Tubes Import'!$V$2:$V259, AG29)
</f>
        <v>9</v>
      </c>
      <c r="AJ29" s="61">
        <f>COUNTIFS('APS Tubes Import'!V$2:V259, AG29, 'APS Tubes Import'!H$2:H259, "Negative")
</f>
        <v>7</v>
      </c>
      <c r="AK29" s="61">
        <f>COUNTIFS('APS Tubes Import'!V$2:V259, AG29, 'APS Tubes Import'!H$2:H259, "Positive")
</f>
        <v>2</v>
      </c>
      <c r="AL29" s="61">
        <f>COUNTIFS('APS Tubes Import'!V$2:V259, AG29, 'APS Tubes Import'!H$2:H259, "Inconclusive")
</f>
        <v>0</v>
      </c>
      <c r="AM29" s="61">
        <f>COUNTIFS('APS Tubes Import'!V$2:V259, AG29, 'APS Tubes Import'!H$2:H259, "Null")
</f>
        <v>0</v>
      </c>
      <c r="AN29" s="43"/>
      <c r="AO29" s="55">
        <f>'APS Tubes by Date Import'!B28</f>
        <v>44585</v>
      </c>
      <c r="AP29" s="56">
        <f>'APS Tubes by Date Import'!C28</f>
        <v>16</v>
      </c>
      <c r="AQ29" s="56">
        <f>'APS Tubes by Date Import'!D28</f>
        <v>12</v>
      </c>
      <c r="AR29" s="56">
        <f>'APS Tubes by Date Import'!E28</f>
        <v>4</v>
      </c>
      <c r="AS29" s="56">
        <f>'APS Tubes by Date Import'!F28</f>
        <v>0</v>
      </c>
      <c r="AT29" s="56">
        <f>'APS Tubes by Date Import'!G28</f>
        <v>0</v>
      </c>
      <c r="AU29" s="43"/>
    </row>
    <row r="30">
      <c r="A30" s="6" t="s">
        <v>55</v>
      </c>
      <c r="B30" s="47">
        <f>VLOOKUP(A30,'Run Reconcile'!A$2:B259,2,FALSE)</f>
        <v>44604</v>
      </c>
      <c r="C30" s="48">
        <f>COUNTIF('ALL Tube Results'!B29:B259, A30)
</f>
        <v>2</v>
      </c>
      <c r="D30" s="49">
        <f>COUNTIFS('ALL Tube Results'!$B29:$B259, $A30, 'ALL Tube Results'!$F29:$F259, "Negative")
</f>
        <v>0</v>
      </c>
      <c r="E30" s="49">
        <f>COUNTIFS('ALL Tube Results'!$B29:$B259, $A30, 'ALL Tube Results'!$F29:$F259, "Positive")
</f>
        <v>2</v>
      </c>
      <c r="F30" s="49">
        <f>COUNTIFS('ALL Tube Results'!$B29:$B259, $A30, 'ALL Tube Results'!$F29:$F259, "Inconclusive")
</f>
        <v>0</v>
      </c>
      <c r="G30" s="50">
        <f t="shared" si="7"/>
        <v>2</v>
      </c>
      <c r="H30" s="50" t="str">
        <f t="shared" si="8"/>
        <v/>
      </c>
      <c r="I30" s="51">
        <f t="shared" si="9"/>
        <v>2</v>
      </c>
      <c r="J30" s="52">
        <f t="shared" si="10"/>
        <v>2</v>
      </c>
      <c r="K30" s="52">
        <f t="shared" si="11"/>
        <v>0</v>
      </c>
      <c r="L30" s="51" t="str">
        <f t="shared" si="12"/>
        <v/>
      </c>
      <c r="M30" s="52" t="str">
        <f t="shared" si="13"/>
        <v/>
      </c>
      <c r="N30" s="52" t="str">
        <f t="shared" si="14"/>
        <v/>
      </c>
      <c r="O30" s="53">
        <f t="shared" si="15"/>
        <v>2</v>
      </c>
      <c r="P30" s="53" t="str">
        <f t="shared" si="16"/>
        <v/>
      </c>
      <c r="Q30" s="43"/>
      <c r="R30" s="6" t="s">
        <v>55</v>
      </c>
      <c r="S30" s="55">
        <v>44604.0</v>
      </c>
      <c r="T30" s="56">
        <f>VLOOKUP(R30,'Run Reconcile'!$A$2:$L259,12,FALSE)</f>
        <v>2</v>
      </c>
      <c r="U30" s="57" t="str">
        <f t="shared" si="17"/>
        <v/>
      </c>
      <c r="V30" s="56"/>
      <c r="W30" s="56"/>
      <c r="X30" s="43"/>
      <c r="Y30" s="6" t="str">
        <f>IFERROR(__xludf.DUMMYFUNCTION("""COMPUTED_VALUE"""),"RUN-BEND_2022-02-19_RFR-036")</f>
        <v>RUN-BEND_2022-02-19_RFR-036</v>
      </c>
      <c r="Z30" s="55">
        <f>IFERROR(__xludf.DUMMYFUNCTION("""COMPUTED_VALUE"""),44611.0)</f>
        <v>44611</v>
      </c>
      <c r="AA30" s="51">
        <f t="array" ref="AA30">INDEX('RFR Data - preExcl'!AK$2:AK259,$AE30,1)</f>
        <v>31</v>
      </c>
      <c r="AB30" s="56">
        <f t="shared" si="18"/>
        <v>31</v>
      </c>
      <c r="AC30" s="56">
        <f t="array" ref="AC30">INDEX('RFR Data - preExcl'!AI$2:AI259,$AE30,1)</f>
        <v>0</v>
      </c>
      <c r="AD30" s="56">
        <f t="array" ref="AD30">INDEX('RFR Data - preExcl'!AF$2:AF259,$AE30,1)</f>
        <v>0</v>
      </c>
      <c r="AE30" s="58">
        <f>IFNA(MATCH(Y30,'RFR Data - preExcl'!A$2:A259,0),"")</f>
        <v>36</v>
      </c>
      <c r="AF30" s="43"/>
      <c r="AG30" s="62" t="s">
        <v>55</v>
      </c>
      <c r="AH30" s="60">
        <f>VLOOKUP(AG30,'Run Reconcile'!A$2:B259,2,FALSE)</f>
        <v>44604</v>
      </c>
      <c r="AI30" s="61">
        <f>COUNTIF('APS Tubes Import'!$V$2:$V259, AG30)
</f>
        <v>2</v>
      </c>
      <c r="AJ30" s="61">
        <f>COUNTIFS('APS Tubes Import'!V$2:V259, AG30, 'APS Tubes Import'!H$2:H259, "Negative")
</f>
        <v>0</v>
      </c>
      <c r="AK30" s="61">
        <f>COUNTIFS('APS Tubes Import'!V$2:V259, AG30, 'APS Tubes Import'!H$2:H259, "Positive")
</f>
        <v>2</v>
      </c>
      <c r="AL30" s="61">
        <f>COUNTIFS('APS Tubes Import'!V$2:V259, AG30, 'APS Tubes Import'!H$2:H259, "Inconclusive")
</f>
        <v>0</v>
      </c>
      <c r="AM30" s="61">
        <f>COUNTIFS('APS Tubes Import'!V$2:V259, AG30, 'APS Tubes Import'!H$2:H259, "Null")
</f>
        <v>0</v>
      </c>
      <c r="AN30" s="43"/>
      <c r="AO30" s="55">
        <f>'APS Tubes by Date Import'!B29</f>
        <v>44587</v>
      </c>
      <c r="AP30" s="56">
        <f>'APS Tubes by Date Import'!C29</f>
        <v>13</v>
      </c>
      <c r="AQ30" s="56">
        <f>'APS Tubes by Date Import'!D29</f>
        <v>13</v>
      </c>
      <c r="AR30" s="56">
        <f>'APS Tubes by Date Import'!E29</f>
        <v>0</v>
      </c>
      <c r="AS30" s="56">
        <f>'APS Tubes by Date Import'!F29</f>
        <v>0</v>
      </c>
      <c r="AT30" s="56">
        <f>'APS Tubes by Date Import'!G29</f>
        <v>0</v>
      </c>
      <c r="AU30" s="43"/>
    </row>
    <row r="31">
      <c r="A31" s="6" t="s">
        <v>56</v>
      </c>
      <c r="B31" s="47">
        <f>VLOOKUP(A31,'Run Reconcile'!A$2:B259,2,FALSE)</f>
        <v>44607</v>
      </c>
      <c r="C31" s="48">
        <f>COUNTIF('ALL Tube Results'!B30:B259, A31)
</f>
        <v>33</v>
      </c>
      <c r="D31" s="49">
        <f>COUNTIFS('ALL Tube Results'!$B30:$B259, $A31, 'ALL Tube Results'!$F30:$F259, "Negative")
</f>
        <v>33</v>
      </c>
      <c r="E31" s="49">
        <f>COUNTIFS('ALL Tube Results'!$B30:$B259, $A31, 'ALL Tube Results'!$F30:$F259, "Positive")
</f>
        <v>0</v>
      </c>
      <c r="F31" s="49">
        <f>COUNTIFS('ALL Tube Results'!$B30:$B259, $A31, 'ALL Tube Results'!$F30:$F259, "Inconclusive")
</f>
        <v>0</v>
      </c>
      <c r="G31" s="50">
        <f t="shared" si="7"/>
        <v>33</v>
      </c>
      <c r="H31" s="50" t="str">
        <f t="shared" si="8"/>
        <v/>
      </c>
      <c r="I31" s="51">
        <f t="shared" si="9"/>
        <v>33</v>
      </c>
      <c r="J31" s="52">
        <f t="shared" si="10"/>
        <v>0</v>
      </c>
      <c r="K31" s="52">
        <f t="shared" si="11"/>
        <v>0</v>
      </c>
      <c r="L31" s="51" t="str">
        <f t="shared" si="12"/>
        <v/>
      </c>
      <c r="M31" s="52" t="str">
        <f t="shared" si="13"/>
        <v/>
      </c>
      <c r="N31" s="52" t="str">
        <f t="shared" si="14"/>
        <v/>
      </c>
      <c r="O31" s="53">
        <f t="shared" si="15"/>
        <v>33</v>
      </c>
      <c r="P31" s="53" t="str">
        <f t="shared" si="16"/>
        <v/>
      </c>
      <c r="Q31" s="43"/>
      <c r="R31" s="6" t="s">
        <v>56</v>
      </c>
      <c r="S31" s="55">
        <v>44607.0</v>
      </c>
      <c r="T31" s="56">
        <f>VLOOKUP(R31,'Run Reconcile'!$A$2:$L259,12,FALSE)</f>
        <v>33</v>
      </c>
      <c r="U31" s="57" t="str">
        <f t="shared" si="17"/>
        <v/>
      </c>
      <c r="V31" s="56"/>
      <c r="W31" s="56"/>
      <c r="X31" s="43"/>
      <c r="Y31" s="6" t="str">
        <f>IFERROR(__xludf.DUMMYFUNCTION("""COMPUTED_VALUE"""),"RUN-BEND_2022-02-21_RFR-037")</f>
        <v>RUN-BEND_2022-02-21_RFR-037</v>
      </c>
      <c r="Z31" s="55">
        <f>IFERROR(__xludf.DUMMYFUNCTION("""COMPUTED_VALUE"""),44613.0)</f>
        <v>44613</v>
      </c>
      <c r="AA31" s="51">
        <f t="array" ref="AA31">INDEX('RFR Data - preExcl'!AK$2:AK259,$AE31,1)</f>
        <v>29</v>
      </c>
      <c r="AB31" s="56">
        <f t="shared" si="18"/>
        <v>29</v>
      </c>
      <c r="AC31" s="56">
        <f t="array" ref="AC31">INDEX('RFR Data - preExcl'!AI$2:AI259,$AE31,1)</f>
        <v>0</v>
      </c>
      <c r="AD31" s="56">
        <f t="array" ref="AD31">INDEX('RFR Data - preExcl'!AF$2:AF259,$AE31,1)</f>
        <v>0</v>
      </c>
      <c r="AE31" s="58">
        <f>IFNA(MATCH(Y31,'RFR Data - preExcl'!A$2:A259,0),"")</f>
        <v>37</v>
      </c>
      <c r="AF31" s="43"/>
      <c r="AG31" s="62" t="s">
        <v>56</v>
      </c>
      <c r="AH31" s="60">
        <f>VLOOKUP(AG31,'Run Reconcile'!A$2:B259,2,FALSE)</f>
        <v>44607</v>
      </c>
      <c r="AI31" s="61">
        <f>COUNTIF('APS Tubes Import'!$V$2:$V259, AG31)
</f>
        <v>33</v>
      </c>
      <c r="AJ31" s="61">
        <f>COUNTIFS('APS Tubes Import'!V$2:V259, AG31, 'APS Tubes Import'!H$2:H259, "Negative")
</f>
        <v>33</v>
      </c>
      <c r="AK31" s="61">
        <f>COUNTIFS('APS Tubes Import'!V$2:V259, AG31, 'APS Tubes Import'!H$2:H259, "Positive")
</f>
        <v>0</v>
      </c>
      <c r="AL31" s="61">
        <f>COUNTIFS('APS Tubes Import'!V$2:V259, AG31, 'APS Tubes Import'!H$2:H259, "Inconclusive")
</f>
        <v>0</v>
      </c>
      <c r="AM31" s="61">
        <f>COUNTIFS('APS Tubes Import'!V$2:V259, AG31, 'APS Tubes Import'!H$2:H259, "Null")
</f>
        <v>0</v>
      </c>
      <c r="AN31" s="43"/>
      <c r="AO31" s="55">
        <f>'APS Tubes by Date Import'!B30</f>
        <v>44589</v>
      </c>
      <c r="AP31" s="56">
        <f>'APS Tubes by Date Import'!C30</f>
        <v>7</v>
      </c>
      <c r="AQ31" s="56">
        <f>'APS Tubes by Date Import'!D30</f>
        <v>7</v>
      </c>
      <c r="AR31" s="56">
        <f>'APS Tubes by Date Import'!E30</f>
        <v>0</v>
      </c>
      <c r="AS31" s="56">
        <f>'APS Tubes by Date Import'!F30</f>
        <v>0</v>
      </c>
      <c r="AT31" s="56">
        <f>'APS Tubes by Date Import'!G30</f>
        <v>0</v>
      </c>
      <c r="AU31" s="43"/>
    </row>
    <row r="32">
      <c r="A32" s="6" t="s">
        <v>57</v>
      </c>
      <c r="B32" s="47">
        <f>VLOOKUP(A32,'Run Reconcile'!A$2:B259,2,FALSE)</f>
        <v>44609</v>
      </c>
      <c r="C32" s="48">
        <f>COUNTIF('ALL Tube Results'!B31:B259, A32)
</f>
        <v>33</v>
      </c>
      <c r="D32" s="49">
        <f>COUNTIFS('ALL Tube Results'!$B31:$B259, $A32, 'ALL Tube Results'!$F31:$F259, "Negative")
</f>
        <v>32</v>
      </c>
      <c r="E32" s="49">
        <f>COUNTIFS('ALL Tube Results'!$B31:$B259, $A32, 'ALL Tube Results'!$F31:$F259, "Positive")
</f>
        <v>0</v>
      </c>
      <c r="F32" s="49">
        <f>COUNTIFS('ALL Tube Results'!$B31:$B259, $A32, 'ALL Tube Results'!$F31:$F259, "Inconclusive")
</f>
        <v>1</v>
      </c>
      <c r="G32" s="50">
        <f t="shared" si="7"/>
        <v>33</v>
      </c>
      <c r="H32" s="50" t="str">
        <f t="shared" si="8"/>
        <v/>
      </c>
      <c r="I32" s="51">
        <f t="shared" si="9"/>
        <v>32</v>
      </c>
      <c r="J32" s="52">
        <f t="shared" si="10"/>
        <v>0</v>
      </c>
      <c r="K32" s="52">
        <f t="shared" si="11"/>
        <v>1</v>
      </c>
      <c r="L32" s="51">
        <f t="shared" si="12"/>
        <v>1</v>
      </c>
      <c r="M32" s="52" t="str">
        <f t="shared" si="13"/>
        <v/>
      </c>
      <c r="N32" s="52" t="str">
        <f t="shared" si="14"/>
        <v/>
      </c>
      <c r="O32" s="53">
        <f t="shared" si="15"/>
        <v>33</v>
      </c>
      <c r="P32" s="53" t="str">
        <f t="shared" si="16"/>
        <v/>
      </c>
      <c r="Q32" s="43"/>
      <c r="R32" s="6" t="s">
        <v>57</v>
      </c>
      <c r="S32" s="55">
        <v>44609.0</v>
      </c>
      <c r="T32" s="56">
        <f>VLOOKUP(R32,'Run Reconcile'!$A$2:$L259,12,FALSE)</f>
        <v>33</v>
      </c>
      <c r="U32" s="57" t="str">
        <f t="shared" si="17"/>
        <v/>
      </c>
      <c r="V32" s="56"/>
      <c r="W32" s="56"/>
      <c r="X32" s="43"/>
      <c r="Y32" s="6" t="str">
        <f>IFERROR(__xludf.DUMMYFUNCTION("""COMPUTED_VALUE"""),"RUN-BEND_2022-02-22_RFR-038")</f>
        <v>RUN-BEND_2022-02-22_RFR-038</v>
      </c>
      <c r="Z32" s="55">
        <f>IFERROR(__xludf.DUMMYFUNCTION("""COMPUTED_VALUE"""),44614.0)</f>
        <v>44614</v>
      </c>
      <c r="AA32" s="51">
        <f t="array" ref="AA32">INDEX('RFR Data - preExcl'!AK$2:AK259,$AE32,1)</f>
        <v>1</v>
      </c>
      <c r="AB32" s="56">
        <f t="shared" si="18"/>
        <v>0</v>
      </c>
      <c r="AC32" s="56">
        <f t="array" ref="AC32">INDEX('RFR Data - preExcl'!AI$2:AI259,$AE32,1)</f>
        <v>1</v>
      </c>
      <c r="AD32" s="56">
        <f t="array" ref="AD32">INDEX('RFR Data - preExcl'!AF$2:AF259,$AE32,1)</f>
        <v>0</v>
      </c>
      <c r="AE32" s="58">
        <f>IFNA(MATCH(Y32,'RFR Data - preExcl'!A$2:A259,0),"")</f>
        <v>38</v>
      </c>
      <c r="AF32" s="43"/>
      <c r="AG32" s="62" t="s">
        <v>57</v>
      </c>
      <c r="AH32" s="60">
        <f>VLOOKUP(AG32,'Run Reconcile'!A$2:B259,2,FALSE)</f>
        <v>44609</v>
      </c>
      <c r="AI32" s="61">
        <f>COUNTIF('APS Tubes Import'!$V$2:$V259, AG32)
</f>
        <v>33</v>
      </c>
      <c r="AJ32" s="61">
        <f>COUNTIFS('APS Tubes Import'!V$2:V259, AG32, 'APS Tubes Import'!H$2:H259, "Negative")
</f>
        <v>32</v>
      </c>
      <c r="AK32" s="61">
        <f>COUNTIFS('APS Tubes Import'!V$2:V259, AG32, 'APS Tubes Import'!H$2:H259, "Positive")
</f>
        <v>0</v>
      </c>
      <c r="AL32" s="61">
        <f>COUNTIFS('APS Tubes Import'!V$2:V259, AG32, 'APS Tubes Import'!H$2:H259, "Inconclusive")
</f>
        <v>1</v>
      </c>
      <c r="AM32" s="61">
        <f>COUNTIFS('APS Tubes Import'!V$2:V259, AG32, 'APS Tubes Import'!H$2:H259, "Null")
</f>
        <v>0</v>
      </c>
      <c r="AN32" s="43"/>
      <c r="AO32" s="55">
        <f>'APS Tubes by Date Import'!B31</f>
        <v>44592</v>
      </c>
      <c r="AP32" s="56">
        <f>'APS Tubes by Date Import'!C31</f>
        <v>10</v>
      </c>
      <c r="AQ32" s="56">
        <f>'APS Tubes by Date Import'!D31</f>
        <v>10</v>
      </c>
      <c r="AR32" s="56">
        <f>'APS Tubes by Date Import'!E31</f>
        <v>0</v>
      </c>
      <c r="AS32" s="56">
        <f>'APS Tubes by Date Import'!F31</f>
        <v>0</v>
      </c>
      <c r="AT32" s="56">
        <f>'APS Tubes by Date Import'!G31</f>
        <v>0</v>
      </c>
      <c r="AU32" s="43"/>
    </row>
    <row r="33">
      <c r="A33" s="6" t="s">
        <v>58</v>
      </c>
      <c r="B33" s="47">
        <f>VLOOKUP(A33,'Run Reconcile'!A$2:B259,2,FALSE)</f>
        <v>44611</v>
      </c>
      <c r="C33" s="48">
        <f>COUNTIF('ALL Tube Results'!B32:B259, A33)
</f>
        <v>31</v>
      </c>
      <c r="D33" s="49">
        <f>COUNTIFS('ALL Tube Results'!$B32:$B259, $A33, 'ALL Tube Results'!$F32:$F259, "Negative")
</f>
        <v>31</v>
      </c>
      <c r="E33" s="49">
        <f>COUNTIFS('ALL Tube Results'!$B32:$B259, $A33, 'ALL Tube Results'!$F32:$F259, "Positive")
</f>
        <v>0</v>
      </c>
      <c r="F33" s="49">
        <f>COUNTIFS('ALL Tube Results'!$B32:$B259, $A33, 'ALL Tube Results'!$F32:$F259, "Inconclusive")
</f>
        <v>0</v>
      </c>
      <c r="G33" s="50">
        <f t="shared" si="7"/>
        <v>31</v>
      </c>
      <c r="H33" s="50" t="str">
        <f t="shared" si="8"/>
        <v/>
      </c>
      <c r="I33" s="51">
        <f t="shared" si="9"/>
        <v>31</v>
      </c>
      <c r="J33" s="52">
        <f t="shared" si="10"/>
        <v>0</v>
      </c>
      <c r="K33" s="52">
        <f t="shared" si="11"/>
        <v>0</v>
      </c>
      <c r="L33" s="51" t="str">
        <f t="shared" si="12"/>
        <v/>
      </c>
      <c r="M33" s="52" t="str">
        <f t="shared" si="13"/>
        <v/>
      </c>
      <c r="N33" s="52" t="str">
        <f t="shared" si="14"/>
        <v/>
      </c>
      <c r="O33" s="53">
        <f t="shared" si="15"/>
        <v>31</v>
      </c>
      <c r="P33" s="53" t="str">
        <f t="shared" si="16"/>
        <v/>
      </c>
      <c r="Q33" s="43"/>
      <c r="R33" s="6" t="s">
        <v>58</v>
      </c>
      <c r="S33" s="55">
        <v>44611.0</v>
      </c>
      <c r="T33" s="56">
        <f>VLOOKUP(R33,'Run Reconcile'!$A$2:$L259,12,FALSE)</f>
        <v>31</v>
      </c>
      <c r="U33" s="57" t="str">
        <f t="shared" si="17"/>
        <v/>
      </c>
      <c r="V33" s="56"/>
      <c r="W33" s="56"/>
      <c r="X33" s="43"/>
      <c r="Y33" s="6" t="str">
        <f>IFERROR(__xludf.DUMMYFUNCTION("""COMPUTED_VALUE"""),"RUN-BEND_2022-02-23_RFR-039")</f>
        <v>RUN-BEND_2022-02-23_RFR-039</v>
      </c>
      <c r="Z33" s="55">
        <f>IFERROR(__xludf.DUMMYFUNCTION("""COMPUTED_VALUE"""),44615.0)</f>
        <v>44615</v>
      </c>
      <c r="AA33" s="51">
        <f t="array" ref="AA33">INDEX('RFR Data - preExcl'!AK$2:AK259,$AE33,1)</f>
        <v>34</v>
      </c>
      <c r="AB33" s="56">
        <f t="shared" si="18"/>
        <v>34</v>
      </c>
      <c r="AC33" s="56">
        <f t="array" ref="AC33">INDEX('RFR Data - preExcl'!AI$2:AI259,$AE33,1)</f>
        <v>0</v>
      </c>
      <c r="AD33" s="56">
        <f t="array" ref="AD33">INDEX('RFR Data - preExcl'!AF$2:AF259,$AE33,1)</f>
        <v>0</v>
      </c>
      <c r="AE33" s="58">
        <f>IFNA(MATCH(Y33,'RFR Data - preExcl'!A$2:A259,0),"")</f>
        <v>39</v>
      </c>
      <c r="AF33" s="43"/>
      <c r="AG33" s="62" t="s">
        <v>58</v>
      </c>
      <c r="AH33" s="60">
        <f>VLOOKUP(AG33,'Run Reconcile'!A$2:B259,2,FALSE)</f>
        <v>44611</v>
      </c>
      <c r="AI33" s="61">
        <f>COUNTIF('APS Tubes Import'!$V$2:$V259, AG33)
</f>
        <v>31</v>
      </c>
      <c r="AJ33" s="61">
        <f>COUNTIFS('APS Tubes Import'!V$2:V259, AG33, 'APS Tubes Import'!H$2:H259, "Negative")
</f>
        <v>31</v>
      </c>
      <c r="AK33" s="61">
        <f>COUNTIFS('APS Tubes Import'!V$2:V259, AG33, 'APS Tubes Import'!H$2:H259, "Positive")
</f>
        <v>0</v>
      </c>
      <c r="AL33" s="61">
        <f>COUNTIFS('APS Tubes Import'!V$2:V259, AG33, 'APS Tubes Import'!H$2:H259, "Inconclusive")
</f>
        <v>0</v>
      </c>
      <c r="AM33" s="61">
        <f>COUNTIFS('APS Tubes Import'!V$2:V259, AG33, 'APS Tubes Import'!H$2:H259, "Null")
</f>
        <v>0</v>
      </c>
      <c r="AN33" s="43"/>
      <c r="AO33" s="55">
        <f>'APS Tubes by Date Import'!B32</f>
        <v>44594</v>
      </c>
      <c r="AP33" s="56">
        <f>'APS Tubes by Date Import'!C32</f>
        <v>9</v>
      </c>
      <c r="AQ33" s="56">
        <f>'APS Tubes by Date Import'!D32</f>
        <v>8</v>
      </c>
      <c r="AR33" s="56">
        <f>'APS Tubes by Date Import'!E32</f>
        <v>1</v>
      </c>
      <c r="AS33" s="56">
        <f>'APS Tubes by Date Import'!F32</f>
        <v>0</v>
      </c>
      <c r="AT33" s="56">
        <f>'APS Tubes by Date Import'!G32</f>
        <v>0</v>
      </c>
      <c r="AU33" s="43"/>
    </row>
    <row r="34">
      <c r="A34" s="6" t="s">
        <v>59</v>
      </c>
      <c r="B34" s="47">
        <f>VLOOKUP(A34,'Run Reconcile'!A$2:B259,2,FALSE)</f>
        <v>44613</v>
      </c>
      <c r="C34" s="48">
        <f>COUNTIF('ALL Tube Results'!B33:B259, A34)
</f>
        <v>29</v>
      </c>
      <c r="D34" s="49">
        <f>COUNTIFS('ALL Tube Results'!$B33:$B259, $A34, 'ALL Tube Results'!$F33:$F259, "Negative")
</f>
        <v>29</v>
      </c>
      <c r="E34" s="49">
        <f>COUNTIFS('ALL Tube Results'!$B33:$B259, $A34, 'ALL Tube Results'!$F33:$F259, "Positive")
</f>
        <v>0</v>
      </c>
      <c r="F34" s="49">
        <f>COUNTIFS('ALL Tube Results'!$B33:$B259, $A34, 'ALL Tube Results'!$F33:$F259, "Inconclusive")
</f>
        <v>0</v>
      </c>
      <c r="G34" s="50">
        <f t="shared" si="7"/>
        <v>29</v>
      </c>
      <c r="H34" s="50" t="str">
        <f t="shared" si="8"/>
        <v/>
      </c>
      <c r="I34" s="51">
        <f t="shared" si="9"/>
        <v>29</v>
      </c>
      <c r="J34" s="52">
        <f t="shared" si="10"/>
        <v>0</v>
      </c>
      <c r="K34" s="52">
        <f t="shared" si="11"/>
        <v>0</v>
      </c>
      <c r="L34" s="51" t="str">
        <f t="shared" si="12"/>
        <v/>
      </c>
      <c r="M34" s="52" t="str">
        <f t="shared" si="13"/>
        <v/>
      </c>
      <c r="N34" s="52" t="str">
        <f t="shared" si="14"/>
        <v/>
      </c>
      <c r="O34" s="53">
        <f t="shared" si="15"/>
        <v>28</v>
      </c>
      <c r="P34" s="53">
        <f t="shared" si="16"/>
        <v>1</v>
      </c>
      <c r="Q34" s="43"/>
      <c r="R34" s="6" t="s">
        <v>59</v>
      </c>
      <c r="S34" s="55">
        <v>44613.0</v>
      </c>
      <c r="T34" s="56">
        <f>VLOOKUP(R34,'Run Reconcile'!$A$2:$L259,12,FALSE)</f>
        <v>29</v>
      </c>
      <c r="U34" s="57" t="str">
        <f t="shared" si="17"/>
        <v/>
      </c>
      <c r="V34" s="56"/>
      <c r="W34" s="56"/>
      <c r="X34" s="43"/>
      <c r="Y34" s="6" t="str">
        <f>IFERROR(__xludf.DUMMYFUNCTION("""COMPUTED_VALUE"""),"RUN-BEND_2022-02-25_RFR-040")</f>
        <v>RUN-BEND_2022-02-25_RFR-040</v>
      </c>
      <c r="Z34" s="55">
        <f>IFERROR(__xludf.DUMMYFUNCTION("""COMPUTED_VALUE"""),44617.0)</f>
        <v>44617</v>
      </c>
      <c r="AA34" s="51">
        <f t="array" ref="AA34">INDEX('RFR Data - preExcl'!AK$2:AK259,$AE34,1)</f>
        <v>33</v>
      </c>
      <c r="AB34" s="56">
        <f t="shared" si="18"/>
        <v>33</v>
      </c>
      <c r="AC34" s="56">
        <f t="array" ref="AC34">INDEX('RFR Data - preExcl'!AI$2:AI259,$AE34,1)</f>
        <v>0</v>
      </c>
      <c r="AD34" s="56">
        <f t="array" ref="AD34">INDEX('RFR Data - preExcl'!AF$2:AF259,$AE34,1)</f>
        <v>0</v>
      </c>
      <c r="AE34" s="58">
        <f>IFNA(MATCH(Y34,'RFR Data - preExcl'!A$2:A259,0),"")</f>
        <v>40</v>
      </c>
      <c r="AF34" s="43"/>
      <c r="AG34" s="62" t="s">
        <v>59</v>
      </c>
      <c r="AH34" s="60">
        <f>VLOOKUP(AG34,'Run Reconcile'!A$2:B259,2,FALSE)</f>
        <v>44613</v>
      </c>
      <c r="AI34" s="61">
        <f>COUNTIF('APS Tubes Import'!$V$2:$V259, AG34)
</f>
        <v>28</v>
      </c>
      <c r="AJ34" s="61">
        <f>COUNTIFS('APS Tubes Import'!V$2:V259, AG34, 'APS Tubes Import'!H$2:H259, "Negative")
</f>
        <v>28</v>
      </c>
      <c r="AK34" s="61">
        <f>COUNTIFS('APS Tubes Import'!V$2:V259, AG34, 'APS Tubes Import'!H$2:H259, "Positive")
</f>
        <v>0</v>
      </c>
      <c r="AL34" s="61">
        <f>COUNTIFS('APS Tubes Import'!V$2:V259, AG34, 'APS Tubes Import'!H$2:H259, "Inconclusive")
</f>
        <v>0</v>
      </c>
      <c r="AM34" s="61">
        <f>COUNTIFS('APS Tubes Import'!V$2:V259, AG34, 'APS Tubes Import'!H$2:H259, "Null")
</f>
        <v>0</v>
      </c>
      <c r="AN34" s="43"/>
      <c r="AO34" s="55">
        <f>'APS Tubes by Date Import'!B33</f>
        <v>44596</v>
      </c>
      <c r="AP34" s="56">
        <f>'APS Tubes by Date Import'!C33</f>
        <v>5</v>
      </c>
      <c r="AQ34" s="56">
        <f>'APS Tubes by Date Import'!D33</f>
        <v>5</v>
      </c>
      <c r="AR34" s="56">
        <f>'APS Tubes by Date Import'!E33</f>
        <v>0</v>
      </c>
      <c r="AS34" s="56">
        <f>'APS Tubes by Date Import'!F33</f>
        <v>0</v>
      </c>
      <c r="AT34" s="56">
        <f>'APS Tubes by Date Import'!G33</f>
        <v>0</v>
      </c>
      <c r="AU34" s="43"/>
    </row>
    <row r="35">
      <c r="A35" s="6" t="s">
        <v>60</v>
      </c>
      <c r="B35" s="47">
        <f>VLOOKUP(A35,'Run Reconcile'!A$2:B259,2,FALSE)</f>
        <v>44614</v>
      </c>
      <c r="C35" s="48">
        <f>COUNTIF('ALL Tube Results'!B34:B259, A35)
</f>
        <v>1</v>
      </c>
      <c r="D35" s="49">
        <f>COUNTIFS('ALL Tube Results'!$B34:$B259, $A35, 'ALL Tube Results'!$F34:$F259, "Negative")
</f>
        <v>0</v>
      </c>
      <c r="E35" s="49">
        <f>COUNTIFS('ALL Tube Results'!$B34:$B259, $A35, 'ALL Tube Results'!$F34:$F259, "Positive")
</f>
        <v>1</v>
      </c>
      <c r="F35" s="49">
        <f>COUNTIFS('ALL Tube Results'!$B34:$B259, $A35, 'ALL Tube Results'!$F34:$F259, "Inconclusive")
</f>
        <v>0</v>
      </c>
      <c r="G35" s="50">
        <f t="shared" si="7"/>
        <v>1</v>
      </c>
      <c r="H35" s="50" t="str">
        <f t="shared" si="8"/>
        <v/>
      </c>
      <c r="I35" s="51">
        <f t="shared" si="9"/>
        <v>1</v>
      </c>
      <c r="J35" s="52">
        <f t="shared" si="10"/>
        <v>1</v>
      </c>
      <c r="K35" s="52">
        <f t="shared" si="11"/>
        <v>0</v>
      </c>
      <c r="L35" s="51" t="str">
        <f t="shared" si="12"/>
        <v/>
      </c>
      <c r="M35" s="52" t="str">
        <f t="shared" si="13"/>
        <v/>
      </c>
      <c r="N35" s="52" t="str">
        <f t="shared" si="14"/>
        <v/>
      </c>
      <c r="O35" s="53">
        <f t="shared" si="15"/>
        <v>1</v>
      </c>
      <c r="P35" s="53" t="str">
        <f t="shared" si="16"/>
        <v/>
      </c>
      <c r="Q35" s="43"/>
      <c r="R35" s="6" t="s">
        <v>60</v>
      </c>
      <c r="S35" s="55">
        <v>44614.0</v>
      </c>
      <c r="T35" s="56">
        <f>VLOOKUP(R35,'Run Reconcile'!$A$2:$L259,12,FALSE)</f>
        <v>1</v>
      </c>
      <c r="U35" s="57" t="str">
        <f t="shared" si="17"/>
        <v/>
      </c>
      <c r="V35" s="56"/>
      <c r="W35" s="56"/>
      <c r="X35" s="43"/>
      <c r="Y35" s="6" t="str">
        <f>IFERROR(__xludf.DUMMYFUNCTION("""COMPUTED_VALUE"""),"RUN-BEND_2022-02-27_RFR-042")</f>
        <v>RUN-BEND_2022-02-27_RFR-042</v>
      </c>
      <c r="Z35" s="55">
        <f>IFERROR(__xludf.DUMMYFUNCTION("""COMPUTED_VALUE"""),44619.0)</f>
        <v>44619</v>
      </c>
      <c r="AA35" s="51">
        <f t="array" ref="AA35">INDEX('RFR Data - preExcl'!AK$2:AK259,$AE35,1)</f>
        <v>32</v>
      </c>
      <c r="AB35" s="56">
        <f t="shared" si="18"/>
        <v>30</v>
      </c>
      <c r="AC35" s="56">
        <f t="array" ref="AC35">INDEX('RFR Data - preExcl'!AI$2:AI259,$AE35,1)</f>
        <v>2</v>
      </c>
      <c r="AD35" s="56">
        <f t="array" ref="AD35">INDEX('RFR Data - preExcl'!AF$2:AF259,$AE35,1)</f>
        <v>0</v>
      </c>
      <c r="AE35" s="58">
        <f>IFNA(MATCH(Y35,'RFR Data - preExcl'!A$2:A259,0),"")</f>
        <v>42</v>
      </c>
      <c r="AF35" s="43"/>
      <c r="AG35" s="62" t="s">
        <v>60</v>
      </c>
      <c r="AH35" s="60">
        <f>VLOOKUP(AG35,'Run Reconcile'!A$2:B259,2,FALSE)</f>
        <v>44614</v>
      </c>
      <c r="AI35" s="61">
        <f>COUNTIF('APS Tubes Import'!$V$2:$V259, AG35)
</f>
        <v>1</v>
      </c>
      <c r="AJ35" s="61">
        <f>COUNTIFS('APS Tubes Import'!V$2:V259, AG35, 'APS Tubes Import'!H$2:H259, "Negative")
</f>
        <v>0</v>
      </c>
      <c r="AK35" s="61">
        <f>COUNTIFS('APS Tubes Import'!V$2:V259, AG35, 'APS Tubes Import'!H$2:H259, "Positive")
</f>
        <v>1</v>
      </c>
      <c r="AL35" s="61">
        <f>COUNTIFS('APS Tubes Import'!V$2:V259, AG35, 'APS Tubes Import'!H$2:H259, "Inconclusive")
</f>
        <v>0</v>
      </c>
      <c r="AM35" s="61">
        <f>COUNTIFS('APS Tubes Import'!V$2:V259, AG35, 'APS Tubes Import'!H$2:H259, "Null")
</f>
        <v>0</v>
      </c>
      <c r="AN35" s="43"/>
      <c r="AO35" s="55">
        <f>'APS Tubes by Date Import'!B34</f>
        <v>44599</v>
      </c>
      <c r="AP35" s="56">
        <f>'APS Tubes by Date Import'!C34</f>
        <v>13</v>
      </c>
      <c r="AQ35" s="56">
        <f>'APS Tubes by Date Import'!D34</f>
        <v>12</v>
      </c>
      <c r="AR35" s="56">
        <f>'APS Tubes by Date Import'!E34</f>
        <v>1</v>
      </c>
      <c r="AS35" s="56">
        <f>'APS Tubes by Date Import'!F34</f>
        <v>0</v>
      </c>
      <c r="AT35" s="56">
        <f>'APS Tubes by Date Import'!G34</f>
        <v>0</v>
      </c>
      <c r="AU35" s="43"/>
    </row>
    <row r="36">
      <c r="A36" s="6" t="s">
        <v>61</v>
      </c>
      <c r="B36" s="47">
        <f>VLOOKUP(A36,'Run Reconcile'!A$2:B259,2,FALSE)</f>
        <v>44615</v>
      </c>
      <c r="C36" s="48">
        <f>COUNTIF('ALL Tube Results'!B35:B259, A36)
</f>
        <v>34</v>
      </c>
      <c r="D36" s="49">
        <f>COUNTIFS('ALL Tube Results'!$B35:$B259, $A36, 'ALL Tube Results'!$F35:$F259, "Negative")
</f>
        <v>34</v>
      </c>
      <c r="E36" s="49">
        <f>COUNTIFS('ALL Tube Results'!$B35:$B259, $A36, 'ALL Tube Results'!$F35:$F259, "Positive")
</f>
        <v>0</v>
      </c>
      <c r="F36" s="49">
        <f>COUNTIFS('ALL Tube Results'!$B35:$B259, $A36, 'ALL Tube Results'!$F35:$F259, "Inconclusive")
</f>
        <v>0</v>
      </c>
      <c r="G36" s="50">
        <f t="shared" si="7"/>
        <v>34</v>
      </c>
      <c r="H36" s="50" t="str">
        <f t="shared" si="8"/>
        <v/>
      </c>
      <c r="I36" s="51">
        <f t="shared" si="9"/>
        <v>34</v>
      </c>
      <c r="J36" s="52">
        <f t="shared" si="10"/>
        <v>0</v>
      </c>
      <c r="K36" s="52">
        <f t="shared" si="11"/>
        <v>0</v>
      </c>
      <c r="L36" s="51" t="str">
        <f t="shared" si="12"/>
        <v/>
      </c>
      <c r="M36" s="52" t="str">
        <f t="shared" si="13"/>
        <v/>
      </c>
      <c r="N36" s="52" t="str">
        <f t="shared" si="14"/>
        <v/>
      </c>
      <c r="O36" s="53">
        <f t="shared" si="15"/>
        <v>34</v>
      </c>
      <c r="P36" s="53" t="str">
        <f t="shared" si="16"/>
        <v/>
      </c>
      <c r="Q36" s="43"/>
      <c r="R36" s="6" t="s">
        <v>61</v>
      </c>
      <c r="S36" s="55">
        <v>44615.0</v>
      </c>
      <c r="T36" s="56">
        <f>VLOOKUP(R36,'Run Reconcile'!$A$2:$L259,12,FALSE)</f>
        <v>34</v>
      </c>
      <c r="U36" s="57" t="str">
        <f t="shared" si="17"/>
        <v/>
      </c>
      <c r="V36" s="56"/>
      <c r="W36" s="56"/>
      <c r="X36" s="43"/>
      <c r="Y36" s="6" t="str">
        <f>IFERROR(__xludf.DUMMYFUNCTION("""COMPUTED_VALUE"""),"RUN-BEND_2022-03-01_RFR-043")</f>
        <v>RUN-BEND_2022-03-01_RFR-043</v>
      </c>
      <c r="Z36" s="55">
        <f>IFERROR(__xludf.DUMMYFUNCTION("""COMPUTED_VALUE"""),44621.0)</f>
        <v>44621</v>
      </c>
      <c r="AA36" s="51">
        <f t="array" ref="AA36">INDEX('RFR Data - preExcl'!AK$2:AK259,$AE36,1)</f>
        <v>31</v>
      </c>
      <c r="AB36" s="56">
        <f t="shared" si="18"/>
        <v>31</v>
      </c>
      <c r="AC36" s="56">
        <f t="array" ref="AC36">INDEX('RFR Data - preExcl'!AI$2:AI259,$AE36,1)</f>
        <v>0</v>
      </c>
      <c r="AD36" s="56">
        <f t="array" ref="AD36">INDEX('RFR Data - preExcl'!AF$2:AF259,$AE36,1)</f>
        <v>0</v>
      </c>
      <c r="AE36" s="58">
        <f>IFNA(MATCH(Y36,'RFR Data - preExcl'!A$2:A259,0),"")</f>
        <v>43</v>
      </c>
      <c r="AF36" s="43"/>
      <c r="AG36" s="62" t="s">
        <v>61</v>
      </c>
      <c r="AH36" s="60">
        <f>VLOOKUP(AG36,'Run Reconcile'!A$2:B259,2,FALSE)</f>
        <v>44615</v>
      </c>
      <c r="AI36" s="61">
        <f>COUNTIF('APS Tubes Import'!$V$2:$V259, AG36)
</f>
        <v>34</v>
      </c>
      <c r="AJ36" s="61">
        <f>COUNTIFS('APS Tubes Import'!V$2:V259, AG36, 'APS Tubes Import'!H$2:H259, "Negative")
</f>
        <v>34</v>
      </c>
      <c r="AK36" s="61">
        <f>COUNTIFS('APS Tubes Import'!V$2:V259, AG36, 'APS Tubes Import'!H$2:H259, "Positive")
</f>
        <v>0</v>
      </c>
      <c r="AL36" s="61">
        <f>COUNTIFS('APS Tubes Import'!V$2:V259, AG36, 'APS Tubes Import'!H$2:H259, "Inconclusive")
</f>
        <v>0</v>
      </c>
      <c r="AM36" s="61">
        <f>COUNTIFS('APS Tubes Import'!V$2:V259, AG36, 'APS Tubes Import'!H$2:H259, "Null")
</f>
        <v>0</v>
      </c>
      <c r="AN36" s="43"/>
      <c r="AO36" s="55">
        <f>'APS Tubes by Date Import'!B35</f>
        <v>44601</v>
      </c>
      <c r="AP36" s="56">
        <f>'APS Tubes by Date Import'!C35</f>
        <v>14</v>
      </c>
      <c r="AQ36" s="56">
        <f>'APS Tubes by Date Import'!D35</f>
        <v>13</v>
      </c>
      <c r="AR36" s="56">
        <f>'APS Tubes by Date Import'!E35</f>
        <v>1</v>
      </c>
      <c r="AS36" s="56">
        <f>'APS Tubes by Date Import'!F35</f>
        <v>0</v>
      </c>
      <c r="AT36" s="56">
        <f>'APS Tubes by Date Import'!G35</f>
        <v>0</v>
      </c>
      <c r="AU36" s="43"/>
    </row>
    <row r="37">
      <c r="A37" s="6" t="s">
        <v>62</v>
      </c>
      <c r="B37" s="47">
        <f>VLOOKUP(A37,'Run Reconcile'!A$2:B259,2,FALSE)</f>
        <v>44617</v>
      </c>
      <c r="C37" s="48">
        <f>COUNTIF('ALL Tube Results'!B36:B259, A37)
</f>
        <v>33</v>
      </c>
      <c r="D37" s="49">
        <f>COUNTIFS('ALL Tube Results'!$B36:$B259, $A37, 'ALL Tube Results'!$F36:$F259, "Negative")
</f>
        <v>33</v>
      </c>
      <c r="E37" s="49">
        <f>COUNTIFS('ALL Tube Results'!$B36:$B259, $A37, 'ALL Tube Results'!$F36:$F259, "Positive")
</f>
        <v>0</v>
      </c>
      <c r="F37" s="49">
        <f>COUNTIFS('ALL Tube Results'!$B36:$B259, $A37, 'ALL Tube Results'!$F36:$F259, "Inconclusive")
</f>
        <v>0</v>
      </c>
      <c r="G37" s="50">
        <f t="shared" si="7"/>
        <v>33</v>
      </c>
      <c r="H37" s="50" t="str">
        <f t="shared" si="8"/>
        <v/>
      </c>
      <c r="I37" s="51">
        <f t="shared" si="9"/>
        <v>33</v>
      </c>
      <c r="J37" s="52">
        <f t="shared" si="10"/>
        <v>0</v>
      </c>
      <c r="K37" s="52">
        <f t="shared" si="11"/>
        <v>0</v>
      </c>
      <c r="L37" s="51" t="str">
        <f t="shared" si="12"/>
        <v/>
      </c>
      <c r="M37" s="52" t="str">
        <f t="shared" si="13"/>
        <v/>
      </c>
      <c r="N37" s="52" t="str">
        <f t="shared" si="14"/>
        <v/>
      </c>
      <c r="O37" s="53">
        <f t="shared" si="15"/>
        <v>33</v>
      </c>
      <c r="P37" s="53" t="str">
        <f t="shared" si="16"/>
        <v/>
      </c>
      <c r="Q37" s="43"/>
      <c r="R37" s="6" t="s">
        <v>62</v>
      </c>
      <c r="S37" s="55">
        <v>44617.0</v>
      </c>
      <c r="T37" s="56">
        <f>VLOOKUP(R37,'Run Reconcile'!$A$2:$L259,12,FALSE)</f>
        <v>33</v>
      </c>
      <c r="U37" s="57" t="str">
        <f t="shared" si="17"/>
        <v/>
      </c>
      <c r="V37" s="56"/>
      <c r="W37" s="56"/>
      <c r="X37" s="43"/>
      <c r="Y37" s="6" t="str">
        <f>IFERROR(__xludf.DUMMYFUNCTION("""COMPUTED_VALUE"""),"RUN-BEND_2022-03-03_RFR-044")</f>
        <v>RUN-BEND_2022-03-03_RFR-044</v>
      </c>
      <c r="Z37" s="55">
        <f>IFERROR(__xludf.DUMMYFUNCTION("""COMPUTED_VALUE"""),44623.0)</f>
        <v>44623</v>
      </c>
      <c r="AA37" s="51">
        <f t="array" ref="AA37">INDEX('RFR Data - preExcl'!AK$2:AK259,$AE37,1)</f>
        <v>35</v>
      </c>
      <c r="AB37" s="56">
        <f t="shared" si="18"/>
        <v>33</v>
      </c>
      <c r="AC37" s="56">
        <f t="array" ref="AC37">INDEX('RFR Data - preExcl'!AI$2:AI259,$AE37,1)</f>
        <v>2</v>
      </c>
      <c r="AD37" s="56">
        <f t="array" ref="AD37">INDEX('RFR Data - preExcl'!AF$2:AF259,$AE37,1)</f>
        <v>0</v>
      </c>
      <c r="AE37" s="58">
        <f>IFNA(MATCH(Y37,'RFR Data - preExcl'!A$2:A259,0),"")</f>
        <v>44</v>
      </c>
      <c r="AF37" s="43"/>
      <c r="AG37" s="62" t="s">
        <v>62</v>
      </c>
      <c r="AH37" s="60">
        <f>VLOOKUP(AG37,'Run Reconcile'!A$2:B259,2,FALSE)</f>
        <v>44617</v>
      </c>
      <c r="AI37" s="61">
        <f>COUNTIF('APS Tubes Import'!$V$2:$V259, AG37)
</f>
        <v>33</v>
      </c>
      <c r="AJ37" s="61">
        <f>COUNTIFS('APS Tubes Import'!V$2:V259, AG37, 'APS Tubes Import'!H$2:H259, "Negative")
</f>
        <v>33</v>
      </c>
      <c r="AK37" s="61">
        <f>COUNTIFS('APS Tubes Import'!V$2:V259, AG37, 'APS Tubes Import'!H$2:H259, "Positive")
</f>
        <v>0</v>
      </c>
      <c r="AL37" s="61">
        <f>COUNTIFS('APS Tubes Import'!V$2:V259, AG37, 'APS Tubes Import'!H$2:H259, "Inconclusive")
</f>
        <v>0</v>
      </c>
      <c r="AM37" s="61">
        <f>COUNTIFS('APS Tubes Import'!V$2:V259, AG37, 'APS Tubes Import'!H$2:H259, "Null")
</f>
        <v>0</v>
      </c>
      <c r="AN37" s="43"/>
      <c r="AO37" s="55">
        <f>'APS Tubes by Date Import'!B36</f>
        <v>44603</v>
      </c>
      <c r="AP37" s="56">
        <f>'APS Tubes by Date Import'!C36</f>
        <v>9</v>
      </c>
      <c r="AQ37" s="56">
        <f>'APS Tubes by Date Import'!D36</f>
        <v>7</v>
      </c>
      <c r="AR37" s="56">
        <f>'APS Tubes by Date Import'!E36</f>
        <v>2</v>
      </c>
      <c r="AS37" s="56">
        <f>'APS Tubes by Date Import'!F36</f>
        <v>0</v>
      </c>
      <c r="AT37" s="56">
        <f>'APS Tubes by Date Import'!G36</f>
        <v>0</v>
      </c>
      <c r="AU37" s="43"/>
    </row>
    <row r="38">
      <c r="A38" s="6" t="s">
        <v>63</v>
      </c>
      <c r="B38" s="47">
        <f>VLOOKUP(A38,'Run Reconcile'!A$2:B259,2,FALSE)</f>
        <v>44619</v>
      </c>
      <c r="C38" s="48">
        <f>COUNTIF('ALL Tube Results'!B37:B259, A38)
</f>
        <v>32</v>
      </c>
      <c r="D38" s="49">
        <f>COUNTIFS('ALL Tube Results'!$B37:$B259, $A38, 'ALL Tube Results'!$F37:$F259, "Negative")
</f>
        <v>30</v>
      </c>
      <c r="E38" s="49">
        <f>COUNTIFS('ALL Tube Results'!$B37:$B259, $A38, 'ALL Tube Results'!$F37:$F259, "Positive")
</f>
        <v>2</v>
      </c>
      <c r="F38" s="49">
        <f>COUNTIFS('ALL Tube Results'!$B37:$B259, $A38, 'ALL Tube Results'!$F37:$F259, "Inconclusive")
</f>
        <v>0</v>
      </c>
      <c r="G38" s="50">
        <f t="shared" si="7"/>
        <v>32</v>
      </c>
      <c r="H38" s="50" t="str">
        <f t="shared" si="8"/>
        <v/>
      </c>
      <c r="I38" s="51">
        <f t="shared" si="9"/>
        <v>32</v>
      </c>
      <c r="J38" s="52">
        <f t="shared" si="10"/>
        <v>2</v>
      </c>
      <c r="K38" s="52">
        <f t="shared" si="11"/>
        <v>0</v>
      </c>
      <c r="L38" s="51" t="str">
        <f t="shared" si="12"/>
        <v/>
      </c>
      <c r="M38" s="52" t="str">
        <f t="shared" si="13"/>
        <v/>
      </c>
      <c r="N38" s="52" t="str">
        <f t="shared" si="14"/>
        <v/>
      </c>
      <c r="O38" s="53">
        <f t="shared" si="15"/>
        <v>32</v>
      </c>
      <c r="P38" s="53" t="str">
        <f t="shared" si="16"/>
        <v/>
      </c>
      <c r="Q38" s="43"/>
      <c r="R38" s="6" t="s">
        <v>63</v>
      </c>
      <c r="S38" s="55">
        <v>44619.0</v>
      </c>
      <c r="T38" s="56">
        <f>VLOOKUP(R38,'Run Reconcile'!$A$2:$L259,12,FALSE)</f>
        <v>32</v>
      </c>
      <c r="U38" s="57" t="str">
        <f t="shared" si="17"/>
        <v/>
      </c>
      <c r="V38" s="56"/>
      <c r="W38" s="56"/>
      <c r="X38" s="43"/>
      <c r="Y38" s="6" t="str">
        <f>IFERROR(__xludf.DUMMYFUNCTION("""COMPUTED_VALUE"""),"RUN-BEND_2022-03-05_RFR-045")</f>
        <v>RUN-BEND_2022-03-05_RFR-045</v>
      </c>
      <c r="Z38" s="55">
        <f>IFERROR(__xludf.DUMMYFUNCTION("""COMPUTED_VALUE"""),44625.0)</f>
        <v>44625</v>
      </c>
      <c r="AA38" s="51">
        <f t="array" ref="AA38">INDEX('RFR Data - preExcl'!AK$2:AK259,$AE38,1)</f>
        <v>33</v>
      </c>
      <c r="AB38" s="56">
        <f t="shared" si="18"/>
        <v>32</v>
      </c>
      <c r="AC38" s="56">
        <f t="array" ref="AC38">INDEX('RFR Data - preExcl'!AI$2:AI259,$AE38,1)</f>
        <v>1</v>
      </c>
      <c r="AD38" s="56">
        <f t="array" ref="AD38">INDEX('RFR Data - preExcl'!AF$2:AF259,$AE38,1)</f>
        <v>0</v>
      </c>
      <c r="AE38" s="58">
        <f>IFNA(MATCH(Y38,'RFR Data - preExcl'!A$2:A259,0),"")</f>
        <v>45</v>
      </c>
      <c r="AF38" s="43"/>
      <c r="AG38" s="62" t="s">
        <v>63</v>
      </c>
      <c r="AH38" s="60">
        <f>VLOOKUP(AG38,'Run Reconcile'!A$2:B259,2,FALSE)</f>
        <v>44619</v>
      </c>
      <c r="AI38" s="61">
        <f>COUNTIF('APS Tubes Import'!$V$2:$V259, AG38)
</f>
        <v>32</v>
      </c>
      <c r="AJ38" s="61">
        <f>COUNTIFS('APS Tubes Import'!V$2:V259, AG38, 'APS Tubes Import'!H$2:H259, "Negative")
</f>
        <v>30</v>
      </c>
      <c r="AK38" s="61">
        <f>COUNTIFS('APS Tubes Import'!V$2:V259, AG38, 'APS Tubes Import'!H$2:H259, "Positive")
</f>
        <v>2</v>
      </c>
      <c r="AL38" s="61">
        <f>COUNTIFS('APS Tubes Import'!V$2:V259, AG38, 'APS Tubes Import'!H$2:H259, "Inconclusive")
</f>
        <v>0</v>
      </c>
      <c r="AM38" s="61">
        <f>COUNTIFS('APS Tubes Import'!V$2:V259, AG38, 'APS Tubes Import'!H$2:H259, "Null")
</f>
        <v>0</v>
      </c>
      <c r="AN38" s="43"/>
      <c r="AO38" s="55">
        <f>'APS Tubes by Date Import'!B37</f>
        <v>44604</v>
      </c>
      <c r="AP38" s="56">
        <f>'APS Tubes by Date Import'!C37</f>
        <v>2</v>
      </c>
      <c r="AQ38" s="56">
        <f>'APS Tubes by Date Import'!D37</f>
        <v>0</v>
      </c>
      <c r="AR38" s="56">
        <f>'APS Tubes by Date Import'!E37</f>
        <v>2</v>
      </c>
      <c r="AS38" s="56">
        <f>'APS Tubes by Date Import'!F37</f>
        <v>0</v>
      </c>
      <c r="AT38" s="56">
        <f>'APS Tubes by Date Import'!G37</f>
        <v>0</v>
      </c>
      <c r="AU38" s="43"/>
    </row>
    <row r="39">
      <c r="A39" s="6" t="s">
        <v>64</v>
      </c>
      <c r="B39" s="47">
        <f>VLOOKUP(A39,'Run Reconcile'!A$2:B259,2,FALSE)</f>
        <v>44621</v>
      </c>
      <c r="C39" s="48">
        <f>COUNTIF('ALL Tube Results'!B38:B259, A39)
</f>
        <v>33</v>
      </c>
      <c r="D39" s="49">
        <f>COUNTIFS('ALL Tube Results'!$B38:$B259, $A39, 'ALL Tube Results'!$F38:$F259, "Negative")
</f>
        <v>33</v>
      </c>
      <c r="E39" s="49">
        <f>COUNTIFS('ALL Tube Results'!$B38:$B259, $A39, 'ALL Tube Results'!$F38:$F259, "Positive")
</f>
        <v>0</v>
      </c>
      <c r="F39" s="49">
        <f>COUNTIFS('ALL Tube Results'!$B38:$B259, $A39, 'ALL Tube Results'!$F38:$F259, "Inconclusive")
</f>
        <v>0</v>
      </c>
      <c r="G39" s="50">
        <f t="shared" si="7"/>
        <v>33</v>
      </c>
      <c r="H39" s="50" t="str">
        <f t="shared" si="8"/>
        <v/>
      </c>
      <c r="I39" s="51">
        <f t="shared" si="9"/>
        <v>31</v>
      </c>
      <c r="J39" s="52">
        <f t="shared" si="10"/>
        <v>0</v>
      </c>
      <c r="K39" s="52">
        <f t="shared" si="11"/>
        <v>0</v>
      </c>
      <c r="L39" s="51">
        <f t="shared" si="12"/>
        <v>2</v>
      </c>
      <c r="M39" s="52" t="str">
        <f t="shared" si="13"/>
        <v/>
      </c>
      <c r="N39" s="52" t="str">
        <f t="shared" si="14"/>
        <v/>
      </c>
      <c r="O39" s="53">
        <f t="shared" si="15"/>
        <v>33</v>
      </c>
      <c r="P39" s="53" t="str">
        <f t="shared" si="16"/>
        <v/>
      </c>
      <c r="Q39" s="43"/>
      <c r="R39" s="6" t="s">
        <v>64</v>
      </c>
      <c r="S39" s="55">
        <v>44621.0</v>
      </c>
      <c r="T39" s="56">
        <f>VLOOKUP(R39,'Run Reconcile'!$A$2:$L259,12,FALSE)</f>
        <v>33</v>
      </c>
      <c r="U39" s="57" t="str">
        <f t="shared" si="17"/>
        <v/>
      </c>
      <c r="V39" s="56"/>
      <c r="W39" s="56"/>
      <c r="X39" s="43"/>
      <c r="Y39" s="6" t="str">
        <f>IFERROR(__xludf.DUMMYFUNCTION("""COMPUTED_VALUE"""),"RUN-BEND_2022-03-07_RFR-047")</f>
        <v>RUN-BEND_2022-03-07_RFR-047</v>
      </c>
      <c r="Z39" s="55">
        <f>IFERROR(__xludf.DUMMYFUNCTION("""COMPUTED_VALUE"""),44627.0)</f>
        <v>44627</v>
      </c>
      <c r="AA39" s="51">
        <f t="array" ref="AA39">INDEX('RFR Data - preExcl'!AK$2:AK259,$AE39,1)</f>
        <v>32</v>
      </c>
      <c r="AB39" s="56">
        <f t="shared" si="18"/>
        <v>32</v>
      </c>
      <c r="AC39" s="56">
        <f t="array" ref="AC39">INDEX('RFR Data - preExcl'!AI$2:AI259,$AE39,1)</f>
        <v>0</v>
      </c>
      <c r="AD39" s="56">
        <f t="array" ref="AD39">INDEX('RFR Data - preExcl'!AF$2:AF259,$AE39,1)</f>
        <v>0</v>
      </c>
      <c r="AE39" s="58">
        <f>IFNA(MATCH(Y39,'RFR Data - preExcl'!A$2:A259,0),"")</f>
        <v>47</v>
      </c>
      <c r="AF39" s="43"/>
      <c r="AG39" s="62" t="s">
        <v>64</v>
      </c>
      <c r="AH39" s="60">
        <f>VLOOKUP(AG39,'Run Reconcile'!A$2:B259,2,FALSE)</f>
        <v>44621</v>
      </c>
      <c r="AI39" s="61">
        <f>COUNTIF('APS Tubes Import'!$V$2:$V259, AG39)
</f>
        <v>33</v>
      </c>
      <c r="AJ39" s="61">
        <f>COUNTIFS('APS Tubes Import'!V$2:V259, AG39, 'APS Tubes Import'!H$2:H259, "Negative")
</f>
        <v>33</v>
      </c>
      <c r="AK39" s="61">
        <f>COUNTIFS('APS Tubes Import'!V$2:V259, AG39, 'APS Tubes Import'!H$2:H259, "Positive")
</f>
        <v>0</v>
      </c>
      <c r="AL39" s="61">
        <f>COUNTIFS('APS Tubes Import'!V$2:V259, AG39, 'APS Tubes Import'!H$2:H259, "Inconclusive")
</f>
        <v>0</v>
      </c>
      <c r="AM39" s="61">
        <f>COUNTIFS('APS Tubes Import'!V$2:V259, AG39, 'APS Tubes Import'!H$2:H259, "Null")
</f>
        <v>0</v>
      </c>
      <c r="AN39" s="43"/>
      <c r="AO39" s="55">
        <f>'APS Tubes by Date Import'!B38</f>
        <v>44607</v>
      </c>
      <c r="AP39" s="56">
        <f>'APS Tubes by Date Import'!C38</f>
        <v>33</v>
      </c>
      <c r="AQ39" s="56">
        <f>'APS Tubes by Date Import'!D38</f>
        <v>33</v>
      </c>
      <c r="AR39" s="56">
        <f>'APS Tubes by Date Import'!E38</f>
        <v>0</v>
      </c>
      <c r="AS39" s="56">
        <f>'APS Tubes by Date Import'!F38</f>
        <v>0</v>
      </c>
      <c r="AT39" s="56">
        <f>'APS Tubes by Date Import'!G38</f>
        <v>0</v>
      </c>
      <c r="AU39" s="43"/>
    </row>
    <row r="40">
      <c r="A40" s="6" t="s">
        <v>65</v>
      </c>
      <c r="B40" s="47">
        <f>VLOOKUP(A40,'Run Reconcile'!A$2:B259,2,FALSE)</f>
        <v>44623</v>
      </c>
      <c r="C40" s="48">
        <f>COUNTIF('ALL Tube Results'!B39:B259, A40)
</f>
        <v>35</v>
      </c>
      <c r="D40" s="49">
        <f>COUNTIFS('ALL Tube Results'!$B39:$B259, $A40, 'ALL Tube Results'!$F39:$F259, "Negative")
</f>
        <v>33</v>
      </c>
      <c r="E40" s="49">
        <f>COUNTIFS('ALL Tube Results'!$B39:$B259, $A40, 'ALL Tube Results'!$F39:$F259, "Positive")
</f>
        <v>2</v>
      </c>
      <c r="F40" s="49">
        <f>COUNTIFS('ALL Tube Results'!$B39:$B259, $A40, 'ALL Tube Results'!$F39:$F259, "Inconclusive")
</f>
        <v>0</v>
      </c>
      <c r="G40" s="50">
        <f t="shared" si="7"/>
        <v>35</v>
      </c>
      <c r="H40" s="50" t="str">
        <f t="shared" si="8"/>
        <v/>
      </c>
      <c r="I40" s="51">
        <f t="shared" si="9"/>
        <v>35</v>
      </c>
      <c r="J40" s="52">
        <f t="shared" si="10"/>
        <v>2</v>
      </c>
      <c r="K40" s="52">
        <f t="shared" si="11"/>
        <v>0</v>
      </c>
      <c r="L40" s="51" t="str">
        <f t="shared" si="12"/>
        <v/>
      </c>
      <c r="M40" s="52" t="str">
        <f t="shared" si="13"/>
        <v/>
      </c>
      <c r="N40" s="52" t="str">
        <f t="shared" si="14"/>
        <v/>
      </c>
      <c r="O40" s="53">
        <f t="shared" si="15"/>
        <v>33</v>
      </c>
      <c r="P40" s="53">
        <f t="shared" si="16"/>
        <v>2</v>
      </c>
      <c r="Q40" s="43"/>
      <c r="R40" s="6" t="s">
        <v>65</v>
      </c>
      <c r="S40" s="55">
        <v>44623.0</v>
      </c>
      <c r="T40" s="56">
        <f>VLOOKUP(R40,'Run Reconcile'!$A$2:$L259,12,FALSE)</f>
        <v>35</v>
      </c>
      <c r="U40" s="57" t="str">
        <f t="shared" si="17"/>
        <v/>
      </c>
      <c r="V40" s="56"/>
      <c r="W40" s="56"/>
      <c r="X40" s="43"/>
      <c r="Y40" s="6" t="str">
        <f>IFERROR(__xludf.DUMMYFUNCTION("""COMPUTED_VALUE"""),"RUN-BEND_2022-03-09_RFR-049")</f>
        <v>RUN-BEND_2022-03-09_RFR-049</v>
      </c>
      <c r="Z40" s="55">
        <f>IFERROR(__xludf.DUMMYFUNCTION("""COMPUTED_VALUE"""),44629.0)</f>
        <v>44629</v>
      </c>
      <c r="AA40" s="51">
        <f t="array" ref="AA40">INDEX('RFR Data - preExcl'!AK$2:AK259,$AE40,1)</f>
        <v>27</v>
      </c>
      <c r="AB40" s="56">
        <f t="shared" si="18"/>
        <v>27</v>
      </c>
      <c r="AC40" s="56">
        <f t="array" ref="AC40">INDEX('RFR Data - preExcl'!AI$2:AI259,$AE40,1)</f>
        <v>0</v>
      </c>
      <c r="AD40" s="56">
        <f t="array" ref="AD40">INDEX('RFR Data - preExcl'!AF$2:AF259,$AE40,1)</f>
        <v>0</v>
      </c>
      <c r="AE40" s="58">
        <f>IFNA(MATCH(Y40,'RFR Data - preExcl'!A$2:A259,0),"")</f>
        <v>49</v>
      </c>
      <c r="AF40" s="43"/>
      <c r="AG40" s="62" t="s">
        <v>65</v>
      </c>
      <c r="AH40" s="60">
        <f>VLOOKUP(AG40,'Run Reconcile'!A$2:B259,2,FALSE)</f>
        <v>44623</v>
      </c>
      <c r="AI40" s="61">
        <f>COUNTIF('APS Tubes Import'!$V$2:$V259, AG40)
</f>
        <v>33</v>
      </c>
      <c r="AJ40" s="61">
        <f>COUNTIFS('APS Tubes Import'!V$2:V259, AG40, 'APS Tubes Import'!H$2:H259, "Negative")
</f>
        <v>31</v>
      </c>
      <c r="AK40" s="61">
        <f>COUNTIFS('APS Tubes Import'!V$2:V259, AG40, 'APS Tubes Import'!H$2:H259, "Positive")
</f>
        <v>2</v>
      </c>
      <c r="AL40" s="61">
        <f>COUNTIFS('APS Tubes Import'!V$2:V259, AG40, 'APS Tubes Import'!H$2:H259, "Inconclusive")
</f>
        <v>0</v>
      </c>
      <c r="AM40" s="61">
        <f>COUNTIFS('APS Tubes Import'!V$2:V259, AG40, 'APS Tubes Import'!H$2:H259, "Null")
</f>
        <v>0</v>
      </c>
      <c r="AN40" s="43"/>
      <c r="AO40" s="55">
        <f>'APS Tubes by Date Import'!B39</f>
        <v>44609</v>
      </c>
      <c r="AP40" s="56">
        <f>'APS Tubes by Date Import'!C39</f>
        <v>33</v>
      </c>
      <c r="AQ40" s="56">
        <f>'APS Tubes by Date Import'!D39</f>
        <v>32</v>
      </c>
      <c r="AR40" s="56">
        <f>'APS Tubes by Date Import'!E39</f>
        <v>0</v>
      </c>
      <c r="AS40" s="56">
        <f>'APS Tubes by Date Import'!F39</f>
        <v>1</v>
      </c>
      <c r="AT40" s="56">
        <f>'APS Tubes by Date Import'!G39</f>
        <v>0</v>
      </c>
      <c r="AU40" s="43"/>
    </row>
    <row r="41">
      <c r="A41" s="6" t="s">
        <v>66</v>
      </c>
      <c r="B41" s="47">
        <f>VLOOKUP(A41,'Run Reconcile'!A$2:B259,2,FALSE)</f>
        <v>44625</v>
      </c>
      <c r="C41" s="48">
        <f>COUNTIF('ALL Tube Results'!B40:B259, A41)
</f>
        <v>33</v>
      </c>
      <c r="D41" s="49">
        <f>COUNTIFS('ALL Tube Results'!$B40:$B259, $A41, 'ALL Tube Results'!$F40:$F259, "Negative")
</f>
        <v>32</v>
      </c>
      <c r="E41" s="49">
        <f>COUNTIFS('ALL Tube Results'!$B40:$B259, $A41, 'ALL Tube Results'!$F40:$F259, "Positive")
</f>
        <v>1</v>
      </c>
      <c r="F41" s="49">
        <f>COUNTIFS('ALL Tube Results'!$B40:$B259, $A41, 'ALL Tube Results'!$F40:$F259, "Inconclusive")
</f>
        <v>0</v>
      </c>
      <c r="G41" s="50">
        <f t="shared" si="7"/>
        <v>33</v>
      </c>
      <c r="H41" s="50" t="str">
        <f t="shared" si="8"/>
        <v/>
      </c>
      <c r="I41" s="51">
        <f t="shared" si="9"/>
        <v>33</v>
      </c>
      <c r="J41" s="52">
        <f t="shared" si="10"/>
        <v>1</v>
      </c>
      <c r="K41" s="52">
        <f t="shared" si="11"/>
        <v>0</v>
      </c>
      <c r="L41" s="51" t="str">
        <f t="shared" si="12"/>
        <v/>
      </c>
      <c r="M41" s="52" t="str">
        <f t="shared" si="13"/>
        <v/>
      </c>
      <c r="N41" s="52" t="str">
        <f t="shared" si="14"/>
        <v/>
      </c>
      <c r="O41" s="53">
        <f t="shared" si="15"/>
        <v>33</v>
      </c>
      <c r="P41" s="53" t="str">
        <f t="shared" si="16"/>
        <v/>
      </c>
      <c r="Q41" s="43"/>
      <c r="R41" s="6" t="s">
        <v>66</v>
      </c>
      <c r="S41" s="55">
        <v>44625.0</v>
      </c>
      <c r="T41" s="56">
        <f>VLOOKUP(R41,'Run Reconcile'!$A$2:$L259,12,FALSE)</f>
        <v>33</v>
      </c>
      <c r="U41" s="57" t="str">
        <f t="shared" si="17"/>
        <v/>
      </c>
      <c r="V41" s="56"/>
      <c r="W41" s="56"/>
      <c r="X41" s="43"/>
      <c r="Y41" s="6" t="str">
        <f>IFERROR(__xludf.DUMMYFUNCTION("""COMPUTED_VALUE"""),"RUN-BEND_2022-03-11_RFR-050")</f>
        <v>RUN-BEND_2022-03-11_RFR-050</v>
      </c>
      <c r="Z41" s="55">
        <f>IFERROR(__xludf.DUMMYFUNCTION("""COMPUTED_VALUE"""),44631.0)</f>
        <v>44631</v>
      </c>
      <c r="AA41" s="51">
        <f t="array" ref="AA41">INDEX('RFR Data - preExcl'!AK$2:AK259,$AE41,1)</f>
        <v>30</v>
      </c>
      <c r="AB41" s="56">
        <f t="shared" si="18"/>
        <v>30</v>
      </c>
      <c r="AC41" s="56">
        <f t="array" ref="AC41">INDEX('RFR Data - preExcl'!AI$2:AI259,$AE41,1)</f>
        <v>0</v>
      </c>
      <c r="AD41" s="56">
        <f t="array" ref="AD41">INDEX('RFR Data - preExcl'!AF$2:AF259,$AE41,1)</f>
        <v>0</v>
      </c>
      <c r="AE41" s="58">
        <f>IFNA(MATCH(Y41,'RFR Data - preExcl'!A$2:A259,0),"")</f>
        <v>50</v>
      </c>
      <c r="AF41" s="43"/>
      <c r="AG41" s="62" t="s">
        <v>66</v>
      </c>
      <c r="AH41" s="60">
        <f>VLOOKUP(AG41,'Run Reconcile'!A$2:B259,2,FALSE)</f>
        <v>44625</v>
      </c>
      <c r="AI41" s="61">
        <f>COUNTIF('APS Tubes Import'!$V$2:$V259, AG41)
</f>
        <v>33</v>
      </c>
      <c r="AJ41" s="61">
        <f>COUNTIFS('APS Tubes Import'!V$2:V259, AG41, 'APS Tubes Import'!H$2:H259, "Negative")
</f>
        <v>32</v>
      </c>
      <c r="AK41" s="61">
        <f>COUNTIFS('APS Tubes Import'!V$2:V259, AG41, 'APS Tubes Import'!H$2:H259, "Positive")
</f>
        <v>1</v>
      </c>
      <c r="AL41" s="61">
        <f>COUNTIFS('APS Tubes Import'!V$2:V259, AG41, 'APS Tubes Import'!H$2:H259, "Inconclusive")
</f>
        <v>0</v>
      </c>
      <c r="AM41" s="61">
        <f>COUNTIFS('APS Tubes Import'!V$2:V259, AG41, 'APS Tubes Import'!H$2:H259, "Null")
</f>
        <v>0</v>
      </c>
      <c r="AN41" s="43"/>
      <c r="AO41" s="55">
        <f>'APS Tubes by Date Import'!B40</f>
        <v>44611</v>
      </c>
      <c r="AP41" s="56">
        <f>'APS Tubes by Date Import'!C40</f>
        <v>31</v>
      </c>
      <c r="AQ41" s="56">
        <f>'APS Tubes by Date Import'!D40</f>
        <v>31</v>
      </c>
      <c r="AR41" s="56">
        <f>'APS Tubes by Date Import'!E40</f>
        <v>0</v>
      </c>
      <c r="AS41" s="56">
        <f>'APS Tubes by Date Import'!F40</f>
        <v>0</v>
      </c>
      <c r="AT41" s="56">
        <f>'APS Tubes by Date Import'!G40</f>
        <v>0</v>
      </c>
      <c r="AU41" s="43"/>
    </row>
    <row r="42">
      <c r="A42" s="6" t="s">
        <v>67</v>
      </c>
      <c r="B42" s="47">
        <f>VLOOKUP(A42,'Run Reconcile'!A$2:B259,2,FALSE)</f>
        <v>44627</v>
      </c>
      <c r="C42" s="48">
        <f>COUNTIF('ALL Tube Results'!B41:B259, A42)
</f>
        <v>31</v>
      </c>
      <c r="D42" s="49">
        <f>COUNTIFS('ALL Tube Results'!$B41:$B259, $A42, 'ALL Tube Results'!$F41:$F259, "Negative")
</f>
        <v>31</v>
      </c>
      <c r="E42" s="49">
        <f>COUNTIFS('ALL Tube Results'!$B41:$B259, $A42, 'ALL Tube Results'!$F41:$F259, "Positive")
</f>
        <v>0</v>
      </c>
      <c r="F42" s="49">
        <f>COUNTIFS('ALL Tube Results'!$B41:$B259, $A42, 'ALL Tube Results'!$F41:$F259, "Inconclusive")
</f>
        <v>0</v>
      </c>
      <c r="G42" s="50">
        <f t="shared" si="7"/>
        <v>31</v>
      </c>
      <c r="H42" s="50" t="str">
        <f t="shared" si="8"/>
        <v/>
      </c>
      <c r="I42" s="51">
        <f t="shared" si="9"/>
        <v>32</v>
      </c>
      <c r="J42" s="52">
        <f t="shared" si="10"/>
        <v>0</v>
      </c>
      <c r="K42" s="52">
        <f t="shared" si="11"/>
        <v>0</v>
      </c>
      <c r="L42" s="51">
        <f t="shared" si="12"/>
        <v>-1</v>
      </c>
      <c r="M42" s="52" t="str">
        <f t="shared" si="13"/>
        <v/>
      </c>
      <c r="N42" s="52" t="str">
        <f t="shared" si="14"/>
        <v/>
      </c>
      <c r="O42" s="53">
        <f t="shared" si="15"/>
        <v>31</v>
      </c>
      <c r="P42" s="53" t="str">
        <f t="shared" si="16"/>
        <v/>
      </c>
      <c r="Q42" s="43"/>
      <c r="R42" s="6" t="s">
        <v>67</v>
      </c>
      <c r="S42" s="55">
        <v>44627.0</v>
      </c>
      <c r="T42" s="56">
        <f>VLOOKUP(R42,'Run Reconcile'!$A$2:$L259,12,FALSE)</f>
        <v>31</v>
      </c>
      <c r="U42" s="57" t="str">
        <f t="shared" si="17"/>
        <v/>
      </c>
      <c r="V42" s="56"/>
      <c r="W42" s="56"/>
      <c r="X42" s="43"/>
      <c r="Y42" s="6" t="str">
        <f>IFERROR(__xludf.DUMMYFUNCTION("""COMPUTED_VALUE"""),"RUN-BEND_2022-04-14_RFR-051")</f>
        <v>RUN-BEND_2022-04-14_RFR-051</v>
      </c>
      <c r="Z42" s="55">
        <f>IFERROR(__xludf.DUMMYFUNCTION("""COMPUTED_VALUE"""),44665.0)</f>
        <v>44665</v>
      </c>
      <c r="AA42" s="51">
        <f t="array" ref="AA42">INDEX('RFR Data - preExcl'!AK$2:AK259,$AE42,1)</f>
        <v>1</v>
      </c>
      <c r="AB42" s="56">
        <f t="shared" si="18"/>
        <v>1</v>
      </c>
      <c r="AC42" s="56">
        <f t="array" ref="AC42">INDEX('RFR Data - preExcl'!AI$2:AI259,$AE42,1)</f>
        <v>0</v>
      </c>
      <c r="AD42" s="56">
        <f t="array" ref="AD42">INDEX('RFR Data - preExcl'!AF$2:AF259,$AE42,1)</f>
        <v>0</v>
      </c>
      <c r="AE42" s="58">
        <f>IFNA(MATCH(Y42,'RFR Data - preExcl'!A$2:A259,0),"")</f>
        <v>51</v>
      </c>
      <c r="AF42" s="43"/>
      <c r="AG42" s="62" t="s">
        <v>67</v>
      </c>
      <c r="AH42" s="60">
        <f>VLOOKUP(AG42,'Run Reconcile'!A$2:B259,2,FALSE)</f>
        <v>44627</v>
      </c>
      <c r="AI42" s="61">
        <f>COUNTIF('APS Tubes Import'!$V$2:$V259, AG42)
</f>
        <v>31</v>
      </c>
      <c r="AJ42" s="61">
        <f>COUNTIFS('APS Tubes Import'!V$2:V259, AG42, 'APS Tubes Import'!H$2:H259, "Negative")
</f>
        <v>31</v>
      </c>
      <c r="AK42" s="61">
        <f>COUNTIFS('APS Tubes Import'!V$2:V259, AG42, 'APS Tubes Import'!H$2:H259, "Positive")
</f>
        <v>0</v>
      </c>
      <c r="AL42" s="61">
        <f>COUNTIFS('APS Tubes Import'!V$2:V259, AG42, 'APS Tubes Import'!H$2:H259, "Inconclusive")
</f>
        <v>0</v>
      </c>
      <c r="AM42" s="61">
        <f>COUNTIFS('APS Tubes Import'!V$2:V259, AG42, 'APS Tubes Import'!H$2:H259, "Null")
</f>
        <v>0</v>
      </c>
      <c r="AN42" s="43"/>
      <c r="AO42" s="55">
        <f>'APS Tubes by Date Import'!B41</f>
        <v>44613</v>
      </c>
      <c r="AP42" s="56">
        <f>'APS Tubes by Date Import'!C41</f>
        <v>28</v>
      </c>
      <c r="AQ42" s="56">
        <f>'APS Tubes by Date Import'!D41</f>
        <v>28</v>
      </c>
      <c r="AR42" s="56">
        <f>'APS Tubes by Date Import'!E41</f>
        <v>0</v>
      </c>
      <c r="AS42" s="56">
        <f>'APS Tubes by Date Import'!F41</f>
        <v>0</v>
      </c>
      <c r="AT42" s="56">
        <f>'APS Tubes by Date Import'!G41</f>
        <v>0</v>
      </c>
      <c r="AU42" s="43"/>
    </row>
    <row r="43">
      <c r="A43" s="6" t="s">
        <v>68</v>
      </c>
      <c r="B43" s="47">
        <f>VLOOKUP(A43,'Run Reconcile'!A$2:B259,2,FALSE)</f>
        <v>44629</v>
      </c>
      <c r="C43" s="48">
        <f>COUNTIF('ALL Tube Results'!B42:B259, A43)
</f>
        <v>27</v>
      </c>
      <c r="D43" s="49">
        <f>COUNTIFS('ALL Tube Results'!$B42:$B259, $A43, 'ALL Tube Results'!$F42:$F259, "Negative")
</f>
        <v>27</v>
      </c>
      <c r="E43" s="49">
        <f>COUNTIFS('ALL Tube Results'!$B42:$B259, $A43, 'ALL Tube Results'!$F42:$F259, "Positive")
</f>
        <v>0</v>
      </c>
      <c r="F43" s="49">
        <f>COUNTIFS('ALL Tube Results'!$B42:$B259, $A43, 'ALL Tube Results'!$F42:$F259, "Inconclusive")
</f>
        <v>0</v>
      </c>
      <c r="G43" s="50">
        <f t="shared" si="7"/>
        <v>27</v>
      </c>
      <c r="H43" s="50" t="str">
        <f t="shared" si="8"/>
        <v/>
      </c>
      <c r="I43" s="51">
        <f t="shared" si="9"/>
        <v>27</v>
      </c>
      <c r="J43" s="52">
        <f t="shared" si="10"/>
        <v>0</v>
      </c>
      <c r="K43" s="52">
        <f t="shared" si="11"/>
        <v>0</v>
      </c>
      <c r="L43" s="51" t="str">
        <f t="shared" si="12"/>
        <v/>
      </c>
      <c r="M43" s="52" t="str">
        <f t="shared" si="13"/>
        <v/>
      </c>
      <c r="N43" s="52" t="str">
        <f t="shared" si="14"/>
        <v/>
      </c>
      <c r="O43" s="53">
        <f t="shared" si="15"/>
        <v>27</v>
      </c>
      <c r="P43" s="53" t="str">
        <f t="shared" si="16"/>
        <v/>
      </c>
      <c r="Q43" s="43"/>
      <c r="R43" s="6" t="s">
        <v>68</v>
      </c>
      <c r="S43" s="55">
        <v>44629.0</v>
      </c>
      <c r="T43" s="56">
        <f>VLOOKUP(R43,'Run Reconcile'!$A$2:$L259,12,FALSE)</f>
        <v>27</v>
      </c>
      <c r="U43" s="57" t="str">
        <f t="shared" si="17"/>
        <v/>
      </c>
      <c r="V43" s="56"/>
      <c r="W43" s="56"/>
      <c r="X43" s="43"/>
      <c r="Y43" s="6" t="str">
        <f>IFERROR(__xludf.DUMMYFUNCTION("""COMPUTED_VALUE"""),"RUN-BEND_2022-05-11_RFR-052")</f>
        <v>RUN-BEND_2022-05-11_RFR-052</v>
      </c>
      <c r="Z43" s="55">
        <f>IFERROR(__xludf.DUMMYFUNCTION("""COMPUTED_VALUE"""),44692.0)</f>
        <v>44692</v>
      </c>
      <c r="AA43" s="51">
        <f t="array" ref="AA43">INDEX('RFR Data - preExcl'!AK$2:AK259,$AE43,1)</f>
        <v>9</v>
      </c>
      <c r="AB43" s="56">
        <f t="shared" si="18"/>
        <v>9</v>
      </c>
      <c r="AC43" s="56">
        <f t="array" ref="AC43">INDEX('RFR Data - preExcl'!AI$2:AI259,$AE43,1)</f>
        <v>0</v>
      </c>
      <c r="AD43" s="56">
        <f t="array" ref="AD43">INDEX('RFR Data - preExcl'!AF$2:AF259,$AE43,1)</f>
        <v>0</v>
      </c>
      <c r="AE43" s="58">
        <f>IFNA(MATCH(Y43,'RFR Data - preExcl'!A$2:A259,0),"")</f>
        <v>52</v>
      </c>
      <c r="AF43" s="43"/>
      <c r="AG43" s="62" t="s">
        <v>68</v>
      </c>
      <c r="AH43" s="60">
        <f>VLOOKUP(AG43,'Run Reconcile'!A$2:B259,2,FALSE)</f>
        <v>44629</v>
      </c>
      <c r="AI43" s="61">
        <f>COUNTIF('APS Tubes Import'!$V$2:$V259, AG43)
</f>
        <v>27</v>
      </c>
      <c r="AJ43" s="61">
        <f>COUNTIFS('APS Tubes Import'!V$2:V259, AG43, 'APS Tubes Import'!H$2:H259, "Negative")
</f>
        <v>27</v>
      </c>
      <c r="AK43" s="61">
        <f>COUNTIFS('APS Tubes Import'!V$2:V259, AG43, 'APS Tubes Import'!H$2:H259, "Positive")
</f>
        <v>0</v>
      </c>
      <c r="AL43" s="61">
        <f>COUNTIFS('APS Tubes Import'!V$2:V259, AG43, 'APS Tubes Import'!H$2:H259, "Inconclusive")
</f>
        <v>0</v>
      </c>
      <c r="AM43" s="61">
        <f>COUNTIFS('APS Tubes Import'!V$2:V259, AG43, 'APS Tubes Import'!H$2:H259, "Null")
</f>
        <v>0</v>
      </c>
      <c r="AN43" s="43"/>
      <c r="AO43" s="55">
        <f>'APS Tubes by Date Import'!B42</f>
        <v>44614</v>
      </c>
      <c r="AP43" s="56">
        <f>'APS Tubes by Date Import'!C42</f>
        <v>1</v>
      </c>
      <c r="AQ43" s="56">
        <f>'APS Tubes by Date Import'!D42</f>
        <v>0</v>
      </c>
      <c r="AR43" s="56">
        <f>'APS Tubes by Date Import'!E42</f>
        <v>1</v>
      </c>
      <c r="AS43" s="56">
        <f>'APS Tubes by Date Import'!F42</f>
        <v>0</v>
      </c>
      <c r="AT43" s="56">
        <f>'APS Tubes by Date Import'!G42</f>
        <v>0</v>
      </c>
      <c r="AU43" s="43"/>
    </row>
    <row r="44">
      <c r="A44" s="6" t="s">
        <v>69</v>
      </c>
      <c r="B44" s="47">
        <f>VLOOKUP(A44,'Run Reconcile'!A$2:B259,2,FALSE)</f>
        <v>44631</v>
      </c>
      <c r="C44" s="48">
        <f>COUNTIF('ALL Tube Results'!B43:B259, A44)
</f>
        <v>28</v>
      </c>
      <c r="D44" s="49">
        <f>COUNTIFS('ALL Tube Results'!$B43:$B259, $A44, 'ALL Tube Results'!$F43:$F259, "Negative")
</f>
        <v>28</v>
      </c>
      <c r="E44" s="49">
        <f>COUNTIFS('ALL Tube Results'!$B43:$B259, $A44, 'ALL Tube Results'!$F43:$F259, "Positive")
</f>
        <v>0</v>
      </c>
      <c r="F44" s="49">
        <f>COUNTIFS('ALL Tube Results'!$B43:$B259, $A44, 'ALL Tube Results'!$F43:$F259, "Inconclusive")
</f>
        <v>0</v>
      </c>
      <c r="G44" s="50">
        <f t="shared" si="7"/>
        <v>28</v>
      </c>
      <c r="H44" s="50" t="str">
        <f t="shared" si="8"/>
        <v/>
      </c>
      <c r="I44" s="51">
        <f t="shared" si="9"/>
        <v>30</v>
      </c>
      <c r="J44" s="52">
        <f t="shared" si="10"/>
        <v>0</v>
      </c>
      <c r="K44" s="52">
        <f t="shared" si="11"/>
        <v>0</v>
      </c>
      <c r="L44" s="51">
        <f t="shared" si="12"/>
        <v>-2</v>
      </c>
      <c r="M44" s="52" t="str">
        <f t="shared" si="13"/>
        <v/>
      </c>
      <c r="N44" s="52" t="str">
        <f t="shared" si="14"/>
        <v/>
      </c>
      <c r="O44" s="53">
        <f t="shared" si="15"/>
        <v>28</v>
      </c>
      <c r="P44" s="53" t="str">
        <f t="shared" si="16"/>
        <v/>
      </c>
      <c r="Q44" s="43"/>
      <c r="R44" s="6" t="s">
        <v>69</v>
      </c>
      <c r="S44" s="55">
        <v>44631.0</v>
      </c>
      <c r="T44" s="56">
        <f>VLOOKUP(R44,'Run Reconcile'!$A$2:$L259,12,FALSE)</f>
        <v>28</v>
      </c>
      <c r="U44" s="57" t="str">
        <f t="shared" si="17"/>
        <v/>
      </c>
      <c r="V44" s="56"/>
      <c r="W44" s="56"/>
      <c r="X44" s="43"/>
      <c r="AA44" s="56"/>
      <c r="AB44" s="56"/>
      <c r="AC44" s="56"/>
      <c r="AD44" s="56"/>
      <c r="AE44" s="58"/>
      <c r="AF44" s="43"/>
      <c r="AG44" s="62" t="s">
        <v>69</v>
      </c>
      <c r="AH44" s="60">
        <f>VLOOKUP(AG44,'Run Reconcile'!A$2:B259,2,FALSE)</f>
        <v>44631</v>
      </c>
      <c r="AI44" s="61">
        <f>COUNTIF('APS Tubes Import'!$V$2:$V259, AG44)
</f>
        <v>28</v>
      </c>
      <c r="AJ44" s="61">
        <f>COUNTIFS('APS Tubes Import'!V$2:V259, AG44, 'APS Tubes Import'!H$2:H259, "Negative")
</f>
        <v>28</v>
      </c>
      <c r="AK44" s="61">
        <f>COUNTIFS('APS Tubes Import'!V$2:V259, AG44, 'APS Tubes Import'!H$2:H259, "Positive")
</f>
        <v>0</v>
      </c>
      <c r="AL44" s="61">
        <f>COUNTIFS('APS Tubes Import'!V$2:V259, AG44, 'APS Tubes Import'!H$2:H259, "Inconclusive")
</f>
        <v>0</v>
      </c>
      <c r="AM44" s="61">
        <f>COUNTIFS('APS Tubes Import'!V$2:V259, AG44, 'APS Tubes Import'!H$2:H259, "Null")
</f>
        <v>0</v>
      </c>
      <c r="AN44" s="43"/>
      <c r="AO44" s="55">
        <f>'APS Tubes by Date Import'!B43</f>
        <v>44615</v>
      </c>
      <c r="AP44" s="56">
        <f>'APS Tubes by Date Import'!C43</f>
        <v>34</v>
      </c>
      <c r="AQ44" s="56">
        <f>'APS Tubes by Date Import'!D43</f>
        <v>34</v>
      </c>
      <c r="AR44" s="56">
        <f>'APS Tubes by Date Import'!E43</f>
        <v>0</v>
      </c>
      <c r="AS44" s="56">
        <f>'APS Tubes by Date Import'!F43</f>
        <v>0</v>
      </c>
      <c r="AT44" s="56">
        <f>'APS Tubes by Date Import'!G43</f>
        <v>0</v>
      </c>
      <c r="AU44" s="43"/>
    </row>
    <row r="45">
      <c r="A45" s="6" t="s">
        <v>70</v>
      </c>
      <c r="B45" s="47">
        <f>VLOOKUP(A45,'Run Reconcile'!A$2:B259,2,FALSE)</f>
        <v>44665</v>
      </c>
      <c r="C45" s="48">
        <f>COUNTIF('ALL Tube Results'!B44:B259, A45)
</f>
        <v>1</v>
      </c>
      <c r="D45" s="49">
        <f>COUNTIFS('ALL Tube Results'!$B44:$B259, $A45, 'ALL Tube Results'!$F44:$F259, "Negative")
</f>
        <v>1</v>
      </c>
      <c r="E45" s="49">
        <f>COUNTIFS('ALL Tube Results'!$B44:$B259, $A45, 'ALL Tube Results'!$F44:$F259, "Positive")
</f>
        <v>0</v>
      </c>
      <c r="F45" s="49">
        <f>COUNTIFS('ALL Tube Results'!$B44:$B259, $A45, 'ALL Tube Results'!$F44:$F259, "Inconclusive")
</f>
        <v>0</v>
      </c>
      <c r="G45" s="50">
        <f t="shared" si="7"/>
        <v>1</v>
      </c>
      <c r="H45" s="50" t="str">
        <f t="shared" si="8"/>
        <v/>
      </c>
      <c r="I45" s="51">
        <f t="shared" si="9"/>
        <v>1</v>
      </c>
      <c r="J45" s="52">
        <f t="shared" si="10"/>
        <v>0</v>
      </c>
      <c r="K45" s="52">
        <f t="shared" si="11"/>
        <v>0</v>
      </c>
      <c r="L45" s="51" t="str">
        <f t="shared" si="12"/>
        <v/>
      </c>
      <c r="M45" s="52" t="str">
        <f t="shared" si="13"/>
        <v/>
      </c>
      <c r="N45" s="52" t="str">
        <f t="shared" si="14"/>
        <v/>
      </c>
      <c r="O45" s="53">
        <f t="shared" si="15"/>
        <v>1</v>
      </c>
      <c r="P45" s="53" t="str">
        <f t="shared" si="16"/>
        <v/>
      </c>
      <c r="Q45" s="43"/>
      <c r="R45" s="6" t="s">
        <v>70</v>
      </c>
      <c r="S45" s="55">
        <v>44665.0</v>
      </c>
      <c r="T45" s="56">
        <f>VLOOKUP(R45,'Run Reconcile'!$A$2:$L259,12,FALSE)</f>
        <v>1</v>
      </c>
      <c r="U45" s="57" t="str">
        <f t="shared" si="17"/>
        <v/>
      </c>
      <c r="V45" s="56"/>
      <c r="W45" s="56"/>
      <c r="X45" s="43"/>
      <c r="AA45" s="56"/>
      <c r="AB45" s="56"/>
      <c r="AC45" s="56"/>
      <c r="AD45" s="56"/>
      <c r="AE45" s="58"/>
      <c r="AF45" s="43"/>
      <c r="AG45" s="62" t="s">
        <v>70</v>
      </c>
      <c r="AH45" s="60">
        <f>VLOOKUP(AG45,'Run Reconcile'!A$2:B259,2,FALSE)</f>
        <v>44665</v>
      </c>
      <c r="AI45" s="61">
        <f>COUNTIF('APS Tubes Import'!$V$2:$V259, AG45)
</f>
        <v>1</v>
      </c>
      <c r="AJ45" s="61">
        <f>COUNTIFS('APS Tubes Import'!V$2:V259, AG45, 'APS Tubes Import'!H$2:H259, "Negative")
</f>
        <v>1</v>
      </c>
      <c r="AK45" s="61">
        <f>COUNTIFS('APS Tubes Import'!V$2:V259, AG45, 'APS Tubes Import'!H$2:H259, "Positive")
</f>
        <v>0</v>
      </c>
      <c r="AL45" s="61">
        <f>COUNTIFS('APS Tubes Import'!V$2:V259, AG45, 'APS Tubes Import'!H$2:H259, "Inconclusive")
</f>
        <v>0</v>
      </c>
      <c r="AM45" s="61">
        <f>COUNTIFS('APS Tubes Import'!V$2:V259, AG45, 'APS Tubes Import'!H$2:H259, "Null")
</f>
        <v>0</v>
      </c>
      <c r="AN45" s="43"/>
      <c r="AO45" s="55">
        <f>'APS Tubes by Date Import'!B44</f>
        <v>44617</v>
      </c>
      <c r="AP45" s="56">
        <f>'APS Tubes by Date Import'!C44</f>
        <v>33</v>
      </c>
      <c r="AQ45" s="56">
        <f>'APS Tubes by Date Import'!D44</f>
        <v>33</v>
      </c>
      <c r="AR45" s="56">
        <f>'APS Tubes by Date Import'!E44</f>
        <v>0</v>
      </c>
      <c r="AS45" s="56">
        <f>'APS Tubes by Date Import'!F44</f>
        <v>0</v>
      </c>
      <c r="AT45" s="56">
        <f>'APS Tubes by Date Import'!G44</f>
        <v>0</v>
      </c>
      <c r="AU45" s="43"/>
    </row>
    <row r="46">
      <c r="A46" s="6" t="s">
        <v>71</v>
      </c>
      <c r="B46" s="47">
        <f>VLOOKUP(A46,'Run Reconcile'!A$2:B259,2,FALSE)</f>
        <v>44692</v>
      </c>
      <c r="C46" s="48">
        <f>COUNTIF('ALL Tube Results'!B45:B259, A46)
</f>
        <v>9</v>
      </c>
      <c r="D46" s="49">
        <f>COUNTIFS('ALL Tube Results'!$B45:$B259, $A46, 'ALL Tube Results'!$F45:$F259, "Negative")
</f>
        <v>9</v>
      </c>
      <c r="E46" s="49">
        <f>COUNTIFS('ALL Tube Results'!$B45:$B259, $A46, 'ALL Tube Results'!$F45:$F259, "Positive")
</f>
        <v>0</v>
      </c>
      <c r="F46" s="49">
        <f>COUNTIFS('ALL Tube Results'!$B45:$B259, $A46, 'ALL Tube Results'!$F45:$F259, "Inconclusive")
</f>
        <v>0</v>
      </c>
      <c r="G46" s="50">
        <f t="shared" si="7"/>
        <v>9</v>
      </c>
      <c r="H46" s="50" t="str">
        <f t="shared" si="8"/>
        <v/>
      </c>
      <c r="I46" s="51">
        <f t="shared" si="9"/>
        <v>9</v>
      </c>
      <c r="J46" s="52">
        <f t="shared" si="10"/>
        <v>0</v>
      </c>
      <c r="K46" s="52">
        <f t="shared" si="11"/>
        <v>0</v>
      </c>
      <c r="L46" s="51" t="str">
        <f t="shared" si="12"/>
        <v/>
      </c>
      <c r="M46" s="52" t="str">
        <f t="shared" si="13"/>
        <v/>
      </c>
      <c r="N46" s="52" t="str">
        <f t="shared" si="14"/>
        <v/>
      </c>
      <c r="O46" s="53">
        <f t="shared" si="15"/>
        <v>9</v>
      </c>
      <c r="P46" s="53" t="str">
        <f t="shared" si="16"/>
        <v/>
      </c>
      <c r="Q46" s="43"/>
      <c r="R46" s="6" t="s">
        <v>71</v>
      </c>
      <c r="S46" s="55">
        <v>44692.0</v>
      </c>
      <c r="T46" s="56">
        <f>VLOOKUP(R46,'Run Reconcile'!$A$2:$L259,12,FALSE)</f>
        <v>9</v>
      </c>
      <c r="U46" s="57" t="str">
        <f t="shared" si="17"/>
        <v/>
      </c>
      <c r="V46" s="56"/>
      <c r="W46" s="56"/>
      <c r="X46" s="43"/>
      <c r="AA46" s="56"/>
      <c r="AB46" s="56"/>
      <c r="AC46" s="56"/>
      <c r="AD46" s="56"/>
      <c r="AE46" s="58"/>
      <c r="AF46" s="43"/>
      <c r="AG46" s="62" t="s">
        <v>71</v>
      </c>
      <c r="AH46" s="60">
        <f>VLOOKUP(AG46,'Run Reconcile'!A$2:B259,2,FALSE)</f>
        <v>44692</v>
      </c>
      <c r="AI46" s="61">
        <f>COUNTIF('APS Tubes Import'!$V$2:$V259, AG46)
</f>
        <v>9</v>
      </c>
      <c r="AJ46" s="61">
        <f>COUNTIFS('APS Tubes Import'!V$2:V259, AG46, 'APS Tubes Import'!H$2:H259, "Negative")
</f>
        <v>9</v>
      </c>
      <c r="AK46" s="61">
        <f>COUNTIFS('APS Tubes Import'!V$2:V259, AG46, 'APS Tubes Import'!H$2:H259, "Positive")
</f>
        <v>0</v>
      </c>
      <c r="AL46" s="61">
        <f>COUNTIFS('APS Tubes Import'!V$2:V259, AG46, 'APS Tubes Import'!H$2:H259, "Inconclusive")
</f>
        <v>0</v>
      </c>
      <c r="AM46" s="61">
        <f>COUNTIFS('APS Tubes Import'!V$2:V259, AG46, 'APS Tubes Import'!H$2:H259, "Null")
</f>
        <v>0</v>
      </c>
      <c r="AN46" s="43"/>
      <c r="AO46" s="55">
        <f>'APS Tubes by Date Import'!B45</f>
        <v>44619</v>
      </c>
      <c r="AP46" s="56">
        <f>'APS Tubes by Date Import'!C45</f>
        <v>32</v>
      </c>
      <c r="AQ46" s="56">
        <f>'APS Tubes by Date Import'!D45</f>
        <v>30</v>
      </c>
      <c r="AR46" s="56">
        <f>'APS Tubes by Date Import'!E45</f>
        <v>2</v>
      </c>
      <c r="AS46" s="56">
        <f>'APS Tubes by Date Import'!F45</f>
        <v>0</v>
      </c>
      <c r="AT46" s="56">
        <f>'APS Tubes by Date Import'!G45</f>
        <v>0</v>
      </c>
      <c r="AU46" s="43"/>
    </row>
    <row r="47">
      <c r="A47" s="6"/>
      <c r="B47" s="56"/>
      <c r="C47" s="56"/>
      <c r="D47" s="56"/>
      <c r="E47" s="56"/>
      <c r="F47" s="56"/>
      <c r="G47" s="56"/>
      <c r="H47" s="56"/>
      <c r="I47" s="56"/>
      <c r="J47" s="56"/>
      <c r="K47" s="56"/>
      <c r="L47" s="56"/>
      <c r="M47" s="56"/>
      <c r="N47" s="56"/>
      <c r="O47" s="66"/>
      <c r="P47" s="66"/>
      <c r="Q47" s="43"/>
      <c r="R47" s="6"/>
      <c r="S47" s="67">
        <v>44549.0</v>
      </c>
      <c r="T47" s="56"/>
      <c r="U47" s="56" t="str">
        <f t="shared" ref="U47:U79" si="19">IF(T47=C47,IFERROR(0/0,""),T47-C47)</f>
        <v/>
      </c>
      <c r="V47" s="56"/>
      <c r="W47" s="56"/>
      <c r="X47" s="43"/>
      <c r="AA47" s="56"/>
      <c r="AB47" s="56"/>
      <c r="AC47" s="56"/>
      <c r="AD47" s="56"/>
      <c r="AE47" s="58"/>
      <c r="AF47" s="43"/>
      <c r="AG47" s="62"/>
      <c r="AN47" s="43"/>
      <c r="AO47" s="55">
        <f>'APS Tubes by Date Import'!B46</f>
        <v>44621</v>
      </c>
      <c r="AP47" s="56">
        <f>'APS Tubes by Date Import'!C46</f>
        <v>33</v>
      </c>
      <c r="AQ47" s="56">
        <f>'APS Tubes by Date Import'!D46</f>
        <v>33</v>
      </c>
      <c r="AR47" s="56">
        <f>'APS Tubes by Date Import'!E46</f>
        <v>0</v>
      </c>
      <c r="AS47" s="56">
        <f>'APS Tubes by Date Import'!F46</f>
        <v>0</v>
      </c>
      <c r="AT47" s="56">
        <f>'APS Tubes by Date Import'!G46</f>
        <v>0</v>
      </c>
      <c r="AU47" s="43"/>
    </row>
    <row r="48">
      <c r="B48" s="56"/>
      <c r="C48" s="56"/>
      <c r="D48" s="56"/>
      <c r="E48" s="56"/>
      <c r="F48" s="56"/>
      <c r="G48" s="56"/>
      <c r="H48" s="56"/>
      <c r="I48" s="56"/>
      <c r="J48" s="56"/>
      <c r="K48" s="56"/>
      <c r="L48" s="56"/>
      <c r="M48" s="56"/>
      <c r="N48" s="56"/>
      <c r="O48" s="66"/>
      <c r="P48" s="66"/>
      <c r="Q48" s="43"/>
      <c r="R48" s="6"/>
      <c r="S48" s="67">
        <v>44551.0</v>
      </c>
      <c r="T48" s="56"/>
      <c r="U48" s="56" t="str">
        <f t="shared" si="19"/>
        <v/>
      </c>
      <c r="V48" s="56"/>
      <c r="W48" s="56"/>
      <c r="X48" s="43"/>
      <c r="AA48" s="56"/>
      <c r="AB48" s="56"/>
      <c r="AC48" s="56"/>
      <c r="AD48" s="56"/>
      <c r="AE48" s="58"/>
      <c r="AF48" s="43"/>
      <c r="AN48" s="43"/>
      <c r="AO48" s="55">
        <f>'APS Tubes by Date Import'!B47</f>
        <v>44623</v>
      </c>
      <c r="AP48" s="56">
        <f>'APS Tubes by Date Import'!C47</f>
        <v>33</v>
      </c>
      <c r="AQ48" s="56">
        <f>'APS Tubes by Date Import'!D47</f>
        <v>31</v>
      </c>
      <c r="AR48" s="56">
        <f>'APS Tubes by Date Import'!E47</f>
        <v>2</v>
      </c>
      <c r="AS48" s="56">
        <f>'APS Tubes by Date Import'!F47</f>
        <v>0</v>
      </c>
      <c r="AT48" s="56">
        <f>'APS Tubes by Date Import'!G47</f>
        <v>0</v>
      </c>
      <c r="AU48" s="43"/>
    </row>
    <row r="49">
      <c r="B49" s="56"/>
      <c r="C49" s="56"/>
      <c r="D49" s="56"/>
      <c r="E49" s="56"/>
      <c r="F49" s="56"/>
      <c r="G49" s="56"/>
      <c r="H49" s="56"/>
      <c r="I49" s="56"/>
      <c r="J49" s="56"/>
      <c r="K49" s="56"/>
      <c r="L49" s="56"/>
      <c r="M49" s="56"/>
      <c r="N49" s="56"/>
      <c r="O49" s="66"/>
      <c r="P49" s="66"/>
      <c r="Q49" s="43"/>
      <c r="R49" s="6"/>
      <c r="S49" s="67">
        <v>44556.0</v>
      </c>
      <c r="T49" s="56"/>
      <c r="U49" s="56" t="str">
        <f t="shared" si="19"/>
        <v/>
      </c>
      <c r="V49" s="56"/>
      <c r="W49" s="56"/>
      <c r="X49" s="43"/>
      <c r="AA49" s="56"/>
      <c r="AB49" s="56"/>
      <c r="AC49" s="56"/>
      <c r="AD49" s="56"/>
      <c r="AE49" s="58"/>
      <c r="AF49" s="43"/>
      <c r="AN49" s="43"/>
      <c r="AO49" s="55">
        <f>'APS Tubes by Date Import'!B48</f>
        <v>44625</v>
      </c>
      <c r="AP49" s="56">
        <f>'APS Tubes by Date Import'!C48</f>
        <v>34</v>
      </c>
      <c r="AQ49" s="56">
        <f>'APS Tubes by Date Import'!D48</f>
        <v>33</v>
      </c>
      <c r="AR49" s="56">
        <f>'APS Tubes by Date Import'!E48</f>
        <v>1</v>
      </c>
      <c r="AS49" s="56">
        <f>'APS Tubes by Date Import'!F48</f>
        <v>0</v>
      </c>
      <c r="AT49" s="56">
        <f>'APS Tubes by Date Import'!G48</f>
        <v>0</v>
      </c>
      <c r="AU49" s="43"/>
    </row>
    <row r="50">
      <c r="B50" s="56"/>
      <c r="C50" s="56"/>
      <c r="D50" s="56"/>
      <c r="E50" s="56"/>
      <c r="F50" s="56"/>
      <c r="G50" s="56"/>
      <c r="H50" s="56"/>
      <c r="I50" s="56"/>
      <c r="J50" s="56"/>
      <c r="K50" s="56"/>
      <c r="L50" s="56"/>
      <c r="M50" s="56"/>
      <c r="N50" s="56"/>
      <c r="O50" s="66"/>
      <c r="P50" s="66"/>
      <c r="Q50" s="43"/>
      <c r="R50" s="6"/>
      <c r="S50" s="67">
        <v>44565.0</v>
      </c>
      <c r="T50" s="56"/>
      <c r="U50" s="56" t="str">
        <f t="shared" si="19"/>
        <v/>
      </c>
      <c r="V50" s="56"/>
      <c r="W50" s="56"/>
      <c r="X50" s="43"/>
      <c r="AA50" s="56"/>
      <c r="AB50" s="56"/>
      <c r="AC50" s="56"/>
      <c r="AD50" s="56"/>
      <c r="AE50" s="58"/>
      <c r="AF50" s="43"/>
      <c r="AN50" s="43"/>
      <c r="AO50" s="55">
        <f>'APS Tubes by Date Import'!B49</f>
        <v>44627</v>
      </c>
      <c r="AP50" s="56">
        <f>'APS Tubes by Date Import'!C49</f>
        <v>30</v>
      </c>
      <c r="AQ50" s="56">
        <f>'APS Tubes by Date Import'!D49</f>
        <v>30</v>
      </c>
      <c r="AR50" s="56">
        <f>'APS Tubes by Date Import'!E49</f>
        <v>0</v>
      </c>
      <c r="AS50" s="56">
        <f>'APS Tubes by Date Import'!F49</f>
        <v>0</v>
      </c>
      <c r="AT50" s="56">
        <f>'APS Tubes by Date Import'!G49</f>
        <v>0</v>
      </c>
      <c r="AU50" s="43"/>
    </row>
    <row r="51">
      <c r="B51" s="56"/>
      <c r="C51" s="56"/>
      <c r="D51" s="56"/>
      <c r="E51" s="56"/>
      <c r="F51" s="56"/>
      <c r="G51" s="56"/>
      <c r="H51" s="56"/>
      <c r="I51" s="56"/>
      <c r="J51" s="56"/>
      <c r="K51" s="56"/>
      <c r="L51" s="56"/>
      <c r="M51" s="56"/>
      <c r="N51" s="56"/>
      <c r="O51" s="66"/>
      <c r="P51" s="66"/>
      <c r="Q51" s="43"/>
      <c r="R51" s="6"/>
      <c r="S51" s="67">
        <v>44567.0</v>
      </c>
      <c r="T51" s="56"/>
      <c r="U51" s="56" t="str">
        <f t="shared" si="19"/>
        <v/>
      </c>
      <c r="V51" s="56"/>
      <c r="W51" s="56"/>
      <c r="X51" s="43"/>
      <c r="AA51" s="56"/>
      <c r="AB51" s="56"/>
      <c r="AC51" s="56"/>
      <c r="AD51" s="56"/>
      <c r="AE51" s="58"/>
      <c r="AF51" s="43"/>
      <c r="AN51" s="43"/>
      <c r="AO51" s="55">
        <f>'APS Tubes by Date Import'!B50</f>
        <v>44629</v>
      </c>
      <c r="AP51" s="56">
        <f>'APS Tubes by Date Import'!C50</f>
        <v>27</v>
      </c>
      <c r="AQ51" s="56">
        <f>'APS Tubes by Date Import'!D50</f>
        <v>27</v>
      </c>
      <c r="AR51" s="56">
        <f>'APS Tubes by Date Import'!E50</f>
        <v>0</v>
      </c>
      <c r="AS51" s="56">
        <f>'APS Tubes by Date Import'!F50</f>
        <v>0</v>
      </c>
      <c r="AT51" s="56">
        <f>'APS Tubes by Date Import'!G50</f>
        <v>0</v>
      </c>
      <c r="AU51" s="43"/>
    </row>
    <row r="52">
      <c r="B52" s="56"/>
      <c r="C52" s="56"/>
      <c r="D52" s="56"/>
      <c r="E52" s="56"/>
      <c r="F52" s="56"/>
      <c r="G52" s="56"/>
      <c r="H52" s="56"/>
      <c r="I52" s="56"/>
      <c r="J52" s="56"/>
      <c r="K52" s="56"/>
      <c r="L52" s="56"/>
      <c r="M52" s="56"/>
      <c r="N52" s="56"/>
      <c r="O52" s="66"/>
      <c r="P52" s="66"/>
      <c r="Q52" s="43"/>
      <c r="R52" s="6"/>
      <c r="S52" s="67">
        <v>44574.0</v>
      </c>
      <c r="T52" s="56"/>
      <c r="U52" s="56" t="str">
        <f t="shared" si="19"/>
        <v/>
      </c>
      <c r="V52" s="56"/>
      <c r="W52" s="56"/>
      <c r="X52" s="43"/>
      <c r="AA52" s="56"/>
      <c r="AB52" s="56"/>
      <c r="AC52" s="56"/>
      <c r="AD52" s="56"/>
      <c r="AE52" s="58"/>
      <c r="AF52" s="43"/>
      <c r="AN52" s="43"/>
      <c r="AO52" s="55">
        <f>'APS Tubes by Date Import'!B51</f>
        <v>44631</v>
      </c>
      <c r="AP52" s="56">
        <f>'APS Tubes by Date Import'!C51</f>
        <v>28</v>
      </c>
      <c r="AQ52" s="56">
        <f>'APS Tubes by Date Import'!D51</f>
        <v>28</v>
      </c>
      <c r="AR52" s="56">
        <f>'APS Tubes by Date Import'!E51</f>
        <v>0</v>
      </c>
      <c r="AS52" s="56">
        <f>'APS Tubes by Date Import'!F51</f>
        <v>0</v>
      </c>
      <c r="AT52" s="56">
        <f>'APS Tubes by Date Import'!G51</f>
        <v>0</v>
      </c>
      <c r="AU52" s="43"/>
    </row>
    <row r="53">
      <c r="B53" s="56"/>
      <c r="C53" s="56"/>
      <c r="D53" s="56"/>
      <c r="E53" s="56"/>
      <c r="F53" s="56"/>
      <c r="G53" s="56"/>
      <c r="H53" s="56"/>
      <c r="I53" s="56"/>
      <c r="J53" s="56"/>
      <c r="K53" s="56"/>
      <c r="L53" s="56"/>
      <c r="M53" s="56"/>
      <c r="N53" s="56"/>
      <c r="O53" s="56"/>
      <c r="P53" s="56"/>
      <c r="Q53" s="43"/>
      <c r="R53" s="6"/>
      <c r="S53" s="67">
        <v>44578.0</v>
      </c>
      <c r="T53" s="56"/>
      <c r="U53" s="56" t="str">
        <f t="shared" si="19"/>
        <v/>
      </c>
      <c r="V53" s="56"/>
      <c r="W53" s="56"/>
      <c r="X53" s="43"/>
      <c r="AA53" s="56"/>
      <c r="AB53" s="56"/>
      <c r="AC53" s="56"/>
      <c r="AD53" s="56"/>
      <c r="AE53" s="58"/>
      <c r="AF53" s="43"/>
      <c r="AN53" s="43"/>
      <c r="AO53" s="55">
        <f>'APS Tubes by Date Import'!B52</f>
        <v>44665</v>
      </c>
      <c r="AP53" s="56">
        <f>'APS Tubes by Date Import'!C52</f>
        <v>1</v>
      </c>
      <c r="AQ53" s="56">
        <f>'APS Tubes by Date Import'!D52</f>
        <v>1</v>
      </c>
      <c r="AR53" s="56">
        <f>'APS Tubes by Date Import'!E52</f>
        <v>0</v>
      </c>
      <c r="AS53" s="56">
        <f>'APS Tubes by Date Import'!F52</f>
        <v>0</v>
      </c>
      <c r="AT53" s="56">
        <f>'APS Tubes by Date Import'!G52</f>
        <v>0</v>
      </c>
      <c r="AU53" s="43"/>
    </row>
    <row r="54">
      <c r="B54" s="56"/>
      <c r="C54" s="56"/>
      <c r="D54" s="56"/>
      <c r="E54" s="56"/>
      <c r="F54" s="56"/>
      <c r="G54" s="56"/>
      <c r="H54" s="56"/>
      <c r="I54" s="56"/>
      <c r="J54" s="56"/>
      <c r="K54" s="56"/>
      <c r="L54" s="56"/>
      <c r="M54" s="56"/>
      <c r="N54" s="56"/>
      <c r="O54" s="56"/>
      <c r="P54" s="56"/>
      <c r="Q54" s="43"/>
      <c r="R54" s="6"/>
      <c r="S54" s="67">
        <v>44579.0</v>
      </c>
      <c r="T54" s="56"/>
      <c r="U54" s="56" t="str">
        <f t="shared" si="19"/>
        <v/>
      </c>
      <c r="V54" s="56"/>
      <c r="W54" s="56"/>
      <c r="X54" s="43"/>
      <c r="Z54" s="55"/>
      <c r="AA54" s="56"/>
      <c r="AB54" s="56"/>
      <c r="AC54" s="56"/>
      <c r="AD54" s="56"/>
      <c r="AE54" s="58"/>
      <c r="AF54" s="43"/>
      <c r="AN54" s="43"/>
      <c r="AO54" s="55">
        <f>'APS Tubes by Date Import'!B53</f>
        <v>44692</v>
      </c>
      <c r="AP54" s="56">
        <f>'APS Tubes by Date Import'!C53</f>
        <v>9</v>
      </c>
      <c r="AQ54" s="56">
        <f>'APS Tubes by Date Import'!D53</f>
        <v>9</v>
      </c>
      <c r="AR54" s="56">
        <f>'APS Tubes by Date Import'!E53</f>
        <v>0</v>
      </c>
      <c r="AS54" s="56">
        <f>'APS Tubes by Date Import'!F53</f>
        <v>0</v>
      </c>
      <c r="AT54" s="56">
        <f>'APS Tubes by Date Import'!G53</f>
        <v>0</v>
      </c>
      <c r="AU54" s="43"/>
    </row>
    <row r="55">
      <c r="B55" s="56"/>
      <c r="C55" s="56"/>
      <c r="D55" s="56"/>
      <c r="E55" s="56"/>
      <c r="Q55" s="43"/>
      <c r="R55" s="6"/>
      <c r="S55" s="67">
        <v>44581.0</v>
      </c>
      <c r="T55" s="56"/>
      <c r="U55" s="56" t="str">
        <f t="shared" si="19"/>
        <v/>
      </c>
      <c r="V55" s="56"/>
      <c r="W55" s="56"/>
      <c r="X55" s="43"/>
      <c r="Z55" s="55"/>
      <c r="AA55" s="56"/>
      <c r="AB55" s="56"/>
      <c r="AC55" s="56"/>
      <c r="AD55" s="56"/>
      <c r="AE55" s="58"/>
      <c r="AF55" s="43"/>
      <c r="AN55" s="43"/>
      <c r="AO55" s="6" t="str">
        <f>'APS Tubes by Date Import'!B54</f>
        <v/>
      </c>
      <c r="AP55" s="56" t="str">
        <f>'APS Tubes by Date Import'!D54</f>
        <v/>
      </c>
      <c r="AQ55" s="56" t="str">
        <f>'APS Tubes by Date Import'!E54</f>
        <v/>
      </c>
      <c r="AR55" s="56" t="str">
        <f>'APS Tubes by Date Import'!F54</f>
        <v/>
      </c>
      <c r="AS55" s="56" t="str">
        <f>'APS Tubes by Date Import'!G54</f>
        <v/>
      </c>
      <c r="AU55" s="43"/>
    </row>
    <row r="56">
      <c r="B56" s="56"/>
      <c r="C56" s="56"/>
      <c r="D56" s="56"/>
      <c r="E56" s="56"/>
      <c r="Q56" s="43"/>
      <c r="R56" s="6"/>
      <c r="S56" s="6"/>
      <c r="T56" s="56"/>
      <c r="U56" s="56" t="str">
        <f t="shared" si="19"/>
        <v/>
      </c>
      <c r="V56" s="56"/>
      <c r="W56" s="56"/>
      <c r="X56" s="43"/>
      <c r="Z56" s="55"/>
      <c r="AA56" s="56"/>
      <c r="AB56" s="56"/>
      <c r="AC56" s="56"/>
      <c r="AD56" s="56"/>
      <c r="AE56" s="58"/>
      <c r="AF56" s="43"/>
      <c r="AN56" s="43"/>
      <c r="AO56" s="6" t="str">
        <f>'APS Tubes by Date Import'!B55</f>
        <v/>
      </c>
      <c r="AP56" s="56" t="str">
        <f>'APS Tubes by Date Import'!D55</f>
        <v/>
      </c>
      <c r="AQ56" s="56" t="str">
        <f>'APS Tubes by Date Import'!E55</f>
        <v/>
      </c>
      <c r="AR56" s="56" t="str">
        <f>'APS Tubes by Date Import'!F55</f>
        <v/>
      </c>
      <c r="AS56" s="56" t="str">
        <f>'APS Tubes by Date Import'!G55</f>
        <v/>
      </c>
      <c r="AU56" s="43"/>
    </row>
    <row r="57">
      <c r="B57" s="56"/>
      <c r="C57" s="56"/>
      <c r="D57" s="56"/>
      <c r="E57" s="56"/>
      <c r="Q57" s="43"/>
      <c r="R57" s="6"/>
      <c r="S57" s="6"/>
      <c r="T57" s="56"/>
      <c r="U57" s="56" t="str">
        <f t="shared" si="19"/>
        <v/>
      </c>
      <c r="V57" s="56"/>
      <c r="W57" s="56"/>
      <c r="X57" s="43"/>
      <c r="Z57" s="55"/>
      <c r="AA57" s="56"/>
      <c r="AB57" s="56"/>
      <c r="AC57" s="56"/>
      <c r="AD57" s="56"/>
      <c r="AE57" s="58"/>
      <c r="AF57" s="43"/>
      <c r="AN57" s="43"/>
      <c r="AO57" s="6" t="str">
        <f>'APS Tubes by Date Import'!B56</f>
        <v/>
      </c>
      <c r="AP57" s="56" t="str">
        <f>'APS Tubes by Date Import'!D56</f>
        <v/>
      </c>
      <c r="AQ57" s="56" t="str">
        <f>'APS Tubes by Date Import'!E56</f>
        <v/>
      </c>
      <c r="AR57" s="56" t="str">
        <f>'APS Tubes by Date Import'!F56</f>
        <v/>
      </c>
      <c r="AS57" s="56" t="str">
        <f>'APS Tubes by Date Import'!G56</f>
        <v/>
      </c>
      <c r="AU57" s="43"/>
    </row>
    <row r="58">
      <c r="B58" s="56"/>
      <c r="C58" s="56"/>
      <c r="D58" s="56"/>
      <c r="E58" s="56"/>
      <c r="Q58" s="43"/>
      <c r="R58" s="6"/>
      <c r="S58" s="6"/>
      <c r="T58" s="56"/>
      <c r="U58" s="56" t="str">
        <f t="shared" si="19"/>
        <v/>
      </c>
      <c r="V58" s="56"/>
      <c r="W58" s="56"/>
      <c r="X58" s="43"/>
      <c r="Z58" s="55"/>
      <c r="AA58" s="56"/>
      <c r="AB58" s="56"/>
      <c r="AC58" s="56"/>
      <c r="AD58" s="56"/>
      <c r="AE58" s="58"/>
      <c r="AF58" s="43"/>
      <c r="AN58" s="43"/>
      <c r="AO58" s="6" t="str">
        <f>'APS Tubes by Date Import'!B57</f>
        <v/>
      </c>
      <c r="AP58" s="56" t="str">
        <f>'APS Tubes by Date Import'!D57</f>
        <v/>
      </c>
      <c r="AQ58" s="56" t="str">
        <f>'APS Tubes by Date Import'!E57</f>
        <v/>
      </c>
      <c r="AR58" s="56" t="str">
        <f>'APS Tubes by Date Import'!F57</f>
        <v/>
      </c>
      <c r="AS58" s="56" t="str">
        <f>'APS Tubes by Date Import'!G57</f>
        <v/>
      </c>
      <c r="AU58" s="43"/>
    </row>
    <row r="59">
      <c r="B59" s="56"/>
      <c r="C59" s="56"/>
      <c r="D59" s="56"/>
      <c r="E59" s="56"/>
      <c r="Q59" s="43"/>
      <c r="R59" s="6"/>
      <c r="S59" s="55"/>
      <c r="T59" s="56"/>
      <c r="U59" s="56" t="str">
        <f t="shared" si="19"/>
        <v/>
      </c>
      <c r="V59" s="56"/>
      <c r="W59" s="56"/>
      <c r="X59" s="43"/>
      <c r="Z59" s="55"/>
      <c r="AA59" s="56"/>
      <c r="AB59" s="56"/>
      <c r="AC59" s="56"/>
      <c r="AD59" s="56"/>
      <c r="AE59" s="58"/>
      <c r="AF59" s="43"/>
      <c r="AN59" s="43"/>
      <c r="AO59" s="6" t="str">
        <f>'APS Tubes by Date Import'!B58</f>
        <v/>
      </c>
      <c r="AP59" s="56" t="str">
        <f>'APS Tubes by Date Import'!D58</f>
        <v/>
      </c>
      <c r="AQ59" s="56" t="str">
        <f>'APS Tubes by Date Import'!E58</f>
        <v/>
      </c>
      <c r="AR59" s="56" t="str">
        <f>'APS Tubes by Date Import'!F58</f>
        <v/>
      </c>
      <c r="AS59" s="56" t="str">
        <f>'APS Tubes by Date Import'!G58</f>
        <v/>
      </c>
      <c r="AU59" s="43"/>
    </row>
    <row r="60">
      <c r="B60" s="56"/>
      <c r="C60" s="56"/>
      <c r="D60" s="56"/>
      <c r="E60" s="56"/>
      <c r="Q60" s="43"/>
      <c r="R60" s="6"/>
      <c r="S60" s="55"/>
      <c r="T60" s="56"/>
      <c r="U60" s="56" t="str">
        <f t="shared" si="19"/>
        <v/>
      </c>
      <c r="V60" s="56"/>
      <c r="W60" s="56"/>
      <c r="X60" s="43"/>
      <c r="Z60" s="55"/>
      <c r="AA60" s="56"/>
      <c r="AB60" s="56"/>
      <c r="AC60" s="56"/>
      <c r="AD60" s="56"/>
      <c r="AE60" s="58"/>
      <c r="AF60" s="43"/>
      <c r="AN60" s="43"/>
      <c r="AO60" s="6" t="str">
        <f>'APS Tubes by Date Import'!B59</f>
        <v/>
      </c>
      <c r="AP60" s="56" t="str">
        <f>'APS Tubes by Date Import'!D59</f>
        <v/>
      </c>
      <c r="AQ60" s="56" t="str">
        <f>'APS Tubes by Date Import'!E59</f>
        <v/>
      </c>
      <c r="AR60" s="56" t="str">
        <f>'APS Tubes by Date Import'!F59</f>
        <v/>
      </c>
      <c r="AS60" s="56" t="str">
        <f>'APS Tubes by Date Import'!G59</f>
        <v/>
      </c>
      <c r="AU60" s="43"/>
    </row>
    <row r="61">
      <c r="B61" s="56"/>
      <c r="C61" s="56"/>
      <c r="D61" s="56"/>
      <c r="E61" s="56"/>
      <c r="Q61" s="43"/>
      <c r="R61" s="6"/>
      <c r="S61" s="55"/>
      <c r="T61" s="56"/>
      <c r="U61" s="56" t="str">
        <f t="shared" si="19"/>
        <v/>
      </c>
      <c r="V61" s="56"/>
      <c r="W61" s="56"/>
      <c r="X61" s="43"/>
      <c r="Z61" s="55"/>
      <c r="AA61" s="56"/>
      <c r="AB61" s="56"/>
      <c r="AC61" s="56"/>
      <c r="AD61" s="56"/>
      <c r="AE61" s="58"/>
      <c r="AF61" s="43"/>
      <c r="AN61" s="43"/>
      <c r="AO61" s="6" t="str">
        <f>'APS Tubes by Date Import'!B60</f>
        <v/>
      </c>
      <c r="AP61" s="56" t="str">
        <f>'APS Tubes by Date Import'!D60</f>
        <v/>
      </c>
      <c r="AQ61" s="56" t="str">
        <f>'APS Tubes by Date Import'!E60</f>
        <v/>
      </c>
      <c r="AR61" s="56" t="str">
        <f>'APS Tubes by Date Import'!F60</f>
        <v/>
      </c>
      <c r="AS61" s="56" t="str">
        <f>'APS Tubes by Date Import'!G60</f>
        <v/>
      </c>
      <c r="AU61" s="43"/>
    </row>
    <row r="62">
      <c r="B62" s="56"/>
      <c r="C62" s="56"/>
      <c r="D62" s="56"/>
      <c r="E62" s="56"/>
      <c r="Q62" s="43"/>
      <c r="R62" s="6"/>
      <c r="S62" s="55"/>
      <c r="T62" s="56"/>
      <c r="U62" s="56" t="str">
        <f t="shared" si="19"/>
        <v/>
      </c>
      <c r="V62" s="56"/>
      <c r="W62" s="56"/>
      <c r="X62" s="43"/>
      <c r="Z62" s="55"/>
      <c r="AA62" s="56"/>
      <c r="AB62" s="56"/>
      <c r="AC62" s="56"/>
      <c r="AD62" s="56"/>
      <c r="AE62" s="58"/>
      <c r="AF62" s="43"/>
      <c r="AN62" s="43"/>
      <c r="AO62" s="6" t="str">
        <f>'APS Tubes by Date Import'!B61</f>
        <v/>
      </c>
      <c r="AP62" s="56" t="str">
        <f>'APS Tubes by Date Import'!D61</f>
        <v/>
      </c>
      <c r="AQ62" s="56" t="str">
        <f>'APS Tubes by Date Import'!E61</f>
        <v/>
      </c>
      <c r="AR62" s="56" t="str">
        <f>'APS Tubes by Date Import'!F61</f>
        <v/>
      </c>
      <c r="AS62" s="56" t="str">
        <f>'APS Tubes by Date Import'!G61</f>
        <v/>
      </c>
      <c r="AU62" s="43"/>
    </row>
    <row r="63">
      <c r="B63" s="56"/>
      <c r="C63" s="56"/>
      <c r="D63" s="56"/>
      <c r="E63" s="56"/>
      <c r="Q63" s="43"/>
      <c r="R63" s="6"/>
      <c r="S63" s="55"/>
      <c r="T63" s="56"/>
      <c r="U63" s="56" t="str">
        <f t="shared" si="19"/>
        <v/>
      </c>
      <c r="V63" s="56"/>
      <c r="W63" s="56"/>
      <c r="X63" s="43"/>
      <c r="Z63" s="55"/>
      <c r="AA63" s="56"/>
      <c r="AB63" s="56"/>
      <c r="AC63" s="56"/>
      <c r="AD63" s="56"/>
      <c r="AE63" s="58"/>
      <c r="AF63" s="43"/>
      <c r="AN63" s="43"/>
      <c r="AO63" s="6" t="str">
        <f>'APS Tubes by Date Import'!B62</f>
        <v/>
      </c>
      <c r="AP63" s="56" t="str">
        <f>'APS Tubes by Date Import'!D62</f>
        <v/>
      </c>
      <c r="AQ63" s="56" t="str">
        <f>'APS Tubes by Date Import'!E62</f>
        <v/>
      </c>
      <c r="AR63" s="56" t="str">
        <f>'APS Tubes by Date Import'!F62</f>
        <v/>
      </c>
      <c r="AS63" s="56" t="str">
        <f>'APS Tubes by Date Import'!G62</f>
        <v/>
      </c>
      <c r="AU63" s="43"/>
    </row>
    <row r="64">
      <c r="B64" s="56"/>
      <c r="C64" s="56"/>
      <c r="D64" s="56"/>
      <c r="E64" s="56"/>
      <c r="Q64" s="43"/>
      <c r="R64" s="6"/>
      <c r="S64" s="55"/>
      <c r="T64" s="56"/>
      <c r="U64" s="56" t="str">
        <f t="shared" si="19"/>
        <v/>
      </c>
      <c r="V64" s="56"/>
      <c r="W64" s="56"/>
      <c r="X64" s="43"/>
      <c r="Z64" s="55"/>
      <c r="AA64" s="56"/>
      <c r="AB64" s="56"/>
      <c r="AC64" s="56"/>
      <c r="AD64" s="56"/>
      <c r="AE64" s="58"/>
      <c r="AF64" s="43"/>
      <c r="AN64" s="43"/>
      <c r="AO64" s="6" t="str">
        <f>'APS Tubes by Date Import'!B63</f>
        <v/>
      </c>
      <c r="AP64" s="56" t="str">
        <f>'APS Tubes by Date Import'!D63</f>
        <v/>
      </c>
      <c r="AQ64" s="56" t="str">
        <f>'APS Tubes by Date Import'!E63</f>
        <v/>
      </c>
      <c r="AR64" s="56" t="str">
        <f>'APS Tubes by Date Import'!F63</f>
        <v/>
      </c>
      <c r="AS64" s="56" t="str">
        <f>'APS Tubes by Date Import'!G63</f>
        <v/>
      </c>
      <c r="AU64" s="43"/>
    </row>
    <row r="65">
      <c r="B65" s="56"/>
      <c r="C65" s="56"/>
      <c r="D65" s="56"/>
      <c r="E65" s="56"/>
      <c r="Q65" s="43"/>
      <c r="R65" s="6"/>
      <c r="S65" s="55"/>
      <c r="T65" s="56"/>
      <c r="U65" s="56" t="str">
        <f t="shared" si="19"/>
        <v/>
      </c>
      <c r="V65" s="56"/>
      <c r="W65" s="56"/>
      <c r="X65" s="43"/>
      <c r="Z65" s="55"/>
      <c r="AA65" s="56"/>
      <c r="AB65" s="56"/>
      <c r="AC65" s="56"/>
      <c r="AD65" s="56"/>
      <c r="AE65" s="58"/>
      <c r="AF65" s="43"/>
      <c r="AN65" s="43"/>
      <c r="AO65" s="6" t="str">
        <f>'APS Tubes by Date Import'!B64</f>
        <v/>
      </c>
      <c r="AP65" s="56" t="str">
        <f>'APS Tubes by Date Import'!D64</f>
        <v/>
      </c>
      <c r="AQ65" s="56" t="str">
        <f>'APS Tubes by Date Import'!E64</f>
        <v/>
      </c>
      <c r="AR65" s="56" t="str">
        <f>'APS Tubes by Date Import'!F64</f>
        <v/>
      </c>
      <c r="AS65" s="56" t="str">
        <f>'APS Tubes by Date Import'!G64</f>
        <v/>
      </c>
      <c r="AU65" s="43"/>
    </row>
    <row r="66">
      <c r="B66" s="56"/>
      <c r="C66" s="56"/>
      <c r="D66" s="56"/>
      <c r="E66" s="56"/>
      <c r="Q66" s="43"/>
      <c r="R66" s="6"/>
      <c r="S66" s="55"/>
      <c r="T66" s="56"/>
      <c r="U66" s="56" t="str">
        <f t="shared" si="19"/>
        <v/>
      </c>
      <c r="V66" s="56"/>
      <c r="W66" s="56"/>
      <c r="X66" s="43"/>
      <c r="Z66" s="55"/>
      <c r="AA66" s="56"/>
      <c r="AB66" s="56"/>
      <c r="AC66" s="56"/>
      <c r="AD66" s="56"/>
      <c r="AE66" s="58"/>
      <c r="AF66" s="43"/>
      <c r="AN66" s="43"/>
      <c r="AO66" s="6" t="str">
        <f>'APS Tubes by Date Import'!B65</f>
        <v/>
      </c>
      <c r="AP66" s="56" t="str">
        <f>'APS Tubes by Date Import'!D65</f>
        <v/>
      </c>
      <c r="AQ66" s="56" t="str">
        <f>'APS Tubes by Date Import'!E65</f>
        <v/>
      </c>
      <c r="AR66" s="56" t="str">
        <f>'APS Tubes by Date Import'!F65</f>
        <v/>
      </c>
      <c r="AS66" s="56" t="str">
        <f>'APS Tubes by Date Import'!G65</f>
        <v/>
      </c>
      <c r="AU66" s="43"/>
    </row>
    <row r="67">
      <c r="B67" s="56"/>
      <c r="C67" s="56"/>
      <c r="D67" s="56"/>
      <c r="E67" s="56"/>
      <c r="Q67" s="43"/>
      <c r="R67" s="6"/>
      <c r="S67" s="55"/>
      <c r="T67" s="56"/>
      <c r="U67" s="56" t="str">
        <f t="shared" si="19"/>
        <v/>
      </c>
      <c r="V67" s="56"/>
      <c r="W67" s="56"/>
      <c r="X67" s="43"/>
      <c r="Z67" s="55"/>
      <c r="AA67" s="56"/>
      <c r="AB67" s="56"/>
      <c r="AC67" s="56"/>
      <c r="AD67" s="56"/>
      <c r="AE67" s="58"/>
      <c r="AF67" s="43"/>
      <c r="AN67" s="43"/>
      <c r="AO67" s="6" t="str">
        <f>'APS Tubes by Date Import'!B66</f>
        <v/>
      </c>
      <c r="AP67" s="56" t="str">
        <f>'APS Tubes by Date Import'!D66</f>
        <v/>
      </c>
      <c r="AQ67" s="56" t="str">
        <f>'APS Tubes by Date Import'!E66</f>
        <v/>
      </c>
      <c r="AR67" s="56" t="str">
        <f>'APS Tubes by Date Import'!F66</f>
        <v/>
      </c>
      <c r="AS67" s="56" t="str">
        <f>'APS Tubes by Date Import'!G66</f>
        <v/>
      </c>
      <c r="AU67" s="43"/>
    </row>
    <row r="68">
      <c r="B68" s="56"/>
      <c r="C68" s="56"/>
      <c r="D68" s="56"/>
      <c r="E68" s="56"/>
      <c r="Q68" s="43"/>
      <c r="R68" s="6"/>
      <c r="S68" s="55"/>
      <c r="T68" s="56"/>
      <c r="U68" s="56" t="str">
        <f t="shared" si="19"/>
        <v/>
      </c>
      <c r="V68" s="56"/>
      <c r="W68" s="56"/>
      <c r="X68" s="43"/>
      <c r="Z68" s="55"/>
      <c r="AA68" s="56"/>
      <c r="AB68" s="56"/>
      <c r="AC68" s="56"/>
      <c r="AD68" s="56"/>
      <c r="AE68" s="58"/>
      <c r="AF68" s="43"/>
      <c r="AN68" s="43"/>
      <c r="AO68" s="6" t="str">
        <f>'APS Tubes by Date Import'!B67</f>
        <v/>
      </c>
      <c r="AP68" s="56" t="str">
        <f>'APS Tubes by Date Import'!D67</f>
        <v/>
      </c>
      <c r="AQ68" s="56" t="str">
        <f>'APS Tubes by Date Import'!E67</f>
        <v/>
      </c>
      <c r="AR68" s="56" t="str">
        <f>'APS Tubes by Date Import'!F67</f>
        <v/>
      </c>
      <c r="AS68" s="56" t="str">
        <f>'APS Tubes by Date Import'!G67</f>
        <v/>
      </c>
      <c r="AU68" s="43"/>
    </row>
    <row r="69">
      <c r="B69" s="56"/>
      <c r="C69" s="56"/>
      <c r="D69" s="56"/>
      <c r="E69" s="56"/>
      <c r="Q69" s="43"/>
      <c r="R69" s="6"/>
      <c r="S69" s="55"/>
      <c r="T69" s="56"/>
      <c r="U69" s="56" t="str">
        <f t="shared" si="19"/>
        <v/>
      </c>
      <c r="V69" s="56"/>
      <c r="W69" s="56"/>
      <c r="X69" s="43"/>
      <c r="Z69" s="55"/>
      <c r="AA69" s="56"/>
      <c r="AB69" s="56"/>
      <c r="AC69" s="56"/>
      <c r="AD69" s="56"/>
      <c r="AE69" s="58"/>
      <c r="AF69" s="43"/>
      <c r="AN69" s="43"/>
      <c r="AO69" s="6" t="str">
        <f>'APS Tubes by Date Import'!B68</f>
        <v/>
      </c>
      <c r="AP69" s="56" t="str">
        <f>'APS Tubes by Date Import'!D68</f>
        <v/>
      </c>
      <c r="AQ69" s="56" t="str">
        <f>'APS Tubes by Date Import'!E68</f>
        <v/>
      </c>
      <c r="AR69" s="56" t="str">
        <f>'APS Tubes by Date Import'!F68</f>
        <v/>
      </c>
      <c r="AS69" s="56" t="str">
        <f>'APS Tubes by Date Import'!G68</f>
        <v/>
      </c>
      <c r="AU69" s="43"/>
    </row>
    <row r="70">
      <c r="B70" s="56"/>
      <c r="C70" s="56"/>
      <c r="D70" s="56"/>
      <c r="E70" s="56"/>
      <c r="Q70" s="43"/>
      <c r="R70" s="6"/>
      <c r="S70" s="55"/>
      <c r="T70" s="56"/>
      <c r="U70" s="56" t="str">
        <f t="shared" si="19"/>
        <v/>
      </c>
      <c r="V70" s="56"/>
      <c r="W70" s="56"/>
      <c r="X70" s="43"/>
      <c r="Z70" s="55"/>
      <c r="AA70" s="56"/>
      <c r="AB70" s="56"/>
      <c r="AC70" s="56"/>
      <c r="AD70" s="56"/>
      <c r="AE70" s="58"/>
      <c r="AF70" s="43"/>
      <c r="AN70" s="43"/>
      <c r="AO70" s="6" t="str">
        <f>'APS Tubes by Date Import'!B69</f>
        <v/>
      </c>
      <c r="AP70" s="56" t="str">
        <f>'APS Tubes by Date Import'!D69</f>
        <v/>
      </c>
      <c r="AQ70" s="56" t="str">
        <f>'APS Tubes by Date Import'!E69</f>
        <v/>
      </c>
      <c r="AR70" s="56" t="str">
        <f>'APS Tubes by Date Import'!F69</f>
        <v/>
      </c>
      <c r="AS70" s="56" t="str">
        <f>'APS Tubes by Date Import'!G69</f>
        <v/>
      </c>
      <c r="AU70" s="43"/>
    </row>
    <row r="71">
      <c r="B71" s="56"/>
      <c r="C71" s="56"/>
      <c r="D71" s="56"/>
      <c r="E71" s="56"/>
      <c r="Q71" s="43"/>
      <c r="R71" s="6"/>
      <c r="S71" s="55"/>
      <c r="T71" s="56"/>
      <c r="U71" s="56" t="str">
        <f t="shared" si="19"/>
        <v/>
      </c>
      <c r="V71" s="56"/>
      <c r="W71" s="56"/>
      <c r="X71" s="43"/>
      <c r="Z71" s="55"/>
      <c r="AA71" s="56"/>
      <c r="AB71" s="56"/>
      <c r="AC71" s="56"/>
      <c r="AD71" s="56"/>
      <c r="AE71" s="58"/>
      <c r="AF71" s="43"/>
      <c r="AN71" s="43"/>
      <c r="AO71" s="6" t="str">
        <f>'APS Tubes by Date Import'!B70</f>
        <v/>
      </c>
      <c r="AP71" s="56" t="str">
        <f>'APS Tubes by Date Import'!D70</f>
        <v/>
      </c>
      <c r="AQ71" s="56" t="str">
        <f>'APS Tubes by Date Import'!E70</f>
        <v/>
      </c>
      <c r="AR71" s="56" t="str">
        <f>'APS Tubes by Date Import'!F70</f>
        <v/>
      </c>
      <c r="AS71" s="56" t="str">
        <f>'APS Tubes by Date Import'!G70</f>
        <v/>
      </c>
      <c r="AU71" s="43"/>
    </row>
    <row r="72">
      <c r="B72" s="56"/>
      <c r="C72" s="56"/>
      <c r="D72" s="56"/>
      <c r="E72" s="56"/>
      <c r="Q72" s="43"/>
      <c r="R72" s="6"/>
      <c r="S72" s="55"/>
      <c r="T72" s="56"/>
      <c r="U72" s="56" t="str">
        <f t="shared" si="19"/>
        <v/>
      </c>
      <c r="V72" s="56"/>
      <c r="W72" s="56"/>
      <c r="X72" s="43"/>
      <c r="Z72" s="55"/>
      <c r="AA72" s="56"/>
      <c r="AB72" s="56"/>
      <c r="AC72" s="56"/>
      <c r="AD72" s="56"/>
      <c r="AE72" s="58"/>
      <c r="AF72" s="43"/>
      <c r="AN72" s="43"/>
      <c r="AO72" s="6" t="str">
        <f>'APS Tubes by Date Import'!B71</f>
        <v/>
      </c>
      <c r="AP72" s="56" t="str">
        <f>'APS Tubes by Date Import'!D71</f>
        <v/>
      </c>
      <c r="AQ72" s="56" t="str">
        <f>'APS Tubes by Date Import'!E71</f>
        <v/>
      </c>
      <c r="AR72" s="56" t="str">
        <f>'APS Tubes by Date Import'!F71</f>
        <v/>
      </c>
      <c r="AS72" s="56" t="str">
        <f>'APS Tubes by Date Import'!G71</f>
        <v/>
      </c>
      <c r="AU72" s="43"/>
    </row>
    <row r="73">
      <c r="B73" s="56"/>
      <c r="C73" s="56"/>
      <c r="D73" s="56"/>
      <c r="E73" s="56"/>
      <c r="Q73" s="43"/>
      <c r="R73" s="6"/>
      <c r="S73" s="55"/>
      <c r="T73" s="56"/>
      <c r="U73" s="56" t="str">
        <f t="shared" si="19"/>
        <v/>
      </c>
      <c r="V73" s="56"/>
      <c r="W73" s="56"/>
      <c r="X73" s="43"/>
      <c r="Z73" s="55"/>
      <c r="AA73" s="56"/>
      <c r="AB73" s="56"/>
      <c r="AC73" s="56"/>
      <c r="AD73" s="56"/>
      <c r="AE73" s="58"/>
      <c r="AF73" s="43"/>
      <c r="AN73" s="43"/>
      <c r="AO73" s="6" t="str">
        <f>'APS Tubes by Date Import'!B72</f>
        <v/>
      </c>
      <c r="AP73" s="56" t="str">
        <f>'APS Tubes by Date Import'!D72</f>
        <v/>
      </c>
      <c r="AQ73" s="56" t="str">
        <f>'APS Tubes by Date Import'!E72</f>
        <v/>
      </c>
      <c r="AR73" s="56" t="str">
        <f>'APS Tubes by Date Import'!F72</f>
        <v/>
      </c>
      <c r="AS73" s="56" t="str">
        <f>'APS Tubes by Date Import'!G72</f>
        <v/>
      </c>
      <c r="AU73" s="43"/>
    </row>
    <row r="74">
      <c r="B74" s="56"/>
      <c r="C74" s="56"/>
      <c r="D74" s="56"/>
      <c r="E74" s="56"/>
      <c r="Q74" s="43"/>
      <c r="R74" s="6"/>
      <c r="S74" s="55"/>
      <c r="T74" s="56"/>
      <c r="U74" s="56" t="str">
        <f t="shared" si="19"/>
        <v/>
      </c>
      <c r="V74" s="56"/>
      <c r="W74" s="56"/>
      <c r="X74" s="43"/>
      <c r="Z74" s="55"/>
      <c r="AA74" s="56"/>
      <c r="AB74" s="56"/>
      <c r="AC74" s="56"/>
      <c r="AD74" s="56"/>
      <c r="AE74" s="58"/>
      <c r="AF74" s="43"/>
      <c r="AN74" s="43"/>
      <c r="AO74" s="6" t="str">
        <f>'APS Tubes by Date Import'!B73</f>
        <v/>
      </c>
      <c r="AP74" s="56" t="str">
        <f>'APS Tubes by Date Import'!D73</f>
        <v/>
      </c>
      <c r="AQ74" s="56" t="str">
        <f>'APS Tubes by Date Import'!E73</f>
        <v/>
      </c>
      <c r="AR74" s="56" t="str">
        <f>'APS Tubes by Date Import'!F73</f>
        <v/>
      </c>
      <c r="AS74" s="56" t="str">
        <f>'APS Tubes by Date Import'!G73</f>
        <v/>
      </c>
      <c r="AU74" s="43"/>
    </row>
    <row r="75">
      <c r="B75" s="56"/>
      <c r="C75" s="56"/>
      <c r="D75" s="56"/>
      <c r="E75" s="56"/>
      <c r="Q75" s="43"/>
      <c r="R75" s="6"/>
      <c r="S75" s="55"/>
      <c r="T75" s="56"/>
      <c r="U75" s="56" t="str">
        <f t="shared" si="19"/>
        <v/>
      </c>
      <c r="V75" s="56"/>
      <c r="W75" s="56"/>
      <c r="X75" s="43"/>
      <c r="Z75" s="55"/>
      <c r="AA75" s="56"/>
      <c r="AB75" s="56"/>
      <c r="AC75" s="56"/>
      <c r="AD75" s="56"/>
      <c r="AE75" s="58"/>
      <c r="AF75" s="43"/>
      <c r="AN75" s="43"/>
      <c r="AO75" s="6" t="str">
        <f>'APS Tubes by Date Import'!B74</f>
        <v/>
      </c>
      <c r="AP75" s="56" t="str">
        <f>'APS Tubes by Date Import'!D74</f>
        <v/>
      </c>
      <c r="AQ75" s="56" t="str">
        <f>'APS Tubes by Date Import'!E74</f>
        <v/>
      </c>
      <c r="AR75" s="56" t="str">
        <f>'APS Tubes by Date Import'!F74</f>
        <v/>
      </c>
      <c r="AS75" s="56" t="str">
        <f>'APS Tubes by Date Import'!G74</f>
        <v/>
      </c>
      <c r="AU75" s="43"/>
    </row>
    <row r="76">
      <c r="B76" s="56"/>
      <c r="C76" s="56"/>
      <c r="D76" s="56"/>
      <c r="E76" s="56"/>
      <c r="Q76" s="43"/>
      <c r="R76" s="6"/>
      <c r="S76" s="55"/>
      <c r="T76" s="56"/>
      <c r="U76" s="56" t="str">
        <f t="shared" si="19"/>
        <v/>
      </c>
      <c r="V76" s="56"/>
      <c r="W76" s="56"/>
      <c r="X76" s="43"/>
      <c r="Z76" s="55"/>
      <c r="AA76" s="56"/>
      <c r="AB76" s="56"/>
      <c r="AC76" s="56"/>
      <c r="AD76" s="56"/>
      <c r="AE76" s="58"/>
      <c r="AF76" s="43"/>
      <c r="AN76" s="43"/>
      <c r="AO76" s="6" t="str">
        <f>'APS Tubes by Date Import'!B75</f>
        <v/>
      </c>
      <c r="AP76" s="56" t="str">
        <f>'APS Tubes by Date Import'!D75</f>
        <v/>
      </c>
      <c r="AQ76" s="56" t="str">
        <f>'APS Tubes by Date Import'!E75</f>
        <v/>
      </c>
      <c r="AR76" s="56" t="str">
        <f>'APS Tubes by Date Import'!F75</f>
        <v/>
      </c>
      <c r="AS76" s="56" t="str">
        <f>'APS Tubes by Date Import'!G75</f>
        <v/>
      </c>
      <c r="AU76" s="43"/>
    </row>
    <row r="77">
      <c r="B77" s="56"/>
      <c r="C77" s="56"/>
      <c r="D77" s="56"/>
      <c r="E77" s="56"/>
      <c r="Q77" s="43"/>
      <c r="R77" s="6"/>
      <c r="S77" s="55"/>
      <c r="T77" s="56"/>
      <c r="U77" s="56" t="str">
        <f t="shared" si="19"/>
        <v/>
      </c>
      <c r="V77" s="56"/>
      <c r="W77" s="56"/>
      <c r="X77" s="43"/>
      <c r="Z77" s="55"/>
      <c r="AA77" s="56"/>
      <c r="AB77" s="56"/>
      <c r="AC77" s="56"/>
      <c r="AD77" s="56"/>
      <c r="AE77" s="58"/>
      <c r="AF77" s="43"/>
      <c r="AN77" s="43"/>
      <c r="AO77" s="6" t="str">
        <f>'APS Tubes by Date Import'!B76</f>
        <v/>
      </c>
      <c r="AP77" s="56" t="str">
        <f>'APS Tubes by Date Import'!D76</f>
        <v/>
      </c>
      <c r="AQ77" s="56" t="str">
        <f>'APS Tubes by Date Import'!E76</f>
        <v/>
      </c>
      <c r="AR77" s="56" t="str">
        <f>'APS Tubes by Date Import'!F76</f>
        <v/>
      </c>
      <c r="AS77" s="56" t="str">
        <f>'APS Tubes by Date Import'!G76</f>
        <v/>
      </c>
      <c r="AU77" s="43"/>
    </row>
    <row r="78">
      <c r="B78" s="56"/>
      <c r="C78" s="56"/>
      <c r="D78" s="56"/>
      <c r="E78" s="56"/>
      <c r="Q78" s="43"/>
      <c r="R78" s="6"/>
      <c r="S78" s="55"/>
      <c r="T78" s="56"/>
      <c r="U78" s="56" t="str">
        <f t="shared" si="19"/>
        <v/>
      </c>
      <c r="V78" s="56"/>
      <c r="W78" s="56"/>
      <c r="X78" s="43"/>
      <c r="Z78" s="55"/>
      <c r="AA78" s="56"/>
      <c r="AB78" s="56"/>
      <c r="AC78" s="56"/>
      <c r="AD78" s="56"/>
      <c r="AE78" s="58"/>
      <c r="AF78" s="43"/>
      <c r="AN78" s="43"/>
      <c r="AO78" s="6" t="str">
        <f>'APS Tubes by Date Import'!B77</f>
        <v/>
      </c>
      <c r="AP78" s="56" t="str">
        <f>'APS Tubes by Date Import'!D77</f>
        <v/>
      </c>
      <c r="AQ78" s="56" t="str">
        <f>'APS Tubes by Date Import'!E77</f>
        <v/>
      </c>
      <c r="AR78" s="56" t="str">
        <f>'APS Tubes by Date Import'!F77</f>
        <v/>
      </c>
      <c r="AS78" s="56" t="str">
        <f>'APS Tubes by Date Import'!G77</f>
        <v/>
      </c>
      <c r="AU78" s="43"/>
    </row>
    <row r="79">
      <c r="B79" s="56"/>
      <c r="C79" s="56"/>
      <c r="D79" s="56"/>
      <c r="E79" s="56"/>
      <c r="Q79" s="43"/>
      <c r="R79" s="6"/>
      <c r="S79" s="55"/>
      <c r="T79" s="56"/>
      <c r="U79" s="56" t="str">
        <f t="shared" si="19"/>
        <v/>
      </c>
      <c r="V79" s="56"/>
      <c r="W79" s="56"/>
      <c r="X79" s="43"/>
      <c r="Z79" s="55"/>
      <c r="AA79" s="56"/>
      <c r="AB79" s="56"/>
      <c r="AC79" s="56"/>
      <c r="AD79" s="56"/>
      <c r="AE79" s="58"/>
      <c r="AF79" s="43"/>
      <c r="AN79" s="43"/>
      <c r="AO79" s="6" t="str">
        <f>'APS Tubes by Date Import'!B78</f>
        <v/>
      </c>
      <c r="AP79" s="56" t="str">
        <f>'APS Tubes by Date Import'!D78</f>
        <v/>
      </c>
      <c r="AQ79" s="56" t="str">
        <f>'APS Tubes by Date Import'!E78</f>
        <v/>
      </c>
      <c r="AR79" s="56" t="str">
        <f>'APS Tubes by Date Import'!F78</f>
        <v/>
      </c>
      <c r="AS79" s="56" t="str">
        <f>'APS Tubes by Date Import'!G78</f>
        <v/>
      </c>
      <c r="AU79" s="43"/>
    </row>
    <row r="80">
      <c r="B80" s="56"/>
      <c r="C80" s="56"/>
      <c r="D80" s="56"/>
      <c r="E80" s="56"/>
      <c r="Q80" s="43"/>
      <c r="R80" s="6"/>
      <c r="S80" s="55"/>
      <c r="T80" s="56"/>
      <c r="U80" s="56"/>
      <c r="V80" s="56"/>
      <c r="W80" s="56"/>
      <c r="X80" s="43"/>
      <c r="Z80" s="55"/>
      <c r="AA80" s="56"/>
      <c r="AB80" s="56"/>
      <c r="AC80" s="56"/>
      <c r="AD80" s="56"/>
      <c r="AE80" s="58"/>
      <c r="AF80" s="43"/>
      <c r="AN80" s="43"/>
      <c r="AP80" s="56"/>
      <c r="AQ80" s="56"/>
      <c r="AR80" s="56"/>
      <c r="AS80" s="56"/>
      <c r="AU80" s="43"/>
    </row>
    <row r="81">
      <c r="B81" s="56"/>
      <c r="C81" s="56"/>
      <c r="D81" s="56"/>
      <c r="E81" s="56"/>
      <c r="Q81" s="43"/>
      <c r="R81" s="6"/>
      <c r="S81" s="55"/>
      <c r="T81" s="56"/>
      <c r="U81" s="56"/>
      <c r="V81" s="56"/>
      <c r="W81" s="56"/>
      <c r="X81" s="43"/>
      <c r="Z81" s="55"/>
      <c r="AA81" s="56"/>
      <c r="AB81" s="56"/>
      <c r="AC81" s="56"/>
      <c r="AD81" s="56"/>
      <c r="AE81" s="58"/>
      <c r="AF81" s="43"/>
      <c r="AN81" s="43"/>
      <c r="AP81" s="56"/>
      <c r="AQ81" s="56"/>
      <c r="AR81" s="56"/>
      <c r="AS81" s="56"/>
      <c r="AU81" s="43"/>
    </row>
    <row r="82">
      <c r="B82" s="56"/>
      <c r="C82" s="56"/>
      <c r="D82" s="56"/>
      <c r="E82" s="56"/>
      <c r="Q82" s="43"/>
      <c r="R82" s="6"/>
      <c r="S82" s="55"/>
      <c r="T82" s="56"/>
      <c r="U82" s="56"/>
      <c r="V82" s="56"/>
      <c r="W82" s="56"/>
      <c r="X82" s="43"/>
      <c r="Z82" s="55"/>
      <c r="AA82" s="56"/>
      <c r="AB82" s="56"/>
      <c r="AC82" s="56"/>
      <c r="AD82" s="56"/>
      <c r="AE82" s="58"/>
      <c r="AF82" s="43"/>
      <c r="AN82" s="43"/>
      <c r="AP82" s="56"/>
      <c r="AQ82" s="56"/>
      <c r="AR82" s="56"/>
      <c r="AS82" s="56"/>
      <c r="AU82" s="43"/>
    </row>
    <row r="83">
      <c r="B83" s="56"/>
      <c r="C83" s="56"/>
      <c r="D83" s="56"/>
      <c r="E83" s="56"/>
      <c r="Q83" s="43"/>
      <c r="R83" s="6"/>
      <c r="S83" s="55"/>
      <c r="T83" s="56"/>
      <c r="U83" s="56"/>
      <c r="V83" s="56"/>
      <c r="W83" s="56"/>
      <c r="X83" s="43"/>
      <c r="Z83" s="55"/>
      <c r="AA83" s="56"/>
      <c r="AB83" s="56"/>
      <c r="AC83" s="56"/>
      <c r="AD83" s="56"/>
      <c r="AE83" s="58"/>
      <c r="AF83" s="43"/>
      <c r="AN83" s="43"/>
      <c r="AP83" s="56"/>
      <c r="AQ83" s="56"/>
      <c r="AR83" s="56"/>
      <c r="AS83" s="56"/>
      <c r="AU83" s="43"/>
    </row>
    <row r="84">
      <c r="B84" s="56"/>
      <c r="C84" s="56"/>
      <c r="D84" s="56"/>
      <c r="E84" s="56"/>
      <c r="Q84" s="43"/>
      <c r="R84" s="6"/>
      <c r="S84" s="55"/>
      <c r="T84" s="56"/>
      <c r="U84" s="56"/>
      <c r="V84" s="56"/>
      <c r="W84" s="56"/>
      <c r="X84" s="43"/>
      <c r="Z84" s="55"/>
      <c r="AA84" s="56"/>
      <c r="AB84" s="56"/>
      <c r="AC84" s="56"/>
      <c r="AD84" s="56"/>
      <c r="AE84" s="58"/>
      <c r="AF84" s="43"/>
      <c r="AN84" s="43"/>
      <c r="AP84" s="56"/>
      <c r="AQ84" s="56"/>
      <c r="AR84" s="56"/>
      <c r="AS84" s="56"/>
      <c r="AU84" s="43"/>
    </row>
    <row r="85">
      <c r="B85" s="56"/>
      <c r="C85" s="56"/>
      <c r="D85" s="56"/>
      <c r="E85" s="56"/>
      <c r="Q85" s="43"/>
      <c r="R85" s="6"/>
      <c r="S85" s="55"/>
      <c r="T85" s="56"/>
      <c r="U85" s="56"/>
      <c r="V85" s="56"/>
      <c r="W85" s="56"/>
      <c r="X85" s="43"/>
      <c r="Z85" s="55"/>
      <c r="AA85" s="56"/>
      <c r="AB85" s="56"/>
      <c r="AC85" s="56"/>
      <c r="AD85" s="56"/>
      <c r="AE85" s="58"/>
      <c r="AF85" s="43"/>
      <c r="AN85" s="43"/>
      <c r="AP85" s="56"/>
      <c r="AQ85" s="56"/>
      <c r="AR85" s="56"/>
      <c r="AS85" s="56"/>
      <c r="AU85" s="43"/>
    </row>
    <row r="86">
      <c r="B86" s="56"/>
      <c r="C86" s="56"/>
      <c r="D86" s="56"/>
      <c r="E86" s="56"/>
      <c r="Q86" s="43"/>
      <c r="R86" s="6"/>
      <c r="S86" s="55"/>
      <c r="T86" s="56"/>
      <c r="U86" s="56"/>
      <c r="V86" s="56"/>
      <c r="W86" s="56"/>
      <c r="X86" s="43"/>
      <c r="Z86" s="55"/>
      <c r="AA86" s="56"/>
      <c r="AB86" s="56"/>
      <c r="AC86" s="56"/>
      <c r="AD86" s="56"/>
      <c r="AE86" s="58"/>
      <c r="AF86" s="43"/>
      <c r="AN86" s="43"/>
      <c r="AP86" s="56"/>
      <c r="AQ86" s="56"/>
      <c r="AR86" s="56"/>
      <c r="AS86" s="56"/>
      <c r="AU86" s="43"/>
    </row>
    <row r="87">
      <c r="B87" s="56"/>
      <c r="C87" s="56"/>
      <c r="D87" s="56"/>
      <c r="E87" s="56"/>
      <c r="Q87" s="43"/>
      <c r="R87" s="6"/>
      <c r="S87" s="55"/>
      <c r="T87" s="56"/>
      <c r="U87" s="56"/>
      <c r="V87" s="56"/>
      <c r="W87" s="56"/>
      <c r="X87" s="43"/>
      <c r="Z87" s="55"/>
      <c r="AA87" s="56"/>
      <c r="AB87" s="56"/>
      <c r="AC87" s="56"/>
      <c r="AD87" s="56"/>
      <c r="AE87" s="58"/>
      <c r="AF87" s="43"/>
      <c r="AN87" s="43"/>
      <c r="AP87" s="56"/>
      <c r="AQ87" s="56"/>
      <c r="AR87" s="56"/>
      <c r="AS87" s="56"/>
      <c r="AU87" s="43"/>
    </row>
    <row r="88">
      <c r="B88" s="56"/>
      <c r="C88" s="56"/>
      <c r="D88" s="56"/>
      <c r="E88" s="56"/>
      <c r="Q88" s="43"/>
      <c r="R88" s="6"/>
      <c r="S88" s="55"/>
      <c r="T88" s="56"/>
      <c r="U88" s="56"/>
      <c r="V88" s="56"/>
      <c r="W88" s="56"/>
      <c r="X88" s="43"/>
      <c r="Z88" s="55"/>
      <c r="AA88" s="56"/>
      <c r="AB88" s="56"/>
      <c r="AC88" s="56"/>
      <c r="AD88" s="56"/>
      <c r="AE88" s="58"/>
      <c r="AF88" s="43"/>
      <c r="AN88" s="43"/>
      <c r="AP88" s="56"/>
      <c r="AQ88" s="56"/>
      <c r="AR88" s="56"/>
      <c r="AS88" s="56"/>
      <c r="AU88" s="43"/>
    </row>
    <row r="89">
      <c r="B89" s="56"/>
      <c r="C89" s="56"/>
      <c r="D89" s="56"/>
      <c r="E89" s="56"/>
      <c r="Q89" s="43"/>
      <c r="R89" s="6"/>
      <c r="S89" s="55"/>
      <c r="T89" s="56"/>
      <c r="U89" s="56"/>
      <c r="V89" s="56"/>
      <c r="W89" s="56"/>
      <c r="X89" s="43"/>
      <c r="Z89" s="55"/>
      <c r="AA89" s="56"/>
      <c r="AB89" s="56"/>
      <c r="AC89" s="56"/>
      <c r="AD89" s="56"/>
      <c r="AE89" s="58"/>
      <c r="AF89" s="43"/>
      <c r="AN89" s="43"/>
      <c r="AP89" s="56"/>
      <c r="AQ89" s="56"/>
      <c r="AR89" s="56"/>
      <c r="AS89" s="56"/>
      <c r="AU89" s="43"/>
    </row>
    <row r="90">
      <c r="B90" s="56"/>
      <c r="C90" s="56"/>
      <c r="D90" s="56"/>
      <c r="E90" s="56"/>
      <c r="Q90" s="43"/>
      <c r="R90" s="6"/>
      <c r="S90" s="55"/>
      <c r="T90" s="56"/>
      <c r="U90" s="56"/>
      <c r="V90" s="56"/>
      <c r="W90" s="56"/>
      <c r="X90" s="43"/>
      <c r="Z90" s="55"/>
      <c r="AA90" s="56"/>
      <c r="AB90" s="56"/>
      <c r="AC90" s="56"/>
      <c r="AD90" s="56"/>
      <c r="AE90" s="58"/>
      <c r="AF90" s="43"/>
      <c r="AN90" s="43"/>
      <c r="AP90" s="56"/>
      <c r="AQ90" s="56"/>
      <c r="AR90" s="56"/>
      <c r="AS90" s="56"/>
      <c r="AU90" s="43"/>
    </row>
    <row r="91">
      <c r="B91" s="56"/>
      <c r="C91" s="56"/>
      <c r="D91" s="56"/>
      <c r="E91" s="56"/>
      <c r="Q91" s="43"/>
      <c r="R91" s="6"/>
      <c r="S91" s="55"/>
      <c r="T91" s="56"/>
      <c r="U91" s="56"/>
      <c r="V91" s="56"/>
      <c r="W91" s="56"/>
      <c r="X91" s="43"/>
      <c r="Z91" s="55"/>
      <c r="AA91" s="56"/>
      <c r="AB91" s="56"/>
      <c r="AC91" s="56"/>
      <c r="AD91" s="56"/>
      <c r="AE91" s="58"/>
      <c r="AF91" s="43"/>
      <c r="AN91" s="43"/>
      <c r="AP91" s="56"/>
      <c r="AQ91" s="56"/>
      <c r="AR91" s="56"/>
      <c r="AS91" s="56"/>
      <c r="AU91" s="43"/>
    </row>
    <row r="92">
      <c r="B92" s="56"/>
      <c r="C92" s="56"/>
      <c r="D92" s="56"/>
      <c r="E92" s="56"/>
      <c r="Q92" s="43"/>
      <c r="R92" s="6"/>
      <c r="S92" s="55"/>
      <c r="T92" s="56"/>
      <c r="U92" s="56"/>
      <c r="V92" s="56"/>
      <c r="W92" s="56"/>
      <c r="X92" s="43"/>
      <c r="Z92" s="55"/>
      <c r="AA92" s="56"/>
      <c r="AB92" s="56"/>
      <c r="AC92" s="56"/>
      <c r="AD92" s="56"/>
      <c r="AE92" s="58"/>
      <c r="AF92" s="43"/>
      <c r="AN92" s="43"/>
      <c r="AP92" s="56"/>
      <c r="AQ92" s="56"/>
      <c r="AR92" s="56"/>
      <c r="AS92" s="56"/>
      <c r="AU92" s="43"/>
    </row>
    <row r="93">
      <c r="B93" s="56"/>
      <c r="C93" s="56"/>
      <c r="D93" s="56"/>
      <c r="E93" s="56"/>
      <c r="Q93" s="43"/>
      <c r="R93" s="6"/>
      <c r="S93" s="55"/>
      <c r="T93" s="56"/>
      <c r="U93" s="56"/>
      <c r="V93" s="56"/>
      <c r="W93" s="56"/>
      <c r="X93" s="43"/>
      <c r="Z93" s="55"/>
      <c r="AA93" s="56"/>
      <c r="AB93" s="56"/>
      <c r="AC93" s="56"/>
      <c r="AD93" s="56"/>
      <c r="AE93" s="58"/>
      <c r="AF93" s="43"/>
      <c r="AN93" s="43"/>
      <c r="AP93" s="56"/>
      <c r="AQ93" s="56"/>
      <c r="AR93" s="56"/>
      <c r="AS93" s="56"/>
      <c r="AU93" s="43"/>
    </row>
    <row r="94">
      <c r="B94" s="56"/>
      <c r="C94" s="56"/>
      <c r="D94" s="56"/>
      <c r="E94" s="56"/>
      <c r="Q94" s="43"/>
      <c r="R94" s="6"/>
      <c r="S94" s="55"/>
      <c r="T94" s="56"/>
      <c r="U94" s="56"/>
      <c r="V94" s="56"/>
      <c r="W94" s="56"/>
      <c r="X94" s="43"/>
      <c r="Z94" s="55"/>
      <c r="AA94" s="56"/>
      <c r="AB94" s="56"/>
      <c r="AC94" s="56"/>
      <c r="AD94" s="56"/>
      <c r="AE94" s="58"/>
      <c r="AF94" s="43"/>
      <c r="AN94" s="43"/>
      <c r="AP94" s="56"/>
      <c r="AQ94" s="56"/>
      <c r="AR94" s="56"/>
      <c r="AS94" s="56"/>
      <c r="AU94" s="43"/>
    </row>
    <row r="95">
      <c r="B95" s="56"/>
      <c r="C95" s="56"/>
      <c r="D95" s="56"/>
      <c r="E95" s="56"/>
      <c r="Q95" s="43"/>
      <c r="R95" s="6"/>
      <c r="S95" s="55"/>
      <c r="T95" s="56"/>
      <c r="U95" s="56"/>
      <c r="V95" s="56"/>
      <c r="W95" s="56"/>
      <c r="X95" s="43"/>
      <c r="Z95" s="55"/>
      <c r="AA95" s="56"/>
      <c r="AB95" s="56"/>
      <c r="AC95" s="56"/>
      <c r="AD95" s="56"/>
      <c r="AE95" s="58"/>
      <c r="AF95" s="43"/>
      <c r="AN95" s="43"/>
      <c r="AP95" s="56"/>
      <c r="AQ95" s="56"/>
      <c r="AR95" s="56"/>
      <c r="AS95" s="56"/>
      <c r="AU95" s="43"/>
    </row>
    <row r="96">
      <c r="B96" s="56"/>
      <c r="C96" s="56"/>
      <c r="D96" s="56"/>
      <c r="E96" s="56"/>
      <c r="Q96" s="43"/>
      <c r="R96" s="6"/>
      <c r="S96" s="55"/>
      <c r="T96" s="56"/>
      <c r="U96" s="56"/>
      <c r="V96" s="56"/>
      <c r="W96" s="56"/>
      <c r="X96" s="43"/>
      <c r="Z96" s="55"/>
      <c r="AA96" s="56"/>
      <c r="AB96" s="56"/>
      <c r="AC96" s="56"/>
      <c r="AD96" s="56"/>
      <c r="AE96" s="58"/>
      <c r="AF96" s="43"/>
      <c r="AN96" s="43"/>
      <c r="AP96" s="56"/>
      <c r="AQ96" s="56"/>
      <c r="AR96" s="56"/>
      <c r="AS96" s="56"/>
      <c r="AU96" s="43"/>
    </row>
    <row r="97">
      <c r="B97" s="56"/>
      <c r="C97" s="56"/>
      <c r="D97" s="56"/>
      <c r="E97" s="56"/>
      <c r="Q97" s="43"/>
      <c r="R97" s="6"/>
      <c r="S97" s="55"/>
      <c r="T97" s="56"/>
      <c r="U97" s="56"/>
      <c r="V97" s="56"/>
      <c r="W97" s="56"/>
      <c r="X97" s="43"/>
      <c r="Z97" s="55"/>
      <c r="AA97" s="56"/>
      <c r="AB97" s="56"/>
      <c r="AC97" s="56"/>
      <c r="AD97" s="56"/>
      <c r="AE97" s="58"/>
      <c r="AF97" s="43"/>
      <c r="AN97" s="43"/>
      <c r="AP97" s="56"/>
      <c r="AQ97" s="56"/>
      <c r="AR97" s="56"/>
      <c r="AS97" s="56"/>
      <c r="AU97" s="43"/>
    </row>
    <row r="98">
      <c r="B98" s="56"/>
      <c r="C98" s="56"/>
      <c r="D98" s="56"/>
      <c r="E98" s="56"/>
      <c r="Q98" s="43"/>
      <c r="R98" s="6"/>
      <c r="S98" s="55"/>
      <c r="T98" s="56"/>
      <c r="U98" s="56"/>
      <c r="V98" s="56"/>
      <c r="W98" s="56"/>
      <c r="X98" s="43"/>
      <c r="Z98" s="55"/>
      <c r="AA98" s="56"/>
      <c r="AB98" s="56"/>
      <c r="AC98" s="56"/>
      <c r="AD98" s="56"/>
      <c r="AE98" s="58"/>
      <c r="AF98" s="43"/>
      <c r="AN98" s="43"/>
      <c r="AP98" s="56"/>
      <c r="AQ98" s="56"/>
      <c r="AR98" s="56"/>
      <c r="AS98" s="56"/>
      <c r="AU98" s="43"/>
    </row>
    <row r="99">
      <c r="B99" s="56"/>
      <c r="C99" s="56"/>
      <c r="D99" s="56"/>
      <c r="E99" s="56"/>
      <c r="Q99" s="43"/>
      <c r="R99" s="6"/>
      <c r="S99" s="55"/>
      <c r="T99" s="56"/>
      <c r="U99" s="56"/>
      <c r="V99" s="56"/>
      <c r="W99" s="56"/>
      <c r="X99" s="43"/>
      <c r="Z99" s="55"/>
      <c r="AA99" s="56"/>
      <c r="AB99" s="56"/>
      <c r="AC99" s="56"/>
      <c r="AD99" s="56"/>
      <c r="AE99" s="58"/>
      <c r="AF99" s="43"/>
      <c r="AN99" s="43"/>
      <c r="AP99" s="56"/>
      <c r="AQ99" s="56"/>
      <c r="AR99" s="56"/>
      <c r="AS99" s="56"/>
      <c r="AU99" s="43"/>
    </row>
    <row r="100">
      <c r="B100" s="56"/>
      <c r="C100" s="56"/>
      <c r="D100" s="56"/>
      <c r="E100" s="56"/>
      <c r="Q100" s="43"/>
      <c r="R100" s="6"/>
      <c r="S100" s="55"/>
      <c r="T100" s="56"/>
      <c r="U100" s="56"/>
      <c r="V100" s="56"/>
      <c r="W100" s="56"/>
      <c r="X100" s="43"/>
      <c r="Z100" s="55"/>
      <c r="AA100" s="56"/>
      <c r="AB100" s="56"/>
      <c r="AC100" s="56"/>
      <c r="AD100" s="56"/>
      <c r="AE100" s="58"/>
      <c r="AF100" s="43"/>
      <c r="AN100" s="43"/>
      <c r="AP100" s="56"/>
      <c r="AQ100" s="56"/>
      <c r="AR100" s="56"/>
      <c r="AS100" s="56"/>
      <c r="AU100" s="43"/>
    </row>
    <row r="101">
      <c r="B101" s="56"/>
      <c r="C101" s="56"/>
      <c r="D101" s="56"/>
      <c r="E101" s="56"/>
      <c r="Q101" s="43"/>
      <c r="R101" s="6"/>
      <c r="S101" s="55"/>
      <c r="T101" s="56"/>
      <c r="U101" s="56"/>
      <c r="V101" s="56"/>
      <c r="W101" s="56"/>
      <c r="X101" s="43"/>
      <c r="Z101" s="55"/>
      <c r="AA101" s="56"/>
      <c r="AB101" s="56"/>
      <c r="AC101" s="56"/>
      <c r="AD101" s="56"/>
      <c r="AE101" s="58"/>
      <c r="AF101" s="43"/>
      <c r="AN101" s="43"/>
      <c r="AP101" s="56"/>
      <c r="AQ101" s="56"/>
      <c r="AR101" s="56"/>
      <c r="AS101" s="56"/>
      <c r="AU101" s="43"/>
    </row>
    <row r="102">
      <c r="B102" s="56"/>
      <c r="C102" s="56"/>
      <c r="D102" s="56"/>
      <c r="E102" s="56"/>
      <c r="Q102" s="43"/>
      <c r="R102" s="6"/>
      <c r="S102" s="55"/>
      <c r="T102" s="56"/>
      <c r="U102" s="56"/>
      <c r="V102" s="56"/>
      <c r="W102" s="56"/>
      <c r="X102" s="43"/>
      <c r="Z102" s="55"/>
      <c r="AA102" s="56"/>
      <c r="AB102" s="56"/>
      <c r="AC102" s="56"/>
      <c r="AD102" s="56"/>
      <c r="AE102" s="58"/>
      <c r="AF102" s="43"/>
      <c r="AN102" s="43"/>
      <c r="AP102" s="56"/>
      <c r="AQ102" s="56"/>
      <c r="AR102" s="56"/>
      <c r="AS102" s="56"/>
      <c r="AU102" s="43"/>
    </row>
    <row r="103">
      <c r="B103" s="56"/>
      <c r="C103" s="56"/>
      <c r="D103" s="56"/>
      <c r="E103" s="56"/>
      <c r="Q103" s="43"/>
      <c r="R103" s="6"/>
      <c r="S103" s="55"/>
      <c r="T103" s="56"/>
      <c r="U103" s="56"/>
      <c r="V103" s="56"/>
      <c r="W103" s="56"/>
      <c r="X103" s="43"/>
      <c r="Z103" s="55"/>
      <c r="AA103" s="56"/>
      <c r="AB103" s="56"/>
      <c r="AC103" s="56"/>
      <c r="AD103" s="56"/>
      <c r="AE103" s="58"/>
      <c r="AF103" s="43"/>
      <c r="AN103" s="43"/>
      <c r="AP103" s="56"/>
      <c r="AQ103" s="56"/>
      <c r="AR103" s="56"/>
      <c r="AS103" s="56"/>
      <c r="AU103" s="43"/>
    </row>
    <row r="104">
      <c r="B104" s="56"/>
      <c r="C104" s="56"/>
      <c r="D104" s="56"/>
      <c r="E104" s="56"/>
      <c r="Q104" s="43"/>
      <c r="R104" s="6"/>
      <c r="S104" s="55"/>
      <c r="T104" s="56"/>
      <c r="U104" s="56"/>
      <c r="V104" s="56"/>
      <c r="W104" s="56"/>
      <c r="X104" s="43"/>
      <c r="Z104" s="55"/>
      <c r="AA104" s="56"/>
      <c r="AB104" s="56"/>
      <c r="AC104" s="56"/>
      <c r="AD104" s="56"/>
      <c r="AE104" s="58"/>
      <c r="AF104" s="43"/>
      <c r="AN104" s="43"/>
      <c r="AP104" s="56"/>
      <c r="AQ104" s="56"/>
      <c r="AR104" s="56"/>
      <c r="AS104" s="56"/>
      <c r="AU104" s="43"/>
    </row>
    <row r="105">
      <c r="B105" s="56"/>
      <c r="C105" s="56"/>
      <c r="D105" s="56"/>
      <c r="E105" s="56"/>
      <c r="Q105" s="43"/>
      <c r="R105" s="6"/>
      <c r="S105" s="55"/>
      <c r="T105" s="56"/>
      <c r="U105" s="56"/>
      <c r="V105" s="56"/>
      <c r="W105" s="56"/>
      <c r="X105" s="43"/>
      <c r="Z105" s="55"/>
      <c r="AA105" s="56"/>
      <c r="AB105" s="56"/>
      <c r="AC105" s="56"/>
      <c r="AD105" s="56"/>
      <c r="AE105" s="58"/>
      <c r="AF105" s="43"/>
      <c r="AN105" s="43"/>
      <c r="AP105" s="56"/>
      <c r="AQ105" s="56"/>
      <c r="AR105" s="56"/>
      <c r="AS105" s="56"/>
      <c r="AU105" s="43"/>
    </row>
    <row r="106">
      <c r="B106" s="56"/>
      <c r="C106" s="56"/>
      <c r="D106" s="56"/>
      <c r="E106" s="56"/>
      <c r="Q106" s="43"/>
      <c r="R106" s="6"/>
      <c r="S106" s="55"/>
      <c r="T106" s="56"/>
      <c r="U106" s="56"/>
      <c r="V106" s="56"/>
      <c r="W106" s="56"/>
      <c r="X106" s="43"/>
      <c r="Z106" s="55"/>
      <c r="AA106" s="56"/>
      <c r="AB106" s="56"/>
      <c r="AC106" s="56"/>
      <c r="AD106" s="56"/>
      <c r="AE106" s="58"/>
      <c r="AF106" s="43"/>
      <c r="AN106" s="43"/>
      <c r="AP106" s="56"/>
      <c r="AQ106" s="56"/>
      <c r="AR106" s="56"/>
      <c r="AS106" s="56"/>
      <c r="AU106" s="43"/>
    </row>
    <row r="107">
      <c r="B107" s="56"/>
      <c r="C107" s="56"/>
      <c r="D107" s="56"/>
      <c r="E107" s="56"/>
      <c r="Q107" s="43"/>
      <c r="R107" s="6"/>
      <c r="S107" s="55"/>
      <c r="T107" s="56"/>
      <c r="U107" s="56"/>
      <c r="V107" s="56"/>
      <c r="W107" s="56"/>
      <c r="X107" s="43"/>
      <c r="Z107" s="55"/>
      <c r="AA107" s="56"/>
      <c r="AB107" s="56"/>
      <c r="AC107" s="56"/>
      <c r="AD107" s="56"/>
      <c r="AE107" s="58"/>
      <c r="AF107" s="43"/>
      <c r="AN107" s="43"/>
      <c r="AP107" s="56"/>
      <c r="AQ107" s="56"/>
      <c r="AR107" s="56"/>
      <c r="AS107" s="56"/>
      <c r="AU107" s="43"/>
    </row>
    <row r="108">
      <c r="B108" s="56"/>
      <c r="C108" s="56"/>
      <c r="D108" s="56"/>
      <c r="E108" s="56"/>
      <c r="Q108" s="43"/>
      <c r="R108" s="6"/>
      <c r="S108" s="55"/>
      <c r="T108" s="56"/>
      <c r="U108" s="56"/>
      <c r="V108" s="56"/>
      <c r="W108" s="56"/>
      <c r="X108" s="43"/>
      <c r="Z108" s="55"/>
      <c r="AA108" s="56"/>
      <c r="AB108" s="56"/>
      <c r="AC108" s="56"/>
      <c r="AD108" s="56"/>
      <c r="AE108" s="58"/>
      <c r="AF108" s="43"/>
      <c r="AN108" s="43"/>
      <c r="AP108" s="56"/>
      <c r="AQ108" s="56"/>
      <c r="AR108" s="56"/>
      <c r="AS108" s="56"/>
      <c r="AU108" s="43"/>
    </row>
    <row r="109">
      <c r="B109" s="56"/>
      <c r="C109" s="56"/>
      <c r="D109" s="56"/>
      <c r="E109" s="56"/>
      <c r="Q109" s="43"/>
      <c r="R109" s="6"/>
      <c r="S109" s="55"/>
      <c r="T109" s="56"/>
      <c r="U109" s="56"/>
      <c r="V109" s="56"/>
      <c r="W109" s="56"/>
      <c r="X109" s="43"/>
      <c r="Z109" s="55"/>
      <c r="AA109" s="56"/>
      <c r="AB109" s="56"/>
      <c r="AC109" s="56"/>
      <c r="AD109" s="56"/>
      <c r="AE109" s="58"/>
      <c r="AF109" s="43"/>
      <c r="AN109" s="43"/>
      <c r="AP109" s="56"/>
      <c r="AQ109" s="56"/>
      <c r="AR109" s="56"/>
      <c r="AS109" s="56"/>
      <c r="AU109" s="43"/>
    </row>
    <row r="110">
      <c r="B110" s="56"/>
      <c r="C110" s="56"/>
      <c r="D110" s="56"/>
      <c r="E110" s="56"/>
      <c r="Q110" s="43"/>
      <c r="R110" s="6"/>
      <c r="S110" s="55"/>
      <c r="T110" s="56"/>
      <c r="U110" s="56"/>
      <c r="V110" s="56"/>
      <c r="W110" s="56"/>
      <c r="X110" s="43"/>
      <c r="Z110" s="55"/>
      <c r="AA110" s="56"/>
      <c r="AB110" s="56"/>
      <c r="AC110" s="56"/>
      <c r="AD110" s="56"/>
      <c r="AE110" s="58"/>
      <c r="AF110" s="43"/>
      <c r="AN110" s="43"/>
      <c r="AP110" s="56"/>
      <c r="AQ110" s="56"/>
      <c r="AR110" s="56"/>
      <c r="AS110" s="56"/>
      <c r="AU110" s="43"/>
    </row>
    <row r="111">
      <c r="B111" s="56"/>
      <c r="C111" s="56"/>
      <c r="D111" s="56"/>
      <c r="E111" s="56"/>
      <c r="Q111" s="43"/>
      <c r="R111" s="6"/>
      <c r="S111" s="55"/>
      <c r="T111" s="56"/>
      <c r="U111" s="56"/>
      <c r="V111" s="56"/>
      <c r="W111" s="56"/>
      <c r="X111" s="43"/>
      <c r="Z111" s="55"/>
      <c r="AA111" s="56"/>
      <c r="AB111" s="56"/>
      <c r="AC111" s="56"/>
      <c r="AD111" s="56"/>
      <c r="AE111" s="58"/>
      <c r="AF111" s="43"/>
      <c r="AN111" s="43"/>
      <c r="AP111" s="56"/>
      <c r="AQ111" s="56"/>
      <c r="AR111" s="56"/>
      <c r="AS111" s="56"/>
      <c r="AU111" s="43"/>
    </row>
    <row r="112">
      <c r="B112" s="56"/>
      <c r="C112" s="56"/>
      <c r="D112" s="56"/>
      <c r="E112" s="56"/>
      <c r="Q112" s="43"/>
      <c r="R112" s="6"/>
      <c r="S112" s="55"/>
      <c r="T112" s="56"/>
      <c r="U112" s="56"/>
      <c r="V112" s="56"/>
      <c r="W112" s="56"/>
      <c r="X112" s="43"/>
      <c r="Z112" s="55"/>
      <c r="AA112" s="56"/>
      <c r="AB112" s="56"/>
      <c r="AC112" s="56"/>
      <c r="AD112" s="56"/>
      <c r="AE112" s="58"/>
      <c r="AF112" s="43"/>
      <c r="AN112" s="43"/>
      <c r="AP112" s="56"/>
      <c r="AQ112" s="56"/>
      <c r="AR112" s="56"/>
      <c r="AS112" s="56"/>
      <c r="AU112" s="43"/>
    </row>
    <row r="113">
      <c r="B113" s="56"/>
      <c r="C113" s="56"/>
      <c r="D113" s="56"/>
      <c r="E113" s="56"/>
      <c r="Q113" s="43"/>
      <c r="R113" s="6"/>
      <c r="S113" s="55"/>
      <c r="T113" s="56"/>
      <c r="U113" s="56"/>
      <c r="V113" s="56"/>
      <c r="W113" s="56"/>
      <c r="X113" s="43"/>
      <c r="Z113" s="55"/>
      <c r="AA113" s="56"/>
      <c r="AB113" s="56"/>
      <c r="AC113" s="56"/>
      <c r="AD113" s="56"/>
      <c r="AE113" s="58"/>
      <c r="AF113" s="43"/>
      <c r="AN113" s="43"/>
      <c r="AP113" s="56"/>
      <c r="AQ113" s="56"/>
      <c r="AR113" s="56"/>
      <c r="AS113" s="56"/>
      <c r="AU113" s="43"/>
    </row>
    <row r="114">
      <c r="B114" s="56"/>
      <c r="C114" s="56"/>
      <c r="D114" s="56"/>
      <c r="E114" s="56"/>
      <c r="Q114" s="43"/>
      <c r="R114" s="6"/>
      <c r="S114" s="55"/>
      <c r="T114" s="56"/>
      <c r="U114" s="56"/>
      <c r="V114" s="56"/>
      <c r="W114" s="56"/>
      <c r="X114" s="43"/>
      <c r="Z114" s="55"/>
      <c r="AA114" s="56"/>
      <c r="AB114" s="56"/>
      <c r="AC114" s="56"/>
      <c r="AD114" s="56"/>
      <c r="AE114" s="58"/>
      <c r="AF114" s="43"/>
      <c r="AN114" s="43"/>
      <c r="AP114" s="56"/>
      <c r="AQ114" s="56"/>
      <c r="AR114" s="56"/>
      <c r="AS114" s="56"/>
      <c r="AU114" s="43"/>
    </row>
    <row r="115">
      <c r="B115" s="56"/>
      <c r="C115" s="56"/>
      <c r="D115" s="56"/>
      <c r="E115" s="56"/>
      <c r="Q115" s="43"/>
      <c r="R115" s="6"/>
      <c r="S115" s="55"/>
      <c r="T115" s="56"/>
      <c r="U115" s="56"/>
      <c r="V115" s="56"/>
      <c r="W115" s="56"/>
      <c r="X115" s="43"/>
      <c r="Z115" s="55"/>
      <c r="AA115" s="56"/>
      <c r="AB115" s="56"/>
      <c r="AC115" s="56"/>
      <c r="AD115" s="56"/>
      <c r="AE115" s="58"/>
      <c r="AF115" s="43"/>
      <c r="AN115" s="43"/>
      <c r="AP115" s="56"/>
      <c r="AQ115" s="56"/>
      <c r="AR115" s="56"/>
      <c r="AS115" s="56"/>
      <c r="AU115" s="43"/>
    </row>
    <row r="116">
      <c r="B116" s="56"/>
      <c r="C116" s="56"/>
      <c r="D116" s="56"/>
      <c r="E116" s="56"/>
      <c r="Q116" s="43"/>
      <c r="R116" s="6"/>
      <c r="S116" s="55"/>
      <c r="T116" s="56"/>
      <c r="U116" s="56"/>
      <c r="V116" s="56"/>
      <c r="W116" s="56"/>
      <c r="X116" s="43"/>
      <c r="Z116" s="55"/>
      <c r="AA116" s="56"/>
      <c r="AB116" s="56"/>
      <c r="AC116" s="56"/>
      <c r="AD116" s="56"/>
      <c r="AE116" s="58"/>
      <c r="AF116" s="43"/>
      <c r="AN116" s="43"/>
      <c r="AP116" s="56"/>
      <c r="AQ116" s="56"/>
      <c r="AR116" s="56"/>
      <c r="AS116" s="56"/>
      <c r="AU116" s="43"/>
    </row>
    <row r="117">
      <c r="B117" s="56"/>
      <c r="C117" s="56"/>
      <c r="D117" s="56"/>
      <c r="E117" s="56"/>
      <c r="Q117" s="43"/>
      <c r="S117" s="55"/>
      <c r="T117" s="56"/>
      <c r="U117" s="56"/>
      <c r="V117" s="56"/>
      <c r="W117" s="56"/>
      <c r="X117" s="43"/>
      <c r="Z117" s="55"/>
      <c r="AA117" s="56"/>
      <c r="AB117" s="56"/>
      <c r="AC117" s="56"/>
      <c r="AD117" s="56"/>
      <c r="AE117" s="58"/>
      <c r="AF117" s="43"/>
      <c r="AN117" s="43"/>
      <c r="AP117" s="56"/>
      <c r="AQ117" s="56"/>
      <c r="AR117" s="56"/>
      <c r="AS117" s="56"/>
      <c r="AU117" s="43"/>
    </row>
    <row r="118">
      <c r="B118" s="56"/>
      <c r="C118" s="56"/>
      <c r="D118" s="56"/>
      <c r="E118" s="56"/>
      <c r="Q118" s="43"/>
      <c r="S118" s="55"/>
      <c r="T118" s="56"/>
      <c r="U118" s="56"/>
      <c r="V118" s="56"/>
      <c r="W118" s="56"/>
      <c r="X118" s="43"/>
      <c r="Z118" s="55"/>
      <c r="AA118" s="56"/>
      <c r="AB118" s="56"/>
      <c r="AC118" s="56"/>
      <c r="AD118" s="56"/>
      <c r="AE118" s="58"/>
      <c r="AF118" s="43"/>
      <c r="AN118" s="43"/>
      <c r="AP118" s="56"/>
      <c r="AQ118" s="56"/>
      <c r="AR118" s="56"/>
      <c r="AS118" s="56"/>
      <c r="AU118" s="43"/>
    </row>
    <row r="119">
      <c r="B119" s="56"/>
      <c r="C119" s="56"/>
      <c r="D119" s="56"/>
      <c r="E119" s="56"/>
      <c r="Q119" s="43"/>
      <c r="S119" s="55"/>
      <c r="T119" s="56"/>
      <c r="U119" s="56"/>
      <c r="V119" s="56"/>
      <c r="W119" s="56"/>
      <c r="X119" s="43"/>
      <c r="Z119" s="55"/>
      <c r="AA119" s="56"/>
      <c r="AB119" s="56"/>
      <c r="AC119" s="56"/>
      <c r="AD119" s="56"/>
      <c r="AE119" s="58"/>
      <c r="AF119" s="43"/>
      <c r="AN119" s="43"/>
      <c r="AP119" s="56"/>
      <c r="AQ119" s="56"/>
      <c r="AR119" s="56"/>
      <c r="AS119" s="56"/>
      <c r="AU119" s="43"/>
    </row>
    <row r="120">
      <c r="B120" s="56"/>
      <c r="C120" s="56"/>
      <c r="D120" s="56"/>
      <c r="E120" s="56"/>
      <c r="Q120" s="43"/>
      <c r="S120" s="55"/>
      <c r="T120" s="56"/>
      <c r="U120" s="56"/>
      <c r="V120" s="56"/>
      <c r="W120" s="56"/>
      <c r="X120" s="43"/>
      <c r="Z120" s="55"/>
      <c r="AA120" s="56"/>
      <c r="AB120" s="56"/>
      <c r="AC120" s="56"/>
      <c r="AD120" s="56"/>
      <c r="AE120" s="58"/>
      <c r="AF120" s="43"/>
      <c r="AN120" s="43"/>
      <c r="AP120" s="56"/>
      <c r="AQ120" s="56"/>
      <c r="AR120" s="56"/>
      <c r="AS120" s="56"/>
      <c r="AU120" s="43"/>
    </row>
    <row r="121">
      <c r="B121" s="56"/>
      <c r="C121" s="56"/>
      <c r="D121" s="56"/>
      <c r="E121" s="56"/>
      <c r="Q121" s="43"/>
      <c r="S121" s="55"/>
      <c r="T121" s="56"/>
      <c r="U121" s="56"/>
      <c r="V121" s="56"/>
      <c r="W121" s="56"/>
      <c r="X121" s="43"/>
      <c r="Z121" s="55"/>
      <c r="AA121" s="56"/>
      <c r="AB121" s="56"/>
      <c r="AC121" s="56"/>
      <c r="AD121" s="56"/>
      <c r="AE121" s="58"/>
      <c r="AF121" s="43"/>
      <c r="AN121" s="43"/>
      <c r="AP121" s="56"/>
      <c r="AQ121" s="56"/>
      <c r="AR121" s="56"/>
      <c r="AS121" s="56"/>
      <c r="AU121" s="43"/>
    </row>
    <row r="122">
      <c r="B122" s="56"/>
      <c r="C122" s="56"/>
      <c r="D122" s="56"/>
      <c r="E122" s="56"/>
      <c r="Q122" s="43"/>
      <c r="S122" s="55"/>
      <c r="T122" s="56"/>
      <c r="U122" s="56"/>
      <c r="V122" s="56"/>
      <c r="W122" s="56"/>
      <c r="X122" s="43"/>
      <c r="Z122" s="55"/>
      <c r="AA122" s="56"/>
      <c r="AB122" s="56"/>
      <c r="AC122" s="56"/>
      <c r="AD122" s="56"/>
      <c r="AE122" s="58"/>
      <c r="AF122" s="43"/>
      <c r="AN122" s="43"/>
      <c r="AP122" s="56"/>
      <c r="AQ122" s="56"/>
      <c r="AR122" s="56"/>
      <c r="AS122" s="56"/>
      <c r="AU122" s="43"/>
    </row>
    <row r="123">
      <c r="B123" s="56"/>
      <c r="C123" s="56"/>
      <c r="D123" s="56"/>
      <c r="E123" s="56"/>
      <c r="Q123" s="43"/>
      <c r="S123" s="55"/>
      <c r="T123" s="56"/>
      <c r="U123" s="56"/>
      <c r="V123" s="56"/>
      <c r="W123" s="56"/>
      <c r="X123" s="43"/>
      <c r="Z123" s="55"/>
      <c r="AA123" s="56"/>
      <c r="AB123" s="56"/>
      <c r="AC123" s="56"/>
      <c r="AD123" s="56"/>
      <c r="AE123" s="58"/>
      <c r="AF123" s="43"/>
      <c r="AN123" s="43"/>
      <c r="AP123" s="56"/>
      <c r="AQ123" s="56"/>
      <c r="AR123" s="56"/>
      <c r="AS123" s="56"/>
      <c r="AU123" s="43"/>
    </row>
    <row r="124">
      <c r="B124" s="56"/>
      <c r="C124" s="56"/>
      <c r="D124" s="56"/>
      <c r="E124" s="56"/>
      <c r="Q124" s="43"/>
      <c r="S124" s="55"/>
      <c r="T124" s="56"/>
      <c r="U124" s="56"/>
      <c r="V124" s="56"/>
      <c r="W124" s="56"/>
      <c r="X124" s="43"/>
      <c r="Z124" s="55"/>
      <c r="AA124" s="56"/>
      <c r="AB124" s="56"/>
      <c r="AC124" s="56"/>
      <c r="AD124" s="56"/>
      <c r="AE124" s="58"/>
      <c r="AF124" s="43"/>
      <c r="AN124" s="43"/>
      <c r="AP124" s="56"/>
      <c r="AQ124" s="56"/>
      <c r="AR124" s="56"/>
      <c r="AS124" s="56"/>
      <c r="AU124" s="43"/>
    </row>
    <row r="125">
      <c r="B125" s="56"/>
      <c r="C125" s="56"/>
      <c r="D125" s="56"/>
      <c r="E125" s="56"/>
      <c r="Q125" s="43"/>
      <c r="S125" s="55"/>
      <c r="T125" s="56"/>
      <c r="U125" s="56"/>
      <c r="V125" s="56"/>
      <c r="W125" s="56"/>
      <c r="X125" s="43"/>
      <c r="Z125" s="55"/>
      <c r="AA125" s="56"/>
      <c r="AB125" s="56"/>
      <c r="AC125" s="56"/>
      <c r="AD125" s="56"/>
      <c r="AE125" s="58"/>
      <c r="AF125" s="43"/>
      <c r="AN125" s="43"/>
      <c r="AP125" s="56"/>
      <c r="AQ125" s="56"/>
      <c r="AR125" s="56"/>
      <c r="AS125" s="56"/>
      <c r="AU125" s="43"/>
    </row>
    <row r="126">
      <c r="B126" s="56"/>
      <c r="C126" s="56"/>
      <c r="D126" s="56"/>
      <c r="E126" s="56"/>
      <c r="Q126" s="43"/>
      <c r="S126" s="55"/>
      <c r="T126" s="56"/>
      <c r="U126" s="56"/>
      <c r="V126" s="56"/>
      <c r="W126" s="56"/>
      <c r="X126" s="43"/>
      <c r="Z126" s="55"/>
      <c r="AA126" s="56"/>
      <c r="AB126" s="56"/>
      <c r="AC126" s="56"/>
      <c r="AD126" s="56"/>
      <c r="AE126" s="58"/>
      <c r="AF126" s="43"/>
      <c r="AN126" s="43"/>
      <c r="AP126" s="56"/>
      <c r="AQ126" s="56"/>
      <c r="AR126" s="56"/>
      <c r="AS126" s="56"/>
      <c r="AU126" s="43"/>
    </row>
    <row r="127">
      <c r="B127" s="56"/>
      <c r="C127" s="56"/>
      <c r="D127" s="56"/>
      <c r="E127" s="56"/>
      <c r="Q127" s="43"/>
      <c r="S127" s="55"/>
      <c r="T127" s="56"/>
      <c r="U127" s="56"/>
      <c r="V127" s="56"/>
      <c r="W127" s="56"/>
      <c r="X127" s="43"/>
      <c r="Z127" s="55"/>
      <c r="AA127" s="56"/>
      <c r="AB127" s="56"/>
      <c r="AC127" s="56"/>
      <c r="AD127" s="56"/>
      <c r="AE127" s="58"/>
      <c r="AF127" s="43"/>
      <c r="AN127" s="43"/>
      <c r="AP127" s="56"/>
      <c r="AQ127" s="56"/>
      <c r="AR127" s="56"/>
      <c r="AS127" s="56"/>
      <c r="AU127" s="43"/>
    </row>
    <row r="128">
      <c r="B128" s="56"/>
      <c r="C128" s="56"/>
      <c r="D128" s="56"/>
      <c r="E128" s="56"/>
      <c r="Q128" s="43"/>
      <c r="S128" s="55"/>
      <c r="T128" s="56"/>
      <c r="U128" s="56"/>
      <c r="V128" s="56"/>
      <c r="W128" s="56"/>
      <c r="X128" s="43"/>
      <c r="Z128" s="55"/>
      <c r="AA128" s="56"/>
      <c r="AB128" s="56"/>
      <c r="AC128" s="56"/>
      <c r="AD128" s="56"/>
      <c r="AE128" s="58"/>
      <c r="AF128" s="43"/>
      <c r="AN128" s="43"/>
      <c r="AP128" s="56"/>
      <c r="AQ128" s="56"/>
      <c r="AR128" s="56"/>
      <c r="AS128" s="56"/>
      <c r="AU128" s="43"/>
    </row>
    <row r="129">
      <c r="B129" s="56"/>
      <c r="C129" s="56"/>
      <c r="D129" s="56"/>
      <c r="E129" s="56"/>
      <c r="Q129" s="43"/>
      <c r="S129" s="55"/>
      <c r="T129" s="56"/>
      <c r="U129" s="56"/>
      <c r="V129" s="56"/>
      <c r="W129" s="56"/>
      <c r="X129" s="43"/>
      <c r="Z129" s="55"/>
      <c r="AA129" s="56"/>
      <c r="AB129" s="56"/>
      <c r="AC129" s="56"/>
      <c r="AD129" s="56"/>
      <c r="AE129" s="58"/>
      <c r="AF129" s="43"/>
      <c r="AN129" s="43"/>
      <c r="AP129" s="56"/>
      <c r="AQ129" s="56"/>
      <c r="AR129" s="56"/>
      <c r="AS129" s="56"/>
      <c r="AU129" s="43"/>
    </row>
    <row r="130">
      <c r="B130" s="56"/>
      <c r="C130" s="56"/>
      <c r="D130" s="56"/>
      <c r="E130" s="56"/>
      <c r="Q130" s="43"/>
      <c r="S130" s="55"/>
      <c r="T130" s="56"/>
      <c r="U130" s="56"/>
      <c r="V130" s="56"/>
      <c r="W130" s="56"/>
      <c r="X130" s="43"/>
      <c r="Z130" s="55"/>
      <c r="AA130" s="56"/>
      <c r="AB130" s="56"/>
      <c r="AC130" s="56"/>
      <c r="AD130" s="56"/>
      <c r="AE130" s="58"/>
      <c r="AF130" s="43"/>
      <c r="AN130" s="43"/>
      <c r="AP130" s="56"/>
      <c r="AQ130" s="56"/>
      <c r="AR130" s="56"/>
      <c r="AS130" s="56"/>
      <c r="AU130" s="43"/>
    </row>
    <row r="131">
      <c r="B131" s="56"/>
      <c r="C131" s="56"/>
      <c r="D131" s="56"/>
      <c r="E131" s="56"/>
      <c r="Q131" s="43"/>
      <c r="S131" s="55"/>
      <c r="T131" s="56"/>
      <c r="U131" s="56"/>
      <c r="V131" s="56"/>
      <c r="W131" s="56"/>
      <c r="X131" s="43"/>
      <c r="Z131" s="55"/>
      <c r="AA131" s="56"/>
      <c r="AB131" s="56"/>
      <c r="AC131" s="56"/>
      <c r="AD131" s="56"/>
      <c r="AE131" s="58"/>
      <c r="AF131" s="43"/>
      <c r="AN131" s="43"/>
      <c r="AP131" s="56"/>
      <c r="AQ131" s="56"/>
      <c r="AR131" s="56"/>
      <c r="AS131" s="56"/>
      <c r="AU131" s="43"/>
    </row>
    <row r="132">
      <c r="B132" s="56"/>
      <c r="C132" s="56"/>
      <c r="D132" s="56"/>
      <c r="E132" s="56"/>
      <c r="Q132" s="43"/>
      <c r="S132" s="55"/>
      <c r="T132" s="56"/>
      <c r="U132" s="56"/>
      <c r="V132" s="56"/>
      <c r="W132" s="56"/>
      <c r="X132" s="43"/>
      <c r="Z132" s="55"/>
      <c r="AA132" s="56"/>
      <c r="AB132" s="56"/>
      <c r="AC132" s="56"/>
      <c r="AD132" s="56"/>
      <c r="AE132" s="58"/>
      <c r="AF132" s="43"/>
      <c r="AN132" s="43"/>
      <c r="AP132" s="56"/>
      <c r="AQ132" s="56"/>
      <c r="AR132" s="56"/>
      <c r="AS132" s="56"/>
      <c r="AU132" s="43"/>
    </row>
    <row r="133">
      <c r="B133" s="56"/>
      <c r="C133" s="56"/>
      <c r="D133" s="56"/>
      <c r="E133" s="56"/>
      <c r="Q133" s="43"/>
      <c r="S133" s="55"/>
      <c r="T133" s="56"/>
      <c r="U133" s="56"/>
      <c r="V133" s="56"/>
      <c r="W133" s="56"/>
      <c r="X133" s="43"/>
      <c r="Z133" s="55"/>
      <c r="AA133" s="56"/>
      <c r="AB133" s="56"/>
      <c r="AC133" s="56"/>
      <c r="AD133" s="56"/>
      <c r="AE133" s="58"/>
      <c r="AF133" s="43"/>
      <c r="AN133" s="43"/>
      <c r="AP133" s="56"/>
      <c r="AQ133" s="56"/>
      <c r="AR133" s="56"/>
      <c r="AS133" s="56"/>
      <c r="AU133" s="43"/>
    </row>
    <row r="134">
      <c r="B134" s="56"/>
      <c r="C134" s="56"/>
      <c r="D134" s="56"/>
      <c r="E134" s="56"/>
      <c r="Q134" s="43"/>
      <c r="S134" s="55"/>
      <c r="T134" s="56"/>
      <c r="U134" s="56"/>
      <c r="V134" s="56"/>
      <c r="W134" s="56"/>
      <c r="X134" s="43"/>
      <c r="Z134" s="55"/>
      <c r="AA134" s="56"/>
      <c r="AB134" s="56"/>
      <c r="AC134" s="56"/>
      <c r="AD134" s="56"/>
      <c r="AE134" s="58"/>
      <c r="AF134" s="43"/>
      <c r="AN134" s="43"/>
      <c r="AP134" s="56"/>
      <c r="AQ134" s="56"/>
      <c r="AR134" s="56"/>
      <c r="AS134" s="56"/>
      <c r="AU134" s="43"/>
    </row>
    <row r="135">
      <c r="B135" s="56"/>
      <c r="C135" s="56"/>
      <c r="D135" s="56"/>
      <c r="E135" s="56"/>
      <c r="Q135" s="43"/>
      <c r="S135" s="55"/>
      <c r="T135" s="56"/>
      <c r="U135" s="56"/>
      <c r="V135" s="56"/>
      <c r="W135" s="56"/>
      <c r="X135" s="43"/>
      <c r="Z135" s="55"/>
      <c r="AA135" s="56"/>
      <c r="AB135" s="56"/>
      <c r="AC135" s="56"/>
      <c r="AD135" s="56"/>
      <c r="AE135" s="58"/>
      <c r="AF135" s="43"/>
      <c r="AN135" s="43"/>
      <c r="AP135" s="56"/>
      <c r="AQ135" s="56"/>
      <c r="AR135" s="56"/>
      <c r="AS135" s="56"/>
      <c r="AU135" s="43"/>
    </row>
    <row r="136">
      <c r="B136" s="56"/>
      <c r="C136" s="56"/>
      <c r="D136" s="56"/>
      <c r="E136" s="56"/>
      <c r="Q136" s="43"/>
      <c r="S136" s="55"/>
      <c r="T136" s="56"/>
      <c r="U136" s="56"/>
      <c r="V136" s="56"/>
      <c r="W136" s="56"/>
      <c r="X136" s="43"/>
      <c r="Z136" s="55"/>
      <c r="AA136" s="56"/>
      <c r="AB136" s="56"/>
      <c r="AC136" s="56"/>
      <c r="AD136" s="56"/>
      <c r="AE136" s="58"/>
      <c r="AF136" s="43"/>
      <c r="AN136" s="43"/>
      <c r="AP136" s="56"/>
      <c r="AQ136" s="56"/>
      <c r="AR136" s="56"/>
      <c r="AS136" s="56"/>
      <c r="AU136" s="43"/>
    </row>
    <row r="137">
      <c r="B137" s="56"/>
      <c r="C137" s="56"/>
      <c r="D137" s="56"/>
      <c r="E137" s="56"/>
      <c r="Q137" s="43"/>
      <c r="S137" s="55"/>
      <c r="T137" s="56"/>
      <c r="U137" s="56"/>
      <c r="V137" s="56"/>
      <c r="W137" s="56"/>
      <c r="X137" s="43"/>
      <c r="Z137" s="55"/>
      <c r="AA137" s="56"/>
      <c r="AB137" s="56"/>
      <c r="AC137" s="56"/>
      <c r="AD137" s="56"/>
      <c r="AE137" s="58"/>
      <c r="AF137" s="43"/>
      <c r="AN137" s="43"/>
      <c r="AP137" s="56"/>
      <c r="AQ137" s="56"/>
      <c r="AR137" s="56"/>
      <c r="AS137" s="56"/>
      <c r="AU137" s="43"/>
    </row>
    <row r="138">
      <c r="B138" s="56"/>
      <c r="C138" s="56"/>
      <c r="D138" s="56"/>
      <c r="E138" s="56"/>
      <c r="Q138" s="43"/>
      <c r="S138" s="55"/>
      <c r="T138" s="56"/>
      <c r="U138" s="56"/>
      <c r="V138" s="56"/>
      <c r="W138" s="56"/>
      <c r="X138" s="43"/>
      <c r="Z138" s="55"/>
      <c r="AA138" s="56"/>
      <c r="AB138" s="56"/>
      <c r="AC138" s="56"/>
      <c r="AD138" s="56"/>
      <c r="AE138" s="58"/>
      <c r="AF138" s="43"/>
      <c r="AN138" s="43"/>
      <c r="AP138" s="56"/>
      <c r="AQ138" s="56"/>
      <c r="AR138" s="56"/>
      <c r="AS138" s="56"/>
      <c r="AU138" s="43"/>
    </row>
    <row r="139">
      <c r="B139" s="56"/>
      <c r="C139" s="56"/>
      <c r="D139" s="56"/>
      <c r="E139" s="56"/>
      <c r="Q139" s="43"/>
      <c r="S139" s="55"/>
      <c r="T139" s="56"/>
      <c r="U139" s="56"/>
      <c r="V139" s="56"/>
      <c r="W139" s="56"/>
      <c r="X139" s="43"/>
      <c r="Z139" s="55"/>
      <c r="AA139" s="56"/>
      <c r="AB139" s="56"/>
      <c r="AC139" s="56"/>
      <c r="AD139" s="56"/>
      <c r="AE139" s="58"/>
      <c r="AF139" s="43"/>
      <c r="AN139" s="43"/>
      <c r="AP139" s="56"/>
      <c r="AQ139" s="56"/>
      <c r="AR139" s="56"/>
      <c r="AS139" s="56"/>
      <c r="AU139" s="43"/>
    </row>
    <row r="140">
      <c r="B140" s="56"/>
      <c r="C140" s="56"/>
      <c r="D140" s="56"/>
      <c r="E140" s="56"/>
      <c r="Q140" s="43"/>
      <c r="S140" s="55"/>
      <c r="T140" s="56"/>
      <c r="U140" s="56"/>
      <c r="V140" s="56"/>
      <c r="W140" s="56"/>
      <c r="X140" s="43"/>
      <c r="Z140" s="55"/>
      <c r="AA140" s="56"/>
      <c r="AB140" s="56"/>
      <c r="AC140" s="56"/>
      <c r="AD140" s="56"/>
      <c r="AE140" s="58"/>
      <c r="AF140" s="43"/>
      <c r="AN140" s="43"/>
      <c r="AP140" s="56"/>
      <c r="AQ140" s="56"/>
      <c r="AR140" s="56"/>
      <c r="AS140" s="56"/>
      <c r="AU140" s="43"/>
    </row>
    <row r="141">
      <c r="B141" s="56"/>
      <c r="C141" s="56"/>
      <c r="D141" s="56"/>
      <c r="E141" s="56"/>
      <c r="Q141" s="43"/>
      <c r="S141" s="55"/>
      <c r="T141" s="56"/>
      <c r="U141" s="56"/>
      <c r="V141" s="56"/>
      <c r="W141" s="56"/>
      <c r="X141" s="43"/>
      <c r="Z141" s="55"/>
      <c r="AA141" s="56"/>
      <c r="AB141" s="56"/>
      <c r="AC141" s="56"/>
      <c r="AD141" s="56"/>
      <c r="AE141" s="58"/>
      <c r="AF141" s="43"/>
      <c r="AN141" s="43"/>
      <c r="AP141" s="56"/>
      <c r="AQ141" s="56"/>
      <c r="AR141" s="56"/>
      <c r="AS141" s="56"/>
      <c r="AU141" s="43"/>
    </row>
    <row r="142">
      <c r="B142" s="56"/>
      <c r="C142" s="56"/>
      <c r="D142" s="56"/>
      <c r="E142" s="56"/>
      <c r="Q142" s="43"/>
      <c r="S142" s="55"/>
      <c r="T142" s="56"/>
      <c r="U142" s="56"/>
      <c r="V142" s="56"/>
      <c r="W142" s="56"/>
      <c r="X142" s="43"/>
      <c r="Z142" s="55"/>
      <c r="AA142" s="56"/>
      <c r="AB142" s="56"/>
      <c r="AC142" s="56"/>
      <c r="AD142" s="56"/>
      <c r="AE142" s="58"/>
      <c r="AF142" s="43"/>
      <c r="AN142" s="43"/>
      <c r="AP142" s="56"/>
      <c r="AQ142" s="56"/>
      <c r="AR142" s="56"/>
      <c r="AS142" s="56"/>
      <c r="AU142" s="43"/>
    </row>
    <row r="143">
      <c r="B143" s="56"/>
      <c r="C143" s="56"/>
      <c r="D143" s="56"/>
      <c r="E143" s="56"/>
      <c r="Q143" s="43"/>
      <c r="S143" s="55"/>
      <c r="T143" s="56"/>
      <c r="U143" s="56"/>
      <c r="V143" s="56"/>
      <c r="W143" s="56"/>
      <c r="X143" s="43"/>
      <c r="Z143" s="55"/>
      <c r="AA143" s="56"/>
      <c r="AB143" s="56"/>
      <c r="AC143" s="56"/>
      <c r="AD143" s="56"/>
      <c r="AE143" s="58"/>
      <c r="AF143" s="43"/>
      <c r="AN143" s="43"/>
      <c r="AP143" s="56"/>
      <c r="AQ143" s="56"/>
      <c r="AR143" s="56"/>
      <c r="AS143" s="56"/>
      <c r="AU143" s="43"/>
    </row>
    <row r="144">
      <c r="B144" s="56"/>
      <c r="C144" s="56"/>
      <c r="D144" s="56"/>
      <c r="E144" s="56"/>
      <c r="Q144" s="43"/>
      <c r="S144" s="55"/>
      <c r="T144" s="56"/>
      <c r="U144" s="56"/>
      <c r="V144" s="56"/>
      <c r="W144" s="56"/>
      <c r="X144" s="43"/>
      <c r="Z144" s="55"/>
      <c r="AA144" s="56"/>
      <c r="AB144" s="56"/>
      <c r="AC144" s="56"/>
      <c r="AD144" s="56"/>
      <c r="AE144" s="58"/>
      <c r="AF144" s="43"/>
      <c r="AN144" s="43"/>
      <c r="AP144" s="56"/>
      <c r="AQ144" s="56"/>
      <c r="AR144" s="56"/>
      <c r="AS144" s="56"/>
      <c r="AU144" s="43"/>
    </row>
    <row r="145">
      <c r="B145" s="56"/>
      <c r="C145" s="56"/>
      <c r="D145" s="56"/>
      <c r="E145" s="56"/>
      <c r="Q145" s="43"/>
      <c r="S145" s="55"/>
      <c r="T145" s="56"/>
      <c r="U145" s="56"/>
      <c r="V145" s="56"/>
      <c r="W145" s="56"/>
      <c r="X145" s="43"/>
      <c r="Z145" s="55"/>
      <c r="AA145" s="56"/>
      <c r="AB145" s="56"/>
      <c r="AC145" s="56"/>
      <c r="AD145" s="56"/>
      <c r="AE145" s="58"/>
      <c r="AF145" s="43"/>
      <c r="AN145" s="43"/>
      <c r="AP145" s="56"/>
      <c r="AQ145" s="56"/>
      <c r="AR145" s="56"/>
      <c r="AS145" s="56"/>
      <c r="AU145" s="43"/>
    </row>
    <row r="146">
      <c r="B146" s="56"/>
      <c r="C146" s="56"/>
      <c r="D146" s="56"/>
      <c r="E146" s="56"/>
      <c r="Q146" s="43"/>
      <c r="S146" s="55"/>
      <c r="T146" s="56"/>
      <c r="U146" s="56"/>
      <c r="V146" s="56"/>
      <c r="W146" s="56"/>
      <c r="X146" s="43"/>
      <c r="Z146" s="55"/>
      <c r="AA146" s="56"/>
      <c r="AB146" s="56"/>
      <c r="AC146" s="56"/>
      <c r="AD146" s="56"/>
      <c r="AE146" s="58"/>
      <c r="AF146" s="43"/>
      <c r="AN146" s="43"/>
      <c r="AP146" s="56"/>
      <c r="AQ146" s="56"/>
      <c r="AR146" s="56"/>
      <c r="AS146" s="56"/>
      <c r="AU146" s="43"/>
    </row>
    <row r="147">
      <c r="B147" s="56"/>
      <c r="C147" s="56"/>
      <c r="D147" s="56"/>
      <c r="E147" s="56"/>
      <c r="Q147" s="43"/>
      <c r="S147" s="55"/>
      <c r="T147" s="56"/>
      <c r="U147" s="56"/>
      <c r="V147" s="56"/>
      <c r="W147" s="56"/>
      <c r="X147" s="43"/>
      <c r="Z147" s="55"/>
      <c r="AA147" s="56"/>
      <c r="AB147" s="56"/>
      <c r="AC147" s="56"/>
      <c r="AD147" s="56"/>
      <c r="AE147" s="58"/>
      <c r="AF147" s="43"/>
      <c r="AN147" s="43"/>
      <c r="AP147" s="56"/>
      <c r="AQ147" s="56"/>
      <c r="AR147" s="56"/>
      <c r="AS147" s="56"/>
      <c r="AU147" s="43"/>
    </row>
    <row r="148">
      <c r="B148" s="56"/>
      <c r="C148" s="56"/>
      <c r="D148" s="56"/>
      <c r="E148" s="56"/>
      <c r="Q148" s="43"/>
      <c r="S148" s="55"/>
      <c r="T148" s="56"/>
      <c r="U148" s="56"/>
      <c r="V148" s="56"/>
      <c r="W148" s="56"/>
      <c r="X148" s="43"/>
      <c r="Z148" s="55"/>
      <c r="AA148" s="56"/>
      <c r="AB148" s="56"/>
      <c r="AC148" s="56"/>
      <c r="AD148" s="56"/>
      <c r="AE148" s="58"/>
      <c r="AF148" s="43"/>
      <c r="AN148" s="43"/>
      <c r="AP148" s="56"/>
      <c r="AQ148" s="56"/>
      <c r="AR148" s="56"/>
      <c r="AS148" s="56"/>
      <c r="AU148" s="43"/>
    </row>
    <row r="149">
      <c r="B149" s="56"/>
      <c r="C149" s="56"/>
      <c r="D149" s="56"/>
      <c r="E149" s="56"/>
      <c r="Q149" s="43"/>
      <c r="S149" s="55"/>
      <c r="T149" s="56"/>
      <c r="U149" s="56"/>
      <c r="V149" s="56"/>
      <c r="W149" s="56"/>
      <c r="X149" s="43"/>
      <c r="Z149" s="55"/>
      <c r="AA149" s="56"/>
      <c r="AB149" s="56"/>
      <c r="AC149" s="56"/>
      <c r="AD149" s="56"/>
      <c r="AE149" s="58"/>
      <c r="AF149" s="43"/>
      <c r="AN149" s="43"/>
      <c r="AP149" s="56"/>
      <c r="AQ149" s="56"/>
      <c r="AR149" s="56"/>
      <c r="AS149" s="56"/>
      <c r="AU149" s="43"/>
    </row>
    <row r="150">
      <c r="B150" s="56"/>
      <c r="C150" s="56"/>
      <c r="D150" s="56"/>
      <c r="E150" s="56"/>
      <c r="Q150" s="43"/>
      <c r="S150" s="55"/>
      <c r="T150" s="56"/>
      <c r="U150" s="56"/>
      <c r="V150" s="56"/>
      <c r="W150" s="56"/>
      <c r="X150" s="43"/>
      <c r="Z150" s="55"/>
      <c r="AA150" s="56"/>
      <c r="AB150" s="56"/>
      <c r="AC150" s="56"/>
      <c r="AD150" s="56"/>
      <c r="AE150" s="58"/>
      <c r="AF150" s="43"/>
      <c r="AN150" s="43"/>
      <c r="AP150" s="56"/>
      <c r="AQ150" s="56"/>
      <c r="AR150" s="56"/>
      <c r="AS150" s="56"/>
      <c r="AU150" s="43"/>
    </row>
    <row r="151">
      <c r="B151" s="56"/>
      <c r="C151" s="56"/>
      <c r="D151" s="56"/>
      <c r="E151" s="56"/>
      <c r="Q151" s="43"/>
      <c r="S151" s="55"/>
      <c r="T151" s="56"/>
      <c r="U151" s="56"/>
      <c r="V151" s="56"/>
      <c r="W151" s="56"/>
      <c r="X151" s="43"/>
      <c r="Z151" s="55"/>
      <c r="AA151" s="56"/>
      <c r="AB151" s="56"/>
      <c r="AC151" s="56"/>
      <c r="AD151" s="56"/>
      <c r="AE151" s="58"/>
      <c r="AF151" s="43"/>
      <c r="AN151" s="43"/>
      <c r="AP151" s="56"/>
      <c r="AQ151" s="56"/>
      <c r="AR151" s="56"/>
      <c r="AS151" s="56"/>
      <c r="AU151" s="43"/>
    </row>
    <row r="152">
      <c r="B152" s="56"/>
      <c r="C152" s="56"/>
      <c r="D152" s="56"/>
      <c r="E152" s="56"/>
      <c r="Q152" s="43"/>
      <c r="S152" s="55"/>
      <c r="T152" s="56"/>
      <c r="U152" s="56"/>
      <c r="V152" s="56"/>
      <c r="W152" s="56"/>
      <c r="X152" s="43"/>
      <c r="Z152" s="55"/>
      <c r="AA152" s="56"/>
      <c r="AB152" s="56"/>
      <c r="AC152" s="56"/>
      <c r="AD152" s="56"/>
      <c r="AE152" s="58"/>
      <c r="AF152" s="43"/>
      <c r="AN152" s="43"/>
      <c r="AP152" s="56"/>
      <c r="AQ152" s="56"/>
      <c r="AR152" s="56"/>
      <c r="AS152" s="56"/>
      <c r="AU152" s="43"/>
    </row>
    <row r="153">
      <c r="B153" s="56"/>
      <c r="C153" s="56"/>
      <c r="D153" s="56"/>
      <c r="E153" s="56"/>
      <c r="Q153" s="43"/>
      <c r="S153" s="55"/>
      <c r="T153" s="56"/>
      <c r="U153" s="56"/>
      <c r="V153" s="56"/>
      <c r="W153" s="56"/>
      <c r="X153" s="43"/>
      <c r="Z153" s="55"/>
      <c r="AA153" s="56"/>
      <c r="AB153" s="56"/>
      <c r="AC153" s="56"/>
      <c r="AD153" s="56"/>
      <c r="AE153" s="58"/>
      <c r="AF153" s="43"/>
      <c r="AN153" s="43"/>
      <c r="AP153" s="56"/>
      <c r="AQ153" s="56"/>
      <c r="AR153" s="56"/>
      <c r="AS153" s="56"/>
      <c r="AU153" s="43"/>
    </row>
    <row r="154">
      <c r="B154" s="56"/>
      <c r="C154" s="56"/>
      <c r="D154" s="56"/>
      <c r="E154" s="56"/>
      <c r="Q154" s="43"/>
      <c r="S154" s="55"/>
      <c r="T154" s="56"/>
      <c r="U154" s="56"/>
      <c r="V154" s="56"/>
      <c r="W154" s="56"/>
      <c r="X154" s="43"/>
      <c r="Z154" s="55"/>
      <c r="AA154" s="56"/>
      <c r="AB154" s="56"/>
      <c r="AC154" s="56"/>
      <c r="AD154" s="56"/>
      <c r="AE154" s="58"/>
      <c r="AF154" s="43"/>
      <c r="AN154" s="43"/>
      <c r="AP154" s="56"/>
      <c r="AQ154" s="56"/>
      <c r="AR154" s="56"/>
      <c r="AS154" s="56"/>
      <c r="AU154" s="43"/>
    </row>
    <row r="155">
      <c r="B155" s="56"/>
      <c r="C155" s="56"/>
      <c r="D155" s="56"/>
      <c r="E155" s="56"/>
      <c r="Q155" s="43"/>
      <c r="S155" s="55"/>
      <c r="T155" s="56"/>
      <c r="U155" s="56"/>
      <c r="V155" s="56"/>
      <c r="W155" s="56"/>
      <c r="X155" s="43"/>
      <c r="Z155" s="55"/>
      <c r="AA155" s="56"/>
      <c r="AB155" s="56"/>
      <c r="AC155" s="56"/>
      <c r="AD155" s="56"/>
      <c r="AE155" s="58"/>
      <c r="AF155" s="43"/>
      <c r="AN155" s="43"/>
      <c r="AP155" s="56"/>
      <c r="AQ155" s="56"/>
      <c r="AR155" s="56"/>
      <c r="AS155" s="56"/>
      <c r="AU155" s="43"/>
    </row>
    <row r="156">
      <c r="B156" s="56"/>
      <c r="C156" s="56"/>
      <c r="D156" s="56"/>
      <c r="E156" s="56"/>
      <c r="Q156" s="43"/>
      <c r="S156" s="55"/>
      <c r="T156" s="56"/>
      <c r="U156" s="56"/>
      <c r="V156" s="56"/>
      <c r="W156" s="56"/>
      <c r="X156" s="43"/>
      <c r="Z156" s="55"/>
      <c r="AA156" s="56"/>
      <c r="AB156" s="56"/>
      <c r="AC156" s="56"/>
      <c r="AD156" s="56"/>
      <c r="AE156" s="58"/>
      <c r="AF156" s="43"/>
      <c r="AN156" s="43"/>
      <c r="AP156" s="56"/>
      <c r="AQ156" s="56"/>
      <c r="AR156" s="56"/>
      <c r="AS156" s="56"/>
      <c r="AU156" s="43"/>
    </row>
    <row r="157">
      <c r="B157" s="56"/>
      <c r="C157" s="56"/>
      <c r="D157" s="56"/>
      <c r="E157" s="56"/>
      <c r="Q157" s="43"/>
      <c r="S157" s="55"/>
      <c r="T157" s="56"/>
      <c r="U157" s="56"/>
      <c r="V157" s="56"/>
      <c r="W157" s="56"/>
      <c r="X157" s="43"/>
      <c r="Z157" s="55"/>
      <c r="AA157" s="56"/>
      <c r="AB157" s="56"/>
      <c r="AC157" s="56"/>
      <c r="AD157" s="56"/>
      <c r="AE157" s="58"/>
      <c r="AF157" s="43"/>
      <c r="AN157" s="43"/>
      <c r="AP157" s="56"/>
      <c r="AQ157" s="56"/>
      <c r="AR157" s="56"/>
      <c r="AS157" s="56"/>
      <c r="AU157" s="43"/>
    </row>
    <row r="158">
      <c r="B158" s="56"/>
      <c r="C158" s="56"/>
      <c r="D158" s="56"/>
      <c r="E158" s="56"/>
      <c r="Q158" s="43"/>
      <c r="S158" s="55"/>
      <c r="T158" s="56"/>
      <c r="U158" s="56"/>
      <c r="V158" s="56"/>
      <c r="W158" s="56"/>
      <c r="X158" s="43"/>
      <c r="Z158" s="55"/>
      <c r="AA158" s="56"/>
      <c r="AB158" s="56"/>
      <c r="AC158" s="56"/>
      <c r="AD158" s="56"/>
      <c r="AE158" s="58"/>
      <c r="AF158" s="43"/>
      <c r="AN158" s="43"/>
      <c r="AP158" s="56"/>
      <c r="AQ158" s="56"/>
      <c r="AR158" s="56"/>
      <c r="AS158" s="56"/>
      <c r="AU158" s="43"/>
    </row>
    <row r="159">
      <c r="B159" s="56"/>
      <c r="C159" s="56"/>
      <c r="D159" s="56"/>
      <c r="E159" s="56"/>
      <c r="Q159" s="43"/>
      <c r="S159" s="55"/>
      <c r="T159" s="56"/>
      <c r="U159" s="56"/>
      <c r="V159" s="56"/>
      <c r="W159" s="56"/>
      <c r="X159" s="43"/>
      <c r="Z159" s="55"/>
      <c r="AA159" s="56"/>
      <c r="AB159" s="56"/>
      <c r="AC159" s="56"/>
      <c r="AD159" s="56"/>
      <c r="AE159" s="58"/>
      <c r="AF159" s="43"/>
      <c r="AN159" s="43"/>
      <c r="AP159" s="56"/>
      <c r="AQ159" s="56"/>
      <c r="AR159" s="56"/>
      <c r="AS159" s="56"/>
      <c r="AU159" s="43"/>
    </row>
    <row r="160">
      <c r="B160" s="56"/>
      <c r="C160" s="56"/>
      <c r="D160" s="56"/>
      <c r="E160" s="56"/>
      <c r="Q160" s="43"/>
      <c r="S160" s="55"/>
      <c r="T160" s="56"/>
      <c r="U160" s="56"/>
      <c r="V160" s="56"/>
      <c r="W160" s="56"/>
      <c r="X160" s="43"/>
      <c r="Z160" s="55"/>
      <c r="AA160" s="56"/>
      <c r="AB160" s="56"/>
      <c r="AC160" s="56"/>
      <c r="AD160" s="56"/>
      <c r="AE160" s="58"/>
      <c r="AF160" s="43"/>
      <c r="AN160" s="43"/>
      <c r="AP160" s="56"/>
      <c r="AQ160" s="56"/>
      <c r="AR160" s="56"/>
      <c r="AS160" s="56"/>
      <c r="AU160" s="43"/>
    </row>
    <row r="161">
      <c r="B161" s="56"/>
      <c r="C161" s="56"/>
      <c r="D161" s="56"/>
      <c r="E161" s="56"/>
      <c r="Q161" s="43"/>
      <c r="S161" s="55"/>
      <c r="T161" s="56"/>
      <c r="U161" s="56"/>
      <c r="V161" s="56"/>
      <c r="W161" s="56"/>
      <c r="X161" s="43"/>
      <c r="Z161" s="55"/>
      <c r="AA161" s="56"/>
      <c r="AB161" s="56"/>
      <c r="AC161" s="56"/>
      <c r="AD161" s="56"/>
      <c r="AE161" s="58"/>
      <c r="AF161" s="43"/>
      <c r="AN161" s="43"/>
      <c r="AP161" s="56"/>
      <c r="AQ161" s="56"/>
      <c r="AR161" s="56"/>
      <c r="AS161" s="56"/>
      <c r="AU161" s="43"/>
    </row>
    <row r="162">
      <c r="B162" s="56"/>
      <c r="C162" s="56"/>
      <c r="D162" s="56"/>
      <c r="E162" s="56"/>
      <c r="Q162" s="43"/>
      <c r="S162" s="55"/>
      <c r="T162" s="56"/>
      <c r="U162" s="56"/>
      <c r="V162" s="56"/>
      <c r="W162" s="56"/>
      <c r="X162" s="43"/>
      <c r="Z162" s="55"/>
      <c r="AA162" s="56"/>
      <c r="AB162" s="56"/>
      <c r="AC162" s="56"/>
      <c r="AD162" s="56"/>
      <c r="AE162" s="58"/>
      <c r="AF162" s="43"/>
      <c r="AN162" s="43"/>
      <c r="AP162" s="56"/>
      <c r="AQ162" s="56"/>
      <c r="AR162" s="56"/>
      <c r="AS162" s="56"/>
      <c r="AU162" s="43"/>
    </row>
    <row r="163">
      <c r="B163" s="56"/>
      <c r="C163" s="56"/>
      <c r="D163" s="56"/>
      <c r="E163" s="56"/>
      <c r="Q163" s="43"/>
      <c r="S163" s="55"/>
      <c r="T163" s="56"/>
      <c r="U163" s="56"/>
      <c r="V163" s="56"/>
      <c r="W163" s="56"/>
      <c r="X163" s="43"/>
      <c r="Z163" s="55"/>
      <c r="AA163" s="56"/>
      <c r="AB163" s="56"/>
      <c r="AC163" s="56"/>
      <c r="AD163" s="56"/>
      <c r="AE163" s="58"/>
      <c r="AF163" s="43"/>
      <c r="AN163" s="43"/>
      <c r="AP163" s="56"/>
      <c r="AQ163" s="56"/>
      <c r="AR163" s="56"/>
      <c r="AS163" s="56"/>
      <c r="AU163" s="43"/>
    </row>
    <row r="164">
      <c r="B164" s="56"/>
      <c r="C164" s="56"/>
      <c r="D164" s="56"/>
      <c r="E164" s="56"/>
      <c r="Q164" s="43"/>
      <c r="S164" s="55"/>
      <c r="T164" s="56"/>
      <c r="U164" s="56"/>
      <c r="V164" s="56"/>
      <c r="W164" s="56"/>
      <c r="X164" s="43"/>
      <c r="Z164" s="55"/>
      <c r="AA164" s="56"/>
      <c r="AB164" s="56"/>
      <c r="AC164" s="56"/>
      <c r="AD164" s="56"/>
      <c r="AE164" s="58"/>
      <c r="AF164" s="43"/>
      <c r="AN164" s="43"/>
      <c r="AP164" s="56"/>
      <c r="AQ164" s="56"/>
      <c r="AR164" s="56"/>
      <c r="AS164" s="56"/>
      <c r="AU164" s="43"/>
    </row>
    <row r="165">
      <c r="B165" s="56"/>
      <c r="C165" s="56"/>
      <c r="D165" s="56"/>
      <c r="E165" s="56"/>
      <c r="Q165" s="43"/>
      <c r="S165" s="55"/>
      <c r="T165" s="56"/>
      <c r="U165" s="56"/>
      <c r="V165" s="56"/>
      <c r="W165" s="56"/>
      <c r="X165" s="43"/>
      <c r="Z165" s="55"/>
      <c r="AA165" s="56"/>
      <c r="AB165" s="56"/>
      <c r="AC165" s="56"/>
      <c r="AD165" s="56"/>
      <c r="AE165" s="58"/>
      <c r="AF165" s="43"/>
      <c r="AN165" s="43"/>
      <c r="AP165" s="56"/>
      <c r="AQ165" s="56"/>
      <c r="AR165" s="56"/>
      <c r="AS165" s="56"/>
      <c r="AU165" s="43"/>
    </row>
    <row r="166">
      <c r="B166" s="56"/>
      <c r="C166" s="56"/>
      <c r="D166" s="56"/>
      <c r="E166" s="56"/>
      <c r="Q166" s="43"/>
      <c r="S166" s="55"/>
      <c r="T166" s="56"/>
      <c r="U166" s="56"/>
      <c r="V166" s="56"/>
      <c r="W166" s="56"/>
      <c r="X166" s="43"/>
      <c r="Z166" s="55"/>
      <c r="AA166" s="56"/>
      <c r="AB166" s="56"/>
      <c r="AC166" s="56"/>
      <c r="AD166" s="56"/>
      <c r="AE166" s="58"/>
      <c r="AF166" s="43"/>
      <c r="AN166" s="43"/>
      <c r="AP166" s="56"/>
      <c r="AQ166" s="56"/>
      <c r="AR166" s="56"/>
      <c r="AS166" s="56"/>
      <c r="AU166" s="43"/>
    </row>
    <row r="167">
      <c r="B167" s="56"/>
      <c r="C167" s="56"/>
      <c r="D167" s="56"/>
      <c r="E167" s="56"/>
      <c r="Q167" s="43"/>
      <c r="S167" s="55"/>
      <c r="T167" s="56"/>
      <c r="U167" s="56"/>
      <c r="V167" s="56"/>
      <c r="W167" s="56"/>
      <c r="X167" s="43"/>
      <c r="Z167" s="55"/>
      <c r="AA167" s="56"/>
      <c r="AB167" s="56"/>
      <c r="AC167" s="56"/>
      <c r="AD167" s="56"/>
      <c r="AE167" s="58"/>
      <c r="AF167" s="43"/>
      <c r="AN167" s="43"/>
      <c r="AP167" s="56"/>
      <c r="AQ167" s="56"/>
      <c r="AR167" s="56"/>
      <c r="AS167" s="56"/>
      <c r="AU167" s="43"/>
    </row>
    <row r="168">
      <c r="B168" s="56"/>
      <c r="C168" s="56"/>
      <c r="D168" s="56"/>
      <c r="E168" s="56"/>
      <c r="Q168" s="43"/>
      <c r="S168" s="55"/>
      <c r="T168" s="56"/>
      <c r="U168" s="56"/>
      <c r="V168" s="56"/>
      <c r="W168" s="56"/>
      <c r="X168" s="43"/>
      <c r="Z168" s="55"/>
      <c r="AA168" s="56"/>
      <c r="AB168" s="56"/>
      <c r="AC168" s="56"/>
      <c r="AD168" s="56"/>
      <c r="AE168" s="58"/>
      <c r="AF168" s="43"/>
      <c r="AN168" s="43"/>
      <c r="AP168" s="56"/>
      <c r="AQ168" s="56"/>
      <c r="AR168" s="56"/>
      <c r="AS168" s="56"/>
      <c r="AU168" s="43"/>
    </row>
    <row r="169">
      <c r="B169" s="56"/>
      <c r="C169" s="56"/>
      <c r="D169" s="56"/>
      <c r="E169" s="56"/>
      <c r="Q169" s="43"/>
      <c r="S169" s="55"/>
      <c r="T169" s="56"/>
      <c r="U169" s="56"/>
      <c r="V169" s="56"/>
      <c r="W169" s="56"/>
      <c r="X169" s="43"/>
      <c r="Z169" s="55"/>
      <c r="AA169" s="56"/>
      <c r="AB169" s="56"/>
      <c r="AC169" s="56"/>
      <c r="AD169" s="56"/>
      <c r="AE169" s="58"/>
      <c r="AF169" s="43"/>
      <c r="AN169" s="43"/>
      <c r="AP169" s="56"/>
      <c r="AQ169" s="56"/>
      <c r="AR169" s="56"/>
      <c r="AS169" s="56"/>
      <c r="AU169" s="43"/>
    </row>
    <row r="170">
      <c r="B170" s="56"/>
      <c r="C170" s="56"/>
      <c r="D170" s="56"/>
      <c r="E170" s="56"/>
      <c r="Q170" s="43"/>
      <c r="S170" s="55"/>
      <c r="T170" s="56"/>
      <c r="U170" s="56"/>
      <c r="V170" s="56"/>
      <c r="W170" s="56"/>
      <c r="X170" s="43"/>
      <c r="Z170" s="55"/>
      <c r="AA170" s="56"/>
      <c r="AB170" s="56"/>
      <c r="AC170" s="56"/>
      <c r="AD170" s="56"/>
      <c r="AE170" s="58"/>
      <c r="AF170" s="43"/>
      <c r="AN170" s="43"/>
      <c r="AP170" s="56"/>
      <c r="AQ170" s="56"/>
      <c r="AR170" s="56"/>
      <c r="AS170" s="56"/>
      <c r="AU170" s="43"/>
    </row>
    <row r="171">
      <c r="B171" s="56"/>
      <c r="C171" s="56"/>
      <c r="D171" s="56"/>
      <c r="E171" s="56"/>
      <c r="Q171" s="43"/>
      <c r="S171" s="55"/>
      <c r="T171" s="56"/>
      <c r="U171" s="56"/>
      <c r="V171" s="56"/>
      <c r="W171" s="56"/>
      <c r="X171" s="43"/>
      <c r="Z171" s="55"/>
      <c r="AA171" s="56"/>
      <c r="AB171" s="56"/>
      <c r="AC171" s="56"/>
      <c r="AD171" s="56"/>
      <c r="AE171" s="58"/>
      <c r="AF171" s="43"/>
      <c r="AN171" s="43"/>
      <c r="AP171" s="56"/>
      <c r="AQ171" s="56"/>
      <c r="AR171" s="56"/>
      <c r="AS171" s="56"/>
      <c r="AU171" s="43"/>
    </row>
    <row r="172">
      <c r="B172" s="56"/>
      <c r="C172" s="56"/>
      <c r="D172" s="56"/>
      <c r="E172" s="56"/>
      <c r="Q172" s="43"/>
      <c r="S172" s="55"/>
      <c r="T172" s="56"/>
      <c r="U172" s="56"/>
      <c r="V172" s="56"/>
      <c r="W172" s="56"/>
      <c r="X172" s="43"/>
      <c r="Z172" s="55"/>
      <c r="AA172" s="56"/>
      <c r="AB172" s="56"/>
      <c r="AC172" s="56"/>
      <c r="AD172" s="56"/>
      <c r="AE172" s="58"/>
      <c r="AF172" s="43"/>
      <c r="AN172" s="43"/>
      <c r="AP172" s="56"/>
      <c r="AQ172" s="56"/>
      <c r="AR172" s="56"/>
      <c r="AS172" s="56"/>
      <c r="AU172" s="43"/>
    </row>
    <row r="173">
      <c r="B173" s="56"/>
      <c r="C173" s="56"/>
      <c r="D173" s="56"/>
      <c r="E173" s="56"/>
      <c r="Q173" s="43"/>
      <c r="S173" s="55"/>
      <c r="T173" s="56"/>
      <c r="U173" s="56"/>
      <c r="V173" s="56"/>
      <c r="W173" s="56"/>
      <c r="X173" s="43"/>
      <c r="Z173" s="55"/>
      <c r="AA173" s="56"/>
      <c r="AB173" s="56"/>
      <c r="AC173" s="56"/>
      <c r="AD173" s="56"/>
      <c r="AE173" s="58"/>
      <c r="AF173" s="43"/>
      <c r="AN173" s="43"/>
      <c r="AP173" s="56"/>
      <c r="AQ173" s="56"/>
      <c r="AR173" s="56"/>
      <c r="AS173" s="56"/>
      <c r="AU173" s="43"/>
    </row>
    <row r="174">
      <c r="B174" s="56"/>
      <c r="C174" s="56"/>
      <c r="D174" s="56"/>
      <c r="E174" s="56"/>
      <c r="Q174" s="43"/>
      <c r="S174" s="55"/>
      <c r="T174" s="56"/>
      <c r="U174" s="56"/>
      <c r="V174" s="56"/>
      <c r="W174" s="56"/>
      <c r="X174" s="43"/>
      <c r="Z174" s="55"/>
      <c r="AA174" s="56"/>
      <c r="AB174" s="56"/>
      <c r="AC174" s="56"/>
      <c r="AD174" s="56"/>
      <c r="AE174" s="58"/>
      <c r="AF174" s="43"/>
      <c r="AN174" s="43"/>
      <c r="AP174" s="56"/>
      <c r="AQ174" s="56"/>
      <c r="AR174" s="56"/>
      <c r="AS174" s="56"/>
      <c r="AU174" s="43"/>
    </row>
    <row r="175">
      <c r="B175" s="56"/>
      <c r="C175" s="56"/>
      <c r="D175" s="56"/>
      <c r="E175" s="56"/>
      <c r="Q175" s="43"/>
      <c r="S175" s="55"/>
      <c r="T175" s="56"/>
      <c r="U175" s="56"/>
      <c r="V175" s="56"/>
      <c r="W175" s="56"/>
      <c r="X175" s="43"/>
      <c r="Z175" s="55"/>
      <c r="AA175" s="56"/>
      <c r="AB175" s="56"/>
      <c r="AC175" s="56"/>
      <c r="AD175" s="56"/>
      <c r="AE175" s="58"/>
      <c r="AF175" s="43"/>
      <c r="AN175" s="43"/>
      <c r="AP175" s="56"/>
      <c r="AQ175" s="56"/>
      <c r="AR175" s="56"/>
      <c r="AS175" s="56"/>
      <c r="AU175" s="43"/>
    </row>
    <row r="176">
      <c r="B176" s="56"/>
      <c r="C176" s="56"/>
      <c r="D176" s="56"/>
      <c r="E176" s="56"/>
      <c r="Q176" s="43"/>
      <c r="S176" s="55"/>
      <c r="T176" s="56"/>
      <c r="U176" s="56"/>
      <c r="V176" s="56"/>
      <c r="W176" s="56"/>
      <c r="X176" s="43"/>
      <c r="Z176" s="55"/>
      <c r="AA176" s="56"/>
      <c r="AB176" s="56"/>
      <c r="AC176" s="56"/>
      <c r="AD176" s="56"/>
      <c r="AE176" s="58"/>
      <c r="AF176" s="43"/>
      <c r="AN176" s="43"/>
      <c r="AP176" s="56"/>
      <c r="AQ176" s="56"/>
      <c r="AR176" s="56"/>
      <c r="AS176" s="56"/>
      <c r="AU176" s="43"/>
    </row>
    <row r="177">
      <c r="B177" s="56"/>
      <c r="C177" s="56"/>
      <c r="D177" s="56"/>
      <c r="E177" s="56"/>
      <c r="Q177" s="43"/>
      <c r="S177" s="55"/>
      <c r="T177" s="56"/>
      <c r="U177" s="56"/>
      <c r="V177" s="56"/>
      <c r="W177" s="56"/>
      <c r="X177" s="43"/>
      <c r="Z177" s="55"/>
      <c r="AA177" s="56"/>
      <c r="AB177" s="56"/>
      <c r="AC177" s="56"/>
      <c r="AD177" s="56"/>
      <c r="AE177" s="58"/>
      <c r="AF177" s="43"/>
      <c r="AN177" s="43"/>
      <c r="AP177" s="56"/>
      <c r="AQ177" s="56"/>
      <c r="AR177" s="56"/>
      <c r="AS177" s="56"/>
      <c r="AU177" s="43"/>
    </row>
    <row r="178">
      <c r="B178" s="56"/>
      <c r="C178" s="56"/>
      <c r="D178" s="56"/>
      <c r="E178" s="56"/>
      <c r="Q178" s="43"/>
      <c r="S178" s="55"/>
      <c r="T178" s="56"/>
      <c r="U178" s="56"/>
      <c r="V178" s="56"/>
      <c r="W178" s="56"/>
      <c r="X178" s="43"/>
      <c r="Z178" s="55"/>
      <c r="AA178" s="56"/>
      <c r="AB178" s="56"/>
      <c r="AC178" s="56"/>
      <c r="AD178" s="56"/>
      <c r="AE178" s="58"/>
      <c r="AF178" s="43"/>
      <c r="AN178" s="43"/>
      <c r="AP178" s="56"/>
      <c r="AQ178" s="56"/>
      <c r="AR178" s="56"/>
      <c r="AS178" s="56"/>
      <c r="AU178" s="43"/>
    </row>
    <row r="179">
      <c r="B179" s="56"/>
      <c r="C179" s="56"/>
      <c r="D179" s="56"/>
      <c r="E179" s="56"/>
      <c r="Q179" s="43"/>
      <c r="S179" s="55"/>
      <c r="T179" s="56"/>
      <c r="U179" s="56"/>
      <c r="V179" s="56"/>
      <c r="W179" s="56"/>
      <c r="X179" s="43"/>
      <c r="Z179" s="55"/>
      <c r="AA179" s="56"/>
      <c r="AB179" s="56"/>
      <c r="AC179" s="56"/>
      <c r="AD179" s="56"/>
      <c r="AE179" s="58"/>
      <c r="AF179" s="43"/>
      <c r="AN179" s="43"/>
      <c r="AP179" s="56"/>
      <c r="AQ179" s="56"/>
      <c r="AR179" s="56"/>
      <c r="AS179" s="56"/>
      <c r="AU179" s="43"/>
    </row>
    <row r="180">
      <c r="B180" s="56"/>
      <c r="C180" s="56"/>
      <c r="D180" s="56"/>
      <c r="E180" s="56"/>
      <c r="Q180" s="43"/>
      <c r="S180" s="55"/>
      <c r="T180" s="56"/>
      <c r="U180" s="56"/>
      <c r="V180" s="56"/>
      <c r="W180" s="56"/>
      <c r="X180" s="43"/>
      <c r="Z180" s="55"/>
      <c r="AA180" s="56"/>
      <c r="AB180" s="56"/>
      <c r="AC180" s="56"/>
      <c r="AD180" s="56"/>
      <c r="AE180" s="58"/>
      <c r="AF180" s="43"/>
      <c r="AN180" s="43"/>
      <c r="AP180" s="56"/>
      <c r="AQ180" s="56"/>
      <c r="AR180" s="56"/>
      <c r="AS180" s="56"/>
      <c r="AU180" s="43"/>
    </row>
    <row r="181">
      <c r="B181" s="56"/>
      <c r="C181" s="56"/>
      <c r="D181" s="56"/>
      <c r="E181" s="56"/>
      <c r="Q181" s="43"/>
      <c r="S181" s="55"/>
      <c r="T181" s="56"/>
      <c r="U181" s="56"/>
      <c r="V181" s="56"/>
      <c r="W181" s="56"/>
      <c r="X181" s="43"/>
      <c r="Z181" s="55"/>
      <c r="AA181" s="56"/>
      <c r="AB181" s="56"/>
      <c r="AC181" s="56"/>
      <c r="AD181" s="56"/>
      <c r="AE181" s="58"/>
      <c r="AF181" s="43"/>
      <c r="AN181" s="43"/>
      <c r="AP181" s="56"/>
      <c r="AQ181" s="56"/>
      <c r="AR181" s="56"/>
      <c r="AS181" s="56"/>
      <c r="AU181" s="43"/>
    </row>
    <row r="182">
      <c r="B182" s="56"/>
      <c r="C182" s="56"/>
      <c r="D182" s="56"/>
      <c r="E182" s="56"/>
      <c r="Q182" s="43"/>
      <c r="S182" s="55"/>
      <c r="T182" s="56"/>
      <c r="U182" s="56"/>
      <c r="V182" s="56"/>
      <c r="W182" s="56"/>
      <c r="X182" s="43"/>
      <c r="Z182" s="55"/>
      <c r="AA182" s="56"/>
      <c r="AB182" s="56"/>
      <c r="AC182" s="56"/>
      <c r="AD182" s="56"/>
      <c r="AE182" s="58"/>
      <c r="AF182" s="43"/>
      <c r="AN182" s="43"/>
      <c r="AP182" s="56"/>
      <c r="AQ182" s="56"/>
      <c r="AR182" s="56"/>
      <c r="AS182" s="56"/>
      <c r="AU182" s="43"/>
    </row>
    <row r="183">
      <c r="B183" s="56"/>
      <c r="C183" s="56"/>
      <c r="D183" s="56"/>
      <c r="E183" s="56"/>
      <c r="Q183" s="43"/>
      <c r="S183" s="55"/>
      <c r="T183" s="56"/>
      <c r="U183" s="56"/>
      <c r="V183" s="56"/>
      <c r="W183" s="56"/>
      <c r="X183" s="43"/>
      <c r="Z183" s="55"/>
      <c r="AA183" s="56"/>
      <c r="AB183" s="56"/>
      <c r="AC183" s="56"/>
      <c r="AD183" s="56"/>
      <c r="AE183" s="58"/>
      <c r="AF183" s="43"/>
      <c r="AN183" s="43"/>
      <c r="AP183" s="56"/>
      <c r="AQ183" s="56"/>
      <c r="AR183" s="56"/>
      <c r="AS183" s="56"/>
      <c r="AU183" s="43"/>
    </row>
    <row r="184">
      <c r="B184" s="56"/>
      <c r="C184" s="56"/>
      <c r="D184" s="56"/>
      <c r="E184" s="56"/>
      <c r="Q184" s="43"/>
      <c r="S184" s="55"/>
      <c r="T184" s="56"/>
      <c r="U184" s="56"/>
      <c r="V184" s="56"/>
      <c r="W184" s="56"/>
      <c r="X184" s="43"/>
      <c r="Z184" s="55"/>
      <c r="AA184" s="56"/>
      <c r="AB184" s="56"/>
      <c r="AC184" s="56"/>
      <c r="AD184" s="56"/>
      <c r="AE184" s="58"/>
      <c r="AF184" s="43"/>
      <c r="AN184" s="43"/>
      <c r="AP184" s="56"/>
      <c r="AQ184" s="56"/>
      <c r="AR184" s="56"/>
      <c r="AS184" s="56"/>
      <c r="AU184" s="43"/>
    </row>
    <row r="185">
      <c r="B185" s="56"/>
      <c r="C185" s="56"/>
      <c r="D185" s="56"/>
      <c r="E185" s="56"/>
      <c r="Q185" s="43"/>
      <c r="S185" s="55"/>
      <c r="T185" s="56"/>
      <c r="U185" s="56"/>
      <c r="V185" s="56"/>
      <c r="W185" s="56"/>
      <c r="X185" s="43"/>
      <c r="Z185" s="55"/>
      <c r="AA185" s="56"/>
      <c r="AB185" s="56"/>
      <c r="AC185" s="56"/>
      <c r="AD185" s="56"/>
      <c r="AE185" s="58"/>
      <c r="AF185" s="43"/>
      <c r="AN185" s="43"/>
      <c r="AP185" s="56"/>
      <c r="AQ185" s="56"/>
      <c r="AR185" s="56"/>
      <c r="AS185" s="56"/>
      <c r="AU185" s="43"/>
    </row>
    <row r="186">
      <c r="B186" s="56"/>
      <c r="C186" s="56"/>
      <c r="D186" s="56"/>
      <c r="E186" s="56"/>
      <c r="Q186" s="43"/>
      <c r="S186" s="55"/>
      <c r="T186" s="56"/>
      <c r="U186" s="56"/>
      <c r="V186" s="56"/>
      <c r="W186" s="56"/>
      <c r="X186" s="43"/>
      <c r="Z186" s="55"/>
      <c r="AA186" s="56"/>
      <c r="AB186" s="56"/>
      <c r="AC186" s="56"/>
      <c r="AD186" s="56"/>
      <c r="AE186" s="58"/>
      <c r="AF186" s="43"/>
      <c r="AN186" s="43"/>
      <c r="AP186" s="56"/>
      <c r="AQ186" s="56"/>
      <c r="AR186" s="56"/>
      <c r="AS186" s="56"/>
      <c r="AU186" s="43"/>
    </row>
    <row r="187">
      <c r="B187" s="56"/>
      <c r="C187" s="56"/>
      <c r="D187" s="56"/>
      <c r="E187" s="56"/>
      <c r="Q187" s="43"/>
      <c r="S187" s="55"/>
      <c r="T187" s="56"/>
      <c r="U187" s="56"/>
      <c r="V187" s="56"/>
      <c r="W187" s="56"/>
      <c r="X187" s="43"/>
      <c r="Z187" s="55"/>
      <c r="AA187" s="56"/>
      <c r="AB187" s="56"/>
      <c r="AC187" s="56"/>
      <c r="AD187" s="56"/>
      <c r="AE187" s="58"/>
      <c r="AF187" s="43"/>
      <c r="AN187" s="43"/>
      <c r="AP187" s="56"/>
      <c r="AQ187" s="56"/>
      <c r="AR187" s="56"/>
      <c r="AS187" s="56"/>
      <c r="AU187" s="43"/>
    </row>
    <row r="188">
      <c r="B188" s="56"/>
      <c r="C188" s="56"/>
      <c r="D188" s="56"/>
      <c r="E188" s="56"/>
      <c r="Q188" s="43"/>
      <c r="S188" s="55"/>
      <c r="T188" s="56"/>
      <c r="U188" s="56"/>
      <c r="V188" s="56"/>
      <c r="W188" s="56"/>
      <c r="X188" s="43"/>
      <c r="Z188" s="55"/>
      <c r="AA188" s="56"/>
      <c r="AB188" s="56"/>
      <c r="AC188" s="56"/>
      <c r="AD188" s="56"/>
      <c r="AE188" s="58"/>
      <c r="AF188" s="43"/>
      <c r="AN188" s="43"/>
      <c r="AP188" s="56"/>
      <c r="AQ188" s="56"/>
      <c r="AR188" s="56"/>
      <c r="AS188" s="56"/>
      <c r="AU188" s="43"/>
    </row>
    <row r="189">
      <c r="B189" s="56"/>
      <c r="C189" s="56"/>
      <c r="D189" s="56"/>
      <c r="E189" s="56"/>
      <c r="Q189" s="43"/>
      <c r="S189" s="55"/>
      <c r="T189" s="56"/>
      <c r="U189" s="56"/>
      <c r="V189" s="56"/>
      <c r="W189" s="56"/>
      <c r="X189" s="43"/>
      <c r="Z189" s="55"/>
      <c r="AA189" s="56"/>
      <c r="AB189" s="56"/>
      <c r="AC189" s="56"/>
      <c r="AD189" s="56"/>
      <c r="AE189" s="58"/>
      <c r="AF189" s="43"/>
      <c r="AN189" s="43"/>
      <c r="AP189" s="56"/>
      <c r="AQ189" s="56"/>
      <c r="AR189" s="56"/>
      <c r="AS189" s="56"/>
      <c r="AU189" s="43"/>
    </row>
    <row r="190">
      <c r="B190" s="56"/>
      <c r="C190" s="56"/>
      <c r="D190" s="56"/>
      <c r="E190" s="56"/>
      <c r="Q190" s="43"/>
      <c r="S190" s="55"/>
      <c r="T190" s="56"/>
      <c r="U190" s="56"/>
      <c r="V190" s="56"/>
      <c r="W190" s="56"/>
      <c r="X190" s="43"/>
      <c r="Z190" s="55"/>
      <c r="AA190" s="56"/>
      <c r="AB190" s="56"/>
      <c r="AC190" s="56"/>
      <c r="AD190" s="56"/>
      <c r="AE190" s="58"/>
      <c r="AF190" s="43"/>
      <c r="AN190" s="43"/>
      <c r="AP190" s="56"/>
      <c r="AQ190" s="56"/>
      <c r="AR190" s="56"/>
      <c r="AS190" s="56"/>
      <c r="AU190" s="43"/>
    </row>
    <row r="191">
      <c r="B191" s="56"/>
      <c r="C191" s="56"/>
      <c r="D191" s="56"/>
      <c r="E191" s="56"/>
      <c r="Q191" s="43"/>
      <c r="S191" s="55"/>
      <c r="T191" s="56"/>
      <c r="U191" s="56"/>
      <c r="V191" s="56"/>
      <c r="W191" s="56"/>
      <c r="X191" s="43"/>
      <c r="Z191" s="55"/>
      <c r="AA191" s="56"/>
      <c r="AB191" s="56"/>
      <c r="AC191" s="56"/>
      <c r="AD191" s="56"/>
      <c r="AE191" s="58"/>
      <c r="AF191" s="43"/>
      <c r="AN191" s="43"/>
      <c r="AP191" s="56"/>
      <c r="AQ191" s="56"/>
      <c r="AR191" s="56"/>
      <c r="AS191" s="56"/>
      <c r="AU191" s="43"/>
    </row>
    <row r="192">
      <c r="B192" s="56"/>
      <c r="C192" s="56"/>
      <c r="D192" s="56"/>
      <c r="E192" s="56"/>
      <c r="Q192" s="43"/>
      <c r="S192" s="55"/>
      <c r="T192" s="56"/>
      <c r="U192" s="56"/>
      <c r="V192" s="56"/>
      <c r="W192" s="56"/>
      <c r="X192" s="43"/>
      <c r="Z192" s="55"/>
      <c r="AA192" s="56"/>
      <c r="AB192" s="56"/>
      <c r="AC192" s="56"/>
      <c r="AD192" s="56"/>
      <c r="AE192" s="58"/>
      <c r="AF192" s="43"/>
      <c r="AN192" s="43"/>
      <c r="AP192" s="56"/>
      <c r="AQ192" s="56"/>
      <c r="AR192" s="56"/>
      <c r="AS192" s="56"/>
      <c r="AU192" s="43"/>
    </row>
    <row r="193">
      <c r="B193" s="56"/>
      <c r="C193" s="56"/>
      <c r="D193" s="56"/>
      <c r="E193" s="56"/>
      <c r="Q193" s="43"/>
      <c r="S193" s="55"/>
      <c r="T193" s="56"/>
      <c r="U193" s="56"/>
      <c r="V193" s="56"/>
      <c r="W193" s="56"/>
      <c r="X193" s="43"/>
      <c r="Z193" s="55"/>
      <c r="AA193" s="56"/>
      <c r="AB193" s="56"/>
      <c r="AC193" s="56"/>
      <c r="AD193" s="56"/>
      <c r="AE193" s="58"/>
      <c r="AF193" s="43"/>
      <c r="AN193" s="43"/>
      <c r="AP193" s="56"/>
      <c r="AQ193" s="56"/>
      <c r="AR193" s="56"/>
      <c r="AS193" s="56"/>
      <c r="AU193" s="43"/>
    </row>
    <row r="194">
      <c r="B194" s="56"/>
      <c r="C194" s="56"/>
      <c r="D194" s="56"/>
      <c r="E194" s="56"/>
      <c r="Q194" s="43"/>
      <c r="S194" s="55"/>
      <c r="T194" s="56"/>
      <c r="U194" s="56"/>
      <c r="V194" s="56"/>
      <c r="W194" s="56"/>
      <c r="X194" s="43"/>
      <c r="Z194" s="55"/>
      <c r="AA194" s="56"/>
      <c r="AB194" s="56"/>
      <c r="AC194" s="56"/>
      <c r="AD194" s="56"/>
      <c r="AE194" s="58"/>
      <c r="AF194" s="43"/>
      <c r="AN194" s="43"/>
      <c r="AP194" s="56"/>
      <c r="AQ194" s="56"/>
      <c r="AR194" s="56"/>
      <c r="AS194" s="56"/>
      <c r="AU194" s="43"/>
    </row>
    <row r="195">
      <c r="B195" s="56"/>
      <c r="C195" s="56"/>
      <c r="D195" s="56"/>
      <c r="E195" s="56"/>
      <c r="Q195" s="43"/>
      <c r="S195" s="55"/>
      <c r="T195" s="56"/>
      <c r="U195" s="56"/>
      <c r="V195" s="56"/>
      <c r="W195" s="56"/>
      <c r="X195" s="43"/>
      <c r="Z195" s="55"/>
      <c r="AA195" s="56"/>
      <c r="AB195" s="56"/>
      <c r="AC195" s="56"/>
      <c r="AD195" s="56"/>
      <c r="AE195" s="58"/>
      <c r="AF195" s="43"/>
      <c r="AN195" s="43"/>
      <c r="AP195" s="56"/>
      <c r="AQ195" s="56"/>
      <c r="AR195" s="56"/>
      <c r="AS195" s="56"/>
      <c r="AU195" s="43"/>
    </row>
    <row r="196">
      <c r="B196" s="56"/>
      <c r="C196" s="56"/>
      <c r="D196" s="56"/>
      <c r="E196" s="56"/>
      <c r="Q196" s="43"/>
      <c r="S196" s="55"/>
      <c r="T196" s="56"/>
      <c r="U196" s="56"/>
      <c r="V196" s="56"/>
      <c r="W196" s="56"/>
      <c r="X196" s="43"/>
      <c r="Z196" s="55"/>
      <c r="AA196" s="56"/>
      <c r="AB196" s="56"/>
      <c r="AC196" s="56"/>
      <c r="AD196" s="56"/>
      <c r="AE196" s="58"/>
      <c r="AF196" s="43"/>
      <c r="AN196" s="43"/>
      <c r="AP196" s="56"/>
      <c r="AQ196" s="56"/>
      <c r="AR196" s="56"/>
      <c r="AS196" s="56"/>
      <c r="AU196" s="43"/>
    </row>
    <row r="197">
      <c r="B197" s="56"/>
      <c r="C197" s="56"/>
      <c r="D197" s="56"/>
      <c r="E197" s="56"/>
      <c r="Q197" s="43"/>
      <c r="S197" s="55"/>
      <c r="T197" s="56"/>
      <c r="U197" s="56"/>
      <c r="V197" s="56"/>
      <c r="W197" s="56"/>
      <c r="X197" s="43"/>
      <c r="Z197" s="55"/>
      <c r="AA197" s="56"/>
      <c r="AB197" s="56"/>
      <c r="AC197" s="56"/>
      <c r="AD197" s="56"/>
      <c r="AE197" s="58"/>
      <c r="AF197" s="43"/>
      <c r="AN197" s="43"/>
      <c r="AP197" s="56"/>
      <c r="AQ197" s="56"/>
      <c r="AR197" s="56"/>
      <c r="AS197" s="56"/>
      <c r="AU197" s="43"/>
    </row>
    <row r="198">
      <c r="B198" s="56"/>
      <c r="C198" s="56"/>
      <c r="D198" s="56"/>
      <c r="E198" s="56"/>
      <c r="Q198" s="43"/>
      <c r="S198" s="55"/>
      <c r="T198" s="56"/>
      <c r="U198" s="56"/>
      <c r="V198" s="56"/>
      <c r="W198" s="56"/>
      <c r="X198" s="43"/>
      <c r="Z198" s="55"/>
      <c r="AA198" s="56"/>
      <c r="AB198" s="56"/>
      <c r="AC198" s="56"/>
      <c r="AD198" s="56"/>
      <c r="AE198" s="58"/>
      <c r="AF198" s="43"/>
      <c r="AN198" s="43"/>
      <c r="AP198" s="56"/>
      <c r="AQ198" s="56"/>
      <c r="AR198" s="56"/>
      <c r="AS198" s="56"/>
      <c r="AU198" s="43"/>
    </row>
    <row r="199">
      <c r="B199" s="56"/>
      <c r="C199" s="56"/>
      <c r="D199" s="56"/>
      <c r="E199" s="56"/>
      <c r="Q199" s="43"/>
      <c r="S199" s="55"/>
      <c r="T199" s="56"/>
      <c r="U199" s="56"/>
      <c r="V199" s="56"/>
      <c r="W199" s="56"/>
      <c r="X199" s="43"/>
      <c r="Z199" s="55"/>
      <c r="AA199" s="56"/>
      <c r="AB199" s="56"/>
      <c r="AC199" s="56"/>
      <c r="AD199" s="56"/>
      <c r="AE199" s="58"/>
      <c r="AF199" s="43"/>
      <c r="AN199" s="43"/>
      <c r="AP199" s="56"/>
      <c r="AQ199" s="56"/>
      <c r="AR199" s="56"/>
      <c r="AS199" s="56"/>
      <c r="AU199" s="43"/>
    </row>
    <row r="200">
      <c r="B200" s="56"/>
      <c r="C200" s="56"/>
      <c r="D200" s="56"/>
      <c r="E200" s="56"/>
      <c r="Q200" s="43"/>
      <c r="S200" s="55"/>
      <c r="T200" s="56"/>
      <c r="U200" s="56"/>
      <c r="V200" s="56"/>
      <c r="W200" s="56"/>
      <c r="X200" s="43"/>
      <c r="Z200" s="55"/>
      <c r="AA200" s="56"/>
      <c r="AB200" s="56"/>
      <c r="AC200" s="56"/>
      <c r="AD200" s="56"/>
      <c r="AE200" s="58"/>
      <c r="AF200" s="43"/>
      <c r="AN200" s="43"/>
      <c r="AP200" s="56"/>
      <c r="AQ200" s="56"/>
      <c r="AR200" s="56"/>
      <c r="AS200" s="56"/>
      <c r="AU200" s="43"/>
    </row>
    <row r="201">
      <c r="B201" s="56"/>
      <c r="C201" s="56"/>
      <c r="D201" s="56"/>
      <c r="E201" s="56"/>
      <c r="Q201" s="43"/>
      <c r="S201" s="55"/>
      <c r="T201" s="56"/>
      <c r="U201" s="56"/>
      <c r="V201" s="56"/>
      <c r="W201" s="56"/>
      <c r="X201" s="43"/>
      <c r="Z201" s="55"/>
      <c r="AA201" s="56"/>
      <c r="AB201" s="56"/>
      <c r="AC201" s="56"/>
      <c r="AD201" s="56"/>
      <c r="AE201" s="58"/>
      <c r="AF201" s="43"/>
      <c r="AN201" s="43"/>
      <c r="AP201" s="56"/>
      <c r="AQ201" s="56"/>
      <c r="AR201" s="56"/>
      <c r="AS201" s="56"/>
      <c r="AU201" s="43"/>
    </row>
    <row r="202">
      <c r="B202" s="56"/>
      <c r="C202" s="56"/>
      <c r="D202" s="56"/>
      <c r="E202" s="56"/>
      <c r="Q202" s="43"/>
      <c r="S202" s="55"/>
      <c r="T202" s="56"/>
      <c r="U202" s="56"/>
      <c r="V202" s="56"/>
      <c r="W202" s="56"/>
      <c r="X202" s="43"/>
      <c r="Z202" s="55"/>
      <c r="AA202" s="56"/>
      <c r="AB202" s="56"/>
      <c r="AC202" s="56"/>
      <c r="AD202" s="56"/>
      <c r="AE202" s="58"/>
      <c r="AF202" s="43"/>
      <c r="AN202" s="43"/>
      <c r="AP202" s="56"/>
      <c r="AQ202" s="56"/>
      <c r="AR202" s="56"/>
      <c r="AS202" s="56"/>
      <c r="AU202" s="43"/>
    </row>
    <row r="203">
      <c r="B203" s="56"/>
      <c r="C203" s="56"/>
      <c r="D203" s="56"/>
      <c r="E203" s="56"/>
      <c r="Q203" s="43"/>
      <c r="S203" s="55"/>
      <c r="T203" s="56"/>
      <c r="U203" s="56"/>
      <c r="V203" s="56"/>
      <c r="W203" s="56"/>
      <c r="X203" s="43"/>
      <c r="Z203" s="55"/>
      <c r="AA203" s="56"/>
      <c r="AB203" s="56"/>
      <c r="AC203" s="56"/>
      <c r="AD203" s="56"/>
      <c r="AE203" s="58"/>
      <c r="AF203" s="43"/>
      <c r="AN203" s="43"/>
      <c r="AP203" s="56"/>
      <c r="AQ203" s="56"/>
      <c r="AR203" s="56"/>
      <c r="AS203" s="56"/>
      <c r="AU203" s="43"/>
    </row>
    <row r="204">
      <c r="B204" s="56"/>
      <c r="C204" s="56"/>
      <c r="D204" s="56"/>
      <c r="E204" s="56"/>
      <c r="Q204" s="43"/>
      <c r="S204" s="55"/>
      <c r="T204" s="56"/>
      <c r="U204" s="56"/>
      <c r="V204" s="56"/>
      <c r="W204" s="56"/>
      <c r="X204" s="43"/>
      <c r="Z204" s="55"/>
      <c r="AA204" s="56"/>
      <c r="AB204" s="56"/>
      <c r="AC204" s="56"/>
      <c r="AD204" s="56"/>
      <c r="AE204" s="58"/>
      <c r="AF204" s="43"/>
      <c r="AN204" s="43"/>
      <c r="AP204" s="56"/>
      <c r="AQ204" s="56"/>
      <c r="AR204" s="56"/>
      <c r="AS204" s="56"/>
      <c r="AU204" s="43"/>
    </row>
    <row r="205">
      <c r="B205" s="56"/>
      <c r="C205" s="56"/>
      <c r="D205" s="56"/>
      <c r="E205" s="56"/>
      <c r="Q205" s="43"/>
      <c r="S205" s="55"/>
      <c r="T205" s="56"/>
      <c r="U205" s="56"/>
      <c r="V205" s="56"/>
      <c r="W205" s="56"/>
      <c r="X205" s="43"/>
      <c r="Z205" s="55"/>
      <c r="AA205" s="56"/>
      <c r="AB205" s="56"/>
      <c r="AC205" s="56"/>
      <c r="AD205" s="56"/>
      <c r="AE205" s="58"/>
      <c r="AF205" s="43"/>
      <c r="AN205" s="43"/>
      <c r="AP205" s="56"/>
      <c r="AQ205" s="56"/>
      <c r="AR205" s="56"/>
      <c r="AS205" s="56"/>
      <c r="AU205" s="43"/>
    </row>
    <row r="206">
      <c r="B206" s="56"/>
      <c r="C206" s="56"/>
      <c r="D206" s="56"/>
      <c r="E206" s="56"/>
      <c r="Q206" s="43"/>
      <c r="S206" s="55"/>
      <c r="T206" s="56"/>
      <c r="U206" s="56"/>
      <c r="V206" s="56"/>
      <c r="W206" s="56"/>
      <c r="X206" s="43"/>
      <c r="Z206" s="55"/>
      <c r="AA206" s="56"/>
      <c r="AB206" s="56"/>
      <c r="AC206" s="56"/>
      <c r="AD206" s="56"/>
      <c r="AE206" s="58"/>
      <c r="AF206" s="43"/>
      <c r="AN206" s="43"/>
      <c r="AP206" s="56"/>
      <c r="AQ206" s="56"/>
      <c r="AR206" s="56"/>
      <c r="AS206" s="56"/>
      <c r="AU206" s="43"/>
    </row>
    <row r="207">
      <c r="B207" s="56"/>
      <c r="C207" s="56"/>
      <c r="D207" s="56"/>
      <c r="E207" s="56"/>
      <c r="Q207" s="43"/>
      <c r="S207" s="55"/>
      <c r="T207" s="56"/>
      <c r="U207" s="56"/>
      <c r="V207" s="56"/>
      <c r="W207" s="56"/>
      <c r="X207" s="43"/>
      <c r="Z207" s="55"/>
      <c r="AA207" s="56"/>
      <c r="AB207" s="56"/>
      <c r="AC207" s="56"/>
      <c r="AD207" s="56"/>
      <c r="AE207" s="58"/>
      <c r="AF207" s="43"/>
      <c r="AN207" s="43"/>
      <c r="AP207" s="56"/>
      <c r="AQ207" s="56"/>
      <c r="AR207" s="56"/>
      <c r="AS207" s="56"/>
      <c r="AU207" s="43"/>
    </row>
    <row r="208">
      <c r="B208" s="56"/>
      <c r="C208" s="56"/>
      <c r="D208" s="56"/>
      <c r="E208" s="56"/>
      <c r="Q208" s="43"/>
      <c r="S208" s="55"/>
      <c r="T208" s="56"/>
      <c r="U208" s="56"/>
      <c r="V208" s="56"/>
      <c r="W208" s="56"/>
      <c r="X208" s="43"/>
      <c r="Z208" s="55"/>
      <c r="AA208" s="56"/>
      <c r="AB208" s="56"/>
      <c r="AC208" s="56"/>
      <c r="AD208" s="56"/>
      <c r="AE208" s="58"/>
      <c r="AF208" s="43"/>
      <c r="AN208" s="43"/>
      <c r="AP208" s="56"/>
      <c r="AQ208" s="56"/>
      <c r="AR208" s="56"/>
      <c r="AS208" s="56"/>
      <c r="AU208" s="43"/>
    </row>
    <row r="209">
      <c r="B209" s="56"/>
      <c r="C209" s="56"/>
      <c r="D209" s="56"/>
      <c r="E209" s="56"/>
      <c r="Q209" s="43"/>
      <c r="S209" s="55"/>
      <c r="T209" s="56"/>
      <c r="U209" s="56"/>
      <c r="V209" s="56"/>
      <c r="W209" s="56"/>
      <c r="X209" s="43"/>
      <c r="Z209" s="55"/>
      <c r="AA209" s="56"/>
      <c r="AB209" s="56"/>
      <c r="AC209" s="56"/>
      <c r="AD209" s="56"/>
      <c r="AE209" s="58"/>
      <c r="AF209" s="43"/>
      <c r="AN209" s="43"/>
      <c r="AP209" s="56"/>
      <c r="AQ209" s="56"/>
      <c r="AR209" s="56"/>
      <c r="AS209" s="56"/>
      <c r="AU209" s="43"/>
    </row>
    <row r="210">
      <c r="B210" s="56"/>
      <c r="C210" s="56"/>
      <c r="D210" s="56"/>
      <c r="E210" s="56"/>
      <c r="Q210" s="43"/>
      <c r="S210" s="55"/>
      <c r="T210" s="56"/>
      <c r="U210" s="56"/>
      <c r="V210" s="56"/>
      <c r="W210" s="56"/>
      <c r="X210" s="43"/>
      <c r="Z210" s="55"/>
      <c r="AA210" s="56"/>
      <c r="AB210" s="56"/>
      <c r="AC210" s="56"/>
      <c r="AD210" s="56"/>
      <c r="AE210" s="58"/>
      <c r="AF210" s="43"/>
      <c r="AN210" s="43"/>
      <c r="AP210" s="56"/>
      <c r="AQ210" s="56"/>
      <c r="AR210" s="56"/>
      <c r="AS210" s="56"/>
      <c r="AU210" s="43"/>
    </row>
    <row r="211">
      <c r="B211" s="56"/>
      <c r="C211" s="56"/>
      <c r="D211" s="56"/>
      <c r="E211" s="56"/>
      <c r="Q211" s="43"/>
      <c r="S211" s="55"/>
      <c r="T211" s="56"/>
      <c r="U211" s="56"/>
      <c r="V211" s="56"/>
      <c r="W211" s="56"/>
      <c r="X211" s="43"/>
      <c r="Z211" s="55"/>
      <c r="AA211" s="56"/>
      <c r="AB211" s="56"/>
      <c r="AC211" s="56"/>
      <c r="AD211" s="56"/>
      <c r="AE211" s="58"/>
      <c r="AF211" s="43"/>
      <c r="AN211" s="43"/>
      <c r="AP211" s="56"/>
      <c r="AQ211" s="56"/>
      <c r="AR211" s="56"/>
      <c r="AS211" s="56"/>
      <c r="AU211" s="43"/>
    </row>
    <row r="212">
      <c r="B212" s="56"/>
      <c r="C212" s="56"/>
      <c r="D212" s="56"/>
      <c r="E212" s="56"/>
      <c r="Q212" s="43"/>
      <c r="S212" s="55"/>
      <c r="T212" s="56"/>
      <c r="U212" s="56"/>
      <c r="V212" s="56"/>
      <c r="W212" s="56"/>
      <c r="X212" s="43"/>
      <c r="Z212" s="55"/>
      <c r="AA212" s="56"/>
      <c r="AB212" s="56"/>
      <c r="AC212" s="56"/>
      <c r="AD212" s="56"/>
      <c r="AE212" s="58"/>
      <c r="AF212" s="43"/>
      <c r="AN212" s="43"/>
      <c r="AP212" s="56"/>
      <c r="AQ212" s="56"/>
      <c r="AR212" s="56"/>
      <c r="AS212" s="56"/>
      <c r="AU212" s="43"/>
    </row>
    <row r="213">
      <c r="B213" s="56"/>
      <c r="C213" s="56"/>
      <c r="D213" s="56"/>
      <c r="E213" s="56"/>
      <c r="Q213" s="43"/>
      <c r="S213" s="55"/>
      <c r="T213" s="56"/>
      <c r="U213" s="56"/>
      <c r="V213" s="56"/>
      <c r="W213" s="56"/>
      <c r="X213" s="43"/>
      <c r="Z213" s="55"/>
      <c r="AA213" s="56"/>
      <c r="AB213" s="56"/>
      <c r="AC213" s="56"/>
      <c r="AD213" s="56"/>
      <c r="AE213" s="58"/>
      <c r="AF213" s="43"/>
      <c r="AN213" s="43"/>
      <c r="AP213" s="56"/>
      <c r="AQ213" s="56"/>
      <c r="AR213" s="56"/>
      <c r="AS213" s="56"/>
      <c r="AU213" s="43"/>
    </row>
    <row r="214">
      <c r="B214" s="56"/>
      <c r="C214" s="56"/>
      <c r="D214" s="56"/>
      <c r="E214" s="56"/>
      <c r="Q214" s="43"/>
      <c r="S214" s="55"/>
      <c r="T214" s="56"/>
      <c r="U214" s="56"/>
      <c r="V214" s="56"/>
      <c r="W214" s="56"/>
      <c r="X214" s="43"/>
      <c r="Z214" s="55"/>
      <c r="AA214" s="56"/>
      <c r="AB214" s="56"/>
      <c r="AC214" s="56"/>
      <c r="AD214" s="56"/>
      <c r="AE214" s="58"/>
      <c r="AF214" s="43"/>
      <c r="AN214" s="43"/>
      <c r="AP214" s="56"/>
      <c r="AQ214" s="56"/>
      <c r="AR214" s="56"/>
      <c r="AS214" s="56"/>
      <c r="AU214" s="43"/>
    </row>
    <row r="215">
      <c r="B215" s="56"/>
      <c r="C215" s="56"/>
      <c r="D215" s="56"/>
      <c r="E215" s="56"/>
      <c r="Q215" s="43"/>
      <c r="S215" s="55"/>
      <c r="T215" s="56"/>
      <c r="U215" s="56"/>
      <c r="V215" s="56"/>
      <c r="W215" s="56"/>
      <c r="X215" s="43"/>
      <c r="Z215" s="55"/>
      <c r="AA215" s="56"/>
      <c r="AB215" s="56"/>
      <c r="AC215" s="56"/>
      <c r="AD215" s="56"/>
      <c r="AE215" s="58"/>
      <c r="AF215" s="43"/>
      <c r="AN215" s="43"/>
      <c r="AP215" s="56"/>
      <c r="AQ215" s="56"/>
      <c r="AR215" s="56"/>
      <c r="AS215" s="56"/>
      <c r="AU215" s="43"/>
    </row>
    <row r="216">
      <c r="B216" s="56"/>
      <c r="C216" s="56"/>
      <c r="D216" s="56"/>
      <c r="E216" s="56"/>
      <c r="Q216" s="43"/>
      <c r="S216" s="55"/>
      <c r="T216" s="56"/>
      <c r="U216" s="56"/>
      <c r="V216" s="56"/>
      <c r="W216" s="56"/>
      <c r="X216" s="43"/>
      <c r="Z216" s="55"/>
      <c r="AA216" s="56"/>
      <c r="AB216" s="56"/>
      <c r="AC216" s="56"/>
      <c r="AD216" s="56"/>
      <c r="AE216" s="58"/>
      <c r="AF216" s="43"/>
      <c r="AN216" s="43"/>
      <c r="AP216" s="56"/>
      <c r="AQ216" s="56"/>
      <c r="AR216" s="56"/>
      <c r="AS216" s="56"/>
      <c r="AU216" s="43"/>
    </row>
    <row r="217">
      <c r="B217" s="56"/>
      <c r="C217" s="56"/>
      <c r="D217" s="56"/>
      <c r="E217" s="56"/>
      <c r="Q217" s="43"/>
      <c r="S217" s="55"/>
      <c r="T217" s="56"/>
      <c r="U217" s="56"/>
      <c r="V217" s="56"/>
      <c r="W217" s="56"/>
      <c r="X217" s="43"/>
      <c r="Z217" s="55"/>
      <c r="AA217" s="56"/>
      <c r="AB217" s="56"/>
      <c r="AC217" s="56"/>
      <c r="AD217" s="56"/>
      <c r="AE217" s="58"/>
      <c r="AF217" s="43"/>
      <c r="AN217" s="43"/>
      <c r="AP217" s="56"/>
      <c r="AQ217" s="56"/>
      <c r="AR217" s="56"/>
      <c r="AS217" s="56"/>
      <c r="AU217" s="43"/>
    </row>
    <row r="218">
      <c r="B218" s="56"/>
      <c r="C218" s="56"/>
      <c r="D218" s="56"/>
      <c r="E218" s="56"/>
      <c r="Q218" s="43"/>
      <c r="S218" s="55"/>
      <c r="T218" s="56"/>
      <c r="U218" s="56"/>
      <c r="V218" s="56"/>
      <c r="W218" s="56"/>
      <c r="X218" s="43"/>
      <c r="Z218" s="55"/>
      <c r="AA218" s="56"/>
      <c r="AB218" s="56"/>
      <c r="AC218" s="56"/>
      <c r="AD218" s="56"/>
      <c r="AE218" s="58"/>
      <c r="AF218" s="43"/>
      <c r="AN218" s="43"/>
      <c r="AP218" s="56"/>
      <c r="AQ218" s="56"/>
      <c r="AR218" s="56"/>
      <c r="AS218" s="56"/>
      <c r="AU218" s="43"/>
    </row>
    <row r="219">
      <c r="B219" s="56"/>
      <c r="C219" s="56"/>
      <c r="D219" s="56"/>
      <c r="E219" s="56"/>
      <c r="Q219" s="43"/>
      <c r="S219" s="55"/>
      <c r="T219" s="56"/>
      <c r="U219" s="56"/>
      <c r="V219" s="56"/>
      <c r="W219" s="56"/>
      <c r="X219" s="43"/>
      <c r="Z219" s="55"/>
      <c r="AA219" s="56"/>
      <c r="AB219" s="56"/>
      <c r="AC219" s="56"/>
      <c r="AD219" s="56"/>
      <c r="AE219" s="58"/>
      <c r="AF219" s="43"/>
      <c r="AN219" s="43"/>
      <c r="AP219" s="56"/>
      <c r="AQ219" s="56"/>
      <c r="AR219" s="56"/>
      <c r="AS219" s="56"/>
      <c r="AU219" s="43"/>
    </row>
    <row r="220">
      <c r="B220" s="56"/>
      <c r="C220" s="56"/>
      <c r="D220" s="56"/>
      <c r="E220" s="56"/>
      <c r="Q220" s="43"/>
      <c r="S220" s="55"/>
      <c r="T220" s="56"/>
      <c r="U220" s="56"/>
      <c r="V220" s="56"/>
      <c r="W220" s="56"/>
      <c r="X220" s="43"/>
      <c r="Z220" s="55"/>
      <c r="AA220" s="56"/>
      <c r="AB220" s="56"/>
      <c r="AC220" s="56"/>
      <c r="AD220" s="56"/>
      <c r="AE220" s="58"/>
      <c r="AF220" s="43"/>
      <c r="AN220" s="43"/>
      <c r="AP220" s="56"/>
      <c r="AQ220" s="56"/>
      <c r="AR220" s="56"/>
      <c r="AS220" s="56"/>
      <c r="AU220" s="43"/>
    </row>
    <row r="221">
      <c r="B221" s="56"/>
      <c r="C221" s="56"/>
      <c r="D221" s="56"/>
      <c r="E221" s="56"/>
      <c r="Q221" s="43"/>
      <c r="S221" s="55"/>
      <c r="T221" s="56"/>
      <c r="U221" s="56"/>
      <c r="V221" s="56"/>
      <c r="W221" s="56"/>
      <c r="X221" s="43"/>
      <c r="Z221" s="55"/>
      <c r="AA221" s="56"/>
      <c r="AB221" s="56"/>
      <c r="AC221" s="56"/>
      <c r="AD221" s="56"/>
      <c r="AE221" s="58"/>
      <c r="AF221" s="43"/>
      <c r="AN221" s="43"/>
      <c r="AP221" s="56"/>
      <c r="AQ221" s="56"/>
      <c r="AR221" s="56"/>
      <c r="AS221" s="56"/>
      <c r="AU221" s="43"/>
    </row>
    <row r="222">
      <c r="B222" s="56"/>
      <c r="C222" s="56"/>
      <c r="D222" s="56"/>
      <c r="E222" s="56"/>
      <c r="Q222" s="43"/>
      <c r="S222" s="55"/>
      <c r="T222" s="56"/>
      <c r="U222" s="56"/>
      <c r="V222" s="56"/>
      <c r="W222" s="56"/>
      <c r="X222" s="43"/>
      <c r="Z222" s="55"/>
      <c r="AA222" s="56"/>
      <c r="AB222" s="56"/>
      <c r="AC222" s="56"/>
      <c r="AD222" s="56"/>
      <c r="AE222" s="58"/>
      <c r="AF222" s="43"/>
      <c r="AN222" s="43"/>
      <c r="AP222" s="56"/>
      <c r="AQ222" s="56"/>
      <c r="AR222" s="56"/>
      <c r="AS222" s="56"/>
      <c r="AU222" s="43"/>
    </row>
    <row r="223">
      <c r="B223" s="56"/>
      <c r="C223" s="56"/>
      <c r="D223" s="56"/>
      <c r="E223" s="56"/>
      <c r="Q223" s="43"/>
      <c r="S223" s="55"/>
      <c r="T223" s="56"/>
      <c r="U223" s="56"/>
      <c r="V223" s="56"/>
      <c r="W223" s="56"/>
      <c r="X223" s="43"/>
      <c r="Z223" s="55"/>
      <c r="AA223" s="56"/>
      <c r="AB223" s="56"/>
      <c r="AC223" s="56"/>
      <c r="AD223" s="56"/>
      <c r="AE223" s="58"/>
      <c r="AF223" s="43"/>
      <c r="AN223" s="43"/>
      <c r="AP223" s="56"/>
      <c r="AQ223" s="56"/>
      <c r="AR223" s="56"/>
      <c r="AS223" s="56"/>
      <c r="AU223" s="43"/>
    </row>
    <row r="224">
      <c r="B224" s="56"/>
      <c r="C224" s="56"/>
      <c r="D224" s="56"/>
      <c r="E224" s="56"/>
      <c r="Q224" s="43"/>
      <c r="S224" s="55"/>
      <c r="T224" s="56"/>
      <c r="U224" s="56"/>
      <c r="V224" s="56"/>
      <c r="W224" s="56"/>
      <c r="X224" s="43"/>
      <c r="Z224" s="55"/>
      <c r="AA224" s="56"/>
      <c r="AB224" s="56"/>
      <c r="AC224" s="56"/>
      <c r="AD224" s="56"/>
      <c r="AE224" s="58"/>
      <c r="AF224" s="43"/>
      <c r="AN224" s="43"/>
      <c r="AP224" s="56"/>
      <c r="AQ224" s="56"/>
      <c r="AR224" s="56"/>
      <c r="AS224" s="56"/>
      <c r="AU224" s="43"/>
    </row>
    <row r="225">
      <c r="B225" s="56"/>
      <c r="C225" s="56"/>
      <c r="D225" s="56"/>
      <c r="E225" s="56"/>
      <c r="Q225" s="43"/>
      <c r="S225" s="55"/>
      <c r="T225" s="56"/>
      <c r="U225" s="56"/>
      <c r="V225" s="56"/>
      <c r="W225" s="56"/>
      <c r="X225" s="43"/>
      <c r="Z225" s="55"/>
      <c r="AA225" s="56"/>
      <c r="AB225" s="56"/>
      <c r="AC225" s="56"/>
      <c r="AD225" s="56"/>
      <c r="AE225" s="58"/>
      <c r="AF225" s="43"/>
      <c r="AN225" s="43"/>
      <c r="AP225" s="56"/>
      <c r="AQ225" s="56"/>
      <c r="AR225" s="56"/>
      <c r="AS225" s="56"/>
      <c r="AU225" s="43"/>
    </row>
    <row r="226">
      <c r="B226" s="56"/>
      <c r="C226" s="56"/>
      <c r="D226" s="56"/>
      <c r="E226" s="56"/>
      <c r="Q226" s="43"/>
      <c r="S226" s="55"/>
      <c r="T226" s="56"/>
      <c r="U226" s="56"/>
      <c r="V226" s="56"/>
      <c r="W226" s="56"/>
      <c r="X226" s="43"/>
      <c r="Z226" s="55"/>
      <c r="AA226" s="56"/>
      <c r="AB226" s="56"/>
      <c r="AC226" s="56"/>
      <c r="AD226" s="56"/>
      <c r="AE226" s="58"/>
      <c r="AF226" s="43"/>
      <c r="AN226" s="43"/>
      <c r="AP226" s="56"/>
      <c r="AQ226" s="56"/>
      <c r="AR226" s="56"/>
      <c r="AS226" s="56"/>
      <c r="AU226" s="43"/>
    </row>
    <row r="227">
      <c r="B227" s="56"/>
      <c r="C227" s="56"/>
      <c r="D227" s="56"/>
      <c r="E227" s="56"/>
      <c r="Q227" s="43"/>
      <c r="S227" s="55"/>
      <c r="T227" s="56"/>
      <c r="U227" s="56"/>
      <c r="V227" s="56"/>
      <c r="W227" s="56"/>
      <c r="X227" s="43"/>
      <c r="Z227" s="55"/>
      <c r="AA227" s="56"/>
      <c r="AB227" s="56"/>
      <c r="AC227" s="56"/>
      <c r="AD227" s="56"/>
      <c r="AE227" s="58"/>
      <c r="AF227" s="43"/>
      <c r="AN227" s="43"/>
      <c r="AP227" s="56"/>
      <c r="AQ227" s="56"/>
      <c r="AR227" s="56"/>
      <c r="AS227" s="56"/>
      <c r="AU227" s="43"/>
    </row>
    <row r="228">
      <c r="B228" s="56"/>
      <c r="C228" s="56"/>
      <c r="D228" s="56"/>
      <c r="E228" s="56"/>
      <c r="Q228" s="43"/>
      <c r="S228" s="55"/>
      <c r="T228" s="56"/>
      <c r="U228" s="56"/>
      <c r="V228" s="56"/>
      <c r="W228" s="56"/>
      <c r="X228" s="43"/>
      <c r="Z228" s="55"/>
      <c r="AA228" s="56"/>
      <c r="AB228" s="56"/>
      <c r="AC228" s="56"/>
      <c r="AD228" s="56"/>
      <c r="AE228" s="58"/>
      <c r="AF228" s="43"/>
      <c r="AN228" s="43"/>
      <c r="AP228" s="56"/>
      <c r="AQ228" s="56"/>
      <c r="AR228" s="56"/>
      <c r="AS228" s="56"/>
      <c r="AU228" s="43"/>
    </row>
    <row r="229">
      <c r="B229" s="56"/>
      <c r="C229" s="56"/>
      <c r="D229" s="56"/>
      <c r="E229" s="56"/>
      <c r="Q229" s="43"/>
      <c r="S229" s="55"/>
      <c r="T229" s="56"/>
      <c r="U229" s="56"/>
      <c r="V229" s="56"/>
      <c r="W229" s="56"/>
      <c r="X229" s="43"/>
      <c r="Z229" s="55"/>
      <c r="AA229" s="56"/>
      <c r="AB229" s="56"/>
      <c r="AC229" s="56"/>
      <c r="AD229" s="56"/>
      <c r="AE229" s="58"/>
      <c r="AF229" s="43"/>
      <c r="AN229" s="43"/>
      <c r="AP229" s="56"/>
      <c r="AQ229" s="56"/>
      <c r="AR229" s="56"/>
      <c r="AS229" s="56"/>
      <c r="AU229" s="43"/>
    </row>
    <row r="230">
      <c r="B230" s="56"/>
      <c r="C230" s="56"/>
      <c r="D230" s="56"/>
      <c r="E230" s="56"/>
      <c r="Q230" s="43"/>
      <c r="S230" s="55"/>
      <c r="T230" s="56"/>
      <c r="U230" s="56"/>
      <c r="V230" s="56"/>
      <c r="W230" s="56"/>
      <c r="X230" s="43"/>
      <c r="Z230" s="55"/>
      <c r="AA230" s="56"/>
      <c r="AB230" s="56"/>
      <c r="AC230" s="56"/>
      <c r="AD230" s="56"/>
      <c r="AE230" s="58"/>
      <c r="AF230" s="43"/>
      <c r="AN230" s="43"/>
      <c r="AP230" s="56"/>
      <c r="AQ230" s="56"/>
      <c r="AR230" s="56"/>
      <c r="AS230" s="56"/>
      <c r="AU230" s="43"/>
    </row>
    <row r="231">
      <c r="B231" s="56"/>
      <c r="C231" s="56"/>
      <c r="D231" s="56"/>
      <c r="E231" s="56"/>
      <c r="Q231" s="43"/>
      <c r="S231" s="55"/>
      <c r="T231" s="56"/>
      <c r="U231" s="56"/>
      <c r="V231" s="56"/>
      <c r="W231" s="56"/>
      <c r="X231" s="43"/>
      <c r="Z231" s="55"/>
      <c r="AA231" s="56"/>
      <c r="AB231" s="56"/>
      <c r="AC231" s="56"/>
      <c r="AD231" s="56"/>
      <c r="AE231" s="58"/>
      <c r="AF231" s="43"/>
      <c r="AN231" s="43"/>
      <c r="AP231" s="56"/>
      <c r="AQ231" s="56"/>
      <c r="AR231" s="56"/>
      <c r="AS231" s="56"/>
      <c r="AU231" s="43"/>
    </row>
    <row r="232">
      <c r="B232" s="56"/>
      <c r="C232" s="56"/>
      <c r="D232" s="56"/>
      <c r="E232" s="56"/>
      <c r="Q232" s="43"/>
      <c r="S232" s="55"/>
      <c r="T232" s="56"/>
      <c r="U232" s="56"/>
      <c r="V232" s="56"/>
      <c r="W232" s="56"/>
      <c r="X232" s="43"/>
      <c r="Z232" s="55"/>
      <c r="AA232" s="56"/>
      <c r="AB232" s="56"/>
      <c r="AC232" s="56"/>
      <c r="AD232" s="56"/>
      <c r="AE232" s="58"/>
      <c r="AF232" s="43"/>
      <c r="AN232" s="43"/>
      <c r="AP232" s="56"/>
      <c r="AQ232" s="56"/>
      <c r="AR232" s="56"/>
      <c r="AS232" s="56"/>
      <c r="AU232" s="43"/>
    </row>
    <row r="233">
      <c r="B233" s="56"/>
      <c r="C233" s="56"/>
      <c r="D233" s="56"/>
      <c r="E233" s="56"/>
      <c r="Q233" s="43"/>
      <c r="S233" s="55"/>
      <c r="T233" s="56"/>
      <c r="U233" s="56"/>
      <c r="V233" s="56"/>
      <c r="W233" s="56"/>
      <c r="X233" s="43"/>
      <c r="Z233" s="55"/>
      <c r="AA233" s="56"/>
      <c r="AB233" s="56"/>
      <c r="AC233" s="56"/>
      <c r="AD233" s="56"/>
      <c r="AE233" s="58"/>
      <c r="AF233" s="43"/>
      <c r="AN233" s="43"/>
      <c r="AP233" s="56"/>
      <c r="AQ233" s="56"/>
      <c r="AR233" s="56"/>
      <c r="AS233" s="56"/>
      <c r="AU233" s="43"/>
    </row>
    <row r="234">
      <c r="B234" s="56"/>
      <c r="C234" s="56"/>
      <c r="D234" s="56"/>
      <c r="E234" s="56"/>
      <c r="Q234" s="43"/>
      <c r="S234" s="55"/>
      <c r="T234" s="56"/>
      <c r="U234" s="56"/>
      <c r="V234" s="56"/>
      <c r="W234" s="56"/>
      <c r="X234" s="43"/>
      <c r="Z234" s="55"/>
      <c r="AA234" s="56"/>
      <c r="AB234" s="56"/>
      <c r="AC234" s="56"/>
      <c r="AD234" s="56"/>
      <c r="AE234" s="58"/>
      <c r="AF234" s="43"/>
      <c r="AN234" s="43"/>
      <c r="AP234" s="56"/>
      <c r="AQ234" s="56"/>
      <c r="AR234" s="56"/>
      <c r="AS234" s="56"/>
      <c r="AU234" s="43"/>
    </row>
    <row r="235">
      <c r="B235" s="56"/>
      <c r="C235" s="56"/>
      <c r="D235" s="56"/>
      <c r="E235" s="56"/>
      <c r="Q235" s="43"/>
      <c r="S235" s="55"/>
      <c r="T235" s="56"/>
      <c r="U235" s="56"/>
      <c r="V235" s="56"/>
      <c r="W235" s="56"/>
      <c r="X235" s="43"/>
      <c r="Z235" s="55"/>
      <c r="AA235" s="56"/>
      <c r="AB235" s="56"/>
      <c r="AC235" s="56"/>
      <c r="AD235" s="56"/>
      <c r="AE235" s="58"/>
      <c r="AF235" s="43"/>
      <c r="AN235" s="43"/>
      <c r="AP235" s="56"/>
      <c r="AQ235" s="56"/>
      <c r="AR235" s="56"/>
      <c r="AS235" s="56"/>
      <c r="AU235" s="43"/>
    </row>
    <row r="236">
      <c r="B236" s="56"/>
      <c r="C236" s="56"/>
      <c r="D236" s="56"/>
      <c r="E236" s="56"/>
      <c r="Q236" s="43"/>
      <c r="S236" s="55"/>
      <c r="T236" s="56"/>
      <c r="U236" s="56"/>
      <c r="V236" s="56"/>
      <c r="W236" s="56"/>
      <c r="X236" s="43"/>
      <c r="Z236" s="55"/>
      <c r="AA236" s="56"/>
      <c r="AB236" s="56"/>
      <c r="AC236" s="56"/>
      <c r="AD236" s="56"/>
      <c r="AE236" s="58"/>
      <c r="AF236" s="43"/>
      <c r="AN236" s="43"/>
      <c r="AP236" s="56"/>
      <c r="AQ236" s="56"/>
      <c r="AR236" s="56"/>
      <c r="AS236" s="56"/>
      <c r="AU236" s="43"/>
    </row>
    <row r="237">
      <c r="B237" s="56"/>
      <c r="C237" s="56"/>
      <c r="D237" s="56"/>
      <c r="E237" s="56"/>
      <c r="Q237" s="43"/>
      <c r="S237" s="55"/>
      <c r="T237" s="56"/>
      <c r="U237" s="56"/>
      <c r="V237" s="56"/>
      <c r="W237" s="56"/>
      <c r="X237" s="43"/>
      <c r="Z237" s="55"/>
      <c r="AA237" s="56"/>
      <c r="AB237" s="56"/>
      <c r="AC237" s="56"/>
      <c r="AD237" s="56"/>
      <c r="AE237" s="58"/>
      <c r="AF237" s="43"/>
      <c r="AN237" s="43"/>
      <c r="AP237" s="56"/>
      <c r="AQ237" s="56"/>
      <c r="AR237" s="56"/>
      <c r="AS237" s="56"/>
      <c r="AU237" s="43"/>
    </row>
    <row r="238">
      <c r="B238" s="56"/>
      <c r="C238" s="56"/>
      <c r="D238" s="56"/>
      <c r="E238" s="56"/>
      <c r="Q238" s="43"/>
      <c r="S238" s="55"/>
      <c r="T238" s="56"/>
      <c r="U238" s="56"/>
      <c r="V238" s="56"/>
      <c r="W238" s="56"/>
      <c r="X238" s="43"/>
      <c r="Z238" s="55"/>
      <c r="AA238" s="56"/>
      <c r="AB238" s="56"/>
      <c r="AC238" s="56"/>
      <c r="AD238" s="56"/>
      <c r="AE238" s="58"/>
      <c r="AF238" s="43"/>
      <c r="AN238" s="43"/>
      <c r="AP238" s="56"/>
      <c r="AQ238" s="56"/>
      <c r="AR238" s="56"/>
      <c r="AS238" s="56"/>
      <c r="AU238" s="43"/>
    </row>
    <row r="239">
      <c r="B239" s="56"/>
      <c r="C239" s="56"/>
      <c r="D239" s="56"/>
      <c r="E239" s="56"/>
      <c r="Q239" s="43"/>
      <c r="S239" s="55"/>
      <c r="T239" s="56"/>
      <c r="U239" s="56"/>
      <c r="V239" s="56"/>
      <c r="W239" s="56"/>
      <c r="X239" s="43"/>
      <c r="Z239" s="55"/>
      <c r="AA239" s="56"/>
      <c r="AB239" s="56"/>
      <c r="AC239" s="56"/>
      <c r="AD239" s="56"/>
      <c r="AE239" s="58"/>
      <c r="AF239" s="43"/>
      <c r="AN239" s="43"/>
      <c r="AP239" s="56"/>
      <c r="AQ239" s="56"/>
      <c r="AR239" s="56"/>
      <c r="AS239" s="56"/>
      <c r="AU239" s="43"/>
    </row>
    <row r="240">
      <c r="B240" s="56"/>
      <c r="C240" s="56"/>
      <c r="D240" s="56"/>
      <c r="E240" s="56"/>
      <c r="Q240" s="43"/>
      <c r="S240" s="55"/>
      <c r="T240" s="56"/>
      <c r="U240" s="56"/>
      <c r="V240" s="56"/>
      <c r="W240" s="56"/>
      <c r="X240" s="43"/>
      <c r="Z240" s="55"/>
      <c r="AA240" s="56"/>
      <c r="AB240" s="56"/>
      <c r="AC240" s="56"/>
      <c r="AD240" s="56"/>
      <c r="AE240" s="58"/>
      <c r="AF240" s="43"/>
      <c r="AN240" s="43"/>
      <c r="AP240" s="56"/>
      <c r="AQ240" s="56"/>
      <c r="AR240" s="56"/>
      <c r="AS240" s="56"/>
      <c r="AU240" s="43"/>
    </row>
    <row r="241">
      <c r="B241" s="56"/>
      <c r="C241" s="56"/>
      <c r="D241" s="56"/>
      <c r="E241" s="56"/>
      <c r="Q241" s="43"/>
      <c r="S241" s="55"/>
      <c r="T241" s="56"/>
      <c r="U241" s="56"/>
      <c r="V241" s="56"/>
      <c r="W241" s="56"/>
      <c r="X241" s="43"/>
      <c r="Z241" s="55"/>
      <c r="AA241" s="56"/>
      <c r="AB241" s="56"/>
      <c r="AC241" s="56"/>
      <c r="AD241" s="56"/>
      <c r="AE241" s="58"/>
      <c r="AF241" s="43"/>
      <c r="AN241" s="43"/>
      <c r="AP241" s="56"/>
      <c r="AQ241" s="56"/>
      <c r="AR241" s="56"/>
      <c r="AS241" s="56"/>
      <c r="AU241" s="43"/>
    </row>
    <row r="242">
      <c r="B242" s="56"/>
      <c r="C242" s="56"/>
      <c r="D242" s="56"/>
      <c r="E242" s="56"/>
      <c r="Q242" s="43"/>
      <c r="S242" s="55"/>
      <c r="T242" s="56"/>
      <c r="U242" s="56"/>
      <c r="V242" s="56"/>
      <c r="W242" s="56"/>
      <c r="X242" s="43"/>
      <c r="Z242" s="55"/>
      <c r="AA242" s="56"/>
      <c r="AB242" s="56"/>
      <c r="AC242" s="56"/>
      <c r="AD242" s="56"/>
      <c r="AE242" s="58"/>
      <c r="AF242" s="43"/>
      <c r="AN242" s="43"/>
      <c r="AP242" s="56"/>
      <c r="AQ242" s="56"/>
      <c r="AR242" s="56"/>
      <c r="AS242" s="56"/>
      <c r="AU242" s="43"/>
    </row>
    <row r="243">
      <c r="B243" s="56"/>
      <c r="C243" s="56"/>
      <c r="D243" s="56"/>
      <c r="E243" s="56"/>
      <c r="Q243" s="43"/>
      <c r="S243" s="55"/>
      <c r="T243" s="56"/>
      <c r="U243" s="56"/>
      <c r="V243" s="56"/>
      <c r="W243" s="56"/>
      <c r="X243" s="43"/>
      <c r="Z243" s="55"/>
      <c r="AA243" s="56"/>
      <c r="AB243" s="56"/>
      <c r="AC243" s="56"/>
      <c r="AD243" s="56"/>
      <c r="AE243" s="58"/>
      <c r="AF243" s="43"/>
      <c r="AN243" s="43"/>
      <c r="AP243" s="56"/>
      <c r="AQ243" s="56"/>
      <c r="AR243" s="56"/>
      <c r="AS243" s="56"/>
      <c r="AU243" s="43"/>
    </row>
    <row r="244">
      <c r="B244" s="56"/>
      <c r="C244" s="56"/>
      <c r="D244" s="56"/>
      <c r="E244" s="56"/>
      <c r="Q244" s="43"/>
      <c r="S244" s="55"/>
      <c r="T244" s="56"/>
      <c r="U244" s="56"/>
      <c r="V244" s="56"/>
      <c r="W244" s="56"/>
      <c r="X244" s="43"/>
      <c r="Z244" s="55"/>
      <c r="AA244" s="56"/>
      <c r="AB244" s="56"/>
      <c r="AC244" s="56"/>
      <c r="AD244" s="56"/>
      <c r="AE244" s="58"/>
      <c r="AF244" s="43"/>
      <c r="AN244" s="43"/>
      <c r="AP244" s="56"/>
      <c r="AQ244" s="56"/>
      <c r="AR244" s="56"/>
      <c r="AS244" s="56"/>
      <c r="AU244" s="43"/>
    </row>
    <row r="245">
      <c r="B245" s="56"/>
      <c r="C245" s="56"/>
      <c r="D245" s="56"/>
      <c r="E245" s="56"/>
      <c r="Q245" s="43"/>
      <c r="S245" s="55"/>
      <c r="T245" s="56"/>
      <c r="U245" s="56"/>
      <c r="V245" s="56"/>
      <c r="W245" s="56"/>
      <c r="X245" s="43"/>
      <c r="Z245" s="55"/>
      <c r="AA245" s="56"/>
      <c r="AB245" s="56"/>
      <c r="AC245" s="56"/>
      <c r="AD245" s="56"/>
      <c r="AE245" s="58"/>
      <c r="AF245" s="43"/>
      <c r="AN245" s="43"/>
      <c r="AP245" s="56"/>
      <c r="AQ245" s="56"/>
      <c r="AR245" s="56"/>
      <c r="AS245" s="56"/>
      <c r="AU245" s="43"/>
    </row>
    <row r="246">
      <c r="B246" s="56"/>
      <c r="C246" s="56"/>
      <c r="D246" s="56"/>
      <c r="E246" s="56"/>
      <c r="Q246" s="43"/>
      <c r="S246" s="55"/>
      <c r="T246" s="56"/>
      <c r="U246" s="56"/>
      <c r="V246" s="56"/>
      <c r="W246" s="56"/>
      <c r="X246" s="43"/>
      <c r="Z246" s="55"/>
      <c r="AA246" s="56"/>
      <c r="AB246" s="56"/>
      <c r="AC246" s="56"/>
      <c r="AD246" s="56"/>
      <c r="AE246" s="58"/>
      <c r="AF246" s="43"/>
      <c r="AN246" s="43"/>
      <c r="AP246" s="56"/>
      <c r="AQ246" s="56"/>
      <c r="AR246" s="56"/>
      <c r="AS246" s="56"/>
      <c r="AU246" s="43"/>
    </row>
    <row r="247">
      <c r="B247" s="56"/>
      <c r="C247" s="56"/>
      <c r="D247" s="56"/>
      <c r="E247" s="56"/>
      <c r="Q247" s="43"/>
      <c r="S247" s="55"/>
      <c r="T247" s="56"/>
      <c r="U247" s="56"/>
      <c r="V247" s="56"/>
      <c r="W247" s="56"/>
      <c r="X247" s="43"/>
      <c r="Z247" s="55"/>
      <c r="AA247" s="56"/>
      <c r="AB247" s="56"/>
      <c r="AC247" s="56"/>
      <c r="AD247" s="56"/>
      <c r="AE247" s="58"/>
      <c r="AF247" s="43"/>
      <c r="AN247" s="43"/>
      <c r="AP247" s="56"/>
      <c r="AQ247" s="56"/>
      <c r="AR247" s="56"/>
      <c r="AS247" s="56"/>
      <c r="AU247" s="43"/>
    </row>
    <row r="248">
      <c r="B248" s="56"/>
      <c r="C248" s="56"/>
      <c r="D248" s="56"/>
      <c r="E248" s="56"/>
      <c r="Q248" s="43"/>
      <c r="S248" s="55"/>
      <c r="T248" s="56"/>
      <c r="U248" s="56"/>
      <c r="V248" s="56"/>
      <c r="W248" s="56"/>
      <c r="X248" s="43"/>
      <c r="Z248" s="55"/>
      <c r="AA248" s="56"/>
      <c r="AB248" s="56"/>
      <c r="AC248" s="56"/>
      <c r="AD248" s="56"/>
      <c r="AE248" s="58"/>
      <c r="AF248" s="43"/>
      <c r="AN248" s="43"/>
      <c r="AP248" s="56"/>
      <c r="AQ248" s="56"/>
      <c r="AR248" s="56"/>
      <c r="AS248" s="56"/>
      <c r="AU248" s="43"/>
    </row>
    <row r="249">
      <c r="B249" s="56"/>
      <c r="C249" s="56"/>
      <c r="D249" s="56"/>
      <c r="E249" s="56"/>
      <c r="Q249" s="43"/>
      <c r="S249" s="55"/>
      <c r="T249" s="56"/>
      <c r="U249" s="56"/>
      <c r="V249" s="56"/>
      <c r="W249" s="56"/>
      <c r="X249" s="43"/>
      <c r="Z249" s="55"/>
      <c r="AA249" s="56"/>
      <c r="AB249" s="56"/>
      <c r="AC249" s="56"/>
      <c r="AD249" s="56"/>
      <c r="AE249" s="58"/>
      <c r="AF249" s="43"/>
      <c r="AN249" s="43"/>
      <c r="AP249" s="56"/>
      <c r="AQ249" s="56"/>
      <c r="AR249" s="56"/>
      <c r="AS249" s="56"/>
      <c r="AU249" s="43"/>
    </row>
    <row r="250">
      <c r="B250" s="56"/>
      <c r="C250" s="56"/>
      <c r="D250" s="56"/>
      <c r="E250" s="56"/>
      <c r="Q250" s="43"/>
      <c r="S250" s="55"/>
      <c r="T250" s="56"/>
      <c r="U250" s="56"/>
      <c r="V250" s="56"/>
      <c r="W250" s="56"/>
      <c r="X250" s="43"/>
      <c r="Z250" s="55"/>
      <c r="AA250" s="56"/>
      <c r="AB250" s="56"/>
      <c r="AC250" s="56"/>
      <c r="AD250" s="56"/>
      <c r="AE250" s="58"/>
      <c r="AF250" s="43"/>
      <c r="AN250" s="43"/>
      <c r="AP250" s="56"/>
      <c r="AQ250" s="56"/>
      <c r="AR250" s="56"/>
      <c r="AS250" s="56"/>
      <c r="AU250" s="43"/>
    </row>
    <row r="251">
      <c r="B251" s="56"/>
      <c r="C251" s="56"/>
      <c r="D251" s="56"/>
      <c r="E251" s="56"/>
      <c r="Q251" s="43"/>
      <c r="S251" s="55"/>
      <c r="T251" s="56"/>
      <c r="U251" s="56"/>
      <c r="V251" s="56"/>
      <c r="W251" s="56"/>
      <c r="X251" s="43"/>
      <c r="Z251" s="55"/>
      <c r="AA251" s="56"/>
      <c r="AB251" s="56"/>
      <c r="AC251" s="56"/>
      <c r="AD251" s="56"/>
      <c r="AE251" s="58"/>
      <c r="AF251" s="43"/>
      <c r="AN251" s="43"/>
      <c r="AP251" s="56"/>
      <c r="AQ251" s="56"/>
      <c r="AR251" s="56"/>
      <c r="AS251" s="56"/>
      <c r="AU251" s="43"/>
    </row>
    <row r="252">
      <c r="B252" s="56"/>
      <c r="C252" s="56"/>
      <c r="D252" s="56"/>
      <c r="E252" s="56"/>
      <c r="Q252" s="43"/>
      <c r="S252" s="55"/>
      <c r="T252" s="56"/>
      <c r="U252" s="56"/>
      <c r="V252" s="56"/>
      <c r="W252" s="56"/>
      <c r="X252" s="43"/>
      <c r="Z252" s="55"/>
      <c r="AA252" s="56"/>
      <c r="AB252" s="56"/>
      <c r="AC252" s="56"/>
      <c r="AD252" s="56"/>
      <c r="AE252" s="58"/>
      <c r="AF252" s="43"/>
      <c r="AN252" s="43"/>
      <c r="AP252" s="56"/>
      <c r="AQ252" s="56"/>
      <c r="AR252" s="56"/>
      <c r="AS252" s="56"/>
      <c r="AU252" s="43"/>
    </row>
    <row r="253">
      <c r="B253" s="56"/>
      <c r="C253" s="56"/>
      <c r="D253" s="56"/>
      <c r="E253" s="56"/>
      <c r="Q253" s="43"/>
      <c r="S253" s="55"/>
      <c r="T253" s="56"/>
      <c r="U253" s="56"/>
      <c r="V253" s="56"/>
      <c r="W253" s="56"/>
      <c r="X253" s="43"/>
      <c r="Z253" s="55"/>
      <c r="AA253" s="56"/>
      <c r="AB253" s="56"/>
      <c r="AC253" s="56"/>
      <c r="AD253" s="56"/>
      <c r="AE253" s="58"/>
      <c r="AF253" s="43"/>
      <c r="AN253" s="43"/>
      <c r="AP253" s="56"/>
      <c r="AQ253" s="56"/>
      <c r="AR253" s="56"/>
      <c r="AS253" s="56"/>
      <c r="AU253" s="43"/>
    </row>
    <row r="254">
      <c r="B254" s="56"/>
      <c r="C254" s="56"/>
      <c r="D254" s="56"/>
      <c r="E254" s="56"/>
      <c r="Q254" s="43"/>
      <c r="S254" s="55"/>
      <c r="T254" s="56"/>
      <c r="U254" s="56"/>
      <c r="V254" s="56"/>
      <c r="W254" s="56"/>
      <c r="X254" s="43"/>
      <c r="Z254" s="55"/>
      <c r="AA254" s="56"/>
      <c r="AB254" s="56"/>
      <c r="AC254" s="56"/>
      <c r="AD254" s="56"/>
      <c r="AE254" s="58"/>
      <c r="AF254" s="43"/>
      <c r="AN254" s="43"/>
      <c r="AP254" s="56"/>
      <c r="AQ254" s="56"/>
      <c r="AR254" s="56"/>
      <c r="AS254" s="56"/>
      <c r="AU254" s="43"/>
    </row>
    <row r="255">
      <c r="B255" s="56"/>
      <c r="C255" s="56"/>
      <c r="D255" s="56"/>
      <c r="E255" s="56"/>
      <c r="Q255" s="43"/>
      <c r="S255" s="55"/>
      <c r="T255" s="56"/>
      <c r="U255" s="56"/>
      <c r="V255" s="56"/>
      <c r="W255" s="56"/>
      <c r="X255" s="43"/>
      <c r="Z255" s="55"/>
      <c r="AA255" s="56"/>
      <c r="AB255" s="56"/>
      <c r="AC255" s="56"/>
      <c r="AD255" s="56"/>
      <c r="AE255" s="58"/>
      <c r="AF255" s="43"/>
      <c r="AN255" s="43"/>
      <c r="AP255" s="56"/>
      <c r="AQ255" s="56"/>
      <c r="AR255" s="56"/>
      <c r="AS255" s="56"/>
      <c r="AU255" s="43"/>
    </row>
    <row r="256">
      <c r="B256" s="56"/>
      <c r="C256" s="56"/>
      <c r="D256" s="56"/>
      <c r="E256" s="56"/>
      <c r="Q256" s="43"/>
      <c r="S256" s="55"/>
      <c r="T256" s="56"/>
      <c r="U256" s="56"/>
      <c r="V256" s="56"/>
      <c r="W256" s="56"/>
      <c r="X256" s="43"/>
      <c r="Z256" s="55"/>
      <c r="AA256" s="56"/>
      <c r="AB256" s="56"/>
      <c r="AC256" s="56"/>
      <c r="AD256" s="56"/>
      <c r="AE256" s="58"/>
      <c r="AF256" s="43"/>
      <c r="AN256" s="43"/>
      <c r="AP256" s="56"/>
      <c r="AQ256" s="56"/>
      <c r="AR256" s="56"/>
      <c r="AS256" s="56"/>
      <c r="AU256" s="43"/>
    </row>
    <row r="257">
      <c r="B257" s="56"/>
      <c r="C257" s="56"/>
      <c r="D257" s="56"/>
      <c r="E257" s="56"/>
      <c r="Q257" s="43"/>
      <c r="S257" s="55"/>
      <c r="T257" s="56"/>
      <c r="U257" s="56"/>
      <c r="V257" s="56"/>
      <c r="W257" s="56"/>
      <c r="X257" s="43"/>
      <c r="Z257" s="55"/>
      <c r="AA257" s="56"/>
      <c r="AB257" s="56"/>
      <c r="AC257" s="56"/>
      <c r="AD257" s="56"/>
      <c r="AE257" s="58"/>
      <c r="AF257" s="43"/>
      <c r="AN257" s="43"/>
      <c r="AP257" s="56"/>
      <c r="AQ257" s="56"/>
      <c r="AR257" s="56"/>
      <c r="AS257" s="56"/>
      <c r="AU257" s="43"/>
    </row>
    <row r="258">
      <c r="B258" s="56"/>
      <c r="C258" s="56"/>
      <c r="D258" s="56"/>
      <c r="E258" s="56"/>
      <c r="Q258" s="43"/>
      <c r="S258" s="55"/>
      <c r="T258" s="56"/>
      <c r="U258" s="56"/>
      <c r="V258" s="56"/>
      <c r="W258" s="56"/>
      <c r="X258" s="43"/>
      <c r="Z258" s="55"/>
      <c r="AA258" s="56"/>
      <c r="AB258" s="56"/>
      <c r="AC258" s="56"/>
      <c r="AD258" s="56"/>
      <c r="AE258" s="58"/>
      <c r="AF258" s="43"/>
      <c r="AN258" s="43"/>
      <c r="AP258" s="56"/>
      <c r="AQ258" s="56"/>
      <c r="AR258" s="56"/>
      <c r="AS258" s="56"/>
      <c r="AU258" s="43"/>
    </row>
    <row r="259">
      <c r="B259" s="56"/>
      <c r="C259" s="56"/>
      <c r="D259" s="56"/>
      <c r="E259" s="56"/>
      <c r="Q259" s="43"/>
      <c r="S259" s="55"/>
      <c r="T259" s="56"/>
      <c r="U259" s="56"/>
      <c r="V259" s="56"/>
      <c r="W259" s="56"/>
      <c r="X259" s="43"/>
      <c r="Z259" s="55"/>
      <c r="AA259" s="56"/>
      <c r="AB259" s="56"/>
      <c r="AC259" s="56"/>
      <c r="AD259" s="56"/>
      <c r="AE259" s="58"/>
      <c r="AF259" s="43"/>
      <c r="AN259" s="43"/>
      <c r="AP259" s="56"/>
      <c r="AQ259" s="56"/>
      <c r="AR259" s="56"/>
      <c r="AS259" s="56"/>
      <c r="AU259" s="4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75"/>
    <col customWidth="1" min="3" max="3" width="9.0"/>
    <col customWidth="1" min="4" max="4" width="11.25"/>
    <col customWidth="1" min="7" max="7" width="10.63"/>
    <col customWidth="1" min="8" max="8" width="8.5"/>
    <col customWidth="1" min="10" max="10" width="12.13"/>
    <col customWidth="1" min="11" max="11" width="9.25"/>
    <col customWidth="1" min="13" max="13" width="11.63"/>
    <col customWidth="1" min="14" max="14" width="8.75"/>
    <col customWidth="1" min="15" max="15" width="10.63"/>
    <col customWidth="1" min="16" max="16" width="51.13"/>
    <col customWidth="1" min="17" max="17" width="37.25"/>
    <col customWidth="1" min="18" max="18" width="7.13"/>
    <col customWidth="1" min="19" max="19" width="3.13"/>
    <col customWidth="1" min="20" max="20" width="27.25"/>
    <col customWidth="1" min="21" max="21" width="16.5"/>
    <col customWidth="1" min="22" max="22" width="11.38"/>
    <col customWidth="1" min="23" max="23" width="9.38"/>
    <col customWidth="1" min="24" max="24" width="2.75"/>
    <col customWidth="1" min="25" max="25" width="33.0"/>
    <col customWidth="1" min="26" max="26" width="18.63"/>
    <col customWidth="1" min="27" max="27" width="10.75"/>
    <col customWidth="1" min="29" max="29" width="3.25"/>
    <col customWidth="1" min="30" max="30" width="26.88"/>
    <col customWidth="1" min="31" max="31" width="7.88"/>
    <col customWidth="1" min="32" max="32" width="2.88"/>
  </cols>
  <sheetData>
    <row r="1" ht="66.0" customHeight="1">
      <c r="A1" s="68" t="s">
        <v>72</v>
      </c>
      <c r="B1" s="68" t="s">
        <v>73</v>
      </c>
      <c r="C1" s="69" t="s">
        <v>74</v>
      </c>
      <c r="D1" s="70" t="str">
        <f>'RFR Data - preExcl'!E1</f>
        <v>RAW Num of Samples (Gform)</v>
      </c>
      <c r="E1" s="70" t="str">
        <f>'RFR Data - preExcl'!Z1</f>
        <v>Num Rxn Including Controls (from paper form)</v>
      </c>
      <c r="F1" s="69" t="s">
        <v>75</v>
      </c>
      <c r="G1" s="70" t="str">
        <f>'RFR Data - preExcl'!AK1</f>
        <v>RFR Audit
Num
Run Tubes</v>
      </c>
      <c r="H1" s="70" t="s">
        <v>76</v>
      </c>
      <c r="I1" s="70" t="s">
        <v>77</v>
      </c>
      <c r="J1" s="70" t="str">
        <f>'APS Tubes by Date Import'!J1</f>
        <v>All Non-Null Tubes Resulted Same Day?</v>
      </c>
      <c r="K1" s="71" t="str">
        <f>IF(SUM(K3:K103)&gt;0,"Num NULL &gt; 0 NEEDS CHANGE", "Num NULL = 0 OK")</f>
        <v>Num NULL = 0 OK</v>
      </c>
      <c r="L1" s="72" t="str">
        <f>CONCATENATE("Reconciled Tube Run Count ",SUM(L2:L115))</f>
        <v>Reconciled Tube Run Count 772</v>
      </c>
      <c r="M1" s="71" t="s">
        <v>78</v>
      </c>
      <c r="N1" s="71" t="s">
        <v>79</v>
      </c>
      <c r="O1" s="68" t="s">
        <v>80</v>
      </c>
      <c r="P1" s="73" t="s">
        <v>81</v>
      </c>
      <c r="Q1" s="71" t="s">
        <v>82</v>
      </c>
      <c r="R1" s="74" t="s">
        <v>26</v>
      </c>
      <c r="S1" s="32"/>
      <c r="T1" s="68" t="s">
        <v>83</v>
      </c>
      <c r="U1" s="68" t="s">
        <v>84</v>
      </c>
      <c r="V1" s="75" t="s">
        <v>85</v>
      </c>
      <c r="W1" s="76" t="s">
        <v>86</v>
      </c>
      <c r="X1" s="77"/>
      <c r="Y1" s="78" t="s">
        <v>87</v>
      </c>
      <c r="Z1" s="79">
        <f>COUNTA(Z2:Z115)</f>
        <v>10</v>
      </c>
      <c r="AA1" s="16" t="s">
        <v>88</v>
      </c>
      <c r="AB1" s="80" t="s">
        <v>89</v>
      </c>
      <c r="AC1" s="81"/>
      <c r="AD1" s="80" t="s">
        <v>90</v>
      </c>
      <c r="AE1" s="82">
        <f>SUM(AE2:AE115)</f>
        <v>11</v>
      </c>
      <c r="AF1" s="81"/>
      <c r="AG1" s="57"/>
      <c r="AH1" s="57"/>
      <c r="AI1" s="57"/>
    </row>
    <row r="2">
      <c r="A2" s="54" t="str">
        <f t="array" ref="A2:B55">SORT(UNIQUE(T2:U115),2,TRUE)</f>
        <v>RUN-BEND_2021-12-10_APS-001</v>
      </c>
      <c r="B2" s="55">
        <v>44540.0</v>
      </c>
      <c r="C2" s="83" t="b">
        <f t="shared" ref="C2:C9" si="1">IF(ISNUMBER(FIND("APS", $A2)),TRUE,IFERROR(0/0,""))</f>
        <v>1</v>
      </c>
      <c r="D2" s="56" t="str">
        <f t="array" ref="D2">IF(OR(ISBLANK($A2),$C2),IFERROR(0/0,""),INDEX('RFR Data - preExcl'!E$2:E115,$R2,1))</f>
        <v/>
      </c>
      <c r="E2" s="56" t="str">
        <f t="array" ref="E2">IF(OR(ISBLANK($A2),$C2),IFERROR(0/0,""),INDEX('RFR Data - preExcl'!Z$2:Z115,$R2,1))</f>
        <v/>
      </c>
      <c r="F2" s="56" t="str">
        <f t="array" ref="F2">IF(OR(ISBLANK(A2),C2),IFERROR(0/0,""),INDEX('RFR Data - preExcl'!AC$2:AC115,$R2,1))</f>
        <v/>
      </c>
      <c r="G2" s="56" t="str">
        <f t="array" ref="G2">IF(OR(ISBLANK(A2),C2),IFERROR(0/0,""),INDEX('RFR Data - preExcl'!AK$2:AK115,$R2,1))</f>
        <v/>
      </c>
      <c r="H2" s="56" t="str">
        <f t="array" ref="H2">IF(OR(ISBLANK(A2),C2),IFERROR(0/0,""),INDEX('RFR Data - preExcl'!AL$2:AL115,$R2,1))</f>
        <v/>
      </c>
      <c r="I2" s="84">
        <f>IFERROR(VLOOKUP($B2,'APS Tubes by Date Import'!$B$2:$J115,2,FALSE),"")</f>
        <v>5</v>
      </c>
      <c r="J2" s="56" t="str">
        <f>IFERROR(VLOOKUP($B2,'APS Tubes by Date Import'!$B$2:$J115,9,FALSE),"")</f>
        <v/>
      </c>
      <c r="K2" s="56">
        <f>IFNA(VLOOKUP($B2,'APS Tubes by Date Import'!$B$2:$J115,6,FALSE),"")</f>
        <v>0</v>
      </c>
      <c r="L2" s="84">
        <f>I2</f>
        <v>5</v>
      </c>
      <c r="M2" s="49" t="str">
        <f t="shared" ref="M2:M5" si="2">IF(L2-I2=0,IFERROR(0/0,""),L2-I2)</f>
        <v/>
      </c>
      <c r="N2" s="85">
        <v>3.4</v>
      </c>
      <c r="O2" s="20" t="b">
        <f>IF(ISBLANK(L2),IFERROR(0/0,""),IF($N2&lt;5,TRUE,IFERROR(0/0,"")))</f>
        <v>1</v>
      </c>
      <c r="P2" s="86" t="str">
        <f>IF(ISBLANK(N2),IFERROR(0/0,""),IFERROR(VLOOKUP(N2, 'Process Ref'!$A$76:$D$123, 2, FALSE), IFERROR(0/0,"")))</f>
        <v>Add Run from APS with no RFR (assume run on same day as Collect, ignore Result day)</v>
      </c>
      <c r="Q2" s="86" t="s">
        <v>91</v>
      </c>
      <c r="R2" s="87" t="str">
        <f>IFNA(MATCH(A2,'RFR Data - preExcl'!A$2:A115,0),"")</f>
        <v/>
      </c>
      <c r="S2" s="43"/>
      <c r="T2" s="20" t="str">
        <f>IF(EXACT('RFR Data - preExcl'!W2,"Initial"),'RFR Data - preExcl'!A2,IFERROR(0/0,""))</f>
        <v/>
      </c>
      <c r="U2" s="20" t="str">
        <f>IF(EXACT('RFR Data - preExcl'!W2,"Initial"),'RFR Data - preExcl'!U2,IFERROR(0/0,""))</f>
        <v/>
      </c>
      <c r="X2" s="81"/>
      <c r="Y2" s="88" t="str">
        <f>IFERROR(__xludf.DUMMYFUNCTION("SORT(FILTER('RFR Data - preExcl'!A2:B115,'RFR Data - preExcl'!$W2:$W115=""Re-run""))
"),"RUN-BEND_2021-12-31_RFR-008_Re-run")</f>
        <v>RUN-BEND_2021-12-31_RFR-008_Re-run</v>
      </c>
      <c r="Z2" s="89">
        <f>IFERROR(__xludf.DUMMYFUNCTION("""COMPUTED_VALUE"""),44561.4531712963)</f>
        <v>44561.45317</v>
      </c>
      <c r="AA2" s="90">
        <f>VLOOKUP($Y2,'RFR Data - preExcl'!$A$2:$AK115,29,FALSE)</f>
        <v>2</v>
      </c>
      <c r="AB2" s="90">
        <f>VLOOKUP($Y2,'RFR Data - preExcl'!$A$2:$AK115,37,FALSE)</f>
        <v>2</v>
      </c>
      <c r="AC2" s="81"/>
      <c r="AD2" s="88" t="str">
        <f>IFERROR(__xludf.DUMMYFUNCTION("SORT(FILTER(A2:A115,ISNUMBER(SEARCH(""APS"",A2:A115))))
"),"RUN-BEND_2021-12-10_APS-001")</f>
        <v>RUN-BEND_2021-12-10_APS-001</v>
      </c>
      <c r="AE2" s="90">
        <f t="shared" ref="AE2:AE4" si="3">VLOOKUP(AD2,A2:L115,12,FALSE)</f>
        <v>5</v>
      </c>
      <c r="AF2" s="81"/>
      <c r="AG2" s="57"/>
      <c r="AH2" s="57"/>
      <c r="AI2" s="57"/>
    </row>
    <row r="3">
      <c r="A3" s="6" t="s">
        <v>29</v>
      </c>
      <c r="B3" s="55">
        <v>44543.0</v>
      </c>
      <c r="C3" s="83" t="str">
        <f t="shared" si="1"/>
        <v/>
      </c>
      <c r="D3" s="48">
        <f t="array" ref="D3">IF(OR(ISBLANK($A3),C3),IFERROR(0/0,""),INDEX('RFR Data - preExcl'!E$2:E115,$R3,1))</f>
        <v>7</v>
      </c>
      <c r="E3" s="56" t="str">
        <f t="array" ref="E3">IF(OR(ISBLANK($A3),$C3),IFERROR(0/0,""),INDEX('RFR Data - preExcl'!Z$2:Z115,$R3,1))</f>
        <v/>
      </c>
      <c r="F3" s="48">
        <f t="array" ref="F3">IF(OR(ISBLANK(A3),C3),IFERROR(0/0,""),INDEX('RFR Data - preExcl'!AC$2:AC115,$R3,1))</f>
        <v>9</v>
      </c>
      <c r="G3" s="48">
        <f t="array" ref="G3">IF(OR(ISBLANK(A3),C3),IFERROR(0/0,""),INDEX('RFR Data - preExcl'!AK$2:AK115,$R3,1))</f>
        <v>7</v>
      </c>
      <c r="H3" s="56">
        <f t="array" ref="H3">IF(OR(ISBLANK(A3),C3),IFERROR(0/0,""),INDEX('RFR Data - preExcl'!AL$2:AL115,$R3,1))</f>
        <v>0</v>
      </c>
      <c r="I3" s="48">
        <f>IFERROR(VLOOKUP($B3,'APS Tubes by Date Import'!$B$2:$J115,2,FALSE),"")</f>
        <v>7</v>
      </c>
      <c r="J3" s="56" t="b">
        <f>IFERROR(VLOOKUP($B3,'APS Tubes by Date Import'!$B$2:$J115,9,FALSE),"")</f>
        <v>1</v>
      </c>
      <c r="K3" s="56">
        <f>IFNA(VLOOKUP($B3,'APS Tubes by Date Import'!$B$2:$J115,6,FALSE),"")</f>
        <v>0</v>
      </c>
      <c r="L3" s="48">
        <f>G3</f>
        <v>7</v>
      </c>
      <c r="M3" s="49" t="str">
        <f t="shared" si="2"/>
        <v/>
      </c>
      <c r="N3" s="91">
        <v>0.3</v>
      </c>
      <c r="O3" s="20" t="b">
        <f>IF(ISBLANK(L3),IFERROR(0/0,""),IF($N3&lt;=4,TRUE,IFERROR(0/0,"")))</f>
        <v>1</v>
      </c>
      <c r="P3" s="86" t="str">
        <f>IF(ISBLANK(N3),IFERROR(0/0,""),IFERROR(VLOOKUP(N3, 'Process Ref'!$A$76:$D$123, 2, FALSE), IFERROR(0/0,"")))</f>
        <v>ALL 3 COUNTS SAME after Null called Neg with APS Collect on previous days</v>
      </c>
      <c r="Q3" s="6" t="str">
        <f>IFS(OR(N3=0.1,N3=1.1,N3=2.1),"NULL &gt; NEG",N3=3, "Delete NULL",TRUE,IFERROR(0/0,""))</f>
        <v/>
      </c>
      <c r="R3" s="87">
        <f>IFNA(MATCH(A3,'RFR Data - preExcl'!A$2:A115,0),"")</f>
        <v>2</v>
      </c>
      <c r="S3" s="43"/>
      <c r="T3" s="20" t="str">
        <f>IF(EXACT('RFR Data - preExcl'!W3,"Initial"),'RFR Data - preExcl'!A3,IFERROR(0/0,""))</f>
        <v>RUN-BEND_2021-12-13_RFR-002</v>
      </c>
      <c r="U3" s="92">
        <f>IF(EXACT('RFR Data - preExcl'!W3,"Initial"),'RFR Data - preExcl'!U3,IFERROR(0/0,""))</f>
        <v>44543</v>
      </c>
      <c r="X3" s="81"/>
      <c r="Y3" s="93" t="str">
        <f>IFERROR(__xludf.DUMMYFUNCTION("""COMPUTED_VALUE"""),"RUN-BEND_2022-01-21_RFR-018_Re-run")</f>
        <v>RUN-BEND_2022-01-21_RFR-018_Re-run</v>
      </c>
      <c r="Z3" s="89">
        <f>IFERROR(__xludf.DUMMYFUNCTION("""COMPUTED_VALUE"""),44582.49561342593)</f>
        <v>44582.49561</v>
      </c>
      <c r="AA3" s="90">
        <f>VLOOKUP($Y3,'RFR Data - preExcl'!$A$2:$AK115,29,FALSE)</f>
        <v>6</v>
      </c>
      <c r="AB3" s="90">
        <f>VLOOKUP($Y3,'RFR Data - preExcl'!$A$2:$AK115,37,FALSE)</f>
        <v>6</v>
      </c>
      <c r="AC3" s="81"/>
      <c r="AD3" s="93" t="str">
        <f>IFERROR(__xludf.DUMMYFUNCTION("""COMPUTED_VALUE"""),"RUN-BEND_2021-12-15_APS-002")</f>
        <v>RUN-BEND_2021-12-15_APS-002</v>
      </c>
      <c r="AE3" s="90">
        <f t="shared" si="3"/>
        <v>4</v>
      </c>
      <c r="AF3" s="81"/>
      <c r="AG3" s="57"/>
      <c r="AH3" s="57"/>
      <c r="AI3" s="57"/>
    </row>
    <row r="4">
      <c r="A4" s="94" t="s">
        <v>30</v>
      </c>
      <c r="B4" s="95">
        <v>44545.0</v>
      </c>
      <c r="C4" s="83" t="b">
        <f t="shared" si="1"/>
        <v>1</v>
      </c>
      <c r="D4" s="56" t="str">
        <f t="array" ref="D4">IF(OR(ISBLANK($A4),C4),IFERROR(0/0,""),INDEX('RFR Data - preExcl'!E$2:E115,$R4,1))</f>
        <v/>
      </c>
      <c r="E4" s="56" t="str">
        <f t="array" ref="E4">IF(OR(ISBLANK($A4),$C4),IFERROR(0/0,""),INDEX('RFR Data - preExcl'!Z$2:Z115,$R4,1))</f>
        <v/>
      </c>
      <c r="F4" s="56" t="str">
        <f t="array" ref="F4">IF(OR(ISBLANK(A4),C4),IFERROR(0/0,""),INDEX('RFR Data - preExcl'!AC$2:AC115,$R4,1))</f>
        <v/>
      </c>
      <c r="G4" s="56" t="str">
        <f t="array" ref="G4">IF(OR(ISBLANK(A4),C4),IFERROR(0/0,""),INDEX('RFR Data - preExcl'!AK$2:AK115,$R4,1))</f>
        <v/>
      </c>
      <c r="H4" s="56" t="str">
        <f t="array" ref="H4">IF(OR(ISBLANK(A4),C4),IFERROR(0/0,""),INDEX('RFR Data - preExcl'!AL$2:AL115,$R4,1))</f>
        <v/>
      </c>
      <c r="I4" s="84">
        <f>IFERROR(VLOOKUP($B4,'APS Tubes by Date Import'!$B$2:$J115,2,FALSE),"")</f>
        <v>4</v>
      </c>
      <c r="J4" s="56" t="str">
        <f>IFERROR(VLOOKUP($B4,'APS Tubes by Date Import'!$B$2:$J115,9,FALSE),"")</f>
        <v/>
      </c>
      <c r="K4" s="56">
        <f>IFNA(VLOOKUP($B4,'APS Tubes by Date Import'!$B$2:$J115,6,FALSE),"")</f>
        <v>0</v>
      </c>
      <c r="L4" s="84">
        <f t="shared" ref="L4:L5" si="4">I4</f>
        <v>4</v>
      </c>
      <c r="M4" s="49" t="str">
        <f t="shared" si="2"/>
        <v/>
      </c>
      <c r="N4" s="85">
        <v>3.4</v>
      </c>
      <c r="O4" s="20" t="b">
        <f t="shared" ref="O4:O5" si="5">IF(ISBLANK(L4),IFERROR(0/0,""),IF($N4&lt;5,TRUE,IFERROR(0/0,"")))</f>
        <v>1</v>
      </c>
      <c r="P4" s="86" t="str">
        <f>IF(ISBLANK(N4),IFERROR(0/0,""),IFERROR(VLOOKUP(N4, 'Process Ref'!$A$76:$D$123, 2, FALSE), IFERROR(0/0,"")))</f>
        <v>Add Run from APS with no RFR (assume run on same day as Collect, ignore Result day)</v>
      </c>
      <c r="R4" s="87" t="str">
        <f>IFNA(MATCH(A4,'RFR Data - preExcl'!A$2:A115,0),"")</f>
        <v/>
      </c>
      <c r="S4" s="43"/>
      <c r="T4" s="20" t="str">
        <f>IF(EXACT('RFR Data - preExcl'!W4,"Initial"),'RFR Data - preExcl'!A4,IFERROR(0/0,""))</f>
        <v>RUN-BEND_2021-12-20_RFR-003</v>
      </c>
      <c r="U4" s="92">
        <f>IF(EXACT('RFR Data - preExcl'!W4,"Initial"),'RFR Data - preExcl'!U4,IFERROR(0/0,""))</f>
        <v>44550</v>
      </c>
      <c r="X4" s="81"/>
      <c r="Y4" s="96" t="str">
        <f>IFERROR(__xludf.DUMMYFUNCTION("""COMPUTED_VALUE"""),"RUN-BEND_2022-01-26_RFR-021_Re-run")</f>
        <v>RUN-BEND_2022-01-26_RFR-021_Re-run</v>
      </c>
      <c r="Z4" s="89">
        <f>IFERROR(__xludf.DUMMYFUNCTION("""COMPUTED_VALUE"""),44587.49961805555)</f>
        <v>44587.49962</v>
      </c>
      <c r="AA4" s="90">
        <f>VLOOKUP($Y4,'RFR Data - preExcl'!$A$2:$AK115,29,FALSE)</f>
        <v>2</v>
      </c>
      <c r="AB4" s="90">
        <f>VLOOKUP($Y4,'RFR Data - preExcl'!$A$2:$AK115,37,FALSE)</f>
        <v>1</v>
      </c>
      <c r="AC4" s="81"/>
      <c r="AD4" s="10" t="str">
        <f>IFERROR(__xludf.DUMMYFUNCTION("""COMPUTED_VALUE"""),"RUN-BEND_2021-12-17_APS-003")</f>
        <v>RUN-BEND_2021-12-17_APS-003</v>
      </c>
      <c r="AE4" s="90">
        <f t="shared" si="3"/>
        <v>2</v>
      </c>
      <c r="AF4" s="81"/>
    </row>
    <row r="5">
      <c r="A5" s="94" t="s">
        <v>31</v>
      </c>
      <c r="B5" s="95">
        <v>44547.0</v>
      </c>
      <c r="C5" s="83" t="b">
        <f t="shared" si="1"/>
        <v>1</v>
      </c>
      <c r="D5" s="56" t="str">
        <f t="array" ref="D5">IF(OR(ISBLANK($A5),C5),IFERROR(0/0,""),INDEX('RFR Data - preExcl'!E$2:E115,$R5,1))</f>
        <v/>
      </c>
      <c r="E5" s="56" t="str">
        <f t="array" ref="E5">IF(OR(ISBLANK($A5),$C5),IFERROR(0/0,""),INDEX('RFR Data - preExcl'!Z$2:Z115,$R5,1))</f>
        <v/>
      </c>
      <c r="F5" s="56" t="str">
        <f t="array" ref="F5">IF(OR(ISBLANK(A5),C5),IFERROR(0/0,""),INDEX('RFR Data - preExcl'!AC$2:AC115,$R5,1))</f>
        <v/>
      </c>
      <c r="G5" s="56" t="str">
        <f t="array" ref="G5">IF(OR(ISBLANK(A5),C5),IFERROR(0/0,""),INDEX('RFR Data - preExcl'!AK$2:AK115,$R5,1))</f>
        <v/>
      </c>
      <c r="H5" s="56" t="str">
        <f t="array" ref="H5">IF(OR(ISBLANK(A5),C5),IFERROR(0/0,""),INDEX('RFR Data - preExcl'!AL$2:AL115,$R5,1))</f>
        <v/>
      </c>
      <c r="I5" s="84">
        <f>IFERROR(VLOOKUP($B5,'APS Tubes by Date Import'!$B$2:$J115,2,FALSE),"")</f>
        <v>2</v>
      </c>
      <c r="J5" s="56" t="b">
        <f>IFERROR(VLOOKUP($B5,'APS Tubes by Date Import'!$B$2:$J115,9,FALSE),"")</f>
        <v>1</v>
      </c>
      <c r="K5" s="56">
        <f>IFNA(VLOOKUP($B5,'APS Tubes by Date Import'!$B$2:$J115,6,FALSE),"")</f>
        <v>0</v>
      </c>
      <c r="L5" s="84">
        <f t="shared" si="4"/>
        <v>2</v>
      </c>
      <c r="M5" s="49" t="str">
        <f t="shared" si="2"/>
        <v/>
      </c>
      <c r="N5" s="85">
        <v>3.4</v>
      </c>
      <c r="O5" s="20" t="b">
        <f t="shared" si="5"/>
        <v>1</v>
      </c>
      <c r="P5" s="86" t="str">
        <f>IF(ISBLANK(N5),IFERROR(0/0,""),IFERROR(VLOOKUP(N5, 'Process Ref'!$A$76:$D$123, 2, FALSE), IFERROR(0/0,"")))</f>
        <v>Add Run from APS with no RFR (assume run on same day as Collect, ignore Result day)</v>
      </c>
      <c r="R5" s="87" t="str">
        <f>IFNA(MATCH(A5,'RFR Data - preExcl'!A$2:A115,0),"")</f>
        <v/>
      </c>
      <c r="S5" s="43"/>
      <c r="T5" s="20" t="str">
        <f>IF(EXACT('RFR Data - preExcl'!W5,"Initial"),'RFR Data - preExcl'!A5,IFERROR(0/0,""))</f>
        <v>RUN-BEND_2021-12-22_RFR-004</v>
      </c>
      <c r="U5" s="92">
        <f>IF(EXACT('RFR Data - preExcl'!W5,"Initial"),'RFR Data - preExcl'!U5,IFERROR(0/0,""))</f>
        <v>44552</v>
      </c>
      <c r="X5" s="81"/>
      <c r="Y5" s="96" t="str">
        <f>IFERROR(__xludf.DUMMYFUNCTION("""COMPUTED_VALUE"""),"RUN-BEND_2022-01-28_RFR-023_Re-run")</f>
        <v>RUN-BEND_2022-01-28_RFR-023_Re-run</v>
      </c>
      <c r="Z5" s="89">
        <f>IFERROR(__xludf.DUMMYFUNCTION("""COMPUTED_VALUE"""),44589.47217592593)</f>
        <v>44589.47218</v>
      </c>
      <c r="AA5" s="90">
        <f>VLOOKUP($Y5,'RFR Data - preExcl'!$A$2:$AK115,29,FALSE)</f>
        <v>1</v>
      </c>
      <c r="AB5" s="90">
        <f>VLOOKUP($Y5,'RFR Data - preExcl'!$A$2:$AK115,37,FALSE)</f>
        <v>1</v>
      </c>
      <c r="AC5" s="81"/>
      <c r="AF5" s="81"/>
    </row>
    <row r="6">
      <c r="A6" s="97"/>
      <c r="B6" s="67">
        <v>44549.0</v>
      </c>
      <c r="C6" s="98" t="str">
        <f t="shared" si="1"/>
        <v/>
      </c>
      <c r="D6" s="99" t="str">
        <f t="array" ref="D6">IF(OR(ISBLANK($A6),C6),IFERROR(0/0,""),INDEX('RFR Data - preExcl'!E$2:E115,$R6,1))</f>
        <v/>
      </c>
      <c r="E6" s="99" t="str">
        <f t="array" ref="E6">IF(OR(ISBLANK($A6),$C6),IFERROR(0/0,""),INDEX('RFR Data - preExcl'!Z$2:Z115,$R6,1))</f>
        <v/>
      </c>
      <c r="F6" s="99" t="str">
        <f t="array" ref="F6">IF(OR(ISBLANK(A6),C6),IFERROR(0/0,""),INDEX('RFR Data - preExcl'!AC$2:AC115,$R6,1))</f>
        <v/>
      </c>
      <c r="G6" s="99" t="str">
        <f t="array" ref="G6">IF(OR(ISBLANK(A6),C6),IFERROR(0/0,""),INDEX('RFR Data - preExcl'!AK$2:AK115,$R6,1))</f>
        <v/>
      </c>
      <c r="H6" s="99" t="str">
        <f t="array" ref="H6">IF(OR(ISBLANK(A6),C6),IFERROR(0/0,""),INDEX('RFR Data - preExcl'!AL$2:AL115,$R6,1))</f>
        <v/>
      </c>
      <c r="I6" s="100">
        <f>IFERROR(VLOOKUP($B6,'APS Tubes by Date Import'!$B$2:$J115,2,FALSE),"")</f>
        <v>1</v>
      </c>
      <c r="J6" s="99" t="str">
        <f>IFERROR(VLOOKUP($B6,'APS Tubes by Date Import'!$B$2:$J115,9,FALSE),"")</f>
        <v/>
      </c>
      <c r="K6" s="99">
        <f>IFNA(VLOOKUP($B6,'APS Tubes by Date Import'!$B$2:$J115,6,FALSE),"")</f>
        <v>0</v>
      </c>
      <c r="L6" s="99" t="str">
        <f>G6</f>
        <v/>
      </c>
      <c r="M6" s="99"/>
      <c r="N6" s="98">
        <v>6.1</v>
      </c>
      <c r="O6" s="20" t="str">
        <f t="shared" ref="O6:O21" si="6">IF(ISBLANK(L6),IFERROR(0/0,""),IF($N6&lt;=4,TRUE,IFERROR(0/0,"")))</f>
        <v/>
      </c>
      <c r="P6" s="86" t="str">
        <f>IF(ISBLANK(N6),IFERROR(0/0,""),IFERROR(VLOOKUP(N6, 'Process Ref'!$A$76:$D$123, 2, FALSE), IFERROR(0/0,"")))</f>
        <v>No Run - APS Collect run next day</v>
      </c>
      <c r="Q6" s="86" t="s">
        <v>92</v>
      </c>
      <c r="R6" s="87" t="str">
        <f>IFNA(MATCH(A6,'RFR Data - preExcl'!A$2:A115,0),"")</f>
        <v/>
      </c>
      <c r="S6" s="43"/>
      <c r="T6" s="20" t="str">
        <f>IF(EXACT('RFR Data - preExcl'!W6,"Initial"),'RFR Data - preExcl'!A6,IFERROR(0/0,""))</f>
        <v>RUN-BEND_2021-12-27_RFR-005</v>
      </c>
      <c r="U6" s="92">
        <f>IF(EXACT('RFR Data - preExcl'!W6,"Initial"),'RFR Data - preExcl'!U6,IFERROR(0/0,""))</f>
        <v>44557</v>
      </c>
      <c r="X6" s="81"/>
      <c r="Y6" s="96" t="str">
        <f>IFERROR(__xludf.DUMMYFUNCTION("""COMPUTED_VALUE"""),"RUN-BEND_2022-02-09_RFR-029_Re-run")</f>
        <v>RUN-BEND_2022-02-09_RFR-029_Re-run</v>
      </c>
      <c r="Z6" s="89">
        <f>IFERROR(__xludf.DUMMYFUNCTION("""COMPUTED_VALUE"""),44601.48434027778)</f>
        <v>44601.48434</v>
      </c>
      <c r="AA6" s="90">
        <f>VLOOKUP($Y6,'RFR Data - preExcl'!$A$2:$AK115,29,FALSE)</f>
        <v>1</v>
      </c>
      <c r="AB6" s="90">
        <f>VLOOKUP($Y6,'RFR Data - preExcl'!$A$2:$AK115,37,FALSE)</f>
        <v>1</v>
      </c>
      <c r="AC6" s="81"/>
      <c r="AF6" s="81"/>
    </row>
    <row r="7">
      <c r="A7" s="6" t="s">
        <v>32</v>
      </c>
      <c r="B7" s="55">
        <v>44550.0</v>
      </c>
      <c r="C7" s="83" t="str">
        <f t="shared" si="1"/>
        <v/>
      </c>
      <c r="D7" s="48">
        <f t="array" ref="D7">IF(OR(ISBLANK($A7),C7),IFERROR(0/0,""),INDEX('RFR Data - preExcl'!E$2:E115,$R7,1))</f>
        <v>7</v>
      </c>
      <c r="E7" s="56">
        <f t="array" ref="E7">IF(OR(ISBLANK($A7),$C7),IFERROR(0/0,""),INDEX('RFR Data - preExcl'!Z$2:Z115,$R7,1))</f>
        <v>9</v>
      </c>
      <c r="F7" s="48">
        <f t="array" ref="F7">IF(OR(ISBLANK(A7),C7),IFERROR(0/0,""),INDEX('RFR Data - preExcl'!AC$2:AC115,$R7,1))</f>
        <v>7</v>
      </c>
      <c r="G7" s="48">
        <f t="array" ref="G7">IF(OR(ISBLANK(A7),C7),IFERROR(0/0,""),INDEX('RFR Data - preExcl'!AK$2:AK115,$R7,1))</f>
        <v>7</v>
      </c>
      <c r="H7" s="56">
        <f t="array" ref="H7">IF(OR(ISBLANK(A7),C7),IFERROR(0/0,""),INDEX('RFR Data - preExcl'!AL$2:AL115,$R7,1))</f>
        <v>0</v>
      </c>
      <c r="I7" s="101">
        <f>IFERROR(VLOOKUP($B7,'APS Tubes by Date Import'!$B$2:$J115,2,FALSE),"")</f>
        <v>6</v>
      </c>
      <c r="J7" s="56" t="b">
        <f>IFERROR(VLOOKUP($B7,'APS Tubes by Date Import'!$B$2:$J115,9,FALSE),"")</f>
        <v>1</v>
      </c>
      <c r="K7" s="56">
        <f>IFNA(VLOOKUP($B7,'APS Tubes by Date Import'!$B$2:$J115,6,FALSE),"")</f>
        <v>0</v>
      </c>
      <c r="L7" s="48">
        <f>I7+I6</f>
        <v>7</v>
      </c>
      <c r="M7" s="56"/>
      <c r="N7" s="91">
        <v>1.1</v>
      </c>
      <c r="O7" s="20" t="b">
        <f t="shared" si="6"/>
        <v>1</v>
      </c>
      <c r="P7" s="86" t="str">
        <f>IF(ISBLANK(N7),IFERROR(0/0,""),IFERROR(VLOOKUP(N7, 'Process Ref'!$A$76:$D$123, 2, FALSE), IFERROR(0/0,"")))</f>
        <v>Use APS Collect = RFR (diff APS Result count but nets out) after Null called Neg</v>
      </c>
      <c r="Q7" s="6" t="str">
        <f>IFS(OR(N7=0.1,N7=1.1,N7=2.1),"NULL &gt; NEG",N7=3, "Delete NULL",TRUE,IFERROR(0/0,""))</f>
        <v>NULL &gt; NEG</v>
      </c>
      <c r="R7" s="87">
        <f>IFNA(MATCH(A7,'RFR Data - preExcl'!A$2:A115,0),"")</f>
        <v>3</v>
      </c>
      <c r="S7" s="43"/>
      <c r="T7" s="20" t="str">
        <f>IF(EXACT('RFR Data - preExcl'!W7,"Initial"),'RFR Data - preExcl'!A7,IFERROR(0/0,""))</f>
        <v>RUN-BEND_2021-12-29_RFR-006</v>
      </c>
      <c r="U7" s="92">
        <f>IF(EXACT('RFR Data - preExcl'!W7,"Initial"),'RFR Data - preExcl'!U7,IFERROR(0/0,""))</f>
        <v>44559</v>
      </c>
      <c r="X7" s="81"/>
      <c r="Y7" s="96" t="str">
        <f>IFERROR(__xludf.DUMMYFUNCTION("""COMPUTED_VALUE"""),"RUN-BEND_2022-02-15_RFR-033_Re-run")</f>
        <v>RUN-BEND_2022-02-15_RFR-033_Re-run</v>
      </c>
      <c r="Z7" s="89">
        <f>IFERROR(__xludf.DUMMYFUNCTION("""COMPUTED_VALUE"""),44607.591099537036)</f>
        <v>44607.5911</v>
      </c>
      <c r="AA7" s="90">
        <f>VLOOKUP($Y7,'RFR Data - preExcl'!$A$2:$AK115,29,FALSE)</f>
        <v>4</v>
      </c>
      <c r="AB7" s="90">
        <f>VLOOKUP($Y7,'RFR Data - preExcl'!$A$2:$AK115,37,FALSE)</f>
        <v>2</v>
      </c>
      <c r="AC7" s="81"/>
      <c r="AF7" s="81"/>
    </row>
    <row r="8">
      <c r="A8" s="97"/>
      <c r="B8" s="67">
        <v>44551.0</v>
      </c>
      <c r="C8" s="98" t="str">
        <f t="shared" si="1"/>
        <v/>
      </c>
      <c r="D8" s="99" t="str">
        <f t="array" ref="D8">IF(OR(ISBLANK($A8),C8),IFERROR(0/0,""),INDEX('RFR Data - preExcl'!E$2:E115,$R8,1))</f>
        <v/>
      </c>
      <c r="E8" s="99" t="str">
        <f t="array" ref="E8">IF(OR(ISBLANK($A8),$C8),IFERROR(0/0,""),INDEX('RFR Data - preExcl'!Z$2:Z115,$R8,1))</f>
        <v/>
      </c>
      <c r="F8" s="99" t="str">
        <f t="array" ref="F8">IF(OR(ISBLANK(A8),C8),IFERROR(0/0,""),INDEX('RFR Data - preExcl'!AC$2:AC115,$R8,1))</f>
        <v/>
      </c>
      <c r="G8" s="99" t="str">
        <f t="array" ref="G8">IF(OR(ISBLANK(A8),C8),IFERROR(0/0,""),INDEX('RFR Data - preExcl'!AK$2:AK115,$R8,1))</f>
        <v/>
      </c>
      <c r="H8" s="99" t="str">
        <f t="array" ref="H8">IF(OR(ISBLANK(A8),C8),IFERROR(0/0,""),INDEX('RFR Data - preExcl'!AL$2:AL115,$R8,1))</f>
        <v/>
      </c>
      <c r="I8" s="100">
        <f>IFERROR(VLOOKUP($B8,'APS Tubes by Date Import'!$B$2:$J115,2,FALSE),"")</f>
        <v>2</v>
      </c>
      <c r="J8" s="99" t="str">
        <f>IFERROR(VLOOKUP($B8,'APS Tubes by Date Import'!$B$2:$J115,9,FALSE),"")</f>
        <v/>
      </c>
      <c r="K8" s="99">
        <f>IFNA(VLOOKUP($B8,'APS Tubes by Date Import'!$B$2:$J115,6,FALSE),"")</f>
        <v>0</v>
      </c>
      <c r="L8" s="99" t="str">
        <f t="shared" ref="L8:L11" si="7">G8</f>
        <v/>
      </c>
      <c r="M8" s="99"/>
      <c r="N8" s="98">
        <v>6.1</v>
      </c>
      <c r="O8" s="20" t="str">
        <f t="shared" si="6"/>
        <v/>
      </c>
      <c r="P8" s="86" t="str">
        <f>IF(ISBLANK(N8),IFERROR(0/0,""),IFERROR(VLOOKUP(N8, 'Process Ref'!$A$76:$D$123, 2, FALSE), IFERROR(0/0,"")))</f>
        <v>No Run - APS Collect run next day</v>
      </c>
      <c r="Q8" s="86" t="s">
        <v>93</v>
      </c>
      <c r="R8" s="87" t="str">
        <f>IFNA(MATCH(A8,'RFR Data - preExcl'!A$2:A115,0),"")</f>
        <v/>
      </c>
      <c r="S8" s="43"/>
      <c r="T8" s="20" t="str">
        <f>IF(EXACT('RFR Data - preExcl'!W8,"Initial"),'RFR Data - preExcl'!A8,IFERROR(0/0,""))</f>
        <v>RUN-BEND_2021-12-31_RFR-007</v>
      </c>
      <c r="U8" s="92">
        <f>IF(EXACT('RFR Data - preExcl'!W8,"Initial"),'RFR Data - preExcl'!U8,IFERROR(0/0,""))</f>
        <v>44561</v>
      </c>
      <c r="X8" s="81"/>
      <c r="Y8" s="96" t="str">
        <f>IFERROR(__xludf.DUMMYFUNCTION("""COMPUTED_VALUE"""),"RUN-BEND_2022-02-15_RFR-034_Re-run")</f>
        <v>RUN-BEND_2022-02-15_RFR-034_Re-run</v>
      </c>
      <c r="Z8" s="89">
        <f>IFERROR(__xludf.DUMMYFUNCTION("""COMPUTED_VALUE"""),44607.591099537036)</f>
        <v>44607.5911</v>
      </c>
      <c r="AA8" s="90">
        <f>VLOOKUP($Y8,'RFR Data - preExcl'!$A$2:$AK115,29,FALSE)</f>
        <v>3</v>
      </c>
      <c r="AB8" s="90">
        <f>VLOOKUP($Y8,'RFR Data - preExcl'!$A$2:$AK115,37,FALSE)</f>
        <v>1</v>
      </c>
      <c r="AC8" s="81"/>
      <c r="AF8" s="81"/>
    </row>
    <row r="9">
      <c r="A9" s="6" t="s">
        <v>33</v>
      </c>
      <c r="B9" s="55">
        <v>44552.0</v>
      </c>
      <c r="C9" s="83" t="str">
        <f t="shared" si="1"/>
        <v/>
      </c>
      <c r="D9" s="56">
        <f t="array" ref="D9">IF(OR(ISBLANK($A9),C9),IFERROR(0/0,""),INDEX('RFR Data - preExcl'!E$2:E115,$R9,1))</f>
        <v>4</v>
      </c>
      <c r="E9" s="56" t="str">
        <f t="array" ref="E9">IF(OR(ISBLANK($A9),$C9),IFERROR(0/0,""),INDEX('RFR Data - preExcl'!Z$2:Z115,$R9,1))</f>
        <v/>
      </c>
      <c r="F9" s="48">
        <f t="array" ref="F9">IF(OR(ISBLANK(A9),C9),IFERROR(0/0,""),INDEX('RFR Data - preExcl'!AC$2:AC115,$R9,1))</f>
        <v>5</v>
      </c>
      <c r="G9" s="48">
        <f t="array" ref="G9">IF(OR(ISBLANK(A9),C9),IFERROR(0/0,""),INDEX('RFR Data - preExcl'!AK$2:AK115,$R9,1))</f>
        <v>5</v>
      </c>
      <c r="H9" s="56">
        <f t="array" ref="H9">IF(OR(ISBLANK(A9),C9),IFERROR(0/0,""),INDEX('RFR Data - preExcl'!AL$2:AL115,$R9,1))</f>
        <v>0</v>
      </c>
      <c r="I9" s="101">
        <f>IFERROR(VLOOKUP($B9,'APS Tubes by Date Import'!$B$2:$J115,2,FALSE),"")</f>
        <v>3</v>
      </c>
      <c r="J9" s="56" t="b">
        <f>IFERROR(VLOOKUP($B9,'APS Tubes by Date Import'!$B$2:$J115,9,FALSE),"")</f>
        <v>1</v>
      </c>
      <c r="K9" s="56">
        <f>IFNA(VLOOKUP($B9,'APS Tubes by Date Import'!$B$2:$J115,6,FALSE),"")</f>
        <v>0</v>
      </c>
      <c r="L9" s="48">
        <f t="shared" si="7"/>
        <v>5</v>
      </c>
      <c r="M9" s="56"/>
      <c r="N9" s="91">
        <v>1.1</v>
      </c>
      <c r="O9" s="102" t="b">
        <f t="shared" si="6"/>
        <v>1</v>
      </c>
      <c r="P9" s="86" t="str">
        <f>IF(ISBLANK(N9),IFERROR(0/0,""),IFERROR(VLOOKUP(N9, 'Process Ref'!$A$76:$D$123, 2, FALSE), IFERROR(0/0,"")))</f>
        <v>Use APS Collect = RFR (diff APS Result count but nets out) after Null called Neg</v>
      </c>
      <c r="R9" s="87">
        <f>IFNA(MATCH(A9,'RFR Data - preExcl'!A$2:A115,0),"")</f>
        <v>4</v>
      </c>
      <c r="S9" s="43"/>
      <c r="T9" s="20" t="str">
        <f>IF(EXACT('RFR Data - preExcl'!W9,"Initial"),'RFR Data - preExcl'!A9,IFERROR(0/0,""))</f>
        <v/>
      </c>
      <c r="U9" s="20" t="str">
        <f>IF(EXACT('RFR Data - preExcl'!W9,"Initial"),'RFR Data - preExcl'!U9,IFERROR(0/0,""))</f>
        <v/>
      </c>
      <c r="X9" s="81"/>
      <c r="Y9" s="96" t="str">
        <f>IFERROR(__xludf.DUMMYFUNCTION("""COMPUTED_VALUE"""),"RUN-BEND_2022-02-25_RFR-041_Re-run")</f>
        <v>RUN-BEND_2022-02-25_RFR-041_Re-run</v>
      </c>
      <c r="Z9" s="89">
        <f>IFERROR(__xludf.DUMMYFUNCTION("""COMPUTED_VALUE"""),44617.500868055555)</f>
        <v>44617.50087</v>
      </c>
      <c r="AA9" s="90">
        <f>VLOOKUP($Y9,'RFR Data - preExcl'!$A$2:$AK115,29,FALSE)</f>
        <v>1</v>
      </c>
      <c r="AB9" s="90">
        <f>VLOOKUP($Y9,'RFR Data - preExcl'!$A$2:$AK115,37,FALSE)</f>
        <v>1</v>
      </c>
      <c r="AC9" s="81"/>
      <c r="AF9" s="81"/>
    </row>
    <row r="10">
      <c r="A10" s="97"/>
      <c r="B10" s="67">
        <v>44556.0</v>
      </c>
      <c r="C10" s="98"/>
      <c r="D10" s="99" t="str">
        <f t="array" ref="D10">IF(OR(ISBLANK($A10),C10),IFERROR(0/0,""),INDEX('RFR Data - preExcl'!E$2:E115,$R10,1))</f>
        <v/>
      </c>
      <c r="E10" s="99" t="str">
        <f t="array" ref="E10">IF(OR(ISBLANK($A10),$C10),IFERROR(0/0,""),INDEX('RFR Data - preExcl'!Z$2:Z115,$R10,1))</f>
        <v/>
      </c>
      <c r="F10" s="99" t="str">
        <f t="array" ref="F10">IF(OR(ISBLANK(A10),C10),IFERROR(0/0,""),INDEX('RFR Data - preExcl'!AC$2:AC115,$R10,1))</f>
        <v/>
      </c>
      <c r="G10" s="99" t="str">
        <f t="array" ref="G10">IF(OR(ISBLANK(A10),C10),IFERROR(0/0,""),INDEX('RFR Data - preExcl'!AK$2:AK115,$R10,1))</f>
        <v/>
      </c>
      <c r="H10" s="99" t="str">
        <f t="array" ref="H10">IF(OR(ISBLANK(A10),C10),IFERROR(0/0,""),INDEX('RFR Data - preExcl'!AL$2:AL115,$R10,1))</f>
        <v/>
      </c>
      <c r="I10" s="100">
        <f>IFERROR(VLOOKUP($B10,'APS Tubes by Date Import'!$B$2:$J115,2,FALSE),"")</f>
        <v>1</v>
      </c>
      <c r="J10" s="99" t="str">
        <f>IFERROR(VLOOKUP($B10,'APS Tubes by Date Import'!$B$2:$J115,9,FALSE),"")</f>
        <v/>
      </c>
      <c r="K10" s="99">
        <f>IFNA(VLOOKUP($B10,'APS Tubes by Date Import'!$B$2:$J115,6,FALSE),"")</f>
        <v>0</v>
      </c>
      <c r="L10" s="99" t="str">
        <f t="shared" si="7"/>
        <v/>
      </c>
      <c r="M10" s="99"/>
      <c r="N10" s="98">
        <v>6.1</v>
      </c>
      <c r="O10" s="20" t="str">
        <f t="shared" si="6"/>
        <v/>
      </c>
      <c r="P10" s="86" t="str">
        <f>IF(ISBLANK(N10),IFERROR(0/0,""),IFERROR(VLOOKUP(N10, 'Process Ref'!$A$76:$D$123, 2, FALSE), IFERROR(0/0,"")))</f>
        <v>No Run - APS Collect run next day</v>
      </c>
      <c r="Q10" s="86" t="s">
        <v>93</v>
      </c>
      <c r="R10" s="87" t="str">
        <f>IFNA(MATCH(A10,'RFR Data - preExcl'!A$2:A115,0),"")</f>
        <v/>
      </c>
      <c r="S10" s="43"/>
      <c r="T10" s="20" t="str">
        <f>IF(EXACT('RFR Data - preExcl'!W10,"Initial"),'RFR Data - preExcl'!A10,IFERROR(0/0,""))</f>
        <v>RUN-BEND_2022-01-03_RFR-009</v>
      </c>
      <c r="U10" s="92">
        <f>IF(EXACT('RFR Data - preExcl'!W10,"Initial"),'RFR Data - preExcl'!U10,IFERROR(0/0,""))</f>
        <v>44564</v>
      </c>
      <c r="X10" s="81"/>
      <c r="Y10" s="96" t="str">
        <f>IFERROR(__xludf.DUMMYFUNCTION("""COMPUTED_VALUE"""),"RUN-BEND_2022-03-05_RFR-046_Re-run")</f>
        <v>RUN-BEND_2022-03-05_RFR-046_Re-run</v>
      </c>
      <c r="Z10" s="89">
        <f>IFERROR(__xludf.DUMMYFUNCTION("""COMPUTED_VALUE"""),44625.49304398148)</f>
        <v>44625.49304</v>
      </c>
      <c r="AA10" s="90">
        <f>VLOOKUP($Y10,'RFR Data - preExcl'!$A$2:$AK115,29,FALSE)</f>
        <v>4</v>
      </c>
      <c r="AB10" s="90">
        <f>VLOOKUP($Y10,'RFR Data - preExcl'!$A$2:$AK115,37,FALSE)</f>
        <v>2</v>
      </c>
      <c r="AC10" s="81"/>
      <c r="AF10" s="81"/>
    </row>
    <row r="11">
      <c r="A11" s="55" t="s">
        <v>34</v>
      </c>
      <c r="B11" s="55">
        <v>44557.0</v>
      </c>
      <c r="C11" s="83" t="str">
        <f t="shared" ref="C11:C14" si="8">IF(ISNUMBER(FIND("APS", $A11)),TRUE,IFERROR(0/0,""))</f>
        <v/>
      </c>
      <c r="D11" s="48">
        <f t="array" ref="D11">IF(OR(ISBLANK($A11),C11),IFERROR(0/0,""),INDEX('RFR Data - preExcl'!E$2:E115,$R11,1))</f>
        <v>15</v>
      </c>
      <c r="E11" s="56">
        <f t="array" ref="E11">IF(OR(ISBLANK($A11),$C11),IFERROR(0/0,""),INDEX('RFR Data - preExcl'!Z$2:Z115,$R11,1))</f>
        <v>17</v>
      </c>
      <c r="F11" s="48">
        <f t="array" ref="F11">IF(OR(ISBLANK(A11),C11),IFERROR(0/0,""),INDEX('RFR Data - preExcl'!AC$2:AC115,$R11,1))</f>
        <v>15</v>
      </c>
      <c r="G11" s="48">
        <f t="array" ref="G11">IF(OR(ISBLANK(A11),C11),IFERROR(0/0,""),INDEX('RFR Data - preExcl'!AK$2:AK115,$R11,1))</f>
        <v>15</v>
      </c>
      <c r="H11" s="56">
        <f t="array" ref="H11">IF(OR(ISBLANK(A11),C11),IFERROR(0/0,""),INDEX('RFR Data - preExcl'!AL$2:AL115,$R11,1))</f>
        <v>0</v>
      </c>
      <c r="I11" s="101">
        <f>IFERROR(VLOOKUP($B11,'APS Tubes by Date Import'!$B$2:$J115,2,FALSE),"")</f>
        <v>14</v>
      </c>
      <c r="J11" s="56" t="b">
        <f>IFERROR(VLOOKUP($B11,'APS Tubes by Date Import'!$B$2:$J115,9,FALSE),"")</f>
        <v>1</v>
      </c>
      <c r="K11" s="56">
        <f>IFNA(VLOOKUP($B11,'APS Tubes by Date Import'!$B$2:$J115,6,FALSE),"")</f>
        <v>0</v>
      </c>
      <c r="L11" s="48">
        <f t="shared" si="7"/>
        <v>15</v>
      </c>
      <c r="M11" s="56"/>
      <c r="N11" s="91">
        <v>0.2</v>
      </c>
      <c r="O11" s="20" t="b">
        <f t="shared" si="6"/>
        <v>1</v>
      </c>
      <c r="P11" s="86" t="str">
        <f>IF(ISBLANK(N11),IFERROR(0/0,""),IFERROR(VLOOKUP(N11, 'Process Ref'!$A$76:$D$123, 2, FALSE), IFERROR(0/0,"")))</f>
        <v>ALL 3 COUNTS SAME with APS Collect on previous days</v>
      </c>
      <c r="Q11" s="6" t="str">
        <f t="shared" ref="Q11:Q14" si="9">IFS(OR(N11=0.1,N11=1.1,N11=2.1),"NULL &gt; NEG",N11=3, "Delete NULL",TRUE,IFERROR(0/0,""))</f>
        <v/>
      </c>
      <c r="R11" s="87">
        <f>IFNA(MATCH(A11,'RFR Data - preExcl'!A$2:A115,0),"")</f>
        <v>5</v>
      </c>
      <c r="S11" s="43"/>
      <c r="T11" s="20" t="str">
        <f>IF(EXACT('RFR Data - preExcl'!W11,"Initial"),'RFR Data - preExcl'!A11,IFERROR(0/0,""))</f>
        <v>RUN-BEND_2022-01-05_RFR-010</v>
      </c>
      <c r="U11" s="92">
        <f>IF(EXACT('RFR Data - preExcl'!W11,"Initial"),'RFR Data - preExcl'!U11,IFERROR(0/0,""))</f>
        <v>44566</v>
      </c>
      <c r="X11" s="81"/>
      <c r="Y11" s="96" t="str">
        <f>IFERROR(__xludf.DUMMYFUNCTION("""COMPUTED_VALUE"""),"RUN-BEND_2022-03-07_RFR-048_Re-run")</f>
        <v>RUN-BEND_2022-03-07_RFR-048_Re-run</v>
      </c>
      <c r="Z11" s="89">
        <f>IFERROR(__xludf.DUMMYFUNCTION("""COMPUTED_VALUE"""),44627.478321759256)</f>
        <v>44627.47832</v>
      </c>
      <c r="AA11" s="90">
        <f>VLOOKUP($Y11,'RFR Data - preExcl'!$A$2:$AK115,29,FALSE)</f>
        <v>3</v>
      </c>
      <c r="AB11" s="90">
        <f>VLOOKUP($Y11,'RFR Data - preExcl'!$A$2:$AK115,37,FALSE)</f>
        <v>3</v>
      </c>
      <c r="AC11" s="81"/>
      <c r="AF11" s="81"/>
    </row>
    <row r="12">
      <c r="A12" s="6" t="s">
        <v>35</v>
      </c>
      <c r="B12" s="55">
        <v>44559.0</v>
      </c>
      <c r="C12" s="83" t="str">
        <f t="shared" si="8"/>
        <v/>
      </c>
      <c r="D12" s="103">
        <f t="array" ref="D12">IF(OR(ISBLANK($A12),C12),IFERROR(0/0,""),INDEX('RFR Data - preExcl'!E$2:E115,$R12,1))</f>
        <v>4</v>
      </c>
      <c r="E12" s="56">
        <f t="array" ref="E12">IF(OR(ISBLANK($A12),$C12),IFERROR(0/0,""),INDEX('RFR Data - preExcl'!Z$2:Z115,$R12,1))</f>
        <v>7</v>
      </c>
      <c r="F12" s="56">
        <f t="array" ref="F12">IF(OR(ISBLANK(A12),C12),IFERROR(0/0,""),INDEX('RFR Data - preExcl'!AC$2:AC115,$R12,1))</f>
        <v>5</v>
      </c>
      <c r="G12" s="56">
        <f t="array" ref="G12">IF(OR(ISBLANK(A12),C12),IFERROR(0/0,""),INDEX('RFR Data - preExcl'!AK$2:AK115,$R12,1))</f>
        <v>5</v>
      </c>
      <c r="H12" s="56">
        <f t="array" ref="H12">IF(OR(ISBLANK(A12),C12),IFERROR(0/0,""),INDEX('RFR Data - preExcl'!AL$2:AL115,$R12,1))</f>
        <v>0</v>
      </c>
      <c r="I12" s="103">
        <f>IFERROR(VLOOKUP($B12,'APS Tubes by Date Import'!$B$2:$J115,2,FALSE),"")</f>
        <v>4</v>
      </c>
      <c r="J12" s="56" t="b">
        <f>IFERROR(VLOOKUP($B12,'APS Tubes by Date Import'!$B$2:$J115,9,FALSE),"")</f>
        <v>1</v>
      </c>
      <c r="K12" s="56">
        <f>IFNA(VLOOKUP($B12,'APS Tubes by Date Import'!$B$2:$J115,6,FALSE),"")</f>
        <v>0</v>
      </c>
      <c r="L12" s="48">
        <f>I12</f>
        <v>4</v>
      </c>
      <c r="M12" s="49" t="str">
        <f t="shared" ref="M12:M14" si="10">IF(L12-I12=0,IFERROR(0/0,""),L12-I12)</f>
        <v/>
      </c>
      <c r="N12" s="104">
        <v>3.6</v>
      </c>
      <c r="O12" s="20" t="b">
        <f t="shared" si="6"/>
        <v>1</v>
      </c>
      <c r="P12" s="86" t="str">
        <f>IF(ISBLANK(N12),IFERROR(0/0,""),IFERROR(VLOOKUP(N12, 'Process Ref'!$A$76:$D$123, 2, FALSE), IFERROR(0/0,"")))</f>
        <v>RFR Raw Num Samples Gform = APS Collect</v>
      </c>
      <c r="Q12" s="6" t="str">
        <f t="shared" si="9"/>
        <v/>
      </c>
      <c r="R12" s="87">
        <f>IFNA(MATCH(A12,'RFR Data - preExcl'!A$2:A115,0),"")</f>
        <v>6</v>
      </c>
      <c r="S12" s="43"/>
      <c r="T12" s="20" t="str">
        <f>IF(EXACT('RFR Data - preExcl'!W12,"Initial"),'RFR Data - preExcl'!A12,IFERROR(0/0,""))</f>
        <v>RUN-BEND_2022-01-07_RFR-011</v>
      </c>
      <c r="U12" s="92">
        <f>IF(EXACT('RFR Data - preExcl'!W12,"Initial"),'RFR Data - preExcl'!U12,IFERROR(0/0,""))</f>
        <v>44568</v>
      </c>
      <c r="X12" s="81"/>
      <c r="Y12" s="105"/>
      <c r="AC12" s="81"/>
      <c r="AF12" s="81"/>
    </row>
    <row r="13">
      <c r="A13" s="6" t="s">
        <v>36</v>
      </c>
      <c r="B13" s="55">
        <v>44561.0</v>
      </c>
      <c r="C13" s="83" t="str">
        <f t="shared" si="8"/>
        <v/>
      </c>
      <c r="D13" s="48">
        <f t="array" ref="D13">IF(OR(ISBLANK($A13),C13),IFERROR(0/0,""),INDEX('RFR Data - preExcl'!E$2:E115,$R13,1))</f>
        <v>8</v>
      </c>
      <c r="E13" s="56">
        <f t="array" ref="E13">IF(OR(ISBLANK($A13),$C13),IFERROR(0/0,""),INDEX('RFR Data - preExcl'!Z$2:Z115,$R13,1))</f>
        <v>10</v>
      </c>
      <c r="F13" s="48">
        <f t="array" ref="F13">IF(OR(ISBLANK(A13),C13),IFERROR(0/0,""),INDEX('RFR Data - preExcl'!AC$2:AC115,$R13,1))</f>
        <v>8</v>
      </c>
      <c r="G13" s="48">
        <f t="array" ref="G13">IF(OR(ISBLANK(A13),C13),IFERROR(0/0,""),INDEX('RFR Data - preExcl'!AK$2:AK115,$R13,1))</f>
        <v>8</v>
      </c>
      <c r="H13" s="56">
        <f t="array" ref="H13">IF(OR(ISBLANK(A13),C13),IFERROR(0/0,""),INDEX('RFR Data - preExcl'!AL$2:AL115,$R13,1))</f>
        <v>4</v>
      </c>
      <c r="I13" s="48">
        <f>IFERROR(VLOOKUP($B13,'APS Tubes by Date Import'!$B$2:$J115,2,FALSE),"")</f>
        <v>8</v>
      </c>
      <c r="J13" s="56" t="b">
        <f>IFERROR(VLOOKUP($B13,'APS Tubes by Date Import'!$B$2:$J115,9,FALSE),"")</f>
        <v>1</v>
      </c>
      <c r="K13" s="56">
        <f>IFNA(VLOOKUP($B13,'APS Tubes by Date Import'!$B$2:$J115,6,FALSE),"")</f>
        <v>0</v>
      </c>
      <c r="L13" s="48">
        <f t="shared" ref="L13:L22" si="11">G13</f>
        <v>8</v>
      </c>
      <c r="M13" s="49" t="str">
        <f t="shared" si="10"/>
        <v/>
      </c>
      <c r="N13" s="91">
        <v>3.0</v>
      </c>
      <c r="O13" s="20" t="b">
        <f t="shared" si="6"/>
        <v>1</v>
      </c>
      <c r="P13" s="86" t="str">
        <f>IF(ISBLANK(N13),IFERROR(0/0,""),IFERROR(VLOOKUP(N13, 'Process Ref'!$A$76:$D$123, 2, FALSE), IFERROR(0/0,"")))</f>
        <v>ALL 3 COUNTS SAME after Null deleted</v>
      </c>
      <c r="Q13" s="6" t="str">
        <f t="shared" si="9"/>
        <v>Delete NULL</v>
      </c>
      <c r="R13" s="87">
        <f>IFNA(MATCH(A13,'RFR Data - preExcl'!A$2:A115,0),"")</f>
        <v>7</v>
      </c>
      <c r="S13" s="43"/>
      <c r="T13" s="20" t="str">
        <f>IF(EXACT('RFR Data - preExcl'!W13,"Initial"),'RFR Data - preExcl'!A13,IFERROR(0/0,""))</f>
        <v>RUN-BEND_2022-01-10_RFR-012</v>
      </c>
      <c r="U13" s="92">
        <f>IF(EXACT('RFR Data - preExcl'!W13,"Initial"),'RFR Data - preExcl'!U13,IFERROR(0/0,""))</f>
        <v>44571</v>
      </c>
      <c r="X13" s="81"/>
      <c r="Y13" s="105"/>
      <c r="AC13" s="81"/>
      <c r="AF13" s="81"/>
    </row>
    <row r="14">
      <c r="A14" s="6" t="s">
        <v>37</v>
      </c>
      <c r="B14" s="55">
        <v>44564.0</v>
      </c>
      <c r="C14" s="83" t="str">
        <f t="shared" si="8"/>
        <v/>
      </c>
      <c r="D14" s="48">
        <f t="array" ref="D14">IF(OR(ISBLANK($A14),C14),IFERROR(0/0,""),INDEX('RFR Data - preExcl'!E$2:E115,$R14,1))</f>
        <v>14</v>
      </c>
      <c r="E14" s="56">
        <f t="array" ref="E14">IF(OR(ISBLANK($A14),$C14),IFERROR(0/0,""),INDEX('RFR Data - preExcl'!Z$2:Z115,$R14,1))</f>
        <v>16</v>
      </c>
      <c r="F14" s="48">
        <f t="array" ref="F14">IF(OR(ISBLANK(A14),C14),IFERROR(0/0,""),INDEX('RFR Data - preExcl'!AC$2:AC115,$R14,1))</f>
        <v>14</v>
      </c>
      <c r="G14" s="48">
        <f t="array" ref="G14">IF(OR(ISBLANK(A14),C14),IFERROR(0/0,""),INDEX('RFR Data - preExcl'!AK$2:AK115,$R14,1))</f>
        <v>14</v>
      </c>
      <c r="H14" s="56">
        <f t="array" ref="H14">IF(OR(ISBLANK(A14),C14),IFERROR(0/0,""),INDEX('RFR Data - preExcl'!AL$2:AL115,$R14,1))</f>
        <v>4</v>
      </c>
      <c r="I14" s="48">
        <f>IFERROR(VLOOKUP($B14,'APS Tubes by Date Import'!$B$2:$J115,2,FALSE),"")</f>
        <v>14</v>
      </c>
      <c r="J14" s="56" t="b">
        <f>IFERROR(VLOOKUP($B14,'APS Tubes by Date Import'!$B$2:$J115,9,FALSE),"")</f>
        <v>1</v>
      </c>
      <c r="K14" s="56">
        <f>IFNA(VLOOKUP($B14,'APS Tubes by Date Import'!$B$2:$J115,6,FALSE),"")</f>
        <v>0</v>
      </c>
      <c r="L14" s="48">
        <f t="shared" si="11"/>
        <v>14</v>
      </c>
      <c r="M14" s="49" t="str">
        <f t="shared" si="10"/>
        <v/>
      </c>
      <c r="N14" s="91">
        <v>0.0</v>
      </c>
      <c r="O14" s="20" t="b">
        <f t="shared" si="6"/>
        <v>1</v>
      </c>
      <c r="P14" s="86" t="str">
        <f>IF(ISBLANK(N14),IFERROR(0/0,""),IFERROR(VLOOKUP(N14, 'Process Ref'!$A$76:$D$123, 2, FALSE), IFERROR(0/0,"")))</f>
        <v>ALL 3 COUNTS SAME meaning APS Collect = APS Result = RFR</v>
      </c>
      <c r="Q14" s="6" t="str">
        <f t="shared" si="9"/>
        <v/>
      </c>
      <c r="R14" s="87">
        <f>IFNA(MATCH(A14,'RFR Data - preExcl'!A$2:A115,0),"")</f>
        <v>9</v>
      </c>
      <c r="S14" s="43"/>
      <c r="T14" s="20" t="str">
        <f>IF(EXACT('RFR Data - preExcl'!W14,"Initial"),'RFR Data - preExcl'!A14,IFERROR(0/0,""))</f>
        <v>RUN-BEND_2022-01-12_RFR-013</v>
      </c>
      <c r="U14" s="92">
        <f>IF(EXACT('RFR Data - preExcl'!W14,"Initial"),'RFR Data - preExcl'!U14,IFERROR(0/0,""))</f>
        <v>44573</v>
      </c>
      <c r="X14" s="81"/>
      <c r="Y14" s="105"/>
      <c r="AC14" s="81"/>
      <c r="AF14" s="81"/>
    </row>
    <row r="15">
      <c r="A15" s="97"/>
      <c r="B15" s="67">
        <v>44565.0</v>
      </c>
      <c r="C15" s="98"/>
      <c r="D15" s="99" t="str">
        <f t="array" ref="D15">IF(OR(ISBLANK($A15),C15),IFERROR(0/0,""),INDEX('RFR Data - preExcl'!E$2:E115,$R15,1))</f>
        <v/>
      </c>
      <c r="E15" s="99" t="str">
        <f t="array" ref="E15">IF(OR(ISBLANK($A15),$C15),IFERROR(0/0,""),INDEX('RFR Data - preExcl'!Z$2:Z115,$R15,1))</f>
        <v/>
      </c>
      <c r="F15" s="99" t="str">
        <f t="array" ref="F15">IF(OR(ISBLANK(A15),C15),IFERROR(0/0,""),INDEX('RFR Data - preExcl'!AC$2:AC115,$R15,1))</f>
        <v/>
      </c>
      <c r="G15" s="99" t="str">
        <f t="array" ref="G15">IF(OR(ISBLANK(A15),C15),IFERROR(0/0,""),INDEX('RFR Data - preExcl'!AK$2:AK115,$R15,1))</f>
        <v/>
      </c>
      <c r="H15" s="99" t="str">
        <f t="array" ref="H15">IF(OR(ISBLANK(A15),C15),IFERROR(0/0,""),INDEX('RFR Data - preExcl'!AL$2:AL115,$R15,1))</f>
        <v/>
      </c>
      <c r="I15" s="106">
        <f>IFERROR(VLOOKUP($B15,'APS Tubes by Date Import'!$B$2:$J115,2,FALSE),"")</f>
        <v>2</v>
      </c>
      <c r="J15" s="99" t="str">
        <f>IFERROR(VLOOKUP($B15,'APS Tubes by Date Import'!$B$2:$J115,9,FALSE),"")</f>
        <v/>
      </c>
      <c r="K15" s="99">
        <f>IFNA(VLOOKUP($B15,'APS Tubes by Date Import'!$B$2:$J115,6,FALSE),"")</f>
        <v>0</v>
      </c>
      <c r="L15" s="99" t="str">
        <f t="shared" si="11"/>
        <v/>
      </c>
      <c r="M15" s="99"/>
      <c r="N15" s="98">
        <v>6.1</v>
      </c>
      <c r="O15" s="20" t="str">
        <f t="shared" si="6"/>
        <v/>
      </c>
      <c r="P15" s="86" t="str">
        <f>IF(ISBLANK(N15),IFERROR(0/0,""),IFERROR(VLOOKUP(N15, 'Process Ref'!$A$76:$D$123, 2, FALSE), IFERROR(0/0,"")))</f>
        <v>No Run - APS Collect run next day</v>
      </c>
      <c r="Q15" s="86" t="s">
        <v>93</v>
      </c>
      <c r="R15" s="87" t="str">
        <f>IFNA(MATCH(A15,'RFR Data - preExcl'!A$2:A115,0),"")</f>
        <v/>
      </c>
      <c r="S15" s="43"/>
      <c r="T15" s="20" t="str">
        <f>IF(EXACT('RFR Data - preExcl'!W15,"Initial"),'RFR Data - preExcl'!A15,IFERROR(0/0,""))</f>
        <v>RUN-BEND_2022-01-14_RFR-014</v>
      </c>
      <c r="U15" s="92">
        <f>IF(EXACT('RFR Data - preExcl'!W15,"Initial"),'RFR Data - preExcl'!U15,IFERROR(0/0,""))</f>
        <v>44575</v>
      </c>
      <c r="X15" s="81"/>
      <c r="Y15" s="105"/>
      <c r="AC15" s="81"/>
      <c r="AF15" s="81"/>
    </row>
    <row r="16">
      <c r="A16" s="6" t="s">
        <v>38</v>
      </c>
      <c r="B16" s="55">
        <v>44566.0</v>
      </c>
      <c r="C16" s="83" t="str">
        <f>IF(ISNUMBER(FIND("APS", $A16)),TRUE,IFERROR(0/0,""))</f>
        <v/>
      </c>
      <c r="D16" s="107">
        <f t="array" ref="D16">IF(OR(ISBLANK($A16),C16),IFERROR(0/0,""),INDEX('RFR Data - preExcl'!E$2:E115,$R16,1))</f>
        <v>21</v>
      </c>
      <c r="E16" s="56">
        <f t="array" ref="E16">IF(OR(ISBLANK($A16),$C16),IFERROR(0/0,""),INDEX('RFR Data - preExcl'!Z$2:Z115,$R16,1))</f>
        <v>23</v>
      </c>
      <c r="F16" s="56">
        <f t="array" ref="F16">IF(OR(ISBLANK(A16),C16),IFERROR(0/0,""),INDEX('RFR Data - preExcl'!AC$2:AC115,$R16,1))</f>
        <v>22</v>
      </c>
      <c r="G16" s="107">
        <f t="array" ref="G16">IF(OR(ISBLANK(A16),C16),IFERROR(0/0,""),INDEX('RFR Data - preExcl'!AK$2:AK115,$R16,1))</f>
        <v>21</v>
      </c>
      <c r="H16" s="56">
        <f t="array" ref="H16">IF(OR(ISBLANK(A16),C16),IFERROR(0/0,""),INDEX('RFR Data - preExcl'!AL$2:AL115,$R16,1))</f>
        <v>4</v>
      </c>
      <c r="I16" s="108">
        <f>IFERROR(VLOOKUP($B16,'APS Tubes by Date Import'!$B$2:$J115,2,FALSE),"")</f>
        <v>18</v>
      </c>
      <c r="J16" s="56" t="str">
        <f>IFERROR(VLOOKUP($B16,'APS Tubes by Date Import'!$B$2:$J115,9,FALSE),"")</f>
        <v/>
      </c>
      <c r="K16" s="56">
        <f>IFNA(VLOOKUP($B16,'APS Tubes by Date Import'!$B$2:$J115,6,FALSE),"")</f>
        <v>0</v>
      </c>
      <c r="L16" s="109">
        <f t="shared" si="11"/>
        <v>21</v>
      </c>
      <c r="M16" s="56">
        <f>L16-I16-I15</f>
        <v>1</v>
      </c>
      <c r="N16" s="107">
        <v>2.0</v>
      </c>
      <c r="O16" s="20" t="b">
        <f t="shared" si="6"/>
        <v>1</v>
      </c>
      <c r="P16" s="86" t="str">
        <f>IF(ISBLANK(N16),IFERROR(0/0,""),IFERROR(VLOOKUP(N16, 'Process Ref'!$A$76:$D$123, 2, FALSE), IFERROR(0/0,"")))</f>
        <v>Use Audit RFR count (extra tubes in RFR not in Appivo)</v>
      </c>
      <c r="Q16" s="86" t="s">
        <v>94</v>
      </c>
      <c r="R16" s="87">
        <f>IFNA(MATCH(A16,'RFR Data - preExcl'!A$2:A115,0),"")</f>
        <v>10</v>
      </c>
      <c r="S16" s="43"/>
      <c r="T16" s="20" t="str">
        <f>IF(EXACT('RFR Data - preExcl'!W16,"Initial"),'RFR Data - preExcl'!A16,IFERROR(0/0,""))</f>
        <v>RUN-BEND_2022-01-19_RFR-015</v>
      </c>
      <c r="U16" s="92">
        <f>IF(EXACT('RFR Data - preExcl'!W16,"Initial"),'RFR Data - preExcl'!U16,IFERROR(0/0,""))</f>
        <v>44580</v>
      </c>
      <c r="X16" s="81"/>
      <c r="Y16" s="105"/>
      <c r="AC16" s="81"/>
      <c r="AF16" s="81"/>
    </row>
    <row r="17">
      <c r="A17" s="97"/>
      <c r="B17" s="67">
        <v>44567.0</v>
      </c>
      <c r="C17" s="98"/>
      <c r="D17" s="99" t="str">
        <f t="array" ref="D17">IF(OR(ISBLANK($A17),C17),IFERROR(0/0,""),INDEX('RFR Data - preExcl'!E$2:E115,$R17,1))</f>
        <v/>
      </c>
      <c r="E17" s="99" t="str">
        <f t="array" ref="E17">IF(OR(ISBLANK($A17),$C17),IFERROR(0/0,""),INDEX('RFR Data - preExcl'!Z$2:Z115,$R17,1))</f>
        <v/>
      </c>
      <c r="F17" s="99" t="str">
        <f t="array" ref="F17">IF(OR(ISBLANK(A17),C17),IFERROR(0/0,""),INDEX('RFR Data - preExcl'!AC$2:AC115,$R17,1))</f>
        <v/>
      </c>
      <c r="G17" s="99" t="str">
        <f t="array" ref="G17">IF(OR(ISBLANK(A17),C17),IFERROR(0/0,""),INDEX('RFR Data - preExcl'!AK$2:AK115,$R17,1))</f>
        <v/>
      </c>
      <c r="H17" s="99" t="str">
        <f t="array" ref="H17">IF(OR(ISBLANK(A17),C17),IFERROR(0/0,""),INDEX('RFR Data - preExcl'!AL$2:AL115,$R17,1))</f>
        <v/>
      </c>
      <c r="I17" s="106">
        <f>IFERROR(VLOOKUP($B17,'APS Tubes by Date Import'!$B$2:$J115,2,FALSE),"")</f>
        <v>4</v>
      </c>
      <c r="J17" s="99" t="str">
        <f>IFERROR(VLOOKUP($B17,'APS Tubes by Date Import'!$B$2:$J115,9,FALSE),"")</f>
        <v/>
      </c>
      <c r="K17" s="99">
        <f>IFNA(VLOOKUP($B17,'APS Tubes by Date Import'!$B$2:$J115,6,FALSE),"")</f>
        <v>0</v>
      </c>
      <c r="L17" s="99" t="str">
        <f t="shared" si="11"/>
        <v/>
      </c>
      <c r="M17" s="99"/>
      <c r="N17" s="98">
        <v>6.1</v>
      </c>
      <c r="O17" s="20" t="str">
        <f t="shared" si="6"/>
        <v/>
      </c>
      <c r="P17" s="86" t="str">
        <f>IF(ISBLANK(N17),IFERROR(0/0,""),IFERROR(VLOOKUP(N17, 'Process Ref'!$A$76:$D$123, 2, FALSE), IFERROR(0/0,"")))</f>
        <v>No Run - APS Collect run next day</v>
      </c>
      <c r="Q17" s="86" t="s">
        <v>93</v>
      </c>
      <c r="R17" s="87" t="str">
        <f>IFNA(MATCH(A17,'RFR Data - preExcl'!A$2:A115,0),"")</f>
        <v/>
      </c>
      <c r="S17" s="43"/>
      <c r="T17" s="20" t="str">
        <f>IF(EXACT('RFR Data - preExcl'!W17,"Initial"),'RFR Data - preExcl'!A17,IFERROR(0/0,""))</f>
        <v>RUN-BEND_2022-01-19_RFR-016</v>
      </c>
      <c r="U17" s="92">
        <f>IF(EXACT('RFR Data - preExcl'!W17,"Initial"),'RFR Data - preExcl'!U17,IFERROR(0/0,""))</f>
        <v>44580</v>
      </c>
      <c r="X17" s="81"/>
      <c r="Y17" s="105"/>
      <c r="AC17" s="81"/>
      <c r="AF17" s="81"/>
    </row>
    <row r="18">
      <c r="A18" s="6" t="s">
        <v>39</v>
      </c>
      <c r="B18" s="55">
        <v>44568.0</v>
      </c>
      <c r="C18" s="83" t="str">
        <f t="shared" ref="C18:C20" si="12">IF(ISNUMBER(FIND("APS", $A18)),TRUE,IFERROR(0/0,""))</f>
        <v/>
      </c>
      <c r="D18" s="107">
        <f t="array" ref="D18">IF(OR(ISBLANK($A18),C18),IFERROR(0/0,""),INDEX('RFR Data - preExcl'!E$2:E115,$R18,1))</f>
        <v>21</v>
      </c>
      <c r="E18" s="56">
        <f t="array" ref="E18">IF(OR(ISBLANK($A18),$C18),IFERROR(0/0,""),INDEX('RFR Data - preExcl'!Z$2:Z115,$R18,1))</f>
        <v>23</v>
      </c>
      <c r="F18" s="56">
        <f t="array" ref="F18">IF(OR(ISBLANK(A18),C18),IFERROR(0/0,""),INDEX('RFR Data - preExcl'!AC$2:AC115,$R18,1))</f>
        <v>22</v>
      </c>
      <c r="G18" s="107">
        <f t="array" ref="G18">IF(OR(ISBLANK(A18),C18),IFERROR(0/0,""),INDEX('RFR Data - preExcl'!AK$2:AK115,$R18,1))</f>
        <v>21</v>
      </c>
      <c r="H18" s="56">
        <f t="array" ref="H18">IF(OR(ISBLANK(A18),C18),IFERROR(0/0,""),INDEX('RFR Data - preExcl'!AL$2:AL115,$R18,1))</f>
        <v>4</v>
      </c>
      <c r="I18" s="108">
        <f>IFERROR(VLOOKUP($B18,'APS Tubes by Date Import'!$B$2:$J115,2,FALSE),"")</f>
        <v>16</v>
      </c>
      <c r="J18" s="56" t="b">
        <f>IFERROR(VLOOKUP($B18,'APS Tubes by Date Import'!$B$2:$J115,9,FALSE),"")</f>
        <v>1</v>
      </c>
      <c r="K18" s="56">
        <f>IFNA(VLOOKUP($B18,'APS Tubes by Date Import'!$B$2:$J115,6,FALSE),"")</f>
        <v>0</v>
      </c>
      <c r="L18" s="109">
        <f t="shared" si="11"/>
        <v>21</v>
      </c>
      <c r="M18" s="56">
        <f>L18-I18-I17</f>
        <v>1</v>
      </c>
      <c r="N18" s="107">
        <v>2.0</v>
      </c>
      <c r="O18" s="20" t="b">
        <f t="shared" si="6"/>
        <v>1</v>
      </c>
      <c r="P18" s="86" t="str">
        <f>IF(ISBLANK(N18),IFERROR(0/0,""),IFERROR(VLOOKUP(N18, 'Process Ref'!$A$76:$D$123, 2, FALSE), IFERROR(0/0,"")))</f>
        <v>Use Audit RFR count (extra tubes in RFR not in Appivo)</v>
      </c>
      <c r="Q18" s="86" t="s">
        <v>94</v>
      </c>
      <c r="R18" s="87">
        <f>IFNA(MATCH(A18,'RFR Data - preExcl'!A$2:A115,0),"")</f>
        <v>11</v>
      </c>
      <c r="S18" s="43"/>
      <c r="T18" s="20" t="str">
        <f>IF(EXACT('RFR Data - preExcl'!W18,"Initial"),'RFR Data - preExcl'!A18,IFERROR(0/0,""))</f>
        <v>RUN-BEND_2022-01-21_RFR-017</v>
      </c>
      <c r="U18" s="92">
        <f>IF(EXACT('RFR Data - preExcl'!W18,"Initial"),'RFR Data - preExcl'!U18,IFERROR(0/0,""))</f>
        <v>44582</v>
      </c>
      <c r="X18" s="81"/>
      <c r="Y18" s="105"/>
      <c r="AC18" s="81"/>
      <c r="AF18" s="81"/>
    </row>
    <row r="19">
      <c r="A19" s="6" t="s">
        <v>40</v>
      </c>
      <c r="B19" s="55">
        <v>44571.0</v>
      </c>
      <c r="C19" s="83" t="str">
        <f t="shared" si="12"/>
        <v/>
      </c>
      <c r="D19" s="110">
        <f t="array" ref="D19">IF(OR(ISBLANK($A19),C19),IFERROR(0/0,""),INDEX('RFR Data - preExcl'!E$2:E115,$R19,1))</f>
        <v>31</v>
      </c>
      <c r="E19" s="56">
        <f t="array" ref="E19">IF(OR(ISBLANK($A19),$C19),IFERROR(0/0,""),INDEX('RFR Data - preExcl'!Z$2:Z115,$R19,1))</f>
        <v>33</v>
      </c>
      <c r="F19" s="56">
        <f t="array" ref="F19">IF(OR(ISBLANK(A19),C19),IFERROR(0/0,""),INDEX('RFR Data - preExcl'!AC$2:AC115,$R19,1))</f>
        <v>31</v>
      </c>
      <c r="G19" s="110">
        <f t="array" ref="G19">IF(OR(ISBLANK(A19),C19),IFERROR(0/0,""),INDEX('RFR Data - preExcl'!AK$2:AK115,$R19,1))</f>
        <v>31</v>
      </c>
      <c r="H19" s="56">
        <f t="array" ref="H19">IF(OR(ISBLANK(A19),C19),IFERROR(0/0,""),INDEX('RFR Data - preExcl'!AL$2:AL115,$R19,1))</f>
        <v>4</v>
      </c>
      <c r="I19" s="111">
        <f>IFERROR(VLOOKUP($B19,'APS Tubes by Date Import'!$B$2:$J115,2,FALSE),"")</f>
        <v>31</v>
      </c>
      <c r="J19" s="56" t="str">
        <f>IFERROR(VLOOKUP($B19,'APS Tubes by Date Import'!$B$2:$J115,9,FALSE),"")</f>
        <v/>
      </c>
      <c r="K19" s="56">
        <f>IFNA(VLOOKUP($B19,'APS Tubes by Date Import'!$B$2:$J115,6,FALSE),"")</f>
        <v>0</v>
      </c>
      <c r="L19" s="112">
        <f t="shared" si="11"/>
        <v>31</v>
      </c>
      <c r="M19" s="49" t="str">
        <f t="shared" ref="M19:M20" si="13">IF(L19-I19=0,IFERROR(0/0,""),L19-I19)</f>
        <v/>
      </c>
      <c r="N19" s="112">
        <v>8.0</v>
      </c>
      <c r="O19" s="20" t="str">
        <f t="shared" si="6"/>
        <v/>
      </c>
      <c r="P19" s="86" t="str">
        <f>IF(ISBLANK(N19),IFERROR(0/0,""),IFERROR(VLOOKUP(N19, 'Process Ref'!$A$76:$D$123, 2, FALSE), IFERROR(0/0,"")))</f>
        <v>Use Audit RFR count (tube in Appivo not in RFR)</v>
      </c>
      <c r="Q19" s="86" t="s">
        <v>95</v>
      </c>
      <c r="R19" s="87">
        <f>IFNA(MATCH(A19,'RFR Data - preExcl'!A$2:A115,0),"")</f>
        <v>12</v>
      </c>
      <c r="S19" s="43"/>
      <c r="T19" s="20" t="str">
        <f>IF(EXACT('RFR Data - preExcl'!W19,"Initial"),'RFR Data - preExcl'!A19,IFERROR(0/0,""))</f>
        <v/>
      </c>
      <c r="U19" s="20" t="str">
        <f>IF(EXACT('RFR Data - preExcl'!W19,"Initial"),'RFR Data - preExcl'!U19,IFERROR(0/0,""))</f>
        <v/>
      </c>
      <c r="X19" s="81"/>
      <c r="Y19" s="105"/>
      <c r="AC19" s="81"/>
      <c r="AF19" s="81"/>
    </row>
    <row r="20">
      <c r="A20" s="6" t="s">
        <v>41</v>
      </c>
      <c r="B20" s="55">
        <v>44573.0</v>
      </c>
      <c r="C20" s="83" t="str">
        <f t="shared" si="12"/>
        <v/>
      </c>
      <c r="D20" s="110">
        <f t="array" ref="D20">IF(OR(ISBLANK($A20),C20),IFERROR(0/0,""),INDEX('RFR Data - preExcl'!E$2:E115,$R20,1))</f>
        <v>22</v>
      </c>
      <c r="E20" s="56">
        <f t="array" ref="E20">IF(OR(ISBLANK($A20),$C20),IFERROR(0/0,""),INDEX('RFR Data - preExcl'!Z$2:Z115,$R20,1))</f>
        <v>24</v>
      </c>
      <c r="F20" s="56">
        <f t="array" ref="F20">IF(OR(ISBLANK(A20),C20),IFERROR(0/0,""),INDEX('RFR Data - preExcl'!AC$2:AC115,$R20,1))</f>
        <v>22</v>
      </c>
      <c r="G20" s="110">
        <f t="array" ref="G20">IF(OR(ISBLANK(A20),C20),IFERROR(0/0,""),INDEX('RFR Data - preExcl'!AK$2:AK115,$R20,1))</f>
        <v>22</v>
      </c>
      <c r="H20" s="56">
        <f t="array" ref="H20">IF(OR(ISBLANK(A20),C20),IFERROR(0/0,""),INDEX('RFR Data - preExcl'!AL$2:AL115,$R20,1))</f>
        <v>4</v>
      </c>
      <c r="I20" s="111">
        <f>IFERROR(VLOOKUP($B20,'APS Tubes by Date Import'!$B$2:$J115,2,FALSE),"")</f>
        <v>22</v>
      </c>
      <c r="J20" s="56" t="str">
        <f>IFERROR(VLOOKUP($B20,'APS Tubes by Date Import'!$B$2:$J115,9,FALSE),"")</f>
        <v/>
      </c>
      <c r="K20" s="56">
        <f>IFNA(VLOOKUP($B20,'APS Tubes by Date Import'!$B$2:$J115,6,FALSE),"")</f>
        <v>0</v>
      </c>
      <c r="L20" s="112">
        <f t="shared" si="11"/>
        <v>22</v>
      </c>
      <c r="M20" s="49" t="str">
        <f t="shared" si="13"/>
        <v/>
      </c>
      <c r="N20" s="112">
        <v>8.0</v>
      </c>
      <c r="O20" s="20" t="str">
        <f t="shared" si="6"/>
        <v/>
      </c>
      <c r="P20" s="86" t="str">
        <f>IF(ISBLANK(N20),IFERROR(0/0,""),IFERROR(VLOOKUP(N20, 'Process Ref'!$A$76:$D$123, 2, FALSE), IFERROR(0/0,"")))</f>
        <v>Use Audit RFR count (tube in Appivo not in RFR)</v>
      </c>
      <c r="Q20" s="86" t="s">
        <v>95</v>
      </c>
      <c r="R20" s="87">
        <f>IFNA(MATCH(A20,'RFR Data - preExcl'!A$2:A115,0),"")</f>
        <v>13</v>
      </c>
      <c r="S20" s="43"/>
      <c r="T20" s="20" t="str">
        <f>IF(EXACT('RFR Data - preExcl'!W20,"Initial"),'RFR Data - preExcl'!A20,IFERROR(0/0,""))</f>
        <v>RUN-BEND_2022-01-24_RFR-019</v>
      </c>
      <c r="U20" s="92">
        <f>IF(EXACT('RFR Data - preExcl'!W20,"Initial"),'RFR Data - preExcl'!U20,IFERROR(0/0,""))</f>
        <v>44585</v>
      </c>
      <c r="X20" s="81"/>
      <c r="Y20" s="105"/>
      <c r="AC20" s="81"/>
      <c r="AF20" s="81"/>
    </row>
    <row r="21">
      <c r="A21" s="97"/>
      <c r="B21" s="67">
        <v>44574.0</v>
      </c>
      <c r="C21" s="98"/>
      <c r="D21" s="99" t="str">
        <f t="array" ref="D21">IF(OR(ISBLANK($A21),C21),IFERROR(0/0,""),INDEX('RFR Data - preExcl'!E$2:E115,$R21,1))</f>
        <v/>
      </c>
      <c r="E21" s="99" t="str">
        <f t="array" ref="E21">IF(OR(ISBLANK($A21),$C21),IFERROR(0/0,""),INDEX('RFR Data - preExcl'!Z$2:Z115,$R21,1))</f>
        <v/>
      </c>
      <c r="F21" s="99" t="str">
        <f t="array" ref="F21">IF(OR(ISBLANK(A21),C21),IFERROR(0/0,""),INDEX('RFR Data - preExcl'!AC$2:AC115,$R21,1))</f>
        <v/>
      </c>
      <c r="G21" s="99" t="str">
        <f t="array" ref="G21">IF(OR(ISBLANK(A21),C21),IFERROR(0/0,""),INDEX('RFR Data - preExcl'!AK$2:AK115,$R21,1))</f>
        <v/>
      </c>
      <c r="H21" s="99" t="str">
        <f t="array" ref="H21">IF(OR(ISBLANK(A21),C21),IFERROR(0/0,""),INDEX('RFR Data - preExcl'!AL$2:AL115,$R21,1))</f>
        <v/>
      </c>
      <c r="I21" s="113">
        <f>IFERROR(VLOOKUP($B21,'APS Tubes by Date Import'!$B$2:$J115,2,FALSE),"")</f>
        <v>5</v>
      </c>
      <c r="J21" s="99" t="str">
        <f>IFERROR(VLOOKUP($B21,'APS Tubes by Date Import'!$B$2:$J115,9,FALSE),"")</f>
        <v/>
      </c>
      <c r="K21" s="99">
        <f>IFNA(VLOOKUP($B21,'APS Tubes by Date Import'!$B$2:$J115,6,FALSE),"")</f>
        <v>0</v>
      </c>
      <c r="L21" s="99" t="str">
        <f t="shared" si="11"/>
        <v/>
      </c>
      <c r="M21" s="99"/>
      <c r="N21" s="98">
        <v>6.1</v>
      </c>
      <c r="O21" s="20" t="str">
        <f t="shared" si="6"/>
        <v/>
      </c>
      <c r="P21" s="86" t="str">
        <f>IF(ISBLANK(N21),IFERROR(0/0,""),IFERROR(VLOOKUP(N21, 'Process Ref'!$A$76:$D$123, 2, FALSE), IFERROR(0/0,"")))</f>
        <v>No Run - APS Collect run next day</v>
      </c>
      <c r="Q21" s="6" t="str">
        <f>IFS(OR(N21=0.1,N21=1.1,N21=2.1),"NULL &gt; NEG",N21=3, "Delete NULL",TRUE,IFERROR(0/0,""))</f>
        <v/>
      </c>
      <c r="R21" s="87" t="str">
        <f>IFNA(MATCH(A21,'RFR Data - preExcl'!A$2:A115,0),"")</f>
        <v/>
      </c>
      <c r="S21" s="43"/>
      <c r="T21" s="20" t="str">
        <f>IF(EXACT('RFR Data - preExcl'!W21,"Initial"),'RFR Data - preExcl'!A21,IFERROR(0/0,""))</f>
        <v>RUN-BEND_2022-01-26_RFR-020</v>
      </c>
      <c r="U21" s="92">
        <f>IF(EXACT('RFR Data - preExcl'!W21,"Initial"),'RFR Data - preExcl'!U21,IFERROR(0/0,""))</f>
        <v>44587</v>
      </c>
      <c r="X21" s="81"/>
      <c r="Y21" s="105"/>
      <c r="AC21" s="81"/>
      <c r="AF21" s="81"/>
    </row>
    <row r="22">
      <c r="A22" s="6" t="s">
        <v>42</v>
      </c>
      <c r="B22" s="55">
        <v>44575.0</v>
      </c>
      <c r="C22" s="83" t="str">
        <f t="shared" ref="C22:C23" si="14">IF(ISNUMBER(FIND("APS", $A22)),TRUE,IFERROR(0/0,""))</f>
        <v/>
      </c>
      <c r="D22" s="56">
        <f t="array" ref="D22">IF(OR(ISBLANK($A22),C22),IFERROR(0/0,""),INDEX('RFR Data - preExcl'!E$2:E115,$R22,1))</f>
        <v>22</v>
      </c>
      <c r="E22" s="56">
        <f t="array" ref="E22">IF(OR(ISBLANK($A22),$C22),IFERROR(0/0,""),INDEX('RFR Data - preExcl'!Z$2:Z115,$R22,1))</f>
        <v>24</v>
      </c>
      <c r="F22" s="56">
        <f t="array" ref="F22">IF(OR(ISBLANK(A22),C22),IFERROR(0/0,""),INDEX('RFR Data - preExcl'!AC$2:AC115,$R22,1))</f>
        <v>22</v>
      </c>
      <c r="G22" s="56">
        <f t="array" ref="G22">IF(OR(ISBLANK(A22),C22),IFERROR(0/0,""),INDEX('RFR Data - preExcl'!AK$2:AK115,$R22,1))</f>
        <v>22</v>
      </c>
      <c r="H22" s="56">
        <f t="array" ref="H22">IF(OR(ISBLANK(A22),C22),IFERROR(0/0,""),INDEX('RFR Data - preExcl'!AL$2:AL115,$R22,1))</f>
        <v>4</v>
      </c>
      <c r="I22" s="114">
        <f>IFERROR(VLOOKUP($B22,'APS Tubes by Date Import'!$B$2:$J115,2,FALSE),"")</f>
        <v>17</v>
      </c>
      <c r="J22" s="56" t="str">
        <f>IFERROR(VLOOKUP($B23,'APS Tubes by Date Import'!$B$2:$J115,9,FALSE),"")</f>
        <v/>
      </c>
      <c r="K22" s="56">
        <f>IFNA(VLOOKUP($B23,'APS Tubes by Date Import'!$B$2:$J115,6,FALSE),"")</f>
        <v>0</v>
      </c>
      <c r="L22" s="115">
        <f t="shared" si="11"/>
        <v>22</v>
      </c>
      <c r="M22" s="56">
        <f>L22-I22-I21</f>
        <v>0</v>
      </c>
      <c r="N22" s="112">
        <v>8.0</v>
      </c>
      <c r="O22" s="20" t="str">
        <f>IF(ISBLANK(#REF!),IFERROR(0/0,""),IF($N22&lt;=4,TRUE,IFERROR(0/0,"")))</f>
        <v/>
      </c>
      <c r="P22" s="86" t="str">
        <f>IF(ISBLANK(N22),IFERROR(0/0,""),IFERROR(VLOOKUP(N22, 'Process Ref'!$A$76:$D$123, 2, FALSE), IFERROR(0/0,"")))</f>
        <v>Use Audit RFR count (tube in Appivo not in RFR)</v>
      </c>
      <c r="Q22" s="86" t="s">
        <v>95</v>
      </c>
      <c r="R22" s="87">
        <f>IFNA(MATCH(A22,'RFR Data - preExcl'!A$2:A115,0),"")</f>
        <v>14</v>
      </c>
      <c r="S22" s="43"/>
      <c r="T22" s="20" t="str">
        <f>IF(EXACT('RFR Data - preExcl'!W22,"Initial"),'RFR Data - preExcl'!A22,IFERROR(0/0,""))</f>
        <v/>
      </c>
      <c r="U22" s="20" t="str">
        <f>IF(EXACT('RFR Data - preExcl'!W22,"Initial"),'RFR Data - preExcl'!U22,IFERROR(0/0,""))</f>
        <v/>
      </c>
      <c r="X22" s="81"/>
      <c r="Y22" s="105"/>
      <c r="AC22" s="81"/>
      <c r="AF22" s="81"/>
    </row>
    <row r="23">
      <c r="A23" s="97"/>
      <c r="B23" s="116">
        <v>44578.0</v>
      </c>
      <c r="C23" s="98" t="str">
        <f t="shared" si="14"/>
        <v/>
      </c>
      <c r="D23" s="99" t="str">
        <f t="array" ref="D23">IF(OR(ISBLANK($A23),C23),IFERROR(0/0,""),INDEX('RFR Data - preExcl'!E$2:E115,$R23,1))</f>
        <v/>
      </c>
      <c r="E23" s="99" t="str">
        <f t="array" ref="E23">IF(OR(ISBLANK($A23),$C23),IFERROR(0/0,""),INDEX('RFR Data - preExcl'!Z$2:Z115,$R23,1))</f>
        <v/>
      </c>
      <c r="F23" s="99" t="str">
        <f t="array" ref="F23">IF(OR(ISBLANK(A23),C23),IFERROR(0/0,""),INDEX('RFR Data - preExcl'!AC$2:AC115,$R23,1))</f>
        <v/>
      </c>
      <c r="G23" s="99" t="str">
        <f t="array" ref="G23">IF(OR(ISBLANK(A23),C23),IFERROR(0/0,""),INDEX('RFR Data - preExcl'!AK$2:AK115,$R23,1))</f>
        <v/>
      </c>
      <c r="H23" s="99" t="str">
        <f t="array" ref="H23">IF(OR(ISBLANK(A23),C23),IFERROR(0/0,""),INDEX('RFR Data - preExcl'!AL$2:AL115,$R23,1))</f>
        <v/>
      </c>
      <c r="I23" s="117">
        <f>IFERROR(VLOOKUP($B23,'APS Tubes by Date Import'!$B$2:$J115,2,FALSE),"")</f>
        <v>1</v>
      </c>
      <c r="J23" s="97"/>
      <c r="K23" s="97"/>
      <c r="L23" s="97"/>
      <c r="M23" s="97"/>
      <c r="N23" s="98">
        <v>6.2</v>
      </c>
      <c r="O23" s="20" t="str">
        <f>IF(ISBLANK(L22),IFERROR(0/0,""),IF($N23&lt;=4,TRUE,IFERROR(0/0,"")))</f>
        <v/>
      </c>
      <c r="P23" s="86" t="str">
        <f>IF(ISBLANK(N23),IFERROR(0/0,""),IFERROR(VLOOKUP(N23, 'Process Ref'!$A$76:$D$123, 2, FALSE), IFERROR(0/0,"")))</f>
        <v>No Run - APS Collect run 2 or more days later</v>
      </c>
      <c r="Q23" s="6" t="str">
        <f t="shared" ref="Q23:Q24" si="15">IFS(OR(N23=0.1,N23=1.1,N23=2.1),"NULL &gt; NEG",N23=3, "Delete NULL",TRUE,IFERROR(0/0,""))</f>
        <v/>
      </c>
      <c r="R23" s="87" t="str">
        <f>IFNA(MATCH(A23,'RFR Data - preExcl'!A$2:A115,0),"")</f>
        <v/>
      </c>
      <c r="S23" s="43"/>
      <c r="T23" s="20" t="str">
        <f>IF(EXACT('RFR Data - preExcl'!W23,"Initial"),'RFR Data - preExcl'!A23,IFERROR(0/0,""))</f>
        <v>RUN-BEND_2022-01-28_RFR-022</v>
      </c>
      <c r="U23" s="92">
        <f>IF(EXACT('RFR Data - preExcl'!W23,"Initial"),'RFR Data - preExcl'!U23,IFERROR(0/0,""))</f>
        <v>44589</v>
      </c>
      <c r="X23" s="81"/>
      <c r="Y23" s="105"/>
      <c r="AC23" s="81"/>
      <c r="AF23" s="81"/>
    </row>
    <row r="24">
      <c r="A24" s="98"/>
      <c r="B24" s="118">
        <v>44579.0</v>
      </c>
      <c r="C24" s="98"/>
      <c r="D24" s="98" t="str">
        <f t="array" ref="D24">IF(OR(ISBLANK($A24),C24),IFERROR(0/0,""),INDEX('RFR Data - preExcl'!E$2:E115,$R24,1))</f>
        <v/>
      </c>
      <c r="E24" s="98" t="str">
        <f t="array" ref="E24">IF(OR(ISBLANK($A24),$C24),IFERROR(0/0,""),INDEX('RFR Data - preExcl'!Z$2:Z115,$R24,1))</f>
        <v/>
      </c>
      <c r="F24" s="98" t="str">
        <f t="array" ref="F24">IF(OR(ISBLANK(A24),C24),IFERROR(0/0,""),INDEX('RFR Data - preExcl'!AC$2:AC115,$R24,1))</f>
        <v/>
      </c>
      <c r="G24" s="98" t="str">
        <f t="array" ref="G24">IF(OR(ISBLANK(A24),C24),IFERROR(0/0,""),INDEX('RFR Data - preExcl'!AK$2:AK115,$R24,1))</f>
        <v/>
      </c>
      <c r="H24" s="98" t="str">
        <f t="array" ref="H24">IF(OR(ISBLANK(A24),C24),IFERROR(0/0,""),INDEX('RFR Data - preExcl'!AL$2:AL115,$R24,1))</f>
        <v/>
      </c>
      <c r="I24" s="91">
        <f>IFERROR(VLOOKUP($B24,'APS Tubes by Date Import'!$B$2:$J115,2,FALSE),"")</f>
        <v>33</v>
      </c>
      <c r="J24" s="98" t="str">
        <f>IFERROR(VLOOKUP($B24,'APS Tubes by Date Import'!$B$2:$J115,9,FALSE),"")</f>
        <v/>
      </c>
      <c r="K24" s="98">
        <f>IFNA(VLOOKUP($B24,'APS Tubes by Date Import'!$B$2:$J115,6,FALSE),"")</f>
        <v>0</v>
      </c>
      <c r="L24" s="99" t="str">
        <f>G24</f>
        <v/>
      </c>
      <c r="M24" s="99"/>
      <c r="N24" s="98">
        <v>6.1</v>
      </c>
      <c r="O24" s="20" t="str">
        <f>IF(ISBLANK(L24),IFERROR(0/0,""),IF($N24&lt;=4,TRUE,IFERROR(0/0,"")))</f>
        <v/>
      </c>
      <c r="P24" s="86" t="str">
        <f>IF(ISBLANK(N24),IFERROR(0/0,""),IFERROR(VLOOKUP(N24, 'Process Ref'!$A$76:$D$123, 2, FALSE), IFERROR(0/0,"")))</f>
        <v>No Run - APS Collect run next day</v>
      </c>
      <c r="Q24" s="6" t="str">
        <f t="shared" si="15"/>
        <v/>
      </c>
      <c r="R24" s="87" t="str">
        <f>IFNA(MATCH(A24,'RFR Data - preExcl'!A$2:A115,0),"")</f>
        <v/>
      </c>
      <c r="S24" s="43"/>
      <c r="T24" s="20" t="str">
        <f>IF(EXACT('RFR Data - preExcl'!W24,"Initial"),'RFR Data - preExcl'!A24,IFERROR(0/0,""))</f>
        <v/>
      </c>
      <c r="U24" s="20" t="str">
        <f>IF(EXACT('RFR Data - preExcl'!W24,"Initial"),'RFR Data - preExcl'!U24,IFERROR(0/0,""))</f>
        <v/>
      </c>
      <c r="X24" s="81"/>
      <c r="Y24" s="105"/>
      <c r="AC24" s="81"/>
      <c r="AF24" s="81"/>
    </row>
    <row r="25">
      <c r="A25" s="119" t="s">
        <v>43</v>
      </c>
      <c r="B25" s="116">
        <v>44580.0</v>
      </c>
      <c r="C25" s="83" t="str">
        <f t="shared" ref="C25:C26" si="16">IF(ISNUMBER(FIND("APS", $A25)),TRUE,IFERROR(0/0,""))</f>
        <v/>
      </c>
      <c r="D25" s="56">
        <f t="array" ref="D25">IF(OR(ISBLANK($A25),C25),IFERROR(0/0,""),INDEX('RFR Data - preExcl'!E$2:E115,$R25,1))</f>
        <v>33</v>
      </c>
      <c r="E25" s="56" t="str">
        <f t="array" ref="E25">IF(OR(ISBLANK($A25),$C25),IFERROR(0/0,""),INDEX('RFR Data - preExcl'!Z$2:Z115,$R25,1))</f>
        <v/>
      </c>
      <c r="F25" s="56">
        <f t="array" ref="F25">IF(OR(ISBLANK(A25),C25),IFERROR(0/0,""),INDEX('RFR Data - preExcl'!AC$2:AC115,$R25,1))</f>
        <v>33</v>
      </c>
      <c r="G25" s="56">
        <f t="array" ref="G25">IF(OR(ISBLANK(A25),C25),IFERROR(0/0,""),INDEX('RFR Data - preExcl'!AK$2:AK115,$R25,1))</f>
        <v>33</v>
      </c>
      <c r="H25" s="56">
        <f t="array" ref="H25">IF(OR(ISBLANK(A25),C25),IFERROR(0/0,""),INDEX('RFR Data - preExcl'!AL$2:AL115,$R25,1))</f>
        <v>4</v>
      </c>
      <c r="I25" s="120">
        <v>0.0</v>
      </c>
      <c r="J25" s="56" t="b">
        <f>IFERROR(VLOOKUP($B25,'APS Tubes by Date Import'!$B$2:$J115,9,FALSE),"")</f>
        <v>1</v>
      </c>
      <c r="K25" s="56">
        <f>IFNA(VLOOKUP($B25,'APS Tubes by Date Import'!$B$2:$J115,6,FALSE),"")</f>
        <v>0</v>
      </c>
      <c r="L25" s="48">
        <f>I24</f>
        <v>33</v>
      </c>
      <c r="N25" s="121">
        <v>4.9</v>
      </c>
      <c r="O25" s="20" t="str">
        <f>IF(ISBLANK(L26),IFERROR(0/0,""),IF($N25&lt;=4,TRUE,IFERROR(0/0,"")))</f>
        <v/>
      </c>
      <c r="P25" s="86" t="str">
        <f>IF(ISBLANK(N25),IFERROR(0/0,""),IFERROR(VLOOKUP(N25, 'Process Ref'!$A$76:$D$123, 2, FALSE), IFERROR(0/0,"")))</f>
        <v>Use GFORM Raw Num of Samples because nets out with surrounding days</v>
      </c>
      <c r="Q25" s="86" t="s">
        <v>96</v>
      </c>
      <c r="R25" s="87">
        <f>IFNA(MATCH(A25,'RFR Data - preExcl'!A$2:A115,0),"")</f>
        <v>15</v>
      </c>
      <c r="S25" s="43"/>
      <c r="T25" s="20" t="str">
        <f>IF(EXACT('RFR Data - preExcl'!W25,"Initial"),'RFR Data - preExcl'!A25,IFERROR(0/0,""))</f>
        <v>RUN-BEND_2022-01-31_RFR-024</v>
      </c>
      <c r="U25" s="92">
        <f>IF(EXACT('RFR Data - preExcl'!W25,"Initial"),'RFR Data - preExcl'!U25,IFERROR(0/0,""))</f>
        <v>44592</v>
      </c>
      <c r="X25" s="81"/>
      <c r="Y25" s="105"/>
      <c r="AC25" s="81"/>
      <c r="AF25" s="81"/>
    </row>
    <row r="26">
      <c r="A26" s="122" t="s">
        <v>44</v>
      </c>
      <c r="B26" s="123">
        <v>44580.0</v>
      </c>
      <c r="C26" s="83" t="str">
        <f t="shared" si="16"/>
        <v/>
      </c>
      <c r="D26" s="56">
        <f t="array" ref="D26">IF(OR(ISBLANK($A26),C26),IFERROR(0/0,""),INDEX('RFR Data - preExcl'!E$2:E115,$R26,1))</f>
        <v>15</v>
      </c>
      <c r="E26" s="56">
        <f t="array" ref="E26">IF(OR(ISBLANK($A26),$C26),IFERROR(0/0,""),INDEX('RFR Data - preExcl'!Z$2:Z115,$R26,1))</f>
        <v>18</v>
      </c>
      <c r="F26" s="56">
        <f t="array" ref="F26">IF(OR(ISBLANK(A26),C26),IFERROR(0/0,""),INDEX('RFR Data - preExcl'!AC$2:AC115,$R26,1))</f>
        <v>16</v>
      </c>
      <c r="G26" s="56">
        <f t="array" ref="G26">IF(OR(ISBLANK(A26),C26),IFERROR(0/0,""),INDEX('RFR Data - preExcl'!AK$2:AK115,$R26,1))</f>
        <v>16</v>
      </c>
      <c r="H26" s="56">
        <f t="array" ref="H26">IF(OR(ISBLANK(A26),C26),IFERROR(0/0,""),INDEX('RFR Data - preExcl'!AL$2:AL115,$R26,1))</f>
        <v>4</v>
      </c>
      <c r="I26" s="117">
        <f>IFERROR(VLOOKUP($B26,'APS Tubes by Date Import'!$B$2:$J115,2,FALSE),"")</f>
        <v>14</v>
      </c>
      <c r="J26" s="56" t="b">
        <f>IFERROR(VLOOKUP($B26,'APS Tubes by Date Import'!$B$2:$J115,9,FALSE),"")</f>
        <v>1</v>
      </c>
      <c r="K26" s="56">
        <f>IFNA(VLOOKUP($B26,'APS Tubes by Date Import'!$B$2:$J115,6,FALSE),"")</f>
        <v>0</v>
      </c>
      <c r="L26" s="121">
        <f>I23+I26</f>
        <v>15</v>
      </c>
      <c r="M26" s="56"/>
      <c r="N26" s="91">
        <v>0.2</v>
      </c>
      <c r="O26" s="20" t="b">
        <f>IF(ISBLANK(L25),IFERROR(0/0,""),IF($N26&lt;=4,TRUE,IFERROR(0/0,"")))</f>
        <v>1</v>
      </c>
      <c r="P26" s="86" t="str">
        <f>IF(ISBLANK(N26),IFERROR(0/0,""),IFERROR(VLOOKUP(N26, 'Process Ref'!$A$76:$D$123, 2, FALSE), IFERROR(0/0,"")))</f>
        <v>ALL 3 COUNTS SAME with APS Collect on previous days</v>
      </c>
      <c r="Q26" s="86" t="s">
        <v>96</v>
      </c>
      <c r="R26" s="87">
        <f>IFNA(MATCH(A26,'RFR Data - preExcl'!A$2:A115,0),"")</f>
        <v>16</v>
      </c>
      <c r="S26" s="43"/>
      <c r="T26" s="20" t="str">
        <f>IF(EXACT('RFR Data - preExcl'!W26,"Initial"),'RFR Data - preExcl'!A26,IFERROR(0/0,""))</f>
        <v>RUN-BEND_2022-02-02_RFR-025</v>
      </c>
      <c r="U26" s="92">
        <f>IF(EXACT('RFR Data - preExcl'!W26,"Initial"),'RFR Data - preExcl'!U26,IFERROR(0/0,""))</f>
        <v>44594</v>
      </c>
      <c r="X26" s="81"/>
      <c r="Y26" s="105"/>
      <c r="AC26" s="81"/>
      <c r="AF26" s="81"/>
    </row>
    <row r="27">
      <c r="A27" s="98"/>
      <c r="B27" s="124">
        <v>44581.0</v>
      </c>
      <c r="C27" s="98"/>
      <c r="D27" s="98" t="str">
        <f t="array" ref="D27">IF(OR(ISBLANK($A27),C27),IFERROR(0/0,""),INDEX('RFR Data - preExcl'!E$2:E115,$R27,1))</f>
        <v/>
      </c>
      <c r="E27" s="98" t="str">
        <f t="array" ref="E27">IF(OR(ISBLANK($A27),$C27),IFERROR(0/0,""),INDEX('RFR Data - preExcl'!Z$2:Z115,$R27,1))</f>
        <v/>
      </c>
      <c r="F27" s="98" t="str">
        <f t="array" ref="F27">IF(OR(ISBLANK(A27),C27),IFERROR(0/0,""),INDEX('RFR Data - preExcl'!AC$2:AC115,$R27,1))</f>
        <v/>
      </c>
      <c r="G27" s="98" t="str">
        <f t="array" ref="G27">IF(OR(ISBLANK(A27),C27),IFERROR(0/0,""),INDEX('RFR Data - preExcl'!AK$2:AK115,$R27,1))</f>
        <v/>
      </c>
      <c r="H27" s="98" t="str">
        <f t="array" ref="H27">IF(OR(ISBLANK(A27),C27),IFERROR(0/0,""),INDEX('RFR Data - preExcl'!AL$2:AL115,$R27,1))</f>
        <v/>
      </c>
      <c r="I27" s="125">
        <f>IFERROR(VLOOKUP($B27,'APS Tubes by Date Import'!$B$2:$J115,2,FALSE),"")</f>
        <v>1</v>
      </c>
      <c r="J27" s="98" t="str">
        <f>IFERROR(VLOOKUP($B27,'APS Tubes by Date Import'!$B$2:$J115,9,FALSE),"")</f>
        <v/>
      </c>
      <c r="K27" s="98">
        <f>IFNA(VLOOKUP($B27,'APS Tubes by Date Import'!$B$2:$J115,6,FALSE),"")</f>
        <v>0</v>
      </c>
      <c r="L27" s="98" t="str">
        <f>G27</f>
        <v/>
      </c>
      <c r="M27" s="98"/>
      <c r="N27" s="98">
        <v>6.1</v>
      </c>
      <c r="O27" s="20" t="str">
        <f t="shared" ref="O27:O48" si="17">IF(ISBLANK(L27),IFERROR(0/0,""),IF($N27&lt;=4,TRUE,IFERROR(0/0,"")))</f>
        <v/>
      </c>
      <c r="P27" s="86" t="str">
        <f>IF(ISBLANK(N27),IFERROR(0/0,""),IFERROR(VLOOKUP(N27, 'Process Ref'!$A$76:$D$123, 2, FALSE), IFERROR(0/0,"")))</f>
        <v>No Run - APS Collect run next day</v>
      </c>
      <c r="Q27" s="86" t="s">
        <v>97</v>
      </c>
      <c r="R27" s="87" t="str">
        <f>IFNA(MATCH(A27,'RFR Data - preExcl'!A$2:A115,0),"")</f>
        <v/>
      </c>
      <c r="S27" s="43"/>
      <c r="T27" s="20" t="str">
        <f>IF(EXACT('RFR Data - preExcl'!W27,"Initial"),'RFR Data - preExcl'!A27,IFERROR(0/0,""))</f>
        <v>RUN-BEND_2022-02-04_RFR-026</v>
      </c>
      <c r="U27" s="92">
        <f>IF(EXACT('RFR Data - preExcl'!W27,"Initial"),'RFR Data - preExcl'!U27,IFERROR(0/0,""))</f>
        <v>44596</v>
      </c>
      <c r="X27" s="81"/>
      <c r="Y27" s="105"/>
      <c r="AC27" s="81"/>
      <c r="AF27" s="81"/>
    </row>
    <row r="28">
      <c r="A28" s="6" t="s">
        <v>45</v>
      </c>
      <c r="B28" s="55">
        <v>44582.0</v>
      </c>
      <c r="C28" s="83" t="str">
        <f t="shared" ref="C28:C54" si="18">IF(ISNUMBER(FIND("APS", $A28)),TRUE,IFERROR(0/0,""))</f>
        <v/>
      </c>
      <c r="D28" s="56">
        <f t="array" ref="D28">IF(OR(ISBLANK($A28),C28),IFERROR(0/0,""),INDEX('RFR Data - preExcl'!E$2:E115,$R28,1))</f>
        <v>14</v>
      </c>
      <c r="E28" s="56">
        <f t="array" ref="E28">IF(OR(ISBLANK($A28),$C28),IFERROR(0/0,""),INDEX('RFR Data - preExcl'!Z$2:Z115,$R28,1))</f>
        <v>16</v>
      </c>
      <c r="F28" s="56">
        <f t="array" ref="F28">IF(OR(ISBLANK(A28),C28),IFERROR(0/0,""),INDEX('RFR Data - preExcl'!AC$2:AC115,$R28,1))</f>
        <v>14</v>
      </c>
      <c r="G28" s="56">
        <f t="array" ref="G28">IF(OR(ISBLANK(A28),C28),IFERROR(0/0,""),INDEX('RFR Data - preExcl'!AK$2:AK115,$R28,1))</f>
        <v>14</v>
      </c>
      <c r="H28" s="56">
        <f t="array" ref="H28">IF(OR(ISBLANK(A28),C28),IFERROR(0/0,""),INDEX('RFR Data - preExcl'!AL$2:AL115,$R28,1))</f>
        <v>4</v>
      </c>
      <c r="I28" s="126">
        <f>IFERROR(VLOOKUP($B28,'APS Tubes by Date Import'!$B$2:$J115,2,FALSE),"")</f>
        <v>14</v>
      </c>
      <c r="J28" s="56" t="b">
        <f>IFERROR(VLOOKUP($B28,'APS Tubes by Date Import'!$B$2:$J115,9,FALSE),"")</f>
        <v>1</v>
      </c>
      <c r="K28" s="56">
        <f>IFNA(VLOOKUP($B28,'APS Tubes by Date Import'!$B$2:$J115,6,FALSE),"")</f>
        <v>0</v>
      </c>
      <c r="L28" s="127">
        <f>I28+I27</f>
        <v>15</v>
      </c>
      <c r="M28" s="56"/>
      <c r="N28" s="128">
        <v>8.2</v>
      </c>
      <c r="O28" s="20" t="str">
        <f t="shared" si="17"/>
        <v/>
      </c>
      <c r="P28" s="86" t="str">
        <f>IF(ISBLANK(N28),IFERROR(0/0,""),IFERROR(VLOOKUP(N28, 'Process Ref'!$A$76:$D$123, 2, FALSE), IFERROR(0/0,"")))</f>
        <v>Use APS Collect count != RFR Audit (with different Collect days)</v>
      </c>
      <c r="Q28" s="86" t="s">
        <v>95</v>
      </c>
      <c r="R28" s="87">
        <f>IFNA(MATCH(A28,'RFR Data - preExcl'!A$2:A115,0),"")</f>
        <v>17</v>
      </c>
      <c r="S28" s="43"/>
      <c r="T28" s="20" t="str">
        <f>IF(EXACT('RFR Data - preExcl'!W28,"Initial"),'RFR Data - preExcl'!A28,IFERROR(0/0,""))</f>
        <v>RUN-BEND_2022-02-07_RFR-027</v>
      </c>
      <c r="U28" s="92">
        <f>IF(EXACT('RFR Data - preExcl'!W28,"Initial"),'RFR Data - preExcl'!U28,IFERROR(0/0,""))</f>
        <v>44599</v>
      </c>
      <c r="X28" s="81"/>
      <c r="Y28" s="105"/>
      <c r="AC28" s="81"/>
      <c r="AF28" s="81"/>
    </row>
    <row r="29">
      <c r="A29" s="6" t="s">
        <v>46</v>
      </c>
      <c r="B29" s="55">
        <v>44585.0</v>
      </c>
      <c r="C29" s="83" t="str">
        <f t="shared" si="18"/>
        <v/>
      </c>
      <c r="D29" s="56">
        <f t="array" ref="D29">IF(OR(ISBLANK($A29),C29),IFERROR(0/0,""),INDEX('RFR Data - preExcl'!E$2:E115,$R29,1))</f>
        <v>16</v>
      </c>
      <c r="E29" s="56" t="str">
        <f t="array" ref="E29">IF(OR(ISBLANK($A29),$C29),IFERROR(0/0,""),INDEX('RFR Data - preExcl'!Z$2:Z115,$R29,1))</f>
        <v/>
      </c>
      <c r="F29" s="56">
        <f t="array" ref="F29">IF(OR(ISBLANK(A29),C29),IFERROR(0/0,""),INDEX('RFR Data - preExcl'!AC$2:AC115,$R29,1))</f>
        <v>17</v>
      </c>
      <c r="G29" s="48">
        <f t="array" ref="G29">IF(OR(ISBLANK(A29),C29),IFERROR(0/0,""),INDEX('RFR Data - preExcl'!AK$2:AK115,$R29,1))</f>
        <v>16</v>
      </c>
      <c r="H29" s="56">
        <f t="array" ref="H29">IF(OR(ISBLANK(A29),C29),IFERROR(0/0,""),INDEX('RFR Data - preExcl'!AL$2:AL115,$R29,1))</f>
        <v>4</v>
      </c>
      <c r="I29" s="48">
        <f>IFERROR(VLOOKUP($B29,'APS Tubes by Date Import'!$B$2:$J115,2,FALSE),"")</f>
        <v>16</v>
      </c>
      <c r="J29" s="56" t="str">
        <f>IFERROR(VLOOKUP($B29,'APS Tubes by Date Import'!$B$2:$J115,9,FALSE),"")</f>
        <v/>
      </c>
      <c r="K29" s="56">
        <f>IFNA(VLOOKUP($B29,'APS Tubes by Date Import'!$B$2:$J115,6,FALSE),"")</f>
        <v>0</v>
      </c>
      <c r="L29" s="48">
        <f t="shared" ref="L29:L32" si="19">G29</f>
        <v>16</v>
      </c>
      <c r="M29" s="49" t="str">
        <f t="shared" ref="M29:M54" si="20">IF(L29-I29=0,IFERROR(0/0,""),L29-I29)</f>
        <v/>
      </c>
      <c r="N29" s="91">
        <v>1.0</v>
      </c>
      <c r="O29" s="20" t="b">
        <f t="shared" si="17"/>
        <v>1</v>
      </c>
      <c r="P29" s="86" t="str">
        <f>IF(ISBLANK(N29),IFERROR(0/0,""),IFERROR(VLOOKUP(N29, 'Process Ref'!$A$76:$D$123, 2, FALSE), IFERROR(0/0,"")))</f>
        <v>Use APS Collect = RFR (diff APS Result count but nets out)</v>
      </c>
      <c r="Q29" s="6" t="str">
        <f t="shared" ref="Q29:Q31" si="21">IFS(OR(N29=0.1,N29=1.1,N29=2.1),"NULL &gt; NEG",N29=3, "Delete NULL",TRUE,IFERROR(0/0,""))</f>
        <v/>
      </c>
      <c r="R29" s="87">
        <f>IFNA(MATCH(A29,'RFR Data - preExcl'!A$2:A115,0),"")</f>
        <v>19</v>
      </c>
      <c r="S29" s="43"/>
      <c r="T29" s="20" t="str">
        <f>IF(EXACT('RFR Data - preExcl'!W29,"Initial"),'RFR Data - preExcl'!A29,IFERROR(0/0,""))</f>
        <v>RUN-BEND_2022-02-09_RFR-028</v>
      </c>
      <c r="U29" s="92">
        <f>IF(EXACT('RFR Data - preExcl'!W29,"Initial"),'RFR Data - preExcl'!U29,IFERROR(0/0,""))</f>
        <v>44601</v>
      </c>
      <c r="X29" s="81"/>
      <c r="Y29" s="105"/>
      <c r="AC29" s="81"/>
      <c r="AF29" s="81"/>
    </row>
    <row r="30">
      <c r="A30" s="6" t="s">
        <v>47</v>
      </c>
      <c r="B30" s="55">
        <v>44587.0</v>
      </c>
      <c r="C30" s="83" t="str">
        <f t="shared" si="18"/>
        <v/>
      </c>
      <c r="D30" s="56">
        <f t="array" ref="D30">IF(OR(ISBLANK($A30),C30),IFERROR(0/0,""),INDEX('RFR Data - preExcl'!E$2:E115,$R30,1))</f>
        <v>13</v>
      </c>
      <c r="E30" s="56">
        <f t="array" ref="E30">IF(OR(ISBLANK($A30),$C30),IFERROR(0/0,""),INDEX('RFR Data - preExcl'!Z$2:Z115,$R30,1))</f>
        <v>15</v>
      </c>
      <c r="F30" s="56">
        <f t="array" ref="F30">IF(OR(ISBLANK(A30),C30),IFERROR(0/0,""),INDEX('RFR Data - preExcl'!AC$2:AC115,$R30,1))</f>
        <v>14</v>
      </c>
      <c r="G30" s="48">
        <f t="array" ref="G30">IF(OR(ISBLANK(A30),C30),IFERROR(0/0,""),INDEX('RFR Data - preExcl'!AK$2:AK115,$R30,1))</f>
        <v>13</v>
      </c>
      <c r="H30" s="56">
        <f t="array" ref="H30">IF(OR(ISBLANK(A30),C30),IFERROR(0/0,""),INDEX('RFR Data - preExcl'!AL$2:AL115,$R30,1))</f>
        <v>1.1</v>
      </c>
      <c r="I30" s="48">
        <f>IFERROR(VLOOKUP($B30,'APS Tubes by Date Import'!$B$2:$J115,2,FALSE),"")</f>
        <v>13</v>
      </c>
      <c r="J30" s="56" t="b">
        <f>IFERROR(VLOOKUP($B30,'APS Tubes by Date Import'!$B$2:$J115,9,FALSE),"")</f>
        <v>1</v>
      </c>
      <c r="K30" s="56">
        <f>IFNA(VLOOKUP($B30,'APS Tubes by Date Import'!$B$2:$J115,6,FALSE),"")</f>
        <v>0</v>
      </c>
      <c r="L30" s="48">
        <f t="shared" si="19"/>
        <v>13</v>
      </c>
      <c r="M30" s="49" t="str">
        <f t="shared" si="20"/>
        <v/>
      </c>
      <c r="N30" s="91">
        <v>1.0</v>
      </c>
      <c r="O30" s="20" t="b">
        <f t="shared" si="17"/>
        <v>1</v>
      </c>
      <c r="P30" s="86" t="str">
        <f>IF(ISBLANK(N30),IFERROR(0/0,""),IFERROR(VLOOKUP(N30, 'Process Ref'!$A$76:$D$123, 2, FALSE), IFERROR(0/0,"")))</f>
        <v>Use APS Collect = RFR (diff APS Result count but nets out)</v>
      </c>
      <c r="Q30" s="6" t="str">
        <f t="shared" si="21"/>
        <v/>
      </c>
      <c r="R30" s="87">
        <f>IFNA(MATCH(A30,'RFR Data - preExcl'!A$2:A115,0),"")</f>
        <v>20</v>
      </c>
      <c r="S30" s="43"/>
      <c r="T30" s="20" t="str">
        <f>IF(EXACT('RFR Data - preExcl'!W30,"Initial"),'RFR Data - preExcl'!A30,IFERROR(0/0,""))</f>
        <v/>
      </c>
      <c r="U30" s="20" t="str">
        <f>IF(EXACT('RFR Data - preExcl'!W30,"Initial"),'RFR Data - preExcl'!U30,IFERROR(0/0,""))</f>
        <v/>
      </c>
      <c r="X30" s="81"/>
      <c r="Y30" s="105"/>
      <c r="AC30" s="81"/>
      <c r="AF30" s="81"/>
    </row>
    <row r="31">
      <c r="A31" s="6" t="s">
        <v>48</v>
      </c>
      <c r="B31" s="55">
        <v>44589.0</v>
      </c>
      <c r="C31" s="83" t="str">
        <f t="shared" si="18"/>
        <v/>
      </c>
      <c r="D31" s="56">
        <f t="array" ref="D31">IF(OR(ISBLANK($A31),C31),IFERROR(0/0,""),INDEX('RFR Data - preExcl'!E$2:E115,$R31,1))</f>
        <v>7</v>
      </c>
      <c r="E31" s="56">
        <f t="array" ref="E31">IF(OR(ISBLANK($A31),$C31),IFERROR(0/0,""),INDEX('RFR Data - preExcl'!Z$2:Z115,$R31,1))</f>
        <v>9</v>
      </c>
      <c r="F31" s="56">
        <f t="array" ref="F31">IF(OR(ISBLANK(A31),C31),IFERROR(0/0,""),INDEX('RFR Data - preExcl'!AC$2:AC115,$R31,1))</f>
        <v>7</v>
      </c>
      <c r="G31" s="48">
        <f t="array" ref="G31">IF(OR(ISBLANK(A31),C31),IFERROR(0/0,""),INDEX('RFR Data - preExcl'!AK$2:AK115,$R31,1))</f>
        <v>7</v>
      </c>
      <c r="H31" s="56">
        <f t="array" ref="H31">IF(OR(ISBLANK(A31),C31),IFERROR(0/0,""),INDEX('RFR Data - preExcl'!AL$2:AL115,$R31,1))</f>
        <v>1</v>
      </c>
      <c r="I31" s="48">
        <f>IFERROR(VLOOKUP($B31,'APS Tubes by Date Import'!$B$2:$J115,2,FALSE),"")</f>
        <v>7</v>
      </c>
      <c r="J31" s="56" t="b">
        <f>IFERROR(VLOOKUP($B31,'APS Tubes by Date Import'!$B$2:$J115,9,FALSE),"")</f>
        <v>1</v>
      </c>
      <c r="K31" s="56">
        <f>IFNA(VLOOKUP($B31,'APS Tubes by Date Import'!$B$2:$J115,6,FALSE),"")</f>
        <v>0</v>
      </c>
      <c r="L31" s="48">
        <f t="shared" si="19"/>
        <v>7</v>
      </c>
      <c r="M31" s="49" t="str">
        <f t="shared" si="20"/>
        <v/>
      </c>
      <c r="N31" s="91">
        <v>0.0</v>
      </c>
      <c r="O31" s="20" t="b">
        <f t="shared" si="17"/>
        <v>1</v>
      </c>
      <c r="P31" s="86" t="str">
        <f>IF(ISBLANK(N31),IFERROR(0/0,""),IFERROR(VLOOKUP(N31, 'Process Ref'!$A$76:$D$123, 2, FALSE), IFERROR(0/0,"")))</f>
        <v>ALL 3 COUNTS SAME meaning APS Collect = APS Result = RFR</v>
      </c>
      <c r="Q31" s="6" t="str">
        <f t="shared" si="21"/>
        <v/>
      </c>
      <c r="R31" s="87">
        <f>IFNA(MATCH(A31,'RFR Data - preExcl'!A$2:A115,0),"")</f>
        <v>22</v>
      </c>
      <c r="S31" s="43"/>
      <c r="T31" s="20" t="str">
        <f>IF(EXACT('RFR Data - preExcl'!W31,"Initial"),'RFR Data - preExcl'!A31,IFERROR(0/0,""))</f>
        <v>RUN-BEND_2022-02-11_RFR-030</v>
      </c>
      <c r="U31" s="92">
        <f>IF(EXACT('RFR Data - preExcl'!W31,"Initial"),'RFR Data - preExcl'!U31,IFERROR(0/0,""))</f>
        <v>44603</v>
      </c>
      <c r="X31" s="81"/>
      <c r="Y31" s="105"/>
      <c r="AC31" s="81"/>
      <c r="AF31" s="81"/>
    </row>
    <row r="32">
      <c r="A32" s="6" t="s">
        <v>49</v>
      </c>
      <c r="B32" s="55">
        <v>44592.0</v>
      </c>
      <c r="C32" s="83" t="str">
        <f t="shared" si="18"/>
        <v/>
      </c>
      <c r="D32" s="129">
        <f t="array" ref="D32">IF(OR(ISBLANK($A32),C32),IFERROR(0/0,""),INDEX('RFR Data - preExcl'!E$2:E115,$R32,1))</f>
        <v>9</v>
      </c>
      <c r="E32" s="56">
        <f t="array" ref="E32">IF(OR(ISBLANK($A32),$C32),IFERROR(0/0,""),INDEX('RFR Data - preExcl'!Z$2:Z115,$R32,1))</f>
        <v>12</v>
      </c>
      <c r="F32" s="56">
        <f t="array" ref="F32">IF(OR(ISBLANK(A32),C32),IFERROR(0/0,""),INDEX('RFR Data - preExcl'!AC$2:AC115,$R32,1))</f>
        <v>10</v>
      </c>
      <c r="G32" s="48">
        <f t="array" ref="G32">IF(OR(ISBLANK(A32),C32),IFERROR(0/0,""),INDEX('RFR Data - preExcl'!AK$2:AK115,$R32,1))</f>
        <v>10</v>
      </c>
      <c r="H32" s="56">
        <f t="array" ref="H32">IF(OR(ISBLANK(A32),C32),IFERROR(0/0,""),INDEX('RFR Data - preExcl'!AL$2:AL115,$R32,1))</f>
        <v>0</v>
      </c>
      <c r="I32" s="48">
        <f>IFERROR(VLOOKUP($B32,'APS Tubes by Date Import'!$B$2:$J115,2,FALSE),"")</f>
        <v>10</v>
      </c>
      <c r="J32" s="56" t="b">
        <f>IFERROR(VLOOKUP($B32,'APS Tubes by Date Import'!$B$2:$J115,9,FALSE),"")</f>
        <v>1</v>
      </c>
      <c r="K32" s="56">
        <f>IFNA(VLOOKUP($B32,'APS Tubes by Date Import'!$B$2:$J115,6,FALSE),"")</f>
        <v>0</v>
      </c>
      <c r="L32" s="48">
        <f t="shared" si="19"/>
        <v>10</v>
      </c>
      <c r="M32" s="49" t="str">
        <f t="shared" si="20"/>
        <v/>
      </c>
      <c r="N32" s="91">
        <v>0.4</v>
      </c>
      <c r="O32" s="20" t="b">
        <f t="shared" si="17"/>
        <v>1</v>
      </c>
      <c r="P32" s="86" t="str">
        <f>IF(ISBLANK(N32),IFERROR(0/0,""),IFERROR(VLOOKUP(N32, 'Process Ref'!$A$76:$D$123, 2, FALSE), IFERROR(0/0,"")))</f>
        <v>ALL 3 COUNTS SAME but GFORM Num of Samples is different</v>
      </c>
      <c r="Q32" s="86" t="s">
        <v>98</v>
      </c>
      <c r="R32" s="87">
        <f>IFNA(MATCH(A32,'RFR Data - preExcl'!A$2:A115,0),"")</f>
        <v>24</v>
      </c>
      <c r="S32" s="43"/>
      <c r="T32" s="20" t="str">
        <f>IF(EXACT('RFR Data - preExcl'!W32,"Initial"),'RFR Data - preExcl'!A32,IFERROR(0/0,""))</f>
        <v>RUN-BEND_2022-02-12_RFR-031</v>
      </c>
      <c r="U32" s="92">
        <f>IF(EXACT('RFR Data - preExcl'!W32,"Initial"),'RFR Data - preExcl'!U32,IFERROR(0/0,""))</f>
        <v>44604</v>
      </c>
      <c r="X32" s="81"/>
      <c r="Y32" s="105"/>
      <c r="AC32" s="81"/>
      <c r="AF32" s="81"/>
    </row>
    <row r="33">
      <c r="A33" s="6" t="s">
        <v>50</v>
      </c>
      <c r="B33" s="55">
        <v>44594.0</v>
      </c>
      <c r="C33" s="83" t="str">
        <f t="shared" si="18"/>
        <v/>
      </c>
      <c r="D33" s="103">
        <f t="array" ref="D33">IF(OR(ISBLANK($A33),C33),IFERROR(0/0,""),INDEX('RFR Data - preExcl'!E$2:E115,$R33,1))</f>
        <v>9</v>
      </c>
      <c r="E33" s="56">
        <f t="array" ref="E33">IF(OR(ISBLANK($A33),$C33),IFERROR(0/0,""),INDEX('RFR Data - preExcl'!Z$2:Z115,$R33,1))</f>
        <v>12</v>
      </c>
      <c r="F33" s="56">
        <f t="array" ref="F33">IF(OR(ISBLANK(A33),C33),IFERROR(0/0,""),INDEX('RFR Data - preExcl'!AC$2:AC115,$R33,1))</f>
        <v>10</v>
      </c>
      <c r="G33" s="56">
        <f t="array" ref="G33">IF(OR(ISBLANK(A33),C33),IFERROR(0/0,""),INDEX('RFR Data - preExcl'!AK$2:AK115,$R33,1))</f>
        <v>10</v>
      </c>
      <c r="H33" s="56">
        <f t="array" ref="H33">IF(OR(ISBLANK(A33),C33),IFERROR(0/0,""),INDEX('RFR Data - preExcl'!AL$2:AL115,$R33,1))</f>
        <v>4</v>
      </c>
      <c r="I33" s="103">
        <f>IFERROR(VLOOKUP($B33,'APS Tubes by Date Import'!$B$2:$J115,2,FALSE),"")</f>
        <v>9</v>
      </c>
      <c r="J33" s="56" t="str">
        <f>IFERROR(VLOOKUP($B33,'APS Tubes by Date Import'!$B$2:$J115,9,FALSE),"")</f>
        <v/>
      </c>
      <c r="K33" s="56">
        <f>IFNA(VLOOKUP($B33,'APS Tubes by Date Import'!$B$2:$J115,6,FALSE),"")</f>
        <v>0</v>
      </c>
      <c r="L33" s="104">
        <v>9.0</v>
      </c>
      <c r="M33" s="49" t="str">
        <f t="shared" si="20"/>
        <v/>
      </c>
      <c r="N33" s="104">
        <v>3.6</v>
      </c>
      <c r="O33" s="20" t="b">
        <f t="shared" si="17"/>
        <v>1</v>
      </c>
      <c r="P33" s="86" t="str">
        <f>IF(ISBLANK(N33),IFERROR(0/0,""),IFERROR(VLOOKUP(N33, 'Process Ref'!$A$76:$D$123, 2, FALSE), IFERROR(0/0,"")))</f>
        <v>RFR Raw Num Samples Gform = APS Collect</v>
      </c>
      <c r="R33" s="87">
        <f>IFNA(MATCH(A33,'RFR Data - preExcl'!A$2:A115,0),"")</f>
        <v>25</v>
      </c>
      <c r="S33" s="43"/>
      <c r="T33" s="20" t="str">
        <f>IF(EXACT('RFR Data - preExcl'!W33,"Initial"),'RFR Data - preExcl'!A33,IFERROR(0/0,""))</f>
        <v>RUN-BEND_2022-02-15_RFR-032</v>
      </c>
      <c r="U33" s="92">
        <f>IF(EXACT('RFR Data - preExcl'!W33,"Initial"),'RFR Data - preExcl'!U33,IFERROR(0/0,""))</f>
        <v>44607</v>
      </c>
      <c r="X33" s="81"/>
      <c r="Y33" s="105"/>
      <c r="AC33" s="81"/>
      <c r="AF33" s="81"/>
    </row>
    <row r="34">
      <c r="A34" s="6" t="s">
        <v>51</v>
      </c>
      <c r="B34" s="55">
        <v>44596.0</v>
      </c>
      <c r="C34" s="83" t="str">
        <f t="shared" si="18"/>
        <v/>
      </c>
      <c r="D34" s="103">
        <f t="array" ref="D34">IF(OR(ISBLANK($A34),C34),IFERROR(0/0,""),INDEX('RFR Data - preExcl'!E$2:E115,$R34,1))</f>
        <v>5</v>
      </c>
      <c r="E34" s="56">
        <f t="array" ref="E34">IF(OR(ISBLANK($A34),$C34),IFERROR(0/0,""),INDEX('RFR Data - preExcl'!Z$2:Z115,$R34,1))</f>
        <v>8</v>
      </c>
      <c r="F34" s="56">
        <f t="array" ref="F34">IF(OR(ISBLANK(A34),C34),IFERROR(0/0,""),INDEX('RFR Data - preExcl'!AC$2:AC115,$R34,1))</f>
        <v>6</v>
      </c>
      <c r="G34" s="56">
        <f t="array" ref="G34">IF(OR(ISBLANK(A34),C34),IFERROR(0/0,""),INDEX('RFR Data - preExcl'!AK$2:AK115,$R34,1))</f>
        <v>6</v>
      </c>
      <c r="H34" s="56">
        <f t="array" ref="H34">IF(OR(ISBLANK(A34),C34),IFERROR(0/0,""),INDEX('RFR Data - preExcl'!AL$2:AL115,$R34,1))</f>
        <v>0</v>
      </c>
      <c r="I34" s="103">
        <f>IFERROR(VLOOKUP($B34,'APS Tubes by Date Import'!$B$2:$J115,2,FALSE),"")</f>
        <v>5</v>
      </c>
      <c r="J34" s="56" t="b">
        <f>IFERROR(VLOOKUP($B34,'APS Tubes by Date Import'!$B$2:$J115,9,FALSE),"")</f>
        <v>1</v>
      </c>
      <c r="K34" s="56">
        <f>IFNA(VLOOKUP($B34,'APS Tubes by Date Import'!$B$2:$J115,6,FALSE),"")</f>
        <v>0</v>
      </c>
      <c r="L34" s="104">
        <v>5.0</v>
      </c>
      <c r="M34" s="49" t="str">
        <f t="shared" si="20"/>
        <v/>
      </c>
      <c r="N34" s="104">
        <v>3.6</v>
      </c>
      <c r="O34" s="20" t="b">
        <f t="shared" si="17"/>
        <v>1</v>
      </c>
      <c r="P34" s="86" t="str">
        <f>IF(ISBLANK(N34),IFERROR(0/0,""),IFERROR(VLOOKUP(N34, 'Process Ref'!$A$76:$D$123, 2, FALSE), IFERROR(0/0,"")))</f>
        <v>RFR Raw Num Samples Gform = APS Collect</v>
      </c>
      <c r="Q34" s="6" t="str">
        <f t="shared" ref="Q34:Q38" si="22">IFS(OR(N34=0.1,N34=1.1,N34=2.1),"NULL &gt; NEG",N34=3, "Delete NULL",TRUE,IFERROR(0/0,""))</f>
        <v/>
      </c>
      <c r="R34" s="87">
        <f>IFNA(MATCH(A34,'RFR Data - preExcl'!A$2:A115,0),"")</f>
        <v>26</v>
      </c>
      <c r="S34" s="43"/>
      <c r="T34" s="20" t="str">
        <f>IF(EXACT('RFR Data - preExcl'!W34,"Initial"),'RFR Data - preExcl'!A34,IFERROR(0/0,""))</f>
        <v/>
      </c>
      <c r="U34" s="20" t="str">
        <f>IF(EXACT('RFR Data - preExcl'!W34,"Initial"),'RFR Data - preExcl'!U34,IFERROR(0/0,""))</f>
        <v/>
      </c>
      <c r="X34" s="81"/>
      <c r="Y34" s="105"/>
      <c r="AC34" s="81"/>
      <c r="AF34" s="81"/>
    </row>
    <row r="35">
      <c r="A35" s="6" t="s">
        <v>52</v>
      </c>
      <c r="B35" s="55">
        <v>44599.0</v>
      </c>
      <c r="C35" s="83" t="str">
        <f t="shared" si="18"/>
        <v/>
      </c>
      <c r="D35" s="103">
        <f t="array" ref="D35">IF(OR(ISBLANK($A35),C35),IFERROR(0/0,""),INDEX('RFR Data - preExcl'!E$2:E115,$R35,1))</f>
        <v>13</v>
      </c>
      <c r="E35" s="56">
        <f t="array" ref="E35">IF(OR(ISBLANK($A35),$C35),IFERROR(0/0,""),INDEX('RFR Data - preExcl'!Z$2:Z115,$R35,1))</f>
        <v>16</v>
      </c>
      <c r="F35" s="56">
        <f t="array" ref="F35">IF(OR(ISBLANK(A35),C35),IFERROR(0/0,""),INDEX('RFR Data - preExcl'!AC$2:AC115,$R35,1))</f>
        <v>14</v>
      </c>
      <c r="G35" s="56">
        <f t="array" ref="G35">IF(OR(ISBLANK(A35),C35),IFERROR(0/0,""),INDEX('RFR Data - preExcl'!AK$2:AK115,$R35,1))</f>
        <v>14</v>
      </c>
      <c r="H35" s="56">
        <f t="array" ref="H35">IF(OR(ISBLANK(A35),C35),IFERROR(0/0,""),INDEX('RFR Data - preExcl'!AL$2:AL115,$R35,1))</f>
        <v>4</v>
      </c>
      <c r="I35" s="103">
        <f>IFERROR(VLOOKUP($B35,'APS Tubes by Date Import'!$B$2:$J115,2,FALSE),"")</f>
        <v>13</v>
      </c>
      <c r="J35" s="56" t="b">
        <f>IFERROR(VLOOKUP($B35,'APS Tubes by Date Import'!$B$2:$J115,9,FALSE),"")</f>
        <v>1</v>
      </c>
      <c r="K35" s="56">
        <f>IFNA(VLOOKUP($B35,'APS Tubes by Date Import'!$B$2:$J115,6,FALSE),"")</f>
        <v>0</v>
      </c>
      <c r="L35" s="104">
        <v>13.0</v>
      </c>
      <c r="M35" s="49" t="str">
        <f t="shared" si="20"/>
        <v/>
      </c>
      <c r="N35" s="103">
        <v>3.6</v>
      </c>
      <c r="O35" s="20" t="b">
        <f t="shared" si="17"/>
        <v>1</v>
      </c>
      <c r="P35" s="86" t="str">
        <f>IF(ISBLANK(N35),IFERROR(0/0,""),IFERROR(VLOOKUP(N35, 'Process Ref'!$A$76:$D$123, 2, FALSE), IFERROR(0/0,"")))</f>
        <v>RFR Raw Num Samples Gform = APS Collect</v>
      </c>
      <c r="Q35" s="6" t="str">
        <f t="shared" si="22"/>
        <v/>
      </c>
      <c r="R35" s="87">
        <f>IFNA(MATCH(A35,'RFR Data - preExcl'!A$2:A115,0),"")</f>
        <v>27</v>
      </c>
      <c r="S35" s="43"/>
      <c r="T35" s="20" t="str">
        <f>IF(EXACT('RFR Data - preExcl'!W35,"Initial"),'RFR Data - preExcl'!A35,IFERROR(0/0,""))</f>
        <v/>
      </c>
      <c r="U35" s="20" t="str">
        <f>IF(EXACT('RFR Data - preExcl'!W35,"Initial"),'RFR Data - preExcl'!U35,IFERROR(0/0,""))</f>
        <v/>
      </c>
      <c r="X35" s="81"/>
      <c r="Y35" s="105"/>
      <c r="AC35" s="81"/>
      <c r="AF35" s="81"/>
    </row>
    <row r="36">
      <c r="A36" s="6" t="s">
        <v>53</v>
      </c>
      <c r="B36" s="55">
        <v>44601.0</v>
      </c>
      <c r="C36" s="83" t="str">
        <f t="shared" si="18"/>
        <v/>
      </c>
      <c r="D36" s="48">
        <f t="array" ref="D36">IF(OR(ISBLANK($A36),C36),IFERROR(0/0,""),INDEX('RFR Data - preExcl'!E$2:E115,$R36,1))</f>
        <v>14</v>
      </c>
      <c r="E36" s="56">
        <f t="array" ref="E36">IF(OR(ISBLANK($A36),$C36),IFERROR(0/0,""),INDEX('RFR Data - preExcl'!Z$2:Z115,$R36,1))</f>
        <v>18</v>
      </c>
      <c r="F36" s="56">
        <f t="array" ref="F36">IF(OR(ISBLANK(A36),C36),IFERROR(0/0,""),INDEX('RFR Data - preExcl'!AC$2:AC115,$R36,1))</f>
        <v>16</v>
      </c>
      <c r="G36" s="48">
        <f t="array" ref="G36">IF(OR(ISBLANK(A36),C36),IFERROR(0/0,""),INDEX('RFR Data - preExcl'!AK$2:AK115,$R36,1))</f>
        <v>14</v>
      </c>
      <c r="H36" s="56">
        <f t="array" ref="H36">IF(OR(ISBLANK(A36),C36),IFERROR(0/0,""),INDEX('RFR Data - preExcl'!AL$2:AL115,$R36,1))</f>
        <v>4</v>
      </c>
      <c r="I36" s="48">
        <f>IFERROR(VLOOKUP($B36,'APS Tubes by Date Import'!$B$2:$J115,2,FALSE),"")</f>
        <v>14</v>
      </c>
      <c r="J36" s="56" t="b">
        <f>IFERROR(VLOOKUP($B36,'APS Tubes by Date Import'!$B$2:$J115,9,FALSE),"")</f>
        <v>1</v>
      </c>
      <c r="K36" s="56">
        <f>IFNA(VLOOKUP($B36,'APS Tubes by Date Import'!$B$2:$J115,6,FALSE),"")</f>
        <v>0</v>
      </c>
      <c r="L36" s="48">
        <f t="shared" ref="L36:L39" si="23">G36</f>
        <v>14</v>
      </c>
      <c r="M36" s="49" t="str">
        <f t="shared" si="20"/>
        <v/>
      </c>
      <c r="N36" s="91">
        <v>0.0</v>
      </c>
      <c r="O36" s="20" t="b">
        <f t="shared" si="17"/>
        <v>1</v>
      </c>
      <c r="P36" s="86" t="str">
        <f>IF(ISBLANK(N36),IFERROR(0/0,""),IFERROR(VLOOKUP(N36, 'Process Ref'!$A$76:$D$123, 2, FALSE), IFERROR(0/0,"")))</f>
        <v>ALL 3 COUNTS SAME meaning APS Collect = APS Result = RFR</v>
      </c>
      <c r="Q36" s="6" t="str">
        <f t="shared" si="22"/>
        <v/>
      </c>
      <c r="R36" s="87">
        <f>IFNA(MATCH(A36,'RFR Data - preExcl'!A$2:A115,0),"")</f>
        <v>28</v>
      </c>
      <c r="S36" s="43"/>
      <c r="T36" s="20" t="str">
        <f>IF(EXACT('RFR Data - preExcl'!W36,"Initial"),'RFR Data - preExcl'!A36,IFERROR(0/0,""))</f>
        <v>RUN-BEND_2022-02-17_RFR-035</v>
      </c>
      <c r="U36" s="92">
        <f>IF(EXACT('RFR Data - preExcl'!W36,"Initial"),'RFR Data - preExcl'!U36,IFERROR(0/0,""))</f>
        <v>44609</v>
      </c>
      <c r="X36" s="81"/>
      <c r="Y36" s="105"/>
      <c r="AC36" s="81"/>
      <c r="AF36" s="81"/>
    </row>
    <row r="37">
      <c r="A37" s="6" t="s">
        <v>54</v>
      </c>
      <c r="B37" s="55">
        <v>44603.0</v>
      </c>
      <c r="C37" s="83" t="str">
        <f t="shared" si="18"/>
        <v/>
      </c>
      <c r="D37" s="129">
        <f t="array" ref="D37">IF(OR(ISBLANK($A37),C37),IFERROR(0/0,""),INDEX('RFR Data - preExcl'!E$2:E115,$R37,1))</f>
        <v>11</v>
      </c>
      <c r="E37" s="56">
        <f t="array" ref="E37">IF(OR(ISBLANK($A37),$C37),IFERROR(0/0,""),INDEX('RFR Data - preExcl'!Z$2:Z115,$R37,1))</f>
        <v>11</v>
      </c>
      <c r="F37" s="56">
        <f t="array" ref="F37">IF(OR(ISBLANK(A37),C37),IFERROR(0/0,""),INDEX('RFR Data - preExcl'!AC$2:AC115,$R37,1))</f>
        <v>9</v>
      </c>
      <c r="G37" s="48">
        <f t="array" ref="G37">IF(OR(ISBLANK(A37),C37),IFERROR(0/0,""),INDEX('RFR Data - preExcl'!AK$2:AK115,$R37,1))</f>
        <v>9</v>
      </c>
      <c r="H37" s="56">
        <f t="array" ref="H37">IF(OR(ISBLANK(A37),C37),IFERROR(0/0,""),INDEX('RFR Data - preExcl'!AL$2:AL115,$R37,1))</f>
        <v>4</v>
      </c>
      <c r="I37" s="48">
        <f>IFERROR(VLOOKUP($B37,'APS Tubes by Date Import'!$B$2:$J115,2,FALSE),"")</f>
        <v>9</v>
      </c>
      <c r="J37" s="56" t="b">
        <f>IFERROR(VLOOKUP($B37,'APS Tubes by Date Import'!$B$2:$J115,9,FALSE),"")</f>
        <v>1</v>
      </c>
      <c r="K37" s="56">
        <f>IFNA(VLOOKUP($B37,'APS Tubes by Date Import'!$B$2:$J115,6,FALSE),"")</f>
        <v>0</v>
      </c>
      <c r="L37" s="48">
        <f t="shared" si="23"/>
        <v>9</v>
      </c>
      <c r="M37" s="49" t="str">
        <f t="shared" si="20"/>
        <v/>
      </c>
      <c r="N37" s="91">
        <v>0.4</v>
      </c>
      <c r="O37" s="20" t="b">
        <f t="shared" si="17"/>
        <v>1</v>
      </c>
      <c r="P37" s="86" t="str">
        <f>IF(ISBLANK(N37),IFERROR(0/0,""),IFERROR(VLOOKUP(N37, 'Process Ref'!$A$76:$D$123, 2, FALSE), IFERROR(0/0,"")))</f>
        <v>ALL 3 COUNTS SAME but GFORM Num of Samples is different</v>
      </c>
      <c r="Q37" s="6" t="str">
        <f t="shared" si="22"/>
        <v/>
      </c>
      <c r="R37" s="87">
        <f>IFNA(MATCH(A37,'RFR Data - preExcl'!A$2:A115,0),"")</f>
        <v>30</v>
      </c>
      <c r="S37" s="43"/>
      <c r="T37" s="20" t="str">
        <f>IF(EXACT('RFR Data - preExcl'!W37,"Initial"),'RFR Data - preExcl'!A37,IFERROR(0/0,""))</f>
        <v>RUN-BEND_2022-02-19_RFR-036</v>
      </c>
      <c r="U37" s="92">
        <f>IF(EXACT('RFR Data - preExcl'!W37,"Initial"),'RFR Data - preExcl'!U37,IFERROR(0/0,""))</f>
        <v>44611</v>
      </c>
      <c r="X37" s="81"/>
      <c r="Y37" s="105"/>
      <c r="AC37" s="81"/>
      <c r="AF37" s="81"/>
    </row>
    <row r="38">
      <c r="A38" s="6" t="s">
        <v>55</v>
      </c>
      <c r="B38" s="55">
        <v>44604.0</v>
      </c>
      <c r="C38" s="83" t="str">
        <f t="shared" si="18"/>
        <v/>
      </c>
      <c r="D38" s="48">
        <f t="array" ref="D38">IF(OR(ISBLANK($A38),C38),IFERROR(0/0,""),INDEX('RFR Data - preExcl'!E$2:E115,$R38,1))</f>
        <v>2</v>
      </c>
      <c r="E38" s="56">
        <f t="array" ref="E38">IF(OR(ISBLANK($A38),$C38),IFERROR(0/0,""),INDEX('RFR Data - preExcl'!Z$2:Z115,$R38,1))</f>
        <v>4</v>
      </c>
      <c r="F38" s="56">
        <f t="array" ref="F38">IF(OR(ISBLANK(A38),C38),IFERROR(0/0,""),INDEX('RFR Data - preExcl'!AC$2:AC115,$R38,1))</f>
        <v>2</v>
      </c>
      <c r="G38" s="48">
        <f t="array" ref="G38">IF(OR(ISBLANK(A38),C38),IFERROR(0/0,""),INDEX('RFR Data - preExcl'!AK$2:AK115,$R38,1))</f>
        <v>2</v>
      </c>
      <c r="H38" s="56">
        <f t="array" ref="H38">IF(OR(ISBLANK(A38),C38),IFERROR(0/0,""),INDEX('RFR Data - preExcl'!AL$2:AL115,$R38,1))</f>
        <v>4</v>
      </c>
      <c r="I38" s="48">
        <f>IFERROR(VLOOKUP($B38,'APS Tubes by Date Import'!$B$2:$J115,2,FALSE),"")</f>
        <v>2</v>
      </c>
      <c r="J38" s="56" t="b">
        <f>IFERROR(VLOOKUP($B38,'APS Tubes by Date Import'!$B$2:$J115,9,FALSE),"")</f>
        <v>1</v>
      </c>
      <c r="K38" s="56">
        <f>IFNA(VLOOKUP($B38,'APS Tubes by Date Import'!$B$2:$J115,6,FALSE),"")</f>
        <v>0</v>
      </c>
      <c r="L38" s="48">
        <f t="shared" si="23"/>
        <v>2</v>
      </c>
      <c r="M38" s="49" t="str">
        <f t="shared" si="20"/>
        <v/>
      </c>
      <c r="N38" s="91">
        <v>0.0</v>
      </c>
      <c r="O38" s="20" t="b">
        <f t="shared" si="17"/>
        <v>1</v>
      </c>
      <c r="P38" s="86" t="str">
        <f>IF(ISBLANK(N38),IFERROR(0/0,""),IFERROR(VLOOKUP(N38, 'Process Ref'!$A$76:$D$123, 2, FALSE), IFERROR(0/0,"")))</f>
        <v>ALL 3 COUNTS SAME meaning APS Collect = APS Result = RFR</v>
      </c>
      <c r="Q38" s="6" t="str">
        <f t="shared" si="22"/>
        <v/>
      </c>
      <c r="R38" s="87">
        <f>IFNA(MATCH(A38,'RFR Data - preExcl'!A$2:A115,0),"")</f>
        <v>31</v>
      </c>
      <c r="S38" s="43"/>
      <c r="T38" s="20" t="str">
        <f>IF(EXACT('RFR Data - preExcl'!W38,"Initial"),'RFR Data - preExcl'!A38,IFERROR(0/0,""))</f>
        <v>RUN-BEND_2022-02-21_RFR-037</v>
      </c>
      <c r="U38" s="92">
        <f>IF(EXACT('RFR Data - preExcl'!W38,"Initial"),'RFR Data - preExcl'!U38,IFERROR(0/0,""))</f>
        <v>44613</v>
      </c>
      <c r="X38" s="81"/>
      <c r="Y38" s="105"/>
      <c r="AC38" s="81"/>
      <c r="AF38" s="81"/>
    </row>
    <row r="39">
      <c r="A39" s="6" t="s">
        <v>56</v>
      </c>
      <c r="B39" s="55">
        <v>44607.0</v>
      </c>
      <c r="C39" s="83" t="str">
        <f t="shared" si="18"/>
        <v/>
      </c>
      <c r="D39" s="129">
        <f t="array" ref="D39">IF(OR(ISBLANK($A39),C39),IFERROR(0/0,""),INDEX('RFR Data - preExcl'!E$2:E115,$R39,1))</f>
        <v>34</v>
      </c>
      <c r="E39" s="56">
        <f t="array" ref="E39">IF(OR(ISBLANK($A39),$C39),IFERROR(0/0,""),INDEX('RFR Data - preExcl'!Z$2:Z115,$R39,1))</f>
        <v>37</v>
      </c>
      <c r="F39" s="56">
        <f t="array" ref="F39">IF(OR(ISBLANK(A39),C39),IFERROR(0/0,""),INDEX('RFR Data - preExcl'!AC$2:AC115,$R39,1))</f>
        <v>33</v>
      </c>
      <c r="G39" s="48">
        <f t="array" ref="G39">IF(OR(ISBLANK(A39),C39),IFERROR(0/0,""),INDEX('RFR Data - preExcl'!AK$2:AK115,$R39,1))</f>
        <v>33</v>
      </c>
      <c r="H39" s="56">
        <f t="array" ref="H39">IF(OR(ISBLANK(A39),C39),IFERROR(0/0,""),INDEX('RFR Data - preExcl'!AL$2:AL115,$R39,1))</f>
        <v>2</v>
      </c>
      <c r="I39" s="48">
        <f>IFERROR(VLOOKUP($B39,'APS Tubes by Date Import'!$B$2:$J115,2,FALSE),"")</f>
        <v>33</v>
      </c>
      <c r="J39" s="56" t="b">
        <f>IFERROR(VLOOKUP($B39,'APS Tubes by Date Import'!$B$2:$J115,9,FALSE),"")</f>
        <v>1</v>
      </c>
      <c r="K39" s="56">
        <f>IFNA(VLOOKUP($B39,'APS Tubes by Date Import'!$B$2:$J115,6,FALSE),"")</f>
        <v>0</v>
      </c>
      <c r="L39" s="48">
        <f t="shared" si="23"/>
        <v>33</v>
      </c>
      <c r="M39" s="49" t="str">
        <f t="shared" si="20"/>
        <v/>
      </c>
      <c r="N39" s="91">
        <v>1.1</v>
      </c>
      <c r="O39" s="20" t="b">
        <f t="shared" si="17"/>
        <v>1</v>
      </c>
      <c r="P39" s="86" t="str">
        <f>IF(ISBLANK(N39),IFERROR(0/0,""),IFERROR(VLOOKUP(N39, 'Process Ref'!$A$76:$D$123, 2, FALSE), IFERROR(0/0,"")))</f>
        <v>Use APS Collect = RFR (diff APS Result count but nets out) after Null called Neg</v>
      </c>
      <c r="Q39" s="86" t="s">
        <v>99</v>
      </c>
      <c r="R39" s="87">
        <f>IFNA(MATCH(A39,'RFR Data - preExcl'!A$2:A115,0),"")</f>
        <v>32</v>
      </c>
      <c r="S39" s="43"/>
      <c r="T39" s="20" t="str">
        <f>IF(EXACT('RFR Data - preExcl'!W39,"Initial"),'RFR Data - preExcl'!A39,IFERROR(0/0,""))</f>
        <v>RUN-BEND_2022-02-22_RFR-038</v>
      </c>
      <c r="U39" s="92">
        <f>IF(EXACT('RFR Data - preExcl'!W39,"Initial"),'RFR Data - preExcl'!U39,IFERROR(0/0,""))</f>
        <v>44614</v>
      </c>
      <c r="X39" s="81"/>
      <c r="Y39" s="105"/>
      <c r="AC39" s="81"/>
      <c r="AF39" s="81"/>
    </row>
    <row r="40">
      <c r="A40" s="6" t="s">
        <v>57</v>
      </c>
      <c r="B40" s="55">
        <v>44609.0</v>
      </c>
      <c r="C40" s="83" t="str">
        <f t="shared" si="18"/>
        <v/>
      </c>
      <c r="D40" s="56">
        <f t="array" ref="D40">IF(OR(ISBLANK($A40),C40),IFERROR(0/0,""),INDEX('RFR Data - preExcl'!E$2:E115,$R40,1))</f>
        <v>32</v>
      </c>
      <c r="E40" s="56">
        <f t="array" ref="E40">IF(OR(ISBLANK($A40),$C40),IFERROR(0/0,""),INDEX('RFR Data - preExcl'!Z$2:Z115,$R40,1))</f>
        <v>34</v>
      </c>
      <c r="F40" s="56">
        <f t="array" ref="F40">IF(OR(ISBLANK(A40),C40),IFERROR(0/0,""),INDEX('RFR Data - preExcl'!AC$2:AC115,$R40,1))</f>
        <v>32</v>
      </c>
      <c r="G40" s="110">
        <f t="array" ref="G40">IF(OR(ISBLANK(A40),C40),IFERROR(0/0,""),INDEX('RFR Data - preExcl'!AK$2:AK115,$R40,1))</f>
        <v>32</v>
      </c>
      <c r="H40" s="56">
        <f t="array" ref="H40">IF(OR(ISBLANK(A40),C40),IFERROR(0/0,""),INDEX('RFR Data - preExcl'!AL$2:AL115,$R40,1))</f>
        <v>2</v>
      </c>
      <c r="I40" s="110">
        <f>IFERROR(VLOOKUP($B40,'APS Tubes by Date Import'!$B$2:$J115,2,FALSE),"")</f>
        <v>33</v>
      </c>
      <c r="J40" s="56" t="str">
        <f>IFERROR(VLOOKUP($B40,'APS Tubes by Date Import'!$B$2:$J115,9,FALSE),"")</f>
        <v/>
      </c>
      <c r="K40" s="56">
        <f>IFNA(VLOOKUP($B40,'APS Tubes by Date Import'!$B$2:$J115,6,FALSE),"")</f>
        <v>0</v>
      </c>
      <c r="L40" s="110">
        <f>I40</f>
        <v>33</v>
      </c>
      <c r="M40" s="49" t="str">
        <f t="shared" si="20"/>
        <v/>
      </c>
      <c r="N40" s="128">
        <v>8.1</v>
      </c>
      <c r="O40" s="20" t="str">
        <f t="shared" si="17"/>
        <v/>
      </c>
      <c r="P40" s="86" t="str">
        <f>IF(ISBLANK(N40),IFERROR(0/0,""),IFERROR(VLOOKUP(N40, 'Process Ref'!$A$76:$D$123, 2, FALSE), IFERROR(0/0,"")))</f>
        <v>Use APS Collect count != RFR Audit</v>
      </c>
      <c r="Q40" s="86" t="s">
        <v>95</v>
      </c>
      <c r="R40" s="87">
        <f>IFNA(MATCH(A40,'RFR Data - preExcl'!A$2:A115,0),"")</f>
        <v>35</v>
      </c>
      <c r="S40" s="43"/>
      <c r="T40" s="20" t="str">
        <f>IF(EXACT('RFR Data - preExcl'!W40,"Initial"),'RFR Data - preExcl'!A40,IFERROR(0/0,""))</f>
        <v>RUN-BEND_2022-02-23_RFR-039</v>
      </c>
      <c r="U40" s="92">
        <f>IF(EXACT('RFR Data - preExcl'!W40,"Initial"),'RFR Data - preExcl'!U40,IFERROR(0/0,""))</f>
        <v>44615</v>
      </c>
      <c r="X40" s="81"/>
      <c r="Y40" s="105"/>
      <c r="AC40" s="81"/>
      <c r="AF40" s="81"/>
    </row>
    <row r="41">
      <c r="A41" s="6" t="s">
        <v>58</v>
      </c>
      <c r="B41" s="55">
        <v>44611.0</v>
      </c>
      <c r="C41" s="83" t="str">
        <f t="shared" si="18"/>
        <v/>
      </c>
      <c r="D41" s="48">
        <f t="array" ref="D41">IF(OR(ISBLANK($A41),C41),IFERROR(0/0,""),INDEX('RFR Data - preExcl'!E$2:E115,$R41,1))</f>
        <v>31</v>
      </c>
      <c r="E41" s="56">
        <f t="array" ref="E41">IF(OR(ISBLANK($A41),$C41),IFERROR(0/0,""),INDEX('RFR Data - preExcl'!Z$2:Z115,$R41,1))</f>
        <v>33</v>
      </c>
      <c r="F41" s="56">
        <f t="array" ref="F41">IF(OR(ISBLANK(A41),C41),IFERROR(0/0,""),INDEX('RFR Data - preExcl'!AC$2:AC115,$R41,1))</f>
        <v>31</v>
      </c>
      <c r="G41" s="48">
        <f t="array" ref="G41">IF(OR(ISBLANK(A41),C41),IFERROR(0/0,""),INDEX('RFR Data - preExcl'!AK$2:AK115,$R41,1))</f>
        <v>31</v>
      </c>
      <c r="H41" s="56">
        <f t="array" ref="H41">IF(OR(ISBLANK(A41),C41),IFERROR(0/0,""),INDEX('RFR Data - preExcl'!AL$2:AL115,$R41,1))</f>
        <v>0</v>
      </c>
      <c r="I41" s="48">
        <f>IFERROR(VLOOKUP($B41,'APS Tubes by Date Import'!$B$2:$J115,2,FALSE),"")</f>
        <v>31</v>
      </c>
      <c r="J41" s="56" t="b">
        <f>IFERROR(VLOOKUP($B41,'APS Tubes by Date Import'!$B$2:$J115,9,FALSE),"")</f>
        <v>1</v>
      </c>
      <c r="K41" s="56">
        <f>IFNA(VLOOKUP($B41,'APS Tubes by Date Import'!$B$2:$J115,6,FALSE),"")</f>
        <v>0</v>
      </c>
      <c r="L41" s="130">
        <f>G41</f>
        <v>31</v>
      </c>
      <c r="M41" s="49" t="str">
        <f t="shared" si="20"/>
        <v/>
      </c>
      <c r="N41" s="91">
        <v>1.0</v>
      </c>
      <c r="O41" s="20" t="b">
        <f t="shared" si="17"/>
        <v>1</v>
      </c>
      <c r="P41" s="86" t="str">
        <f>IF(ISBLANK(N41),IFERROR(0/0,""),IFERROR(VLOOKUP(N41, 'Process Ref'!$A$76:$D$123, 2, FALSE), IFERROR(0/0,"")))</f>
        <v>Use APS Collect = RFR (diff APS Result count but nets out)</v>
      </c>
      <c r="Q41" s="6" t="str">
        <f t="shared" ref="Q41:Q46" si="24">IFS(OR(N41=0.1,N41=1.1,N41=2.1),"NULL &gt; NEG",N41=3, "Delete NULL",TRUE,IFERROR(0/0,""))</f>
        <v/>
      </c>
      <c r="R41" s="87">
        <f>IFNA(MATCH(A41,'RFR Data - preExcl'!A$2:A115,0),"")</f>
        <v>36</v>
      </c>
      <c r="S41" s="43"/>
      <c r="T41" s="20" t="str">
        <f>IF(EXACT('RFR Data - preExcl'!W41,"Initial"),'RFR Data - preExcl'!A41,IFERROR(0/0,""))</f>
        <v>RUN-BEND_2022-02-25_RFR-040</v>
      </c>
      <c r="U41" s="92">
        <f>IF(EXACT('RFR Data - preExcl'!W41,"Initial"),'RFR Data - preExcl'!U41,IFERROR(0/0,""))</f>
        <v>44617</v>
      </c>
      <c r="X41" s="81"/>
      <c r="Y41" s="105"/>
      <c r="AC41" s="81"/>
      <c r="AF41" s="81"/>
    </row>
    <row r="42">
      <c r="A42" s="6" t="s">
        <v>59</v>
      </c>
      <c r="B42" s="55">
        <v>44613.0</v>
      </c>
      <c r="C42" s="83" t="str">
        <f t="shared" si="18"/>
        <v/>
      </c>
      <c r="D42" s="56">
        <f t="array" ref="D42">IF(OR(ISBLANK($A42),C42),IFERROR(0/0,""),INDEX('RFR Data - preExcl'!E$2:E115,$R42,1))</f>
        <v>29</v>
      </c>
      <c r="E42" s="56">
        <f t="array" ref="E42">IF(OR(ISBLANK($A42),$C42),IFERROR(0/0,""),INDEX('RFR Data - preExcl'!Z$2:Z115,$R42,1))</f>
        <v>31</v>
      </c>
      <c r="F42" s="56">
        <f t="array" ref="F42">IF(OR(ISBLANK(A42),C42),IFERROR(0/0,""),INDEX('RFR Data - preExcl'!AC$2:AC115,$R42,1))</f>
        <v>29</v>
      </c>
      <c r="G42" s="56">
        <f t="array" ref="G42">IF(OR(ISBLANK(A42),C42),IFERROR(0/0,""),INDEX('RFR Data - preExcl'!AK$2:AK115,$R42,1))</f>
        <v>29</v>
      </c>
      <c r="H42" s="56">
        <f t="array" ref="H42">IF(OR(ISBLANK(A42),C42),IFERROR(0/0,""),INDEX('RFR Data - preExcl'!AL$2:AL115,$R42,1))</f>
        <v>0</v>
      </c>
      <c r="I42" s="56">
        <f>IFERROR(VLOOKUP($B42,'APS Tubes by Date Import'!$B$2:$J115,2,FALSE),"")</f>
        <v>28</v>
      </c>
      <c r="J42" s="56" t="b">
        <f>IFERROR(VLOOKUP($B42,'APS Tubes by Date Import'!$B$2:$J115,9,FALSE),"")</f>
        <v>1</v>
      </c>
      <c r="K42" s="56">
        <f>IFNA(VLOOKUP($B42,'APS Tubes by Date Import'!$B$2:$J115,6,FALSE),"")</f>
        <v>0</v>
      </c>
      <c r="L42" s="131">
        <v>29.0</v>
      </c>
      <c r="M42" s="49">
        <f t="shared" si="20"/>
        <v>1</v>
      </c>
      <c r="N42" s="132">
        <v>2.0</v>
      </c>
      <c r="O42" s="20" t="b">
        <f t="shared" si="17"/>
        <v>1</v>
      </c>
      <c r="P42" s="86" t="str">
        <f>IF(ISBLANK(N42),IFERROR(0/0,""),IFERROR(VLOOKUP(N42, 'Process Ref'!$A$76:$D$123, 2, FALSE), IFERROR(0/0,"")))</f>
        <v>Use Audit RFR count (extra tubes in RFR not in Appivo)</v>
      </c>
      <c r="Q42" s="6" t="str">
        <f t="shared" si="24"/>
        <v/>
      </c>
      <c r="R42" s="87">
        <f>IFNA(MATCH(A42,'RFR Data - preExcl'!A$2:A115,0),"")</f>
        <v>37</v>
      </c>
      <c r="S42" s="43"/>
      <c r="T42" s="20" t="str">
        <f>IF(EXACT('RFR Data - preExcl'!W42,"Initial"),'RFR Data - preExcl'!A42,IFERROR(0/0,""))</f>
        <v/>
      </c>
      <c r="U42" s="20" t="str">
        <f>IF(EXACT('RFR Data - preExcl'!W42,"Initial"),'RFR Data - preExcl'!U42,IFERROR(0/0,""))</f>
        <v/>
      </c>
      <c r="X42" s="81"/>
      <c r="Y42" s="105"/>
      <c r="AC42" s="81"/>
      <c r="AF42" s="81"/>
    </row>
    <row r="43">
      <c r="A43" s="6" t="s">
        <v>60</v>
      </c>
      <c r="B43" s="55">
        <v>44614.0</v>
      </c>
      <c r="C43" s="83" t="str">
        <f t="shared" si="18"/>
        <v/>
      </c>
      <c r="D43" s="56">
        <f t="array" ref="D43">IF(OR(ISBLANK($A43),C43),IFERROR(0/0,""),INDEX('RFR Data - preExcl'!E$2:E115,$R43,1))</f>
        <v>1</v>
      </c>
      <c r="E43" s="56">
        <f t="array" ref="E43">IF(OR(ISBLANK($A43),$C43),IFERROR(0/0,""),INDEX('RFR Data - preExcl'!Z$2:Z115,$R43,1))</f>
        <v>3</v>
      </c>
      <c r="F43" s="56">
        <f t="array" ref="F43">IF(OR(ISBLANK(A43),C43),IFERROR(0/0,""),INDEX('RFR Data - preExcl'!AC$2:AC115,$R43,1))</f>
        <v>1</v>
      </c>
      <c r="G43" s="56">
        <f t="array" ref="G43">IF(OR(ISBLANK(A43),C43),IFERROR(0/0,""),INDEX('RFR Data - preExcl'!AK$2:AK115,$R43,1))</f>
        <v>1</v>
      </c>
      <c r="H43" s="56">
        <f t="array" ref="H43">IF(OR(ISBLANK(A43),C43),IFERROR(0/0,""),INDEX('RFR Data - preExcl'!AL$2:AL115,$R43,1))</f>
        <v>4</v>
      </c>
      <c r="I43" s="56">
        <f>IFERROR(VLOOKUP($B43,'APS Tubes by Date Import'!$B$2:$J115,2,FALSE),"")</f>
        <v>1</v>
      </c>
      <c r="J43" s="56" t="b">
        <f>IFERROR(VLOOKUP($B43,'APS Tubes by Date Import'!$B$2:$J115,9,FALSE),"")</f>
        <v>1</v>
      </c>
      <c r="K43" s="56">
        <f>IFNA(VLOOKUP($B43,'APS Tubes by Date Import'!$B$2:$J115,6,FALSE),"")</f>
        <v>0</v>
      </c>
      <c r="L43" s="130">
        <f t="shared" ref="L43:L46" si="25">G43</f>
        <v>1</v>
      </c>
      <c r="M43" s="49" t="str">
        <f t="shared" si="20"/>
        <v/>
      </c>
      <c r="N43" s="91">
        <v>0.0</v>
      </c>
      <c r="O43" s="20" t="b">
        <f t="shared" si="17"/>
        <v>1</v>
      </c>
      <c r="P43" s="86" t="str">
        <f>IF(ISBLANK(N43),IFERROR(0/0,""),IFERROR(VLOOKUP(N43, 'Process Ref'!$A$76:$D$123, 2, FALSE), IFERROR(0/0,"")))</f>
        <v>ALL 3 COUNTS SAME meaning APS Collect = APS Result = RFR</v>
      </c>
      <c r="Q43" s="6" t="str">
        <f t="shared" si="24"/>
        <v/>
      </c>
      <c r="R43" s="87">
        <f>IFNA(MATCH(A43,'RFR Data - preExcl'!A$2:A115,0),"")</f>
        <v>38</v>
      </c>
      <c r="S43" s="43"/>
      <c r="T43" s="20" t="str">
        <f>IF(EXACT('RFR Data - preExcl'!W43,"Initial"),'RFR Data - preExcl'!A43,IFERROR(0/0,""))</f>
        <v>RUN-BEND_2022-02-27_RFR-042</v>
      </c>
      <c r="U43" s="92">
        <f>IF(EXACT('RFR Data - preExcl'!W43,"Initial"),'RFR Data - preExcl'!U43,IFERROR(0/0,""))</f>
        <v>44619</v>
      </c>
      <c r="X43" s="81"/>
      <c r="Y43" s="105"/>
      <c r="AC43" s="81"/>
      <c r="AF43" s="81"/>
    </row>
    <row r="44">
      <c r="A44" s="6" t="s">
        <v>61</v>
      </c>
      <c r="B44" s="55">
        <v>44615.0</v>
      </c>
      <c r="C44" s="83" t="str">
        <f t="shared" si="18"/>
        <v/>
      </c>
      <c r="D44" s="56">
        <f t="array" ref="D44">IF(OR(ISBLANK($A44),C44),IFERROR(0/0,""),INDEX('RFR Data - preExcl'!E$2:E115,$R44,1))</f>
        <v>34</v>
      </c>
      <c r="E44" s="56" t="str">
        <f t="array" ref="E44">IF(OR(ISBLANK($A44),$C44),IFERROR(0/0,""),INDEX('RFR Data - preExcl'!Z$2:Z115,$R44,1))</f>
        <v/>
      </c>
      <c r="F44" s="56">
        <f t="array" ref="F44">IF(OR(ISBLANK(A44),C44),IFERROR(0/0,""),INDEX('RFR Data - preExcl'!AC$2:AC115,$R44,1))</f>
        <v>34</v>
      </c>
      <c r="G44" s="56">
        <f t="array" ref="G44">IF(OR(ISBLANK(A44),C44),IFERROR(0/0,""),INDEX('RFR Data - preExcl'!AK$2:AK115,$R44,1))</f>
        <v>34</v>
      </c>
      <c r="H44" s="56">
        <f t="array" ref="H44">IF(OR(ISBLANK(A44),C44),IFERROR(0/0,""),INDEX('RFR Data - preExcl'!AL$2:AL115,$R44,1))</f>
        <v>0</v>
      </c>
      <c r="I44" s="56">
        <f>IFERROR(VLOOKUP($B44,'APS Tubes by Date Import'!$B$2:$J115,2,FALSE),"")</f>
        <v>34</v>
      </c>
      <c r="J44" s="56" t="b">
        <f>IFERROR(VLOOKUP($B44,'APS Tubes by Date Import'!$B$2:$J115,9,FALSE),"")</f>
        <v>1</v>
      </c>
      <c r="K44" s="56">
        <f>IFNA(VLOOKUP($B44,'APS Tubes by Date Import'!$B$2:$J115,6,FALSE),"")</f>
        <v>0</v>
      </c>
      <c r="L44" s="130">
        <f t="shared" si="25"/>
        <v>34</v>
      </c>
      <c r="M44" s="49" t="str">
        <f t="shared" si="20"/>
        <v/>
      </c>
      <c r="N44" s="91">
        <v>0.0</v>
      </c>
      <c r="O44" s="20" t="b">
        <f t="shared" si="17"/>
        <v>1</v>
      </c>
      <c r="P44" s="86" t="str">
        <f>IF(ISBLANK(N44),IFERROR(0/0,""),IFERROR(VLOOKUP(N44, 'Process Ref'!$A$76:$D$123, 2, FALSE), IFERROR(0/0,"")))</f>
        <v>ALL 3 COUNTS SAME meaning APS Collect = APS Result = RFR</v>
      </c>
      <c r="Q44" s="6" t="str">
        <f t="shared" si="24"/>
        <v/>
      </c>
      <c r="R44" s="87">
        <f>IFNA(MATCH(A44,'RFR Data - preExcl'!A$2:A115,0),"")</f>
        <v>39</v>
      </c>
      <c r="S44" s="43"/>
      <c r="T44" s="20" t="str">
        <f>IF(EXACT('RFR Data - preExcl'!W44,"Initial"),'RFR Data - preExcl'!A44,IFERROR(0/0,""))</f>
        <v>RUN-BEND_2022-03-01_RFR-043</v>
      </c>
      <c r="U44" s="92">
        <f>IF(EXACT('RFR Data - preExcl'!W44,"Initial"),'RFR Data - preExcl'!U44,IFERROR(0/0,""))</f>
        <v>44621</v>
      </c>
      <c r="X44" s="81"/>
      <c r="Y44" s="105"/>
      <c r="AC44" s="81"/>
      <c r="AF44" s="81"/>
    </row>
    <row r="45">
      <c r="A45" s="6" t="s">
        <v>62</v>
      </c>
      <c r="B45" s="55">
        <v>44617.0</v>
      </c>
      <c r="C45" s="83" t="str">
        <f t="shared" si="18"/>
        <v/>
      </c>
      <c r="D45" s="56">
        <f t="array" ref="D45">IF(OR(ISBLANK($A45),C45),IFERROR(0/0,""),INDEX('RFR Data - preExcl'!E$2:E115,$R45,1))</f>
        <v>33</v>
      </c>
      <c r="E45" s="56">
        <f t="array" ref="E45">IF(OR(ISBLANK($A45),$C45),IFERROR(0/0,""),INDEX('RFR Data - preExcl'!Z$2:Z115,$R45,1))</f>
        <v>35</v>
      </c>
      <c r="F45" s="56">
        <f t="array" ref="F45">IF(OR(ISBLANK(A45),C45),IFERROR(0/0,""),INDEX('RFR Data - preExcl'!AC$2:AC115,$R45,1))</f>
        <v>33</v>
      </c>
      <c r="G45" s="56">
        <f t="array" ref="G45">IF(OR(ISBLANK(A45),C45),IFERROR(0/0,""),INDEX('RFR Data - preExcl'!AK$2:AK115,$R45,1))</f>
        <v>33</v>
      </c>
      <c r="H45" s="56">
        <f t="array" ref="H45">IF(OR(ISBLANK(A45),C45),IFERROR(0/0,""),INDEX('RFR Data - preExcl'!AL$2:AL115,$R45,1))</f>
        <v>1</v>
      </c>
      <c r="I45" s="56">
        <f>IFERROR(VLOOKUP($B45,'APS Tubes by Date Import'!$B$2:$J115,2,FALSE),"")</f>
        <v>33</v>
      </c>
      <c r="J45" s="56" t="b">
        <f>IFERROR(VLOOKUP($B45,'APS Tubes by Date Import'!$B$2:$J115,9,FALSE),"")</f>
        <v>1</v>
      </c>
      <c r="K45" s="56">
        <f>IFNA(VLOOKUP($B45,'APS Tubes by Date Import'!$B$2:$J115,6,FALSE),"")</f>
        <v>0</v>
      </c>
      <c r="L45" s="130">
        <f t="shared" si="25"/>
        <v>33</v>
      </c>
      <c r="M45" s="49" t="str">
        <f t="shared" si="20"/>
        <v/>
      </c>
      <c r="N45" s="91">
        <v>0.0</v>
      </c>
      <c r="O45" s="20" t="b">
        <f t="shared" si="17"/>
        <v>1</v>
      </c>
      <c r="P45" s="86" t="str">
        <f>IF(ISBLANK(N45),IFERROR(0/0,""),IFERROR(VLOOKUP(N45, 'Process Ref'!$A$76:$D$123, 2, FALSE), IFERROR(0/0,"")))</f>
        <v>ALL 3 COUNTS SAME meaning APS Collect = APS Result = RFR</v>
      </c>
      <c r="Q45" s="6" t="str">
        <f t="shared" si="24"/>
        <v/>
      </c>
      <c r="R45" s="87">
        <f>IFNA(MATCH(A45,'RFR Data - preExcl'!A$2:A115,0),"")</f>
        <v>40</v>
      </c>
      <c r="S45" s="43"/>
      <c r="T45" s="20" t="str">
        <f>IF(EXACT('RFR Data - preExcl'!W45,"Initial"),'RFR Data - preExcl'!A45,IFERROR(0/0,""))</f>
        <v>RUN-BEND_2022-03-03_RFR-044</v>
      </c>
      <c r="U45" s="92">
        <f>IF(EXACT('RFR Data - preExcl'!W45,"Initial"),'RFR Data - preExcl'!U45,IFERROR(0/0,""))</f>
        <v>44623</v>
      </c>
      <c r="X45" s="81"/>
      <c r="Y45" s="105"/>
      <c r="AC45" s="81"/>
      <c r="AF45" s="81"/>
    </row>
    <row r="46">
      <c r="A46" s="6" t="s">
        <v>63</v>
      </c>
      <c r="B46" s="55">
        <v>44619.0</v>
      </c>
      <c r="C46" s="83" t="str">
        <f t="shared" si="18"/>
        <v/>
      </c>
      <c r="D46" s="56">
        <f t="array" ref="D46">IF(OR(ISBLANK($A46),C46),IFERROR(0/0,""),INDEX('RFR Data - preExcl'!E$2:E115,$R46,1))</f>
        <v>32</v>
      </c>
      <c r="E46" s="56">
        <f t="array" ref="E46">IF(OR(ISBLANK($A46),$C46),IFERROR(0/0,""),INDEX('RFR Data - preExcl'!Z$2:Z115,$R46,1))</f>
        <v>34</v>
      </c>
      <c r="F46" s="56">
        <f t="array" ref="F46">IF(OR(ISBLANK(A46),C46),IFERROR(0/0,""),INDEX('RFR Data - preExcl'!AC$2:AC115,$R46,1))</f>
        <v>32</v>
      </c>
      <c r="G46" s="56">
        <f t="array" ref="G46">IF(OR(ISBLANK(A46),C46),IFERROR(0/0,""),INDEX('RFR Data - preExcl'!AK$2:AK115,$R46,1))</f>
        <v>32</v>
      </c>
      <c r="H46" s="56">
        <f t="array" ref="H46">IF(OR(ISBLANK(A46),C46),IFERROR(0/0,""),INDEX('RFR Data - preExcl'!AL$2:AL115,$R46,1))</f>
        <v>4</v>
      </c>
      <c r="I46" s="56">
        <f>IFERROR(VLOOKUP($B46,'APS Tubes by Date Import'!$B$2:$J115,2,FALSE),"")</f>
        <v>32</v>
      </c>
      <c r="J46" s="56" t="str">
        <f>IFERROR(VLOOKUP($B46,'APS Tubes by Date Import'!$B$2:$J115,9,FALSE),"")</f>
        <v/>
      </c>
      <c r="K46" s="56">
        <f>IFNA(VLOOKUP($B46,'APS Tubes by Date Import'!$B$2:$J115,6,FALSE),"")</f>
        <v>0</v>
      </c>
      <c r="L46" s="130">
        <f t="shared" si="25"/>
        <v>32</v>
      </c>
      <c r="M46" s="49" t="str">
        <f t="shared" si="20"/>
        <v/>
      </c>
      <c r="N46" s="91">
        <v>1.0</v>
      </c>
      <c r="O46" s="20" t="b">
        <f t="shared" si="17"/>
        <v>1</v>
      </c>
      <c r="P46" s="86" t="str">
        <f>IF(ISBLANK(N46),IFERROR(0/0,""),IFERROR(VLOOKUP(N46, 'Process Ref'!$A$76:$D$123, 2, FALSE), IFERROR(0/0,"")))</f>
        <v>Use APS Collect = RFR (diff APS Result count but nets out)</v>
      </c>
      <c r="Q46" s="6" t="str">
        <f t="shared" si="24"/>
        <v/>
      </c>
      <c r="R46" s="87">
        <f>IFNA(MATCH(A46,'RFR Data - preExcl'!A$2:A115,0),"")</f>
        <v>42</v>
      </c>
      <c r="S46" s="43"/>
      <c r="T46" s="20" t="str">
        <f>IF(EXACT('RFR Data - preExcl'!W46,"Initial"),'RFR Data - preExcl'!A46,IFERROR(0/0,""))</f>
        <v>RUN-BEND_2022-03-05_RFR-045</v>
      </c>
      <c r="U46" s="92">
        <f>IF(EXACT('RFR Data - preExcl'!W46,"Initial"),'RFR Data - preExcl'!U46,IFERROR(0/0,""))</f>
        <v>44625</v>
      </c>
      <c r="Y46" s="105"/>
    </row>
    <row r="47">
      <c r="A47" s="6" t="s">
        <v>64</v>
      </c>
      <c r="B47" s="55">
        <v>44621.0</v>
      </c>
      <c r="C47" s="83" t="str">
        <f t="shared" si="18"/>
        <v/>
      </c>
      <c r="D47" s="56">
        <f t="array" ref="D47">IF(OR(ISBLANK($A47),C47),IFERROR(0/0,""),INDEX('RFR Data - preExcl'!E$2:E115,$R47,1))</f>
        <v>31</v>
      </c>
      <c r="E47" s="56">
        <f t="array" ref="E47">IF(OR(ISBLANK($A47),$C47),IFERROR(0/0,""),INDEX('RFR Data - preExcl'!Z$2:Z115,$R47,1))</f>
        <v>33</v>
      </c>
      <c r="F47" s="56">
        <f t="array" ref="F47">IF(OR(ISBLANK(A47),C47),IFERROR(0/0,""),INDEX('RFR Data - preExcl'!AC$2:AC115,$R47,1))</f>
        <v>31</v>
      </c>
      <c r="G47" s="56">
        <f t="array" ref="G47">IF(OR(ISBLANK(A47),C47),IFERROR(0/0,""),INDEX('RFR Data - preExcl'!AK$2:AK115,$R47,1))</f>
        <v>31</v>
      </c>
      <c r="H47" s="56">
        <f t="array" ref="H47">IF(OR(ISBLANK(A47),C47),IFERROR(0/0,""),INDEX('RFR Data - preExcl'!AL$2:AL115,$R47,1))</f>
        <v>0</v>
      </c>
      <c r="I47" s="56">
        <f>IFERROR(VLOOKUP($B47,'APS Tubes by Date Import'!$B$2:$J115,2,FALSE),"")</f>
        <v>33</v>
      </c>
      <c r="J47" s="56" t="str">
        <f>IFERROR(VLOOKUP($B47,'APS Tubes by Date Import'!$B$2:$J115,9,FALSE),"")</f>
        <v/>
      </c>
      <c r="K47" s="56">
        <f>IFNA(VLOOKUP($B47,'APS Tubes by Date Import'!$B$2:$J115,6,FALSE),"")</f>
        <v>0</v>
      </c>
      <c r="L47" s="131">
        <f>I47</f>
        <v>33</v>
      </c>
      <c r="M47" s="49" t="str">
        <f t="shared" si="20"/>
        <v/>
      </c>
      <c r="N47" s="128">
        <v>8.1</v>
      </c>
      <c r="O47" s="20" t="str">
        <f t="shared" si="17"/>
        <v/>
      </c>
      <c r="P47" s="86" t="str">
        <f>IF(ISBLANK(N47),IFERROR(0/0,""),IFERROR(VLOOKUP(N47, 'Process Ref'!$A$76:$D$123, 2, FALSE), IFERROR(0/0,"")))</f>
        <v>Use APS Collect count != RFR Audit</v>
      </c>
      <c r="Q47" s="86" t="s">
        <v>100</v>
      </c>
      <c r="R47" s="87">
        <f>IFNA(MATCH(A47,'RFR Data - preExcl'!A$2:A115,0),"")</f>
        <v>43</v>
      </c>
      <c r="S47" s="43"/>
      <c r="T47" s="20" t="str">
        <f>IF(EXACT('RFR Data - preExcl'!W47,"Initial"),'RFR Data - preExcl'!A47,IFERROR(0/0,""))</f>
        <v/>
      </c>
      <c r="U47" s="20" t="str">
        <f>IF(EXACT('RFR Data - preExcl'!W47,"Initial"),'RFR Data - preExcl'!U47,IFERROR(0/0,""))</f>
        <v/>
      </c>
      <c r="Y47" s="105"/>
    </row>
    <row r="48">
      <c r="A48" s="6" t="s">
        <v>65</v>
      </c>
      <c r="B48" s="55">
        <v>44623.0</v>
      </c>
      <c r="C48" s="83" t="str">
        <f t="shared" si="18"/>
        <v/>
      </c>
      <c r="D48" s="56">
        <f t="array" ref="D48">IF(OR(ISBLANK($A48),C48),IFERROR(0/0,""),INDEX('RFR Data - preExcl'!E$2:E115,$R48,1))</f>
        <v>35</v>
      </c>
      <c r="E48" s="56" t="str">
        <f t="array" ref="E48">IF(OR(ISBLANK($A48),$C48),IFERROR(0/0,""),INDEX('RFR Data - preExcl'!Z$2:Z115,$R48,1))</f>
        <v/>
      </c>
      <c r="F48" s="56">
        <f t="array" ref="F48">IF(OR(ISBLANK(A48),C48),IFERROR(0/0,""),INDEX('RFR Data - preExcl'!AC$2:AC115,$R48,1))</f>
        <v>35</v>
      </c>
      <c r="G48" s="56">
        <f t="array" ref="G48">IF(OR(ISBLANK(A48),C48),IFERROR(0/0,""),INDEX('RFR Data - preExcl'!AK$2:AK115,$R48,1))</f>
        <v>35</v>
      </c>
      <c r="H48" s="56">
        <f t="array" ref="H48">IF(OR(ISBLANK(A48),C48),IFERROR(0/0,""),INDEX('RFR Data - preExcl'!AL$2:AL115,$R48,1))</f>
        <v>2</v>
      </c>
      <c r="I48" s="56">
        <f>IFERROR(VLOOKUP($B48,'APS Tubes by Date Import'!$B$2:$J115,2,FALSE),"")</f>
        <v>33</v>
      </c>
      <c r="J48" s="56" t="b">
        <f>IFERROR(VLOOKUP($B48,'APS Tubes by Date Import'!$B$2:$J115,9,FALSE),"")</f>
        <v>1</v>
      </c>
      <c r="K48" s="56">
        <f>IFNA(VLOOKUP($B48,'APS Tubes by Date Import'!$B$2:$J115,6,FALSE),"")</f>
        <v>0</v>
      </c>
      <c r="L48" s="130">
        <f t="shared" ref="L48:L49" si="26">G48</f>
        <v>35</v>
      </c>
      <c r="M48" s="49">
        <f t="shared" si="20"/>
        <v>2</v>
      </c>
      <c r="N48" s="132">
        <v>2.0</v>
      </c>
      <c r="O48" s="20" t="b">
        <f t="shared" si="17"/>
        <v>1</v>
      </c>
      <c r="P48" s="86" t="str">
        <f>IF(ISBLANK(N48),IFERROR(0/0,""),IFERROR(VLOOKUP(N48, 'Process Ref'!$A$76:$D$123, 2, FALSE), IFERROR(0/0,"")))</f>
        <v>Use Audit RFR count (extra tubes in RFR not in Appivo)</v>
      </c>
      <c r="Q48" s="86" t="s">
        <v>101</v>
      </c>
      <c r="R48" s="87">
        <f>IFNA(MATCH(A48,'RFR Data - preExcl'!A$2:A115,0),"")</f>
        <v>44</v>
      </c>
      <c r="S48" s="43"/>
      <c r="T48" s="20" t="str">
        <f>IF(EXACT('RFR Data - preExcl'!W45,"Initial"),'RFR Data - preExcl'!A45,IFERROR(0/0,""))</f>
        <v>RUN-BEND_2022-03-03_RFR-044</v>
      </c>
      <c r="U48" s="92">
        <f>IF(EXACT('RFR Data - preExcl'!W45,"Initial"),'RFR Data - preExcl'!U45,IFERROR(0/0,""))</f>
        <v>44623</v>
      </c>
      <c r="Y48" s="105"/>
    </row>
    <row r="49">
      <c r="A49" s="6" t="s">
        <v>66</v>
      </c>
      <c r="B49" s="55">
        <v>44625.0</v>
      </c>
      <c r="C49" s="83" t="str">
        <f t="shared" si="18"/>
        <v/>
      </c>
      <c r="D49" s="133">
        <f t="array" ref="D49">IF(OR(ISBLANK($A49),C49),IFERROR(0/0,""),INDEX('RFR Data - preExcl'!E$2:E115,$R49,1))</f>
        <v>33</v>
      </c>
      <c r="E49" s="56">
        <f t="array" ref="E49">IF(OR(ISBLANK($A49),$C49),IFERROR(0/0,""),INDEX('RFR Data - preExcl'!Z$2:Z115,$R49,1))</f>
        <v>35</v>
      </c>
      <c r="F49" s="56">
        <f t="array" ref="F49">IF(OR(ISBLANK(A49),C49),IFERROR(0/0,""),INDEX('RFR Data - preExcl'!AC$2:AC115,$R49,1))</f>
        <v>33</v>
      </c>
      <c r="G49" s="133">
        <f t="array" ref="G49">IF(OR(ISBLANK(A49),C49),IFERROR(0/0,""),INDEX('RFR Data - preExcl'!AK$2:AK115,$R49,1))</f>
        <v>33</v>
      </c>
      <c r="H49" s="56">
        <f t="array" ref="H49">IF(OR(ISBLANK(A49),C49),IFERROR(0/0,""),INDEX('RFR Data - preExcl'!AL$2:AL115,$R49,1))</f>
        <v>4</v>
      </c>
      <c r="I49" s="56">
        <f>IFERROR(VLOOKUP($B49,'APS Tubes by Date Import'!$B$2:$J115,2,FALSE),"")</f>
        <v>34</v>
      </c>
      <c r="J49" s="56" t="str">
        <f>IFERROR(VLOOKUP($B49,'APS Tubes by Date Import'!$B$2:$J115,9,FALSE),"")</f>
        <v/>
      </c>
      <c r="K49" s="56">
        <f>IFNA(VLOOKUP($B49,'APS Tubes by Date Import'!$B$2:$J115,6,FALSE),"")</f>
        <v>0</v>
      </c>
      <c r="L49" s="133">
        <f t="shared" si="26"/>
        <v>33</v>
      </c>
      <c r="M49" s="49">
        <f t="shared" si="20"/>
        <v>-1</v>
      </c>
      <c r="N49" s="133">
        <v>6.0</v>
      </c>
      <c r="O49" s="86"/>
      <c r="P49" s="86" t="str">
        <f>IF(ISBLANK(N49),IFERROR(0/0,""),IFERROR(VLOOKUP(N49, 'Process Ref'!$A$76:$D$123, 2, FALSE), IFERROR(0/0,"")))</f>
        <v>Use Audit RFR - nets out with next or prev day</v>
      </c>
      <c r="Q49" s="86" t="s">
        <v>95</v>
      </c>
      <c r="R49" s="87">
        <f>IFNA(MATCH(A49,'RFR Data - preExcl'!A$2:A115,0),"")</f>
        <v>45</v>
      </c>
      <c r="S49" s="43"/>
      <c r="T49" s="20" t="str">
        <f>IF(EXACT('RFR Data - preExcl'!W46,"Initial"),'RFR Data - preExcl'!A46,IFERROR(0/0,""))</f>
        <v>RUN-BEND_2022-03-05_RFR-045</v>
      </c>
      <c r="U49" s="92">
        <f>IF(EXACT('RFR Data - preExcl'!W46,"Initial"),'RFR Data - preExcl'!U46,IFERROR(0/0,""))</f>
        <v>44625</v>
      </c>
      <c r="Y49" s="105"/>
    </row>
    <row r="50">
      <c r="A50" s="6" t="s">
        <v>67</v>
      </c>
      <c r="B50" s="55">
        <v>44627.0</v>
      </c>
      <c r="C50" s="83" t="str">
        <f t="shared" si="18"/>
        <v/>
      </c>
      <c r="D50" s="134">
        <f t="array" ref="D50">IF(OR(ISBLANK($A50),C50),IFERROR(0/0,""),INDEX('RFR Data - preExcl'!E$2:E115,$R50,1))</f>
        <v>31</v>
      </c>
      <c r="E50" s="56" t="str">
        <f t="array" ref="E50">IF(OR(ISBLANK($A50),$C50),IFERROR(0/0,""),INDEX('RFR Data - preExcl'!Z$2:Z115,$R50,1))</f>
        <v/>
      </c>
      <c r="F50" s="56">
        <f t="array" ref="F50">IF(OR(ISBLANK(A50),C50),IFERROR(0/0,""),INDEX('RFR Data - preExcl'!AC$2:AC115,$R50,1))</f>
        <v>32</v>
      </c>
      <c r="G50" s="56">
        <f t="array" ref="G50">IF(OR(ISBLANK(A50),C50),IFERROR(0/0,""),INDEX('RFR Data - preExcl'!AK$2:AK115,$R50,1))</f>
        <v>32</v>
      </c>
      <c r="H50" s="56">
        <f t="array" ref="H50">IF(OR(ISBLANK(A50),C50),IFERROR(0/0,""),INDEX('RFR Data - preExcl'!AL$2:AL115,$R50,1))</f>
        <v>4</v>
      </c>
      <c r="I50" s="56">
        <f>IFERROR(VLOOKUP($B50,'APS Tubes by Date Import'!$B$2:$J115,2,FALSE),"")</f>
        <v>30</v>
      </c>
      <c r="J50" s="56" t="b">
        <f>IFERROR(VLOOKUP($B50,'APS Tubes by Date Import'!$B$2:$J115,9,FALSE),"")</f>
        <v>1</v>
      </c>
      <c r="K50" s="56">
        <f>IFNA(VLOOKUP($B50,'APS Tubes by Date Import'!$B$2:$J115,6,FALSE),"")</f>
        <v>0</v>
      </c>
      <c r="L50" s="134">
        <f>D50</f>
        <v>31</v>
      </c>
      <c r="M50" s="49">
        <f t="shared" si="20"/>
        <v>1</v>
      </c>
      <c r="N50" s="135">
        <v>4.9</v>
      </c>
      <c r="O50" s="136" t="b">
        <v>1</v>
      </c>
      <c r="P50" s="86" t="str">
        <f>IF(ISBLANK(N50),IFERROR(0/0,""),IFERROR(VLOOKUP(N50, 'Process Ref'!$A$76:$D$123, 2, FALSE), IFERROR(0/0,"")))</f>
        <v>Use GFORM Raw Num of Samples because nets out with surrounding days</v>
      </c>
      <c r="Q50" s="86" t="s">
        <v>102</v>
      </c>
      <c r="R50" s="87">
        <f>IFNA(MATCH(A50,'RFR Data - preExcl'!A$2:A115,0),"")</f>
        <v>47</v>
      </c>
      <c r="S50" s="43"/>
      <c r="T50" s="20" t="str">
        <f>IF(EXACT('RFR Data - preExcl'!W47,"Initial"),'RFR Data - preExcl'!A47,IFERROR(0/0,""))</f>
        <v/>
      </c>
      <c r="U50" s="20" t="str">
        <f>IF(EXACT('RFR Data - preExcl'!W47,"Initial"),'RFR Data - preExcl'!U47,IFERROR(0/0,""))</f>
        <v/>
      </c>
      <c r="Y50" s="105"/>
    </row>
    <row r="51">
      <c r="A51" s="6" t="s">
        <v>68</v>
      </c>
      <c r="B51" s="55">
        <v>44629.0</v>
      </c>
      <c r="C51" s="83" t="str">
        <f t="shared" si="18"/>
        <v/>
      </c>
      <c r="D51" s="56">
        <f t="array" ref="D51">IF(OR(ISBLANK($A51),C51),IFERROR(0/0,""),INDEX('RFR Data - preExcl'!E$2:E115,$R51,1))</f>
        <v>27</v>
      </c>
      <c r="E51" s="56">
        <f t="array" ref="E51">IF(OR(ISBLANK($A51),$C51),IFERROR(0/0,""),INDEX('RFR Data - preExcl'!Z$2:Z115,$R51,1))</f>
        <v>29</v>
      </c>
      <c r="F51" s="56">
        <f t="array" ref="F51">IF(OR(ISBLANK(A51),C51),IFERROR(0/0,""),INDEX('RFR Data - preExcl'!AC$2:AC115,$R51,1))</f>
        <v>27</v>
      </c>
      <c r="G51" s="56">
        <f t="array" ref="G51">IF(OR(ISBLANK(A51),C51),IFERROR(0/0,""),INDEX('RFR Data - preExcl'!AK$2:AK115,$R51,1))</f>
        <v>27</v>
      </c>
      <c r="H51" s="56">
        <f t="array" ref="H51">IF(OR(ISBLANK(A51),C51),IFERROR(0/0,""),INDEX('RFR Data - preExcl'!AL$2:AL115,$R51,1))</f>
        <v>0</v>
      </c>
      <c r="I51" s="56">
        <f>IFERROR(VLOOKUP($B51,'APS Tubes by Date Import'!$B$2:$J115,2,FALSE),"")</f>
        <v>27</v>
      </c>
      <c r="J51" s="56" t="str">
        <f>IFERROR(VLOOKUP($B51,'APS Tubes by Date Import'!$B$2:$J115,9,FALSE),"")</f>
        <v/>
      </c>
      <c r="K51" s="56">
        <f>IFNA(VLOOKUP($B51,'APS Tubes by Date Import'!$B$2:$J115,6,FALSE),"")</f>
        <v>0</v>
      </c>
      <c r="L51" s="130">
        <f>G51</f>
        <v>27</v>
      </c>
      <c r="M51" s="49" t="str">
        <f t="shared" si="20"/>
        <v/>
      </c>
      <c r="N51" s="91">
        <v>1.1</v>
      </c>
      <c r="O51" s="20" t="b">
        <f t="shared" ref="O51:O54" si="27">IF(ISBLANK(L51),IFERROR(0/0,""),IF($N51&lt;=4,TRUE,IFERROR(0/0,"")))</f>
        <v>1</v>
      </c>
      <c r="P51" s="86" t="str">
        <f>IF(ISBLANK(N51),IFERROR(0/0,""),IFERROR(VLOOKUP(N51, 'Process Ref'!$A$76:$D$123, 2, FALSE), IFERROR(0/0,"")))</f>
        <v>Use APS Collect = RFR (diff APS Result count but nets out) after Null called Neg</v>
      </c>
      <c r="Q51" s="6" t="str">
        <f t="shared" ref="Q51:Q52" si="28">IFS(OR(N51=0.1,N51=1.1,N51=2.1),"NULL &gt; NEG",N51=3, "Delete NULL",TRUE,IFERROR(0/0,""))</f>
        <v>NULL &gt; NEG</v>
      </c>
      <c r="R51" s="87">
        <f>IFNA(MATCH(A51,'RFR Data - preExcl'!A$2:A115,0),"")</f>
        <v>49</v>
      </c>
      <c r="S51" s="43"/>
      <c r="T51" s="20" t="str">
        <f>IF(EXACT('RFR Data - preExcl'!W48,"Initial"),'RFR Data - preExcl'!A48,IFERROR(0/0,""))</f>
        <v>RUN-BEND_2022-03-07_RFR-047</v>
      </c>
      <c r="U51" s="92">
        <f>IF(EXACT('RFR Data - preExcl'!W48,"Initial"),'RFR Data - preExcl'!U48,IFERROR(0/0,""))</f>
        <v>44627</v>
      </c>
      <c r="Y51" s="105"/>
    </row>
    <row r="52">
      <c r="A52" s="6" t="s">
        <v>69</v>
      </c>
      <c r="B52" s="55">
        <v>44631.0</v>
      </c>
      <c r="C52" s="83" t="str">
        <f t="shared" si="18"/>
        <v/>
      </c>
      <c r="D52" s="103">
        <f t="array" ref="D52">IF(OR(ISBLANK($A52),C52),IFERROR(0/0,""),INDEX('RFR Data - preExcl'!E$2:E115,$R52,1))</f>
        <v>28</v>
      </c>
      <c r="E52" s="56" t="str">
        <f t="array" ref="E52">IF(OR(ISBLANK($A52),$C52),IFERROR(0/0,""),INDEX('RFR Data - preExcl'!Z$2:Z115,$R52,1))</f>
        <v/>
      </c>
      <c r="F52" s="56">
        <f t="array" ref="F52">IF(OR(ISBLANK(A52),C52),IFERROR(0/0,""),INDEX('RFR Data - preExcl'!AC$2:AC115,$R52,1))</f>
        <v>30</v>
      </c>
      <c r="G52" s="56">
        <f t="array" ref="G52">IF(OR(ISBLANK(A52),C52),IFERROR(0/0,""),INDEX('RFR Data - preExcl'!AK$2:AK115,$R52,1))</f>
        <v>30</v>
      </c>
      <c r="H52" s="56">
        <f t="array" ref="H52">IF(OR(ISBLANK(A52),C52),IFERROR(0/0,""),INDEX('RFR Data - preExcl'!AL$2:AL115,$R52,1))</f>
        <v>0</v>
      </c>
      <c r="I52" s="103">
        <f>IFERROR(VLOOKUP($B52,'APS Tubes by Date Import'!$B$2:$J115,2,FALSE),"")</f>
        <v>28</v>
      </c>
      <c r="J52" s="56" t="b">
        <f>IFERROR(VLOOKUP($B52,'APS Tubes by Date Import'!$B$2:$J115,9,FALSE),"")</f>
        <v>1</v>
      </c>
      <c r="K52" s="56">
        <f>IFNA(VLOOKUP($B52,'APS Tubes by Date Import'!$B$2:$J115,6,FALSE),"")</f>
        <v>0</v>
      </c>
      <c r="L52" s="104">
        <v>28.0</v>
      </c>
      <c r="M52" s="49" t="str">
        <f t="shared" si="20"/>
        <v/>
      </c>
      <c r="N52" s="104">
        <v>3.6</v>
      </c>
      <c r="O52" s="20" t="b">
        <f t="shared" si="27"/>
        <v>1</v>
      </c>
      <c r="P52" s="86" t="str">
        <f>IF(ISBLANK(N52),IFERROR(0/0,""),IFERROR(VLOOKUP(N52, 'Process Ref'!$A$76:$D$123, 2, FALSE), IFERROR(0/0,"")))</f>
        <v>RFR Raw Num Samples Gform = APS Collect</v>
      </c>
      <c r="Q52" s="6" t="str">
        <f t="shared" si="28"/>
        <v/>
      </c>
      <c r="R52" s="87">
        <f>IFNA(MATCH(A52,'RFR Data - preExcl'!A$2:A115,0),"")</f>
        <v>50</v>
      </c>
      <c r="S52" s="43"/>
      <c r="T52" s="20" t="str">
        <f>IF(EXACT('RFR Data - preExcl'!W49,"Initial"),'RFR Data - preExcl'!A49,IFERROR(0/0,""))</f>
        <v/>
      </c>
      <c r="U52" s="20" t="str">
        <f>IF(EXACT('RFR Data - preExcl'!W49,"Initial"),'RFR Data - preExcl'!U49,IFERROR(0/0,""))</f>
        <v/>
      </c>
      <c r="Y52" s="105"/>
    </row>
    <row r="53">
      <c r="A53" s="6" t="s">
        <v>70</v>
      </c>
      <c r="B53" s="55">
        <v>44665.0</v>
      </c>
      <c r="C53" s="83" t="str">
        <f t="shared" si="18"/>
        <v/>
      </c>
      <c r="D53" s="56">
        <f t="array" ref="D53">IF(OR(ISBLANK($A53),C53),IFERROR(0/0,""),INDEX('RFR Data - preExcl'!E$2:E115,$R53,1))</f>
        <v>1</v>
      </c>
      <c r="E53" s="56">
        <f t="array" ref="E53">IF(OR(ISBLANK($A53),$C53),IFERROR(0/0,""),INDEX('RFR Data - preExcl'!Z$2:Z115,$R53,1))</f>
        <v>3</v>
      </c>
      <c r="F53" s="56">
        <f t="array" ref="F53">IF(OR(ISBLANK(A53),C53),IFERROR(0/0,""),INDEX('RFR Data - preExcl'!AC$2:AC115,$R53,1))</f>
        <v>1</v>
      </c>
      <c r="G53" s="56">
        <f t="array" ref="G53">IF(OR(ISBLANK(A53),C53),IFERROR(0/0,""),INDEX('RFR Data - preExcl'!AK$2:AK115,$R53,1))</f>
        <v>1</v>
      </c>
      <c r="H53" s="56">
        <f t="array" ref="H53">IF(OR(ISBLANK(A53),C53),IFERROR(0/0,""),INDEX('RFR Data - preExcl'!AL$2:AL115,$R53,1))</f>
        <v>0</v>
      </c>
      <c r="I53" s="56">
        <f>IFERROR(VLOOKUP($B53,'APS Tubes by Date Import'!$B$2:$J115,2,FALSE),"")</f>
        <v>1</v>
      </c>
      <c r="J53" s="56" t="b">
        <f>IFERROR(VLOOKUP($B53,'APS Tubes by Date Import'!$B$2:$J115,9,FALSE),"")</f>
        <v>1</v>
      </c>
      <c r="K53" s="56">
        <f>IFNA(VLOOKUP($B53,'APS Tubes by Date Import'!$B$2:$J115,6,FALSE),"")</f>
        <v>0</v>
      </c>
      <c r="L53" s="130">
        <f t="shared" ref="L53:L54" si="29">G53</f>
        <v>1</v>
      </c>
      <c r="M53" s="49" t="str">
        <f t="shared" si="20"/>
        <v/>
      </c>
      <c r="N53" s="91">
        <v>0.0</v>
      </c>
      <c r="O53" s="20" t="b">
        <f t="shared" si="27"/>
        <v>1</v>
      </c>
      <c r="P53" s="86" t="str">
        <f>IF(ISBLANK(N53),IFERROR(0/0,""),IFERROR(VLOOKUP(N53, 'Process Ref'!$A$76:$D$123, 2, FALSE), IFERROR(0/0,"")))</f>
        <v>ALL 3 COUNTS SAME meaning APS Collect = APS Result = RFR</v>
      </c>
      <c r="Q53" s="86" t="s">
        <v>103</v>
      </c>
      <c r="R53" s="87">
        <f>IFNA(MATCH(A53,'RFR Data - preExcl'!A$2:A115,0),"")</f>
        <v>51</v>
      </c>
      <c r="S53" s="43"/>
      <c r="T53" s="20" t="str">
        <f>IF(EXACT('RFR Data - preExcl'!W50,"Initial"),'RFR Data - preExcl'!A50,IFERROR(0/0,""))</f>
        <v>RUN-BEND_2022-03-09_RFR-049</v>
      </c>
      <c r="U53" s="92">
        <f>IF(EXACT('RFR Data - preExcl'!W50,"Initial"),'RFR Data - preExcl'!U50,IFERROR(0/0,""))</f>
        <v>44629</v>
      </c>
      <c r="Y53" s="105"/>
    </row>
    <row r="54">
      <c r="A54" s="6" t="s">
        <v>71</v>
      </c>
      <c r="B54" s="55">
        <v>44692.0</v>
      </c>
      <c r="C54" s="83" t="str">
        <f t="shared" si="18"/>
        <v/>
      </c>
      <c r="D54" s="129">
        <f t="array" ref="D54">IF(OR(ISBLANK($A54),C54),IFERROR(0/0,""),INDEX('RFR Data - preExcl'!E$2:E115,$R54,1))</f>
        <v>11</v>
      </c>
      <c r="E54" s="56">
        <f t="array" ref="E54">IF(OR(ISBLANK($A54),$C54),IFERROR(0/0,""),INDEX('RFR Data - preExcl'!Z$2:Z115,$R54,1))</f>
        <v>11</v>
      </c>
      <c r="F54" s="56">
        <f t="array" ref="F54">IF(OR(ISBLANK(A54),C54),IFERROR(0/0,""),INDEX('RFR Data - preExcl'!AC$2:AC115,$R54,1))</f>
        <v>9</v>
      </c>
      <c r="G54" s="56">
        <f t="array" ref="G54">IF(OR(ISBLANK(A54),C54),IFERROR(0/0,""),INDEX('RFR Data - preExcl'!AK$2:AK115,$R54,1))</f>
        <v>9</v>
      </c>
      <c r="H54" s="56">
        <f t="array" ref="H54">IF(OR(ISBLANK(A54),C54),IFERROR(0/0,""),INDEX('RFR Data - preExcl'!AL$2:AL115,$R54,1))</f>
        <v>0</v>
      </c>
      <c r="I54" s="56">
        <f>IFERROR(VLOOKUP($B54,'APS Tubes by Date Import'!$B$2:$J115,2,FALSE),"")</f>
        <v>9</v>
      </c>
      <c r="J54" s="56" t="b">
        <f>IFERROR(VLOOKUP($B54,'APS Tubes by Date Import'!$B$2:$J115,9,FALSE),"")</f>
        <v>1</v>
      </c>
      <c r="K54" s="56">
        <f>IFNA(VLOOKUP($B54,'APS Tubes by Date Import'!$B$2:$J115,6,FALSE),"")</f>
        <v>0</v>
      </c>
      <c r="L54" s="130">
        <f t="shared" si="29"/>
        <v>9</v>
      </c>
      <c r="M54" s="49" t="str">
        <f t="shared" si="20"/>
        <v/>
      </c>
      <c r="N54" s="91">
        <v>0.0</v>
      </c>
      <c r="O54" s="20" t="b">
        <f t="shared" si="27"/>
        <v>1</v>
      </c>
      <c r="P54" s="86" t="str">
        <f>IF(ISBLANK(N54),IFERROR(0/0,""),IFERROR(VLOOKUP(N54, 'Process Ref'!$A$76:$D$123, 2, FALSE), IFERROR(0/0,"")))</f>
        <v>ALL 3 COUNTS SAME meaning APS Collect = APS Result = RFR</v>
      </c>
      <c r="Q54" s="86" t="s">
        <v>103</v>
      </c>
      <c r="R54" s="87">
        <f>IFNA(MATCH(A54,'RFR Data - preExcl'!A$2:A115,0),"")</f>
        <v>52</v>
      </c>
      <c r="S54" s="43"/>
      <c r="T54" s="20" t="str">
        <f>IF(EXACT('RFR Data - preExcl'!W51,"Initial"),'RFR Data - preExcl'!A51,IFERROR(0/0,""))</f>
        <v>RUN-BEND_2022-03-11_RFR-050</v>
      </c>
      <c r="U54" s="92">
        <f>IF(EXACT('RFR Data - preExcl'!W51,"Initial"),'RFR Data - preExcl'!U51,IFERROR(0/0,""))</f>
        <v>44631</v>
      </c>
      <c r="Y54" s="105"/>
    </row>
    <row r="55">
      <c r="A55" s="6"/>
      <c r="B55" s="6"/>
      <c r="C55" s="120"/>
      <c r="D55" s="56"/>
      <c r="E55" s="56"/>
      <c r="F55" s="56"/>
      <c r="G55" s="56"/>
      <c r="H55" s="56"/>
      <c r="I55" s="56"/>
      <c r="J55" s="56"/>
      <c r="K55" s="56"/>
      <c r="L55" s="56"/>
      <c r="M55" s="56"/>
      <c r="N55" s="120"/>
      <c r="R55" s="87" t="str">
        <f>IFNA(MATCH(A55,'RFR Data - preExcl'!A$2:A115,0),"")</f>
        <v/>
      </c>
      <c r="S55" s="43"/>
      <c r="T55" s="20" t="str">
        <f>IF(EXACT('RFR Data - preExcl'!W52,"Initial"),'RFR Data - preExcl'!A52,IFERROR(0/0,""))</f>
        <v>RUN-BEND_2022-04-14_RFR-051</v>
      </c>
      <c r="U55" s="92">
        <f>IF(EXACT('RFR Data - preExcl'!W52,"Initial"),'RFR Data - preExcl'!U52,IFERROR(0/0,""))</f>
        <v>44665</v>
      </c>
      <c r="W55" s="86" t="s">
        <v>104</v>
      </c>
      <c r="Y55" s="105"/>
    </row>
    <row r="56">
      <c r="C56" s="120"/>
      <c r="D56" s="56" t="str">
        <f t="array" ref="D56">IF(OR(ISBLANK($A56),C56),IFERROR(0/0,""),INDEX('RFR Data - preExcl'!E$2:E115,$R56,1))</f>
        <v/>
      </c>
      <c r="E56" s="56" t="str">
        <f t="array" ref="E56">IF(OR(ISBLANK($A56),$C56),IFERROR(0/0,""),INDEX('RFR Data - preExcl'!Z$2:Z115,$R56,1))</f>
        <v/>
      </c>
      <c r="F56" s="56" t="str">
        <f t="array" ref="F56">IF(OR(ISBLANK(A56),C56),IFERROR(0/0,""),INDEX('RFR Data - preExcl'!AC$2:AC115,$R56,1))</f>
        <v/>
      </c>
      <c r="G56" s="56" t="str">
        <f t="array" ref="G56">IF(OR(ISBLANK(A56),C56),IFERROR(0/0,""),INDEX('RFR Data - preExcl'!AK$2:AK115,$R56,1))</f>
        <v/>
      </c>
      <c r="H56" s="56" t="str">
        <f t="array" ref="H56">IF(OR(ISBLANK(A56),C56),IFERROR(0/0,""),INDEX('RFR Data - preExcl'!AL$2:AL115,$R56,1))</f>
        <v/>
      </c>
      <c r="I56" s="56" t="str">
        <f>IFERROR(VLOOKUP($B56,'APS Tubes by Date Import'!$B$2:$J115,2,FALSE),"")</f>
        <v/>
      </c>
      <c r="J56" s="56" t="str">
        <f>IFERROR(VLOOKUP($B56,'APS Tubes by Date Import'!$B$2:$J115,9,FALSE),"")</f>
        <v/>
      </c>
      <c r="K56" s="56" t="str">
        <f>IFNA(VLOOKUP($B56,'APS Tubes by Date Import'!$B$2:$J115,6,FALSE),"")</f>
        <v/>
      </c>
      <c r="L56" s="56" t="str">
        <f t="shared" ref="L56:L105" si="30">G56</f>
        <v/>
      </c>
      <c r="M56" s="56"/>
      <c r="N56" s="120"/>
      <c r="O56" s="6" t="str">
        <f t="shared" ref="O56:O105" si="31">IF(ISBLANK(L56),IFERROR(0/0,""),IF($N56&lt;=4,TRUE,IFERROR(0/0,"")))</f>
        <v/>
      </c>
      <c r="R56" s="87" t="str">
        <f>IFNA(MATCH(A56,'RFR Data - preExcl'!A$2:A115,0),"")</f>
        <v/>
      </c>
      <c r="S56" s="43"/>
      <c r="T56" s="20" t="str">
        <f>IF(EXACT('RFR Data - preExcl'!W53,"Initial"),'RFR Data - preExcl'!A53,IFERROR(0/0,""))</f>
        <v>RUN-BEND_2022-05-11_RFR-052</v>
      </c>
      <c r="U56" s="92">
        <f>IF(EXACT('RFR Data - preExcl'!W53,"Initial"),'RFR Data - preExcl'!U53,IFERROR(0/0,""))</f>
        <v>44692</v>
      </c>
      <c r="V56" s="137"/>
      <c r="W56" s="132">
        <v>0.0</v>
      </c>
      <c r="Y56" s="105"/>
    </row>
    <row r="57">
      <c r="C57" s="120"/>
      <c r="D57" s="56" t="str">
        <f t="array" ref="D57">IF(OR(ISBLANK($A57),C57),IFERROR(0/0,""),INDEX('RFR Data - preExcl'!E$2:E115,$R57,1))</f>
        <v/>
      </c>
      <c r="E57" s="56" t="str">
        <f t="array" ref="E57">IF(OR(ISBLANK($A57),$C57),IFERROR(0/0,""),INDEX('RFR Data - preExcl'!Z$2:Z115,$R57,1))</f>
        <v/>
      </c>
      <c r="F57" s="56" t="str">
        <f t="array" ref="F57">IF(OR(ISBLANK(A57),C57),IFERROR(0/0,""),INDEX('RFR Data - preExcl'!AC$2:AC115,$R57,1))</f>
        <v/>
      </c>
      <c r="G57" s="56" t="str">
        <f t="array" ref="G57">IF(OR(ISBLANK(A57),C57),IFERROR(0/0,""),INDEX('RFR Data - preExcl'!AK$2:AK115,$R57,1))</f>
        <v/>
      </c>
      <c r="H57" s="56" t="str">
        <f t="array" ref="H57">IF(OR(ISBLANK(A57),C57),IFERROR(0/0,""),INDEX('RFR Data - preExcl'!AL$2:AL115,$R57,1))</f>
        <v/>
      </c>
      <c r="I57" s="56" t="str">
        <f>IFERROR(VLOOKUP($B57,'APS Tubes by Date Import'!$B$2:$J115,2,FALSE),"")</f>
        <v/>
      </c>
      <c r="J57" s="56" t="str">
        <f>IFERROR(VLOOKUP($B57,'APS Tubes by Date Import'!$B$2:$J115,9,FALSE),"")</f>
        <v/>
      </c>
      <c r="K57" s="56" t="str">
        <f>IFNA(VLOOKUP($B57,'APS Tubes by Date Import'!$B$2:$J115,6,FALSE),"")</f>
        <v/>
      </c>
      <c r="L57" s="56" t="str">
        <f t="shared" si="30"/>
        <v/>
      </c>
      <c r="M57" s="56"/>
      <c r="N57" s="120"/>
      <c r="O57" s="6" t="str">
        <f t="shared" si="31"/>
        <v/>
      </c>
      <c r="R57" s="87" t="str">
        <f>IFNA(MATCH(A57,'RFR Data - preExcl'!A$2:A115,0),"")</f>
        <v/>
      </c>
      <c r="S57" s="43"/>
      <c r="T57" s="138" t="str">
        <f>IF(AND(NOT(ISBLANK(U57)),NOT(ISBLANK(V57)),NOT(ISBLANK(W57))),CONCATENATE("RUN-",'Process Ref'!$A$1,"_",TEXT(V57,"YYYY-MM-DD"),"_APS-",TEXT(W57,"000")),IFERROR(0/0,""))</f>
        <v>RUN-BEND_2021-12-10_APS-001</v>
      </c>
      <c r="U57" s="139">
        <f t="shared" ref="U57:U115" si="32">IF(COUNTIF(U$2:U$56,V57)=0,V57,IFERROR(0/0,""))</f>
        <v>44540</v>
      </c>
      <c r="V57" s="140">
        <f t="array" ref="V57:V114">SORT('APS Tubes by Date Import'!$B$2:$B115,1,TRUE)</f>
        <v>44540</v>
      </c>
      <c r="W57" s="141">
        <f t="shared" ref="W57:W60" si="33">IF(NOT(ISBLANK(U57)),MAX(W$1:W56)+1,IFERROR(0/0,""))</f>
        <v>1</v>
      </c>
      <c r="X57" s="6" t="str">
        <f>Q6</f>
        <v>Run next day, also 2 NULL tubes deleted</v>
      </c>
      <c r="Y57" s="105"/>
    </row>
    <row r="58">
      <c r="C58" s="120"/>
      <c r="D58" s="56" t="str">
        <f t="array" ref="D58">IF(OR(ISBLANK($A58),C58),IFERROR(0/0,""),INDEX('RFR Data - preExcl'!E$2:E115,$R58,1))</f>
        <v/>
      </c>
      <c r="E58" s="56" t="str">
        <f t="array" ref="E58">IF(OR(ISBLANK($A58),$C58),IFERROR(0/0,""),INDEX('RFR Data - preExcl'!Z$2:Z115,$R58,1))</f>
        <v/>
      </c>
      <c r="F58" s="56" t="str">
        <f t="array" ref="F58">IF(OR(ISBLANK(A58),C58),IFERROR(0/0,""),INDEX('RFR Data - preExcl'!AC$2:AC115,$R58,1))</f>
        <v/>
      </c>
      <c r="G58" s="56" t="str">
        <f t="array" ref="G58">IF(OR(ISBLANK(A58),C58),IFERROR(0/0,""),INDEX('RFR Data - preExcl'!AK$2:AK115,$R58,1))</f>
        <v/>
      </c>
      <c r="H58" s="56" t="str">
        <f t="array" ref="H58">IF(OR(ISBLANK(A58),C58),IFERROR(0/0,""),INDEX('RFR Data - preExcl'!AL$2:AL115,$R58,1))</f>
        <v/>
      </c>
      <c r="I58" s="56" t="str">
        <f>IFERROR(VLOOKUP($B58,'APS Tubes by Date Import'!$B$2:$J115,2,FALSE),"")</f>
        <v/>
      </c>
      <c r="J58" s="56" t="str">
        <f>IFERROR(VLOOKUP($B58,'APS Tubes by Date Import'!$B$2:$J115,9,FALSE),"")</f>
        <v/>
      </c>
      <c r="K58" s="56" t="str">
        <f>IFNA(VLOOKUP($B58,'APS Tubes by Date Import'!$B$2:$J115,6,FALSE),"")</f>
        <v/>
      </c>
      <c r="L58" s="56" t="str">
        <f t="shared" si="30"/>
        <v/>
      </c>
      <c r="M58" s="56"/>
      <c r="N58" s="120"/>
      <c r="O58" s="6" t="str">
        <f t="shared" si="31"/>
        <v/>
      </c>
      <c r="Q58" s="6" t="str">
        <f t="shared" ref="Q58:Q105" si="34">IFS(OR(N58=0.1,N58=1.1,N58=2.1),"NULL &gt; NEG",N58=3, "Delete NULL",TRUE,IFERROR(0/0,""))</f>
        <v/>
      </c>
      <c r="R58" s="87" t="str">
        <f>IFNA(MATCH(A58,'RFR Data - preExcl'!A$2:A115,0),"")</f>
        <v/>
      </c>
      <c r="S58" s="43"/>
      <c r="T58" s="20" t="str">
        <f>IF(AND(NOT(ISBLANK(U58)),NOT(ISBLANK(V58)),NOT(ISBLANK(W58))),CONCATENATE("RUN-",'Process Ref'!$A$1,"_",TEXT(V58,"YYYY-MM-DD"),"_APS-",TEXT(W58,"000")),IFERROR(0/0,""))</f>
        <v/>
      </c>
      <c r="U58" s="20" t="str">
        <f t="shared" si="32"/>
        <v/>
      </c>
      <c r="V58" s="55">
        <v>44543.0</v>
      </c>
      <c r="W58" s="142" t="str">
        <f t="shared" si="33"/>
        <v/>
      </c>
      <c r="Y58" s="105"/>
    </row>
    <row r="59">
      <c r="C59" s="120"/>
      <c r="D59" s="56" t="str">
        <f t="array" ref="D59">IF(OR(ISBLANK($A59),C59),IFERROR(0/0,""),INDEX('RFR Data - preExcl'!E$2:E115,$R59,1))</f>
        <v/>
      </c>
      <c r="E59" s="56" t="str">
        <f t="array" ref="E59">IF(OR(ISBLANK($A59),$C59),IFERROR(0/0,""),INDEX('RFR Data - preExcl'!Z$2:Z115,$R59,1))</f>
        <v/>
      </c>
      <c r="F59" s="56" t="str">
        <f t="array" ref="F59">IF(OR(ISBLANK(A59),C59),IFERROR(0/0,""),INDEX('RFR Data - preExcl'!AC$2:AC115,$R59,1))</f>
        <v/>
      </c>
      <c r="G59" s="56" t="str">
        <f t="array" ref="G59">IF(OR(ISBLANK(A59),C59),IFERROR(0/0,""),INDEX('RFR Data - preExcl'!AK$2:AK115,$R59,1))</f>
        <v/>
      </c>
      <c r="H59" s="56" t="str">
        <f t="array" ref="H59">IF(OR(ISBLANK(A59),C59),IFERROR(0/0,""),INDEX('RFR Data - preExcl'!AL$2:AL115,$R59,1))</f>
        <v/>
      </c>
      <c r="I59" s="56" t="str">
        <f>IFERROR(VLOOKUP($B59,'APS Tubes by Date Import'!$B$2:$J115,2,FALSE),"")</f>
        <v/>
      </c>
      <c r="J59" s="56" t="str">
        <f>IFERROR(VLOOKUP($B59,'APS Tubes by Date Import'!$B$2:$J115,9,FALSE),"")</f>
        <v/>
      </c>
      <c r="K59" s="56" t="str">
        <f>IFNA(VLOOKUP($B59,'APS Tubes by Date Import'!$B$2:$J115,6,FALSE),"")</f>
        <v/>
      </c>
      <c r="L59" s="56" t="str">
        <f t="shared" si="30"/>
        <v/>
      </c>
      <c r="M59" s="56"/>
      <c r="N59" s="120"/>
      <c r="O59" s="6" t="str">
        <f t="shared" si="31"/>
        <v/>
      </c>
      <c r="Q59" s="6" t="str">
        <f t="shared" si="34"/>
        <v/>
      </c>
      <c r="R59" s="87" t="str">
        <f>IFNA(MATCH(A59,'RFR Data - preExcl'!A$2:A115,0),"")</f>
        <v/>
      </c>
      <c r="S59" s="43"/>
      <c r="T59" s="20" t="str">
        <f>IF(AND(NOT(ISBLANK(U59)),NOT(ISBLANK(V59)),NOT(ISBLANK(W59))),CONCATENATE("RUN-",'Process Ref'!$A$1,"_",TEXT(V59,"YYYY-MM-DD"),"_APS-",TEXT(W59,"000")),IFERROR(0/0,""))</f>
        <v>RUN-BEND_2021-12-15_APS-002</v>
      </c>
      <c r="U59" s="92">
        <f t="shared" si="32"/>
        <v>44545</v>
      </c>
      <c r="V59" s="55">
        <v>44545.0</v>
      </c>
      <c r="W59" s="142">
        <f t="shared" si="33"/>
        <v>2</v>
      </c>
      <c r="X59" s="86" t="s">
        <v>93</v>
      </c>
      <c r="Y59" s="105"/>
    </row>
    <row r="60">
      <c r="C60" s="120"/>
      <c r="D60" s="56" t="str">
        <f t="array" ref="D60">IF(OR(ISBLANK($A60),C60),IFERROR(0/0,""),INDEX('RFR Data - preExcl'!E$2:E115,$R60,1))</f>
        <v/>
      </c>
      <c r="E60" s="56" t="str">
        <f t="array" ref="E60">IF(OR(ISBLANK($A60),$C60),IFERROR(0/0,""),INDEX('RFR Data - preExcl'!Z$2:Z115,$R60,1))</f>
        <v/>
      </c>
      <c r="F60" s="56" t="str">
        <f t="array" ref="F60">IF(OR(ISBLANK(A60),C60),IFERROR(0/0,""),INDEX('RFR Data - preExcl'!AC$2:AC115,$R60,1))</f>
        <v/>
      </c>
      <c r="G60" s="56" t="str">
        <f t="array" ref="G60">IF(OR(ISBLANK(A60),C60),IFERROR(0/0,""),INDEX('RFR Data - preExcl'!AK$2:AK115,$R60,1))</f>
        <v/>
      </c>
      <c r="H60" s="56" t="str">
        <f t="array" ref="H60">IF(OR(ISBLANK(A60),C60),IFERROR(0/0,""),INDEX('RFR Data - preExcl'!AL$2:AL115,$R60,1))</f>
        <v/>
      </c>
      <c r="I60" s="56" t="str">
        <f>IFERROR(VLOOKUP($B60,'APS Tubes by Date Import'!$B$2:$J115,2,FALSE),"")</f>
        <v/>
      </c>
      <c r="J60" s="56" t="str">
        <f>IFERROR(VLOOKUP($B60,'APS Tubes by Date Import'!$B$2:$J115,9,FALSE),"")</f>
        <v/>
      </c>
      <c r="K60" s="56" t="str">
        <f>IFNA(VLOOKUP($B60,'APS Tubes by Date Import'!$B$2:$J115,6,FALSE),"")</f>
        <v/>
      </c>
      <c r="L60" s="56" t="str">
        <f t="shared" si="30"/>
        <v/>
      </c>
      <c r="M60" s="56"/>
      <c r="N60" s="120"/>
      <c r="O60" s="6" t="str">
        <f t="shared" si="31"/>
        <v/>
      </c>
      <c r="Q60" s="6" t="str">
        <f t="shared" si="34"/>
        <v/>
      </c>
      <c r="R60" s="87" t="str">
        <f>IFNA(MATCH(A60,'RFR Data - preExcl'!A$2:A115,0),"")</f>
        <v/>
      </c>
      <c r="S60" s="43"/>
      <c r="T60" s="20" t="str">
        <f>IF(AND(NOT(ISBLANK(U60)),NOT(ISBLANK(V60)),NOT(ISBLANK(W60))),CONCATENATE("RUN-",'Process Ref'!$A$1,"_",TEXT(V60,"YYYY-MM-DD"),"_APS-",TEXT(W60,"000")),IFERROR(0/0,""))</f>
        <v>RUN-BEND_2021-12-17_APS-003</v>
      </c>
      <c r="U60" s="92">
        <f t="shared" si="32"/>
        <v>44547</v>
      </c>
      <c r="V60" s="55">
        <v>44547.0</v>
      </c>
      <c r="W60" s="142">
        <f t="shared" si="33"/>
        <v>3</v>
      </c>
      <c r="Y60" s="105"/>
    </row>
    <row r="61">
      <c r="C61" s="120"/>
      <c r="D61" s="56" t="str">
        <f t="array" ref="D61">IF(OR(ISBLANK($A61),C61),IFERROR(0/0,""),INDEX('RFR Data - preExcl'!E$2:E115,$R61,1))</f>
        <v/>
      </c>
      <c r="E61" s="56" t="str">
        <f t="array" ref="E61">IF(OR(ISBLANK($A61),$C61),IFERROR(0/0,""),INDEX('RFR Data - preExcl'!Z$2:Z115,$R61,1))</f>
        <v/>
      </c>
      <c r="F61" s="56" t="str">
        <f t="array" ref="F61">IF(OR(ISBLANK(A61),C61),IFERROR(0/0,""),INDEX('RFR Data - preExcl'!AC$2:AC115,$R61,1))</f>
        <v/>
      </c>
      <c r="G61" s="56" t="str">
        <f t="array" ref="G61">IF(OR(ISBLANK(A61),C61),IFERROR(0/0,""),INDEX('RFR Data - preExcl'!AK$2:AK115,$R61,1))</f>
        <v/>
      </c>
      <c r="H61" s="56" t="str">
        <f t="array" ref="H61">IF(OR(ISBLANK(A61),C61),IFERROR(0/0,""),INDEX('RFR Data - preExcl'!AL$2:AL115,$R61,1))</f>
        <v/>
      </c>
      <c r="I61" s="56" t="str">
        <f>IFERROR(VLOOKUP($B61,'APS Tubes by Date Import'!$B$2:$J115,2,FALSE),"")</f>
        <v/>
      </c>
      <c r="J61" s="56" t="str">
        <f>IFERROR(VLOOKUP($B61,'APS Tubes by Date Import'!$B$2:$J115,9,FALSE),"")</f>
        <v/>
      </c>
      <c r="K61" s="56" t="str">
        <f>IFNA(VLOOKUP($B61,'APS Tubes by Date Import'!$B$2:$J115,6,FALSE),"")</f>
        <v/>
      </c>
      <c r="L61" s="56" t="str">
        <f t="shared" si="30"/>
        <v/>
      </c>
      <c r="M61" s="56"/>
      <c r="N61" s="120"/>
      <c r="O61" s="6" t="str">
        <f t="shared" si="31"/>
        <v/>
      </c>
      <c r="Q61" s="6" t="str">
        <f t="shared" si="34"/>
        <v/>
      </c>
      <c r="R61" s="87" t="str">
        <f>IFNA(MATCH(A61,'RFR Data - preExcl'!A$2:A115,0),"")</f>
        <v/>
      </c>
      <c r="S61" s="43"/>
      <c r="T61" s="20" t="str">
        <f>IF(AND(NOT(ISBLANK(U61)),NOT(ISBLANK(V61)),NOT(ISBLANK(W61))),CONCATENATE("RUN-",'Process Ref'!$A$1,"_",TEXT(V61,"YYYY-MM-DD"),"_APS-",TEXT(W61,"000")),IFERROR(0/0,""))</f>
        <v/>
      </c>
      <c r="U61" s="92">
        <f t="shared" si="32"/>
        <v>44549</v>
      </c>
      <c r="V61" s="55">
        <v>44549.0</v>
      </c>
      <c r="W61" s="143"/>
      <c r="X61" s="86" t="s">
        <v>93</v>
      </c>
      <c r="Y61" s="105"/>
    </row>
    <row r="62">
      <c r="C62" s="120"/>
      <c r="D62" s="56" t="str">
        <f t="array" ref="D62">IF(OR(ISBLANK($A62),C62),IFERROR(0/0,""),INDEX('RFR Data - preExcl'!E$2:E115,$R62,1))</f>
        <v/>
      </c>
      <c r="E62" s="56" t="str">
        <f t="array" ref="E62">IF(OR(ISBLANK($A62),$C62),IFERROR(0/0,""),INDEX('RFR Data - preExcl'!Z$2:Z115,$R62,1))</f>
        <v/>
      </c>
      <c r="F62" s="56" t="str">
        <f t="array" ref="F62">IF(OR(ISBLANK(A62),C62),IFERROR(0/0,""),INDEX('RFR Data - preExcl'!AC$2:AC115,$R62,1))</f>
        <v/>
      </c>
      <c r="G62" s="56" t="str">
        <f t="array" ref="G62">IF(OR(ISBLANK(A62),C62),IFERROR(0/0,""),INDEX('RFR Data - preExcl'!AK$2:AK115,$R62,1))</f>
        <v/>
      </c>
      <c r="H62" s="56" t="str">
        <f t="array" ref="H62">IF(OR(ISBLANK(A62),C62),IFERROR(0/0,""),INDEX('RFR Data - preExcl'!AL$2:AL115,$R62,1))</f>
        <v/>
      </c>
      <c r="I62" s="56" t="str">
        <f>IFERROR(VLOOKUP($B62,'APS Tubes by Date Import'!$B$2:$J115,2,FALSE),"")</f>
        <v/>
      </c>
      <c r="J62" s="56" t="str">
        <f>IFERROR(VLOOKUP($B62,'APS Tubes by Date Import'!$B$2:$J115,9,FALSE),"")</f>
        <v/>
      </c>
      <c r="K62" s="56" t="str">
        <f>IFNA(VLOOKUP($B62,'APS Tubes by Date Import'!$B$2:$J115,6,FALSE),"")</f>
        <v/>
      </c>
      <c r="L62" s="56" t="str">
        <f t="shared" si="30"/>
        <v/>
      </c>
      <c r="M62" s="56"/>
      <c r="N62" s="120"/>
      <c r="O62" s="6" t="str">
        <f t="shared" si="31"/>
        <v/>
      </c>
      <c r="Q62" s="6" t="str">
        <f t="shared" si="34"/>
        <v/>
      </c>
      <c r="R62" s="87" t="str">
        <f>IFNA(MATCH(A62,'RFR Data - preExcl'!A$2:A115,0),"")</f>
        <v/>
      </c>
      <c r="S62" s="43"/>
      <c r="T62" s="20" t="str">
        <f>IF(AND(NOT(ISBLANK(U62)),NOT(ISBLANK(V62)),NOT(ISBLANK(W62))),CONCATENATE("RUN-",'Process Ref'!$A$1,"_",TEXT(V62,"YYYY-MM-DD"),"_APS-",TEXT(W62,"000")),IFERROR(0/0,""))</f>
        <v/>
      </c>
      <c r="U62" s="20" t="str">
        <f t="shared" si="32"/>
        <v/>
      </c>
      <c r="V62" s="55">
        <v>44550.0</v>
      </c>
      <c r="W62" s="142" t="str">
        <f>IF(NOT(ISBLANK(U62)),MAX(W$1:W61)+1,IFERROR(0/0,""))</f>
        <v/>
      </c>
      <c r="Y62" s="105"/>
    </row>
    <row r="63">
      <c r="C63" s="120"/>
      <c r="D63" s="56" t="str">
        <f t="array" ref="D63">IF(OR(ISBLANK($A63),C63),IFERROR(0/0,""),INDEX('RFR Data - preExcl'!E$2:E115,$R63,1))</f>
        <v/>
      </c>
      <c r="E63" s="56" t="str">
        <f t="array" ref="E63">IF(OR(ISBLANK($A63),$C63),IFERROR(0/0,""),INDEX('RFR Data - preExcl'!Z$2:Z115,$R63,1))</f>
        <v/>
      </c>
      <c r="F63" s="56" t="str">
        <f t="array" ref="F63">IF(OR(ISBLANK(A63),C63),IFERROR(0/0,""),INDEX('RFR Data - preExcl'!AC$2:AC115,$R63,1))</f>
        <v/>
      </c>
      <c r="G63" s="56" t="str">
        <f t="array" ref="G63">IF(OR(ISBLANK(A63),C63),IFERROR(0/0,""),INDEX('RFR Data - preExcl'!AK$2:AK115,$R63,1))</f>
        <v/>
      </c>
      <c r="H63" s="56" t="str">
        <f t="array" ref="H63">IF(OR(ISBLANK(A63),C63),IFERROR(0/0,""),INDEX('RFR Data - preExcl'!AL$2:AL115,$R63,1))</f>
        <v/>
      </c>
      <c r="I63" s="56" t="str">
        <f>IFERROR(VLOOKUP($B63,'APS Tubes by Date Import'!$B$2:$J115,2,FALSE),"")</f>
        <v/>
      </c>
      <c r="J63" s="56" t="str">
        <f>IFERROR(VLOOKUP($B63,'APS Tubes by Date Import'!$B$2:$J115,9,FALSE),"")</f>
        <v/>
      </c>
      <c r="K63" s="56" t="str">
        <f>IFNA(VLOOKUP($B63,'APS Tubes by Date Import'!$B$2:$J115,6,FALSE),"")</f>
        <v/>
      </c>
      <c r="L63" s="56" t="str">
        <f t="shared" si="30"/>
        <v/>
      </c>
      <c r="M63" s="56"/>
      <c r="N63" s="120"/>
      <c r="O63" s="6" t="str">
        <f t="shared" si="31"/>
        <v/>
      </c>
      <c r="Q63" s="6" t="str">
        <f t="shared" si="34"/>
        <v/>
      </c>
      <c r="R63" s="87" t="str">
        <f>IFNA(MATCH(A63,'RFR Data - preExcl'!A$2:A115,0),"")</f>
        <v/>
      </c>
      <c r="S63" s="43"/>
      <c r="T63" s="20" t="str">
        <f>IF(AND(NOT(ISBLANK(U63)),NOT(ISBLANK(V63)),NOT(ISBLANK(W63))),CONCATENATE("RUN-",'Process Ref'!$A$1,"_",TEXT(V63,"YYYY-MM-DD"),"_APS-",TEXT(W63,"000")),IFERROR(0/0,""))</f>
        <v/>
      </c>
      <c r="U63" s="92">
        <f t="shared" si="32"/>
        <v>44551</v>
      </c>
      <c r="V63" s="55">
        <v>44551.0</v>
      </c>
      <c r="W63" s="143"/>
      <c r="Y63" s="105"/>
    </row>
    <row r="64">
      <c r="C64" s="120"/>
      <c r="D64" s="56" t="str">
        <f t="array" ref="D64">IF(ISBLANK($A64),IFERROR(0/0,""),INDEX('RFR Data - preExcl'!E$2:E115,$R64,1))</f>
        <v/>
      </c>
      <c r="E64" s="56"/>
      <c r="F64" s="56" t="str">
        <f t="array" ref="F64">IF(ISBLANK($A64),IFERROR(0/0,""),INDEX('RFR Data - preExcl'!AC$2:AC115,$R64,1))</f>
        <v/>
      </c>
      <c r="G64" s="56" t="str">
        <f t="array" ref="G64">IF(ISBLANK($A64),IFERROR(0/0,""),INDEX('RFR Data - preExcl'!AK$2:AK115,$R64,1))</f>
        <v/>
      </c>
      <c r="H64" s="56" t="str">
        <f t="array" ref="H64">IF(ISBLANK($A64),IFERROR(0/0,""),INDEX('RFR Data - preExcl'!AL$2:AL115,$R64,1))</f>
        <v/>
      </c>
      <c r="I64" s="56" t="str">
        <f>IFERROR(VLOOKUP($B64,'APS Tubes by Date Import'!$B$2:$J115,2,FALSE),"")</f>
        <v/>
      </c>
      <c r="J64" s="56" t="str">
        <f>IFERROR(VLOOKUP($B64,'APS Tubes by Date Import'!$B$2:$J115,9,FALSE),"")</f>
        <v/>
      </c>
      <c r="K64" s="56" t="str">
        <f>IFNA(VLOOKUP($B64,'APS Tubes by Date Import'!$B$2:$J115,6,FALSE),"")</f>
        <v/>
      </c>
      <c r="L64" s="56" t="str">
        <f t="shared" si="30"/>
        <v/>
      </c>
      <c r="M64" s="56"/>
      <c r="N64" s="120"/>
      <c r="O64" s="6" t="str">
        <f t="shared" si="31"/>
        <v/>
      </c>
      <c r="Q64" s="6" t="str">
        <f t="shared" si="34"/>
        <v/>
      </c>
      <c r="R64" s="87" t="str">
        <f>IFNA(MATCH(A64,'RFR Data - preExcl'!A$2:A115,0),"")</f>
        <v/>
      </c>
      <c r="S64" s="43"/>
      <c r="T64" s="20" t="str">
        <f>IF(AND(NOT(ISBLANK(U64)),NOT(ISBLANK(V64)),NOT(ISBLANK(W64))),CONCATENATE("RUN-",'Process Ref'!$A$1,"_",TEXT(V64,"YYYY-MM-DD"),"_APS-",TEXT(W64,"000")),IFERROR(0/0,""))</f>
        <v/>
      </c>
      <c r="U64" s="20" t="str">
        <f t="shared" si="32"/>
        <v/>
      </c>
      <c r="V64" s="55">
        <v>44552.0</v>
      </c>
      <c r="W64" s="142" t="str">
        <f>IF(NOT(ISBLANK(U64)),MAX(W$1:W63)+1,IFERROR(0/0,""))</f>
        <v/>
      </c>
    </row>
    <row r="65">
      <c r="C65" s="120"/>
      <c r="D65" s="56" t="str">
        <f t="array" ref="D65">IF(ISBLANK($A65),IFERROR(0/0,""),INDEX('RFR Data - preExcl'!E$2:E115,$R65,1))</f>
        <v/>
      </c>
      <c r="E65" s="56"/>
      <c r="F65" s="56" t="str">
        <f t="array" ref="F65">IF(ISBLANK($A65),IFERROR(0/0,""),INDEX('RFR Data - preExcl'!AC$2:AC115,$R65,1))</f>
        <v/>
      </c>
      <c r="G65" s="56" t="str">
        <f t="array" ref="G65">IF(ISBLANK($A65),IFERROR(0/0,""),INDEX('RFR Data - preExcl'!AK$2:AK115,$R65,1))</f>
        <v/>
      </c>
      <c r="H65" s="56" t="str">
        <f t="array" ref="H65">IF(ISBLANK($A65),IFERROR(0/0,""),INDEX('RFR Data - preExcl'!AL$2:AL115,$R65,1))</f>
        <v/>
      </c>
      <c r="I65" s="56" t="str">
        <f>IFERROR(VLOOKUP($B65,'APS Tubes by Date Import'!$B$2:$J115,2,FALSE),"")</f>
        <v/>
      </c>
      <c r="J65" s="56" t="str">
        <f>IFERROR(VLOOKUP($B65,'APS Tubes by Date Import'!$B$2:$J115,9,FALSE),"")</f>
        <v/>
      </c>
      <c r="K65" s="56" t="str">
        <f>IFNA(VLOOKUP($B65,'APS Tubes by Date Import'!$B$2:$J115,6,FALSE),"")</f>
        <v/>
      </c>
      <c r="L65" s="56" t="str">
        <f t="shared" si="30"/>
        <v/>
      </c>
      <c r="M65" s="56"/>
      <c r="N65" s="120"/>
      <c r="O65" s="6" t="str">
        <f t="shared" si="31"/>
        <v/>
      </c>
      <c r="Q65" s="6" t="str">
        <f t="shared" si="34"/>
        <v/>
      </c>
      <c r="R65" s="87" t="str">
        <f>IFNA(MATCH(A65,'RFR Data - preExcl'!A$2:A115,0),"")</f>
        <v/>
      </c>
      <c r="S65" s="43"/>
      <c r="T65" s="20" t="str">
        <f>IF(AND(NOT(ISBLANK(U65)),NOT(ISBLANK(V65)),NOT(ISBLANK(W65))),CONCATENATE("RUN-",'Process Ref'!$A$1,"_",TEXT(V65,"YYYY-MM-DD"),"_APS-",TEXT(W65,"000")),IFERROR(0/0,""))</f>
        <v/>
      </c>
      <c r="U65" s="92">
        <f t="shared" si="32"/>
        <v>44556</v>
      </c>
      <c r="V65" s="55">
        <v>44556.0</v>
      </c>
      <c r="W65" s="143"/>
    </row>
    <row r="66">
      <c r="C66" s="120"/>
      <c r="D66" s="56" t="str">
        <f t="array" ref="D66">IF(ISBLANK($A66),IFERROR(0/0,""),INDEX('RFR Data - preExcl'!E$2:E115,$R66,1))</f>
        <v/>
      </c>
      <c r="E66" s="56"/>
      <c r="F66" s="56" t="str">
        <f t="array" ref="F66">IF(ISBLANK($A66),IFERROR(0/0,""),INDEX('RFR Data - preExcl'!AC$2:AC115,$R66,1))</f>
        <v/>
      </c>
      <c r="G66" s="56" t="str">
        <f t="array" ref="G66">IF(ISBLANK($A66),IFERROR(0/0,""),INDEX('RFR Data - preExcl'!AK$2:AK115,$R66,1))</f>
        <v/>
      </c>
      <c r="H66" s="56" t="str">
        <f t="array" ref="H66">IF(ISBLANK($A66),IFERROR(0/0,""),INDEX('RFR Data - preExcl'!AL$2:AL115,$R66,1))</f>
        <v/>
      </c>
      <c r="I66" s="56" t="str">
        <f>IFERROR(VLOOKUP($B66,'APS Tubes by Date Import'!$B$2:$J115,2,FALSE),"")</f>
        <v/>
      </c>
      <c r="J66" s="56" t="str">
        <f>IFERROR(VLOOKUP($B66,'APS Tubes by Date Import'!$B$2:$J115,9,FALSE),"")</f>
        <v/>
      </c>
      <c r="K66" s="56" t="str">
        <f>IFNA(VLOOKUP($B66,'APS Tubes by Date Import'!$B$2:$J115,6,FALSE),"")</f>
        <v/>
      </c>
      <c r="L66" s="56" t="str">
        <f t="shared" si="30"/>
        <v/>
      </c>
      <c r="M66" s="56"/>
      <c r="N66" s="120"/>
      <c r="O66" s="6" t="str">
        <f t="shared" si="31"/>
        <v/>
      </c>
      <c r="Q66" s="6" t="str">
        <f t="shared" si="34"/>
        <v/>
      </c>
      <c r="R66" s="87" t="str">
        <f>IFNA(MATCH(A66,'RFR Data - preExcl'!A$2:A115,0),"")</f>
        <v/>
      </c>
      <c r="S66" s="43"/>
      <c r="T66" s="20" t="str">
        <f>IF(AND(NOT(ISBLANK(U66)),NOT(ISBLANK(V66)),NOT(ISBLANK(W66))),CONCATENATE("RUN-",'Process Ref'!$A$1,"_",TEXT(V66,"YYYY-MM-DD"),"_APS-",TEXT(W66,"000")),IFERROR(0/0,""))</f>
        <v/>
      </c>
      <c r="U66" s="20" t="str">
        <f t="shared" si="32"/>
        <v/>
      </c>
      <c r="V66" s="55">
        <v>44557.0</v>
      </c>
      <c r="W66" s="142" t="str">
        <f t="shared" ref="W66:W69" si="35">IF(NOT(ISBLANK(U66)),MAX(W$1:W65)+1,IFERROR(0/0,""))</f>
        <v/>
      </c>
      <c r="X66" s="86" t="s">
        <v>93</v>
      </c>
    </row>
    <row r="67">
      <c r="C67" s="120"/>
      <c r="D67" s="56" t="str">
        <f t="array" ref="D67">IF(ISBLANK($A67),IFERROR(0/0,""),INDEX('RFR Data - preExcl'!E$2:E115,$R67,1))</f>
        <v/>
      </c>
      <c r="E67" s="56"/>
      <c r="F67" s="56" t="str">
        <f t="array" ref="F67">IF(ISBLANK($A67),IFERROR(0/0,""),INDEX('RFR Data - preExcl'!AC$2:AC115,$R67,1))</f>
        <v/>
      </c>
      <c r="G67" s="56" t="str">
        <f t="array" ref="G67">IF(ISBLANK($A67),IFERROR(0/0,""),INDEX('RFR Data - preExcl'!AK$2:AK115,$R67,1))</f>
        <v/>
      </c>
      <c r="H67" s="56" t="str">
        <f t="array" ref="H67">IF(ISBLANK($A67),IFERROR(0/0,""),INDEX('RFR Data - preExcl'!AL$2:AL115,$R67,1))</f>
        <v/>
      </c>
      <c r="I67" s="56" t="str">
        <f>IFERROR(VLOOKUP($B67,'APS Tubes by Date Import'!$B$2:$J115,2,FALSE),"")</f>
        <v/>
      </c>
      <c r="J67" s="56" t="str">
        <f>IFERROR(VLOOKUP($B67,'APS Tubes by Date Import'!$B$2:$J115,9,FALSE),"")</f>
        <v/>
      </c>
      <c r="K67" s="56" t="str">
        <f>IFNA(VLOOKUP($B67,'APS Tubes by Date Import'!$B$2:$J115,6,FALSE),"")</f>
        <v/>
      </c>
      <c r="L67" s="56" t="str">
        <f t="shared" si="30"/>
        <v/>
      </c>
      <c r="M67" s="56"/>
      <c r="N67" s="120"/>
      <c r="O67" s="6" t="str">
        <f t="shared" si="31"/>
        <v/>
      </c>
      <c r="Q67" s="6" t="str">
        <f t="shared" si="34"/>
        <v/>
      </c>
      <c r="R67" s="87" t="str">
        <f>IFNA(MATCH(A67,'RFR Data - preExcl'!A$2:A115,0),"")</f>
        <v/>
      </c>
      <c r="S67" s="43"/>
      <c r="T67" s="20" t="str">
        <f>IF(AND(NOT(ISBLANK(U67)),NOT(ISBLANK(V67)),NOT(ISBLANK(W67))),CONCATENATE("RUN-",'Process Ref'!$A$1,"_",TEXT(V67,"YYYY-MM-DD"),"_APS-",TEXT(W67,"000")),IFERROR(0/0,""))</f>
        <v/>
      </c>
      <c r="U67" s="20" t="str">
        <f t="shared" si="32"/>
        <v/>
      </c>
      <c r="V67" s="55">
        <v>44559.0</v>
      </c>
      <c r="W67" s="142" t="str">
        <f t="shared" si="35"/>
        <v/>
      </c>
    </row>
    <row r="68">
      <c r="C68" s="120"/>
      <c r="D68" s="56" t="str">
        <f t="array" ref="D68">IF(ISBLANK($A68),IFERROR(0/0,""),INDEX('RFR Data - preExcl'!E$2:E115,$R68,1))</f>
        <v/>
      </c>
      <c r="E68" s="56"/>
      <c r="F68" s="56" t="str">
        <f t="array" ref="F68">IF(ISBLANK($A68),IFERROR(0/0,""),INDEX('RFR Data - preExcl'!AC$2:AC115,$R68,1))</f>
        <v/>
      </c>
      <c r="G68" s="56" t="str">
        <f t="array" ref="G68">IF(ISBLANK($A68),IFERROR(0/0,""),INDEX('RFR Data - preExcl'!AK$2:AK115,$R68,1))</f>
        <v/>
      </c>
      <c r="H68" s="56" t="str">
        <f t="array" ref="H68">IF(ISBLANK($A68),IFERROR(0/0,""),INDEX('RFR Data - preExcl'!AL$2:AL115,$R68,1))</f>
        <v/>
      </c>
      <c r="I68" s="56" t="str">
        <f>IFERROR(VLOOKUP($B68,'APS Tubes by Date Import'!$B$2:$J115,2,FALSE),"")</f>
        <v/>
      </c>
      <c r="J68" s="56" t="str">
        <f>IFERROR(VLOOKUP($B68,'APS Tubes by Date Import'!$B$2:$J115,9,FALSE),"")</f>
        <v/>
      </c>
      <c r="K68" s="56" t="str">
        <f>IFNA(VLOOKUP($B68,'APS Tubes by Date Import'!$B$2:$J115,6,FALSE),"")</f>
        <v/>
      </c>
      <c r="L68" s="56" t="str">
        <f t="shared" si="30"/>
        <v/>
      </c>
      <c r="M68" s="56"/>
      <c r="N68" s="120"/>
      <c r="O68" s="6" t="str">
        <f t="shared" si="31"/>
        <v/>
      </c>
      <c r="Q68" s="6" t="str">
        <f t="shared" si="34"/>
        <v/>
      </c>
      <c r="R68" s="87" t="str">
        <f>IFNA(MATCH(A68,'RFR Data - preExcl'!A$2:A115,0),"")</f>
        <v/>
      </c>
      <c r="S68" s="43"/>
      <c r="T68" s="20" t="str">
        <f>IF(AND(NOT(ISBLANK(U68)),NOT(ISBLANK(V68)),NOT(ISBLANK(W68))),CONCATENATE("RUN-",'Process Ref'!$A$1,"_",TEXT(V68,"YYYY-MM-DD"),"_APS-",TEXT(W68,"000")),IFERROR(0/0,""))</f>
        <v/>
      </c>
      <c r="U68" s="20" t="str">
        <f t="shared" si="32"/>
        <v/>
      </c>
      <c r="V68" s="55">
        <v>44561.0</v>
      </c>
      <c r="W68" s="142" t="str">
        <f t="shared" si="35"/>
        <v/>
      </c>
      <c r="X68" s="86" t="s">
        <v>93</v>
      </c>
    </row>
    <row r="69">
      <c r="C69" s="120"/>
      <c r="D69" s="56" t="str">
        <f t="array" ref="D69">IF(ISBLANK($A69),IFERROR(0/0,""),INDEX('RFR Data - preExcl'!E$2:E115,$R69,1))</f>
        <v/>
      </c>
      <c r="E69" s="56"/>
      <c r="F69" s="56" t="str">
        <f t="array" ref="F69">IF(ISBLANK($A69),IFERROR(0/0,""),INDEX('RFR Data - preExcl'!AC$2:AC115,$R69,1))</f>
        <v/>
      </c>
      <c r="G69" s="56" t="str">
        <f t="array" ref="G69">IF(ISBLANK($A69),IFERROR(0/0,""),INDEX('RFR Data - preExcl'!AK$2:AK115,$R69,1))</f>
        <v/>
      </c>
      <c r="H69" s="56" t="str">
        <f t="array" ref="H69">IF(ISBLANK($A69),IFERROR(0/0,""),INDEX('RFR Data - preExcl'!AL$2:AL115,$R69,1))</f>
        <v/>
      </c>
      <c r="I69" s="56" t="str">
        <f>IFERROR(VLOOKUP($B69,'APS Tubes by Date Import'!$B$2:$J115,2,FALSE),"")</f>
        <v/>
      </c>
      <c r="J69" s="56" t="str">
        <f>IFERROR(VLOOKUP($B69,'APS Tubes by Date Import'!$B$2:$J115,9,FALSE),"")</f>
        <v/>
      </c>
      <c r="K69" s="56" t="str">
        <f>IFNA(VLOOKUP($B69,'APS Tubes by Date Import'!$B$2:$J115,6,FALSE),"")</f>
        <v/>
      </c>
      <c r="L69" s="56" t="str">
        <f t="shared" si="30"/>
        <v/>
      </c>
      <c r="M69" s="56"/>
      <c r="N69" s="120"/>
      <c r="O69" s="6" t="str">
        <f t="shared" si="31"/>
        <v/>
      </c>
      <c r="Q69" s="6" t="str">
        <f t="shared" si="34"/>
        <v/>
      </c>
      <c r="R69" s="87" t="str">
        <f>IFNA(MATCH(A69,'RFR Data - preExcl'!A$2:A115,0),"")</f>
        <v/>
      </c>
      <c r="S69" s="43"/>
      <c r="T69" s="20" t="str">
        <f>IF(AND(NOT(ISBLANK(U69)),NOT(ISBLANK(V69)),NOT(ISBLANK(W69))),CONCATENATE("RUN-",'Process Ref'!$A$1,"_",TEXT(V69,"YYYY-MM-DD"),"_APS-",TEXT(W69,"000")),IFERROR(0/0,""))</f>
        <v/>
      </c>
      <c r="U69" s="20" t="str">
        <f t="shared" si="32"/>
        <v/>
      </c>
      <c r="V69" s="55">
        <v>44564.0</v>
      </c>
      <c r="W69" s="142" t="str">
        <f t="shared" si="35"/>
        <v/>
      </c>
    </row>
    <row r="70">
      <c r="C70" s="120"/>
      <c r="D70" s="56" t="str">
        <f t="array" ref="D70">IF(ISBLANK($A70),IFERROR(0/0,""),INDEX('RFR Data - preExcl'!E$2:E115,$R70,1))</f>
        <v/>
      </c>
      <c r="E70" s="56"/>
      <c r="F70" s="56" t="str">
        <f t="array" ref="F70">IF(ISBLANK($A70),IFERROR(0/0,""),INDEX('RFR Data - preExcl'!AC$2:AC115,$R70,1))</f>
        <v/>
      </c>
      <c r="G70" s="56" t="str">
        <f t="array" ref="G70">IF(ISBLANK($A70),IFERROR(0/0,""),INDEX('RFR Data - preExcl'!AK$2:AK115,$R70,1))</f>
        <v/>
      </c>
      <c r="H70" s="56" t="str">
        <f t="array" ref="H70">IF(ISBLANK($A70),IFERROR(0/0,""),INDEX('RFR Data - preExcl'!AL$2:AL115,$R70,1))</f>
        <v/>
      </c>
      <c r="I70" s="56" t="str">
        <f>IFERROR(VLOOKUP($B70,'APS Tubes by Date Import'!$B$2:$J115,2,FALSE),"")</f>
        <v/>
      </c>
      <c r="J70" s="56" t="str">
        <f>IFERROR(VLOOKUP($B70,'APS Tubes by Date Import'!$B$2:$J115,9,FALSE),"")</f>
        <v/>
      </c>
      <c r="K70" s="56" t="str">
        <f>IFNA(VLOOKUP($B70,'APS Tubes by Date Import'!$B$2:$J115,6,FALSE),"")</f>
        <v/>
      </c>
      <c r="L70" s="56" t="str">
        <f t="shared" si="30"/>
        <v/>
      </c>
      <c r="M70" s="56"/>
      <c r="N70" s="120"/>
      <c r="O70" s="6" t="str">
        <f t="shared" si="31"/>
        <v/>
      </c>
      <c r="Q70" s="6" t="str">
        <f t="shared" si="34"/>
        <v/>
      </c>
      <c r="R70" s="87" t="str">
        <f>IFNA(MATCH(A70,'RFR Data - preExcl'!A$2:A115,0),"")</f>
        <v/>
      </c>
      <c r="S70" s="43"/>
      <c r="T70" s="20" t="str">
        <f>IF(AND(NOT(ISBLANK(U70)),NOT(ISBLANK(V70)),NOT(ISBLANK(W70))),CONCATENATE("RUN-",'Process Ref'!$A$1,"_",TEXT(V70,"YYYY-MM-DD"),"_APS-",TEXT(W70,"000")),IFERROR(0/0,""))</f>
        <v/>
      </c>
      <c r="U70" s="92">
        <f t="shared" si="32"/>
        <v>44565</v>
      </c>
      <c r="V70" s="55">
        <v>44565.0</v>
      </c>
      <c r="W70" s="143"/>
    </row>
    <row r="71">
      <c r="C71" s="120"/>
      <c r="D71" s="56" t="str">
        <f t="array" ref="D71">IF(ISBLANK($A71),IFERROR(0/0,""),INDEX('RFR Data - preExcl'!E$2:E115,$R71,1))</f>
        <v/>
      </c>
      <c r="E71" s="56"/>
      <c r="F71" s="56" t="str">
        <f t="array" ref="F71">IF(ISBLANK($A71),IFERROR(0/0,""),INDEX('RFR Data - preExcl'!AC$2:AC115,$R71,1))</f>
        <v/>
      </c>
      <c r="G71" s="56" t="str">
        <f t="array" ref="G71">IF(ISBLANK($A71),IFERROR(0/0,""),INDEX('RFR Data - preExcl'!AK$2:AK115,$R71,1))</f>
        <v/>
      </c>
      <c r="H71" s="56" t="str">
        <f t="array" ref="H71">IF(ISBLANK($A71),IFERROR(0/0,""),INDEX('RFR Data - preExcl'!AL$2:AL115,$R71,1))</f>
        <v/>
      </c>
      <c r="I71" s="56" t="str">
        <f>IFERROR(VLOOKUP($B71,'APS Tubes by Date Import'!$B$2:$J115,2,FALSE),"")</f>
        <v/>
      </c>
      <c r="J71" s="56" t="str">
        <f>IFERROR(VLOOKUP($B71,'APS Tubes by Date Import'!$B$2:$J115,9,FALSE),"")</f>
        <v/>
      </c>
      <c r="K71" s="56" t="str">
        <f>IFNA(VLOOKUP($B71,'APS Tubes by Date Import'!$B$2:$J115,6,FALSE),"")</f>
        <v/>
      </c>
      <c r="L71" s="56" t="str">
        <f t="shared" si="30"/>
        <v/>
      </c>
      <c r="M71" s="56"/>
      <c r="N71" s="120"/>
      <c r="O71" s="6" t="str">
        <f t="shared" si="31"/>
        <v/>
      </c>
      <c r="Q71" s="6" t="str">
        <f t="shared" si="34"/>
        <v/>
      </c>
      <c r="R71" s="87" t="str">
        <f>IFNA(MATCH(A71,'RFR Data - preExcl'!A$2:A115,0),"")</f>
        <v/>
      </c>
      <c r="S71" s="43"/>
      <c r="T71" s="20" t="str">
        <f>IF(AND(NOT(ISBLANK(U71)),NOT(ISBLANK(V71)),NOT(ISBLANK(W71))),CONCATENATE("RUN-",'Process Ref'!$A$1,"_",TEXT(V71,"YYYY-MM-DD"),"_APS-",TEXT(W71,"000")),IFERROR(0/0,""))</f>
        <v/>
      </c>
      <c r="U71" s="20" t="str">
        <f t="shared" si="32"/>
        <v/>
      </c>
      <c r="V71" s="55">
        <v>44566.0</v>
      </c>
      <c r="W71" s="142" t="str">
        <f>IF(NOT(ISBLANK(U71)),MAX(W$1:W70)+1,IFERROR(0/0,""))</f>
        <v/>
      </c>
    </row>
    <row r="72">
      <c r="C72" s="120"/>
      <c r="D72" s="56" t="str">
        <f t="array" ref="D72">IF(ISBLANK($A72),IFERROR(0/0,""),INDEX('RFR Data - preExcl'!E$2:E115,$R72,1))</f>
        <v/>
      </c>
      <c r="E72" s="56"/>
      <c r="F72" s="56" t="str">
        <f t="array" ref="F72">IF(ISBLANK($A72),IFERROR(0/0,""),INDEX('RFR Data - preExcl'!AC$2:AC115,$R72,1))</f>
        <v/>
      </c>
      <c r="G72" s="56" t="str">
        <f t="array" ref="G72">IF(ISBLANK($A72),IFERROR(0/0,""),INDEX('RFR Data - preExcl'!AK$2:AK115,$R72,1))</f>
        <v/>
      </c>
      <c r="H72" s="56" t="str">
        <f t="array" ref="H72">IF(ISBLANK($A72),IFERROR(0/0,""),INDEX('RFR Data - preExcl'!AL$2:AL115,$R72,1))</f>
        <v/>
      </c>
      <c r="I72" s="56" t="str">
        <f>IFERROR(VLOOKUP($B72,'APS Tubes by Date Import'!$B$2:$J115,2,FALSE),"")</f>
        <v/>
      </c>
      <c r="J72" s="56" t="str">
        <f>IFERROR(VLOOKUP($B72,'APS Tubes by Date Import'!$B$2:$J115,9,FALSE),"")</f>
        <v/>
      </c>
      <c r="K72" s="56" t="str">
        <f>IFNA(VLOOKUP($B72,'APS Tubes by Date Import'!$B$2:$J115,6,FALSE),"")</f>
        <v/>
      </c>
      <c r="L72" s="56" t="str">
        <f t="shared" si="30"/>
        <v/>
      </c>
      <c r="M72" s="56"/>
      <c r="N72" s="120"/>
      <c r="O72" s="6" t="str">
        <f t="shared" si="31"/>
        <v/>
      </c>
      <c r="Q72" s="6" t="str">
        <f t="shared" si="34"/>
        <v/>
      </c>
      <c r="R72" s="87" t="str">
        <f>IFNA(MATCH(A72,'RFR Data - preExcl'!A$2:A115,0),"")</f>
        <v/>
      </c>
      <c r="S72" s="43"/>
      <c r="T72" s="20" t="str">
        <f>IF(AND(NOT(ISBLANK(U72)),NOT(ISBLANK(V72)),NOT(ISBLANK(W72))),CONCATENATE("RUN-",'Process Ref'!$A$1,"_",TEXT(V72,"YYYY-MM-DD"),"_APS-",TEXT(W72,"000")),IFERROR(0/0,""))</f>
        <v/>
      </c>
      <c r="U72" s="92">
        <f t="shared" si="32"/>
        <v>44567</v>
      </c>
      <c r="V72" s="55">
        <v>44567.0</v>
      </c>
      <c r="W72" s="143"/>
      <c r="X72" s="86" t="s">
        <v>93</v>
      </c>
    </row>
    <row r="73">
      <c r="C73" s="120"/>
      <c r="D73" s="56" t="str">
        <f t="array" ref="D73">IF(ISBLANK($A73),IFERROR(0/0,""),INDEX('RFR Data - preExcl'!E$2:E115,$R73,1))</f>
        <v/>
      </c>
      <c r="E73" s="56"/>
      <c r="F73" s="56" t="str">
        <f t="array" ref="F73">IF(ISBLANK($A73),IFERROR(0/0,""),INDEX('RFR Data - preExcl'!AC$2:AC115,$R73,1))</f>
        <v/>
      </c>
      <c r="G73" s="56" t="str">
        <f t="array" ref="G73">IF(ISBLANK($A73),IFERROR(0/0,""),INDEX('RFR Data - preExcl'!AK$2:AK115,$R73,1))</f>
        <v/>
      </c>
      <c r="H73" s="56" t="str">
        <f t="array" ref="H73">IF(ISBLANK($A73),IFERROR(0/0,""),INDEX('RFR Data - preExcl'!AL$2:AL115,$R73,1))</f>
        <v/>
      </c>
      <c r="I73" s="56" t="str">
        <f>IFERROR(VLOOKUP($B73,'APS Tubes by Date Import'!$B$2:$J115,2,FALSE),"")</f>
        <v/>
      </c>
      <c r="J73" s="56" t="str">
        <f>IFERROR(VLOOKUP($B73,'APS Tubes by Date Import'!$B$2:$J115,9,FALSE),"")</f>
        <v/>
      </c>
      <c r="K73" s="56" t="str">
        <f>IFNA(VLOOKUP($B73,'APS Tubes by Date Import'!$B$2:$J115,6,FALSE),"")</f>
        <v/>
      </c>
      <c r="L73" s="56" t="str">
        <f t="shared" si="30"/>
        <v/>
      </c>
      <c r="M73" s="56"/>
      <c r="N73" s="120"/>
      <c r="O73" s="6" t="str">
        <f t="shared" si="31"/>
        <v/>
      </c>
      <c r="Q73" s="6" t="str">
        <f t="shared" si="34"/>
        <v/>
      </c>
      <c r="R73" s="87" t="str">
        <f>IFNA(MATCH(A73,'RFR Data - preExcl'!A$2:A115,0),"")</f>
        <v/>
      </c>
      <c r="S73" s="43"/>
      <c r="T73" s="20" t="str">
        <f>IF(AND(NOT(ISBLANK(U73)),NOT(ISBLANK(V73)),NOT(ISBLANK(W73))),CONCATENATE("RUN-",'Process Ref'!$A$1,"_",TEXT(V73,"YYYY-MM-DD"),"_APS-",TEXT(W73,"000")),IFERROR(0/0,""))</f>
        <v/>
      </c>
      <c r="U73" s="20" t="str">
        <f t="shared" si="32"/>
        <v/>
      </c>
      <c r="V73" s="55">
        <v>44568.0</v>
      </c>
      <c r="W73" s="142" t="str">
        <f t="shared" ref="W73:W75" si="36">IF(NOT(ISBLANK(U73)),MAX(W$1:W72)+1,IFERROR(0/0,""))</f>
        <v/>
      </c>
    </row>
    <row r="74">
      <c r="C74" s="120"/>
      <c r="D74" s="56" t="str">
        <f t="array" ref="D74">IF(ISBLANK($A74),IFERROR(0/0,""),INDEX('RFR Data - preExcl'!E$2:E115,$R74,1))</f>
        <v/>
      </c>
      <c r="E74" s="56"/>
      <c r="F74" s="56" t="str">
        <f t="array" ref="F74">IF(ISBLANK($A74),IFERROR(0/0,""),INDEX('RFR Data - preExcl'!AC$2:AC115,$R74,1))</f>
        <v/>
      </c>
      <c r="G74" s="56" t="str">
        <f t="array" ref="G74">IF(ISBLANK($A74),IFERROR(0/0,""),INDEX('RFR Data - preExcl'!AK$2:AK115,$R74,1))</f>
        <v/>
      </c>
      <c r="H74" s="56" t="str">
        <f t="array" ref="H74">IF(ISBLANK($A74),IFERROR(0/0,""),INDEX('RFR Data - preExcl'!AL$2:AL115,$R74,1))</f>
        <v/>
      </c>
      <c r="I74" s="56" t="str">
        <f>IFERROR(VLOOKUP($B74,'APS Tubes by Date Import'!$B$2:$J115,2,FALSE),"")</f>
        <v/>
      </c>
      <c r="J74" s="56" t="str">
        <f>IFERROR(VLOOKUP($B74,'APS Tubes by Date Import'!$B$2:$J115,9,FALSE),"")</f>
        <v/>
      </c>
      <c r="K74" s="56" t="str">
        <f>IFNA(VLOOKUP($B74,'APS Tubes by Date Import'!$B$2:$J115,6,FALSE),"")</f>
        <v/>
      </c>
      <c r="L74" s="56" t="str">
        <f t="shared" si="30"/>
        <v/>
      </c>
      <c r="M74" s="56"/>
      <c r="N74" s="120"/>
      <c r="O74" s="6" t="str">
        <f t="shared" si="31"/>
        <v/>
      </c>
      <c r="Q74" s="6" t="str">
        <f t="shared" si="34"/>
        <v/>
      </c>
      <c r="R74" s="87" t="str">
        <f>IFNA(MATCH(A74,'RFR Data - preExcl'!A$2:A115,0),"")</f>
        <v/>
      </c>
      <c r="S74" s="43"/>
      <c r="T74" s="20" t="str">
        <f>IF(AND(NOT(ISBLANK(U74)),NOT(ISBLANK(V74)),NOT(ISBLANK(W74))),CONCATENATE("RUN-",'Process Ref'!$A$1,"_",TEXT(V74,"YYYY-MM-DD"),"_APS-",TEXT(W74,"000")),IFERROR(0/0,""))</f>
        <v/>
      </c>
      <c r="U74" s="20" t="str">
        <f t="shared" si="32"/>
        <v/>
      </c>
      <c r="V74" s="55">
        <v>44571.0</v>
      </c>
      <c r="W74" s="142" t="str">
        <f t="shared" si="36"/>
        <v/>
      </c>
      <c r="X74" s="86" t="s">
        <v>93</v>
      </c>
    </row>
    <row r="75">
      <c r="C75" s="120"/>
      <c r="D75" s="56" t="str">
        <f t="array" ref="D75">IF(ISBLANK($A75),IFERROR(0/0,""),INDEX('RFR Data - preExcl'!E$2:E115,$R75,1))</f>
        <v/>
      </c>
      <c r="E75" s="56"/>
      <c r="F75" s="56" t="str">
        <f t="array" ref="F75">IF(ISBLANK($A75),IFERROR(0/0,""),INDEX('RFR Data - preExcl'!AC$2:AC115,$R75,1))</f>
        <v/>
      </c>
      <c r="G75" s="56" t="str">
        <f t="array" ref="G75">IF(ISBLANK($A75),IFERROR(0/0,""),INDEX('RFR Data - preExcl'!AK$2:AK115,$R75,1))</f>
        <v/>
      </c>
      <c r="H75" s="56" t="str">
        <f t="array" ref="H75">IF(ISBLANK($A75),IFERROR(0/0,""),INDEX('RFR Data - preExcl'!AL$2:AL115,$R75,1))</f>
        <v/>
      </c>
      <c r="I75" s="56" t="str">
        <f>IFERROR(VLOOKUP($B75,'APS Tubes by Date Import'!$B$2:$J115,2,FALSE),"")</f>
        <v/>
      </c>
      <c r="J75" s="56" t="str">
        <f>IFERROR(VLOOKUP($B75,'APS Tubes by Date Import'!$B$2:$J115,9,FALSE),"")</f>
        <v/>
      </c>
      <c r="K75" s="56" t="str">
        <f>IFNA(VLOOKUP($B75,'APS Tubes by Date Import'!$B$2:$J115,6,FALSE),"")</f>
        <v/>
      </c>
      <c r="L75" s="56" t="str">
        <f t="shared" si="30"/>
        <v/>
      </c>
      <c r="M75" s="56"/>
      <c r="N75" s="120"/>
      <c r="O75" s="6" t="str">
        <f t="shared" si="31"/>
        <v/>
      </c>
      <c r="Q75" s="6" t="str">
        <f t="shared" si="34"/>
        <v/>
      </c>
      <c r="R75" s="87" t="str">
        <f>IFNA(MATCH(A75,'RFR Data - preExcl'!A$2:A115,0),"")</f>
        <v/>
      </c>
      <c r="S75" s="43"/>
      <c r="T75" s="20" t="str">
        <f>IF(AND(NOT(ISBLANK(U75)),NOT(ISBLANK(V75)),NOT(ISBLANK(W75))),CONCATENATE("RUN-",'Process Ref'!$A$1,"_",TEXT(V75,"YYYY-MM-DD"),"_APS-",TEXT(W75,"000")),IFERROR(0/0,""))</f>
        <v/>
      </c>
      <c r="U75" s="20" t="str">
        <f t="shared" si="32"/>
        <v/>
      </c>
      <c r="V75" s="55">
        <v>44573.0</v>
      </c>
      <c r="W75" s="142" t="str">
        <f t="shared" si="36"/>
        <v/>
      </c>
      <c r="X75" s="86" t="s">
        <v>93</v>
      </c>
    </row>
    <row r="76">
      <c r="C76" s="120"/>
      <c r="D76" s="56" t="str">
        <f t="array" ref="D76">IF(ISBLANK($A76),IFERROR(0/0,""),INDEX('RFR Data - preExcl'!E$2:E115,$R76,1))</f>
        <v/>
      </c>
      <c r="E76" s="56"/>
      <c r="F76" s="56" t="str">
        <f t="array" ref="F76">IF(ISBLANK($A76),IFERROR(0/0,""),INDEX('RFR Data - preExcl'!AC$2:AC115,$R76,1))</f>
        <v/>
      </c>
      <c r="G76" s="56" t="str">
        <f t="array" ref="G76">IF(ISBLANK($A76),IFERROR(0/0,""),INDEX('RFR Data - preExcl'!AK$2:AK115,$R76,1))</f>
        <v/>
      </c>
      <c r="H76" s="56" t="str">
        <f t="array" ref="H76">IF(ISBLANK($A76),IFERROR(0/0,""),INDEX('RFR Data - preExcl'!AL$2:AL115,$R76,1))</f>
        <v/>
      </c>
      <c r="I76" s="56" t="str">
        <f>IFERROR(VLOOKUP($B76,'APS Tubes by Date Import'!$B$2:$J115,2,FALSE),"")</f>
        <v/>
      </c>
      <c r="J76" s="56" t="str">
        <f>IFERROR(VLOOKUP($B76,'APS Tubes by Date Import'!$B$2:$J115,9,FALSE),"")</f>
        <v/>
      </c>
      <c r="K76" s="56" t="str">
        <f>IFNA(VLOOKUP($B76,'APS Tubes by Date Import'!$B$2:$J115,6,FALSE),"")</f>
        <v/>
      </c>
      <c r="L76" s="56" t="str">
        <f t="shared" si="30"/>
        <v/>
      </c>
      <c r="M76" s="56"/>
      <c r="N76" s="120"/>
      <c r="O76" s="6" t="str">
        <f t="shared" si="31"/>
        <v/>
      </c>
      <c r="Q76" s="6" t="str">
        <f t="shared" si="34"/>
        <v/>
      </c>
      <c r="R76" s="87" t="str">
        <f>IFNA(MATCH(A76,'RFR Data - preExcl'!A$2:A115,0),"")</f>
        <v/>
      </c>
      <c r="S76" s="43"/>
      <c r="T76" s="20" t="str">
        <f>IF(AND(NOT(ISBLANK(U76)),NOT(ISBLANK(V76)),NOT(ISBLANK(W76))),CONCATENATE("RUN-",'Process Ref'!$A$1,"_",TEXT(V76,"YYYY-MM-DD"),"_APS-",TEXT(W76,"000")),IFERROR(0/0,""))</f>
        <v/>
      </c>
      <c r="U76" s="92">
        <f t="shared" si="32"/>
        <v>44574</v>
      </c>
      <c r="V76" s="55">
        <v>44574.0</v>
      </c>
      <c r="W76" s="143"/>
    </row>
    <row r="77">
      <c r="C77" s="120"/>
      <c r="D77" s="56" t="str">
        <f t="array" ref="D77">IF(ISBLANK($A77),IFERROR(0/0,""),INDEX('RFR Data - preExcl'!E$2:E115,$R77,1))</f>
        <v/>
      </c>
      <c r="E77" s="56"/>
      <c r="F77" s="56" t="str">
        <f t="array" ref="F77">IF(ISBLANK($A77),IFERROR(0/0,""),INDEX('RFR Data - preExcl'!AC$2:AC115,$R77,1))</f>
        <v/>
      </c>
      <c r="G77" s="56" t="str">
        <f t="array" ref="G77">IF(ISBLANK($A77),IFERROR(0/0,""),INDEX('RFR Data - preExcl'!AK$2:AK115,$R77,1))</f>
        <v/>
      </c>
      <c r="H77" s="56" t="str">
        <f t="array" ref="H77">IF(ISBLANK($A77),IFERROR(0/0,""),INDEX('RFR Data - preExcl'!AL$2:AL115,$R77,1))</f>
        <v/>
      </c>
      <c r="I77" s="56" t="str">
        <f>IFERROR(VLOOKUP($B77,'APS Tubes by Date Import'!$B$2:$J115,2,FALSE),"")</f>
        <v/>
      </c>
      <c r="J77" s="56" t="str">
        <f>IFERROR(VLOOKUP($B77,'APS Tubes by Date Import'!$B$2:$J115,9,FALSE),"")</f>
        <v/>
      </c>
      <c r="K77" s="56" t="str">
        <f>IFNA(VLOOKUP($B77,'APS Tubes by Date Import'!$B$2:$J115,6,FALSE),"")</f>
        <v/>
      </c>
      <c r="L77" s="56" t="str">
        <f t="shared" si="30"/>
        <v/>
      </c>
      <c r="M77" s="56"/>
      <c r="N77" s="120"/>
      <c r="O77" s="6" t="str">
        <f t="shared" si="31"/>
        <v/>
      </c>
      <c r="Q77" s="6" t="str">
        <f t="shared" si="34"/>
        <v/>
      </c>
      <c r="R77" s="87" t="str">
        <f>IFNA(MATCH(A77,'RFR Data - preExcl'!A$2:A115,0),"")</f>
        <v/>
      </c>
      <c r="S77" s="43"/>
      <c r="T77" s="20" t="str">
        <f>IF(AND(NOT(ISBLANK(U77)),NOT(ISBLANK(V77)),NOT(ISBLANK(W77))),CONCATENATE("RUN-",'Process Ref'!$A$1,"_",TEXT(V77,"YYYY-MM-DD"),"_APS-",TEXT(W77,"000")),IFERROR(0/0,""))</f>
        <v/>
      </c>
      <c r="U77" s="20" t="str">
        <f t="shared" si="32"/>
        <v/>
      </c>
      <c r="V77" s="55">
        <v>44575.0</v>
      </c>
      <c r="W77" s="142" t="str">
        <f>IF(NOT(ISBLANK(U77)),MAX(W$1:W76)+1,IFERROR(0/0,""))</f>
        <v/>
      </c>
      <c r="X77" s="86" t="s">
        <v>93</v>
      </c>
    </row>
    <row r="78">
      <c r="C78" s="120"/>
      <c r="D78" s="56" t="str">
        <f t="array" ref="D78">IF(ISBLANK($A78),IFERROR(0/0,""),INDEX('RFR Data - preExcl'!E$2:E115,$R78,1))</f>
        <v/>
      </c>
      <c r="E78" s="56"/>
      <c r="F78" s="56" t="str">
        <f t="array" ref="F78">IF(ISBLANK($A78),IFERROR(0/0,""),INDEX('RFR Data - preExcl'!AC$2:AC115,$R78,1))</f>
        <v/>
      </c>
      <c r="G78" s="56" t="str">
        <f t="array" ref="G78">IF(ISBLANK($A78),IFERROR(0/0,""),INDEX('RFR Data - preExcl'!AK$2:AK115,$R78,1))</f>
        <v/>
      </c>
      <c r="H78" s="56" t="str">
        <f t="array" ref="H78">IF(ISBLANK($A78),IFERROR(0/0,""),INDEX('RFR Data - preExcl'!AL$2:AL115,$R78,1))</f>
        <v/>
      </c>
      <c r="I78" s="56" t="str">
        <f>IFERROR(VLOOKUP($B78,'APS Tubes by Date Import'!$B$2:$J115,2,FALSE),"")</f>
        <v/>
      </c>
      <c r="J78" s="56" t="str">
        <f>IFERROR(VLOOKUP($B78,'APS Tubes by Date Import'!$B$2:$J115,9,FALSE),"")</f>
        <v/>
      </c>
      <c r="K78" s="56" t="str">
        <f>IFNA(VLOOKUP($B78,'APS Tubes by Date Import'!$B$2:$J115,6,FALSE),"")</f>
        <v/>
      </c>
      <c r="L78" s="56" t="str">
        <f t="shared" si="30"/>
        <v/>
      </c>
      <c r="M78" s="56"/>
      <c r="N78" s="120"/>
      <c r="O78" s="6" t="str">
        <f t="shared" si="31"/>
        <v/>
      </c>
      <c r="Q78" s="6" t="str">
        <f t="shared" si="34"/>
        <v/>
      </c>
      <c r="R78" s="87" t="str">
        <f>IFNA(MATCH(A78,'RFR Data - preExcl'!A$2:A115,0),"")</f>
        <v/>
      </c>
      <c r="S78" s="43"/>
      <c r="T78" s="20" t="str">
        <f>IF(AND(NOT(ISBLANK(U78)),NOT(ISBLANK(V78)),NOT(ISBLANK(W78))),CONCATENATE("RUN-",'Process Ref'!$A$1,"_",TEXT(V78,"YYYY-MM-DD"),"_APS-",TEXT(W78,"000")),IFERROR(0/0,""))</f>
        <v/>
      </c>
      <c r="U78" s="92">
        <f t="shared" si="32"/>
        <v>44578</v>
      </c>
      <c r="V78" s="55">
        <v>44578.0</v>
      </c>
      <c r="W78" s="143"/>
    </row>
    <row r="79">
      <c r="C79" s="120"/>
      <c r="D79" s="56" t="str">
        <f t="array" ref="D79">IF(ISBLANK($A79),IFERROR(0/0,""),INDEX('RFR Data - preExcl'!E$2:E115,$R79,1))</f>
        <v/>
      </c>
      <c r="E79" s="56"/>
      <c r="F79" s="56" t="str">
        <f t="array" ref="F79">IF(ISBLANK($A79),IFERROR(0/0,""),INDEX('RFR Data - preExcl'!AC$2:AC115,$R79,1))</f>
        <v/>
      </c>
      <c r="G79" s="56" t="str">
        <f t="array" ref="G79">IF(ISBLANK($A79),IFERROR(0/0,""),INDEX('RFR Data - preExcl'!AK$2:AK115,$R79,1))</f>
        <v/>
      </c>
      <c r="H79" s="56" t="str">
        <f t="array" ref="H79">IF(ISBLANK($A79),IFERROR(0/0,""),INDEX('RFR Data - preExcl'!AL$2:AL115,$R79,1))</f>
        <v/>
      </c>
      <c r="I79" s="56" t="str">
        <f>IFERROR(VLOOKUP($B79,'APS Tubes by Date Import'!$B$2:$J115,2,FALSE),"")</f>
        <v/>
      </c>
      <c r="J79" s="56" t="str">
        <f>IFERROR(VLOOKUP($B79,'APS Tubes by Date Import'!$B$2:$J115,9,FALSE),"")</f>
        <v/>
      </c>
      <c r="K79" s="56" t="str">
        <f>IFNA(VLOOKUP($B79,'APS Tubes by Date Import'!$B$2:$J115,6,FALSE),"")</f>
        <v/>
      </c>
      <c r="L79" s="56" t="str">
        <f t="shared" si="30"/>
        <v/>
      </c>
      <c r="M79" s="56"/>
      <c r="N79" s="120"/>
      <c r="O79" s="6" t="str">
        <f t="shared" si="31"/>
        <v/>
      </c>
      <c r="Q79" s="6" t="str">
        <f t="shared" si="34"/>
        <v/>
      </c>
      <c r="R79" s="87" t="str">
        <f>IFNA(MATCH(A79,'RFR Data - preExcl'!A$2:A115,0),"")</f>
        <v/>
      </c>
      <c r="S79" s="43"/>
      <c r="T79" s="20" t="str">
        <f>IF(AND(NOT(ISBLANK(U79)),NOT(ISBLANK(V79)),NOT(ISBLANK(W79))),CONCATENATE("RUN-",'Process Ref'!$A$1,"_",TEXT(V79,"YYYY-MM-DD"),"_APS-",TEXT(W79,"000")),IFERROR(0/0,""))</f>
        <v/>
      </c>
      <c r="U79" s="92">
        <f t="shared" si="32"/>
        <v>44579</v>
      </c>
      <c r="V79" s="55">
        <v>44579.0</v>
      </c>
      <c r="W79" s="143"/>
    </row>
    <row r="80">
      <c r="C80" s="120"/>
      <c r="D80" s="56" t="str">
        <f t="array" ref="D80">IF(ISBLANK($A80),IFERROR(0/0,""),INDEX('RFR Data - preExcl'!E$2:E115,$R80,1))</f>
        <v/>
      </c>
      <c r="E80" s="56"/>
      <c r="F80" s="56" t="str">
        <f t="array" ref="F80">IF(ISBLANK($A80),IFERROR(0/0,""),INDEX('RFR Data - preExcl'!AC$2:AC115,$R80,1))</f>
        <v/>
      </c>
      <c r="G80" s="56" t="str">
        <f t="array" ref="G80">IF(ISBLANK($A80),IFERROR(0/0,""),INDEX('RFR Data - preExcl'!AK$2:AK115,$R80,1))</f>
        <v/>
      </c>
      <c r="H80" s="56" t="str">
        <f t="array" ref="H80">IF(ISBLANK($A80),IFERROR(0/0,""),INDEX('RFR Data - preExcl'!AL$2:AL115,$R80,1))</f>
        <v/>
      </c>
      <c r="I80" s="56" t="str">
        <f>IFERROR(VLOOKUP($B80,'APS Tubes by Date Import'!$B$2:$J115,2,FALSE),"")</f>
        <v/>
      </c>
      <c r="J80" s="56" t="str">
        <f>IFERROR(VLOOKUP($B80,'APS Tubes by Date Import'!$B$2:$J115,9,FALSE),"")</f>
        <v/>
      </c>
      <c r="K80" s="56" t="str">
        <f>IFNA(VLOOKUP($B80,'APS Tubes by Date Import'!$B$2:$J115,6,FALSE),"")</f>
        <v/>
      </c>
      <c r="L80" s="56" t="str">
        <f t="shared" si="30"/>
        <v/>
      </c>
      <c r="M80" s="56"/>
      <c r="N80" s="120"/>
      <c r="O80" s="6" t="str">
        <f t="shared" si="31"/>
        <v/>
      </c>
      <c r="Q80" s="6" t="str">
        <f t="shared" si="34"/>
        <v/>
      </c>
      <c r="R80" s="87" t="str">
        <f>IFNA(MATCH(A80,'RFR Data - preExcl'!A$2:A115,0),"")</f>
        <v/>
      </c>
      <c r="S80" s="43"/>
      <c r="T80" s="20" t="str">
        <f>IF(AND(NOT(ISBLANK(U80)),NOT(ISBLANK(V80)),NOT(ISBLANK(W80))),CONCATENATE("RUN-",'Process Ref'!$A$1,"_",TEXT(V80,"YYYY-MM-DD"),"_APS-",TEXT(W80,"000")),IFERROR(0/0,""))</f>
        <v/>
      </c>
      <c r="U80" s="20" t="str">
        <f t="shared" si="32"/>
        <v/>
      </c>
      <c r="V80" s="55">
        <v>44580.0</v>
      </c>
      <c r="W80" s="142" t="str">
        <f>IF(NOT(ISBLANK(U80)),MAX(W$1:W79)+1,IFERROR(0/0,""))</f>
        <v/>
      </c>
    </row>
    <row r="81">
      <c r="C81" s="120"/>
      <c r="D81" s="56" t="str">
        <f t="array" ref="D81">IF(ISBLANK($A81),IFERROR(0/0,""),INDEX('RFR Data - preExcl'!E$2:E115,$R81,1))</f>
        <v/>
      </c>
      <c r="E81" s="56"/>
      <c r="F81" s="56" t="str">
        <f t="array" ref="F81">IF(ISBLANK($A81),IFERROR(0/0,""),INDEX('RFR Data - preExcl'!AC$2:AC115,$R81,1))</f>
        <v/>
      </c>
      <c r="G81" s="56" t="str">
        <f t="array" ref="G81">IF(ISBLANK($A81),IFERROR(0/0,""),INDEX('RFR Data - preExcl'!AK$2:AK115,$R81,1))</f>
        <v/>
      </c>
      <c r="H81" s="56" t="str">
        <f t="array" ref="H81">IF(ISBLANK($A81),IFERROR(0/0,""),INDEX('RFR Data - preExcl'!AL$2:AL115,$R81,1))</f>
        <v/>
      </c>
      <c r="I81" s="56" t="str">
        <f>IFERROR(VLOOKUP($B81,'APS Tubes by Date Import'!$B$2:$J115,2,FALSE),"")</f>
        <v/>
      </c>
      <c r="J81" s="56" t="str">
        <f>IFERROR(VLOOKUP($B81,'APS Tubes by Date Import'!$B$2:$J115,9,FALSE),"")</f>
        <v/>
      </c>
      <c r="K81" s="56" t="str">
        <f>IFNA(VLOOKUP($B81,'APS Tubes by Date Import'!$B$2:$J115,6,FALSE),"")</f>
        <v/>
      </c>
      <c r="L81" s="56" t="str">
        <f t="shared" si="30"/>
        <v/>
      </c>
      <c r="M81" s="56"/>
      <c r="N81" s="120"/>
      <c r="O81" s="6" t="str">
        <f t="shared" si="31"/>
        <v/>
      </c>
      <c r="Q81" s="6" t="str">
        <f t="shared" si="34"/>
        <v/>
      </c>
      <c r="R81" s="87" t="str">
        <f>IFNA(MATCH(A81,'RFR Data - preExcl'!A$2:A115,0),"")</f>
        <v/>
      </c>
      <c r="S81" s="43"/>
      <c r="T81" s="20" t="str">
        <f>IF(AND(NOT(ISBLANK(U81)),NOT(ISBLANK(V81)),NOT(ISBLANK(W81))),CONCATENATE("RUN-",'Process Ref'!$A$1,"_",TEXT(V81,"YYYY-MM-DD"),"_APS-",TEXT(W81,"000")),IFERROR(0/0,""))</f>
        <v/>
      </c>
      <c r="U81" s="92">
        <f t="shared" si="32"/>
        <v>44581</v>
      </c>
      <c r="V81" s="55">
        <v>44581.0</v>
      </c>
      <c r="W81" s="143"/>
    </row>
    <row r="82">
      <c r="C82" s="120"/>
      <c r="D82" s="56" t="str">
        <f t="array" ref="D82">IF(ISBLANK($A82),IFERROR(0/0,""),INDEX('RFR Data - preExcl'!E$2:E115,$R82,1))</f>
        <v/>
      </c>
      <c r="E82" s="56"/>
      <c r="F82" s="56" t="str">
        <f t="array" ref="F82">IF(ISBLANK($A82),IFERROR(0/0,""),INDEX('RFR Data - preExcl'!AC$2:AC115,$R82,1))</f>
        <v/>
      </c>
      <c r="G82" s="56" t="str">
        <f t="array" ref="G82">IF(ISBLANK($A82),IFERROR(0/0,""),INDEX('RFR Data - preExcl'!AK$2:AK115,$R82,1))</f>
        <v/>
      </c>
      <c r="H82" s="56" t="str">
        <f t="array" ref="H82">IF(ISBLANK($A82),IFERROR(0/0,""),INDEX('RFR Data - preExcl'!AL$2:AL115,$R82,1))</f>
        <v/>
      </c>
      <c r="I82" s="56" t="str">
        <f>IFERROR(VLOOKUP($B82,'APS Tubes by Date Import'!$B$2:$J115,2,FALSE),"")</f>
        <v/>
      </c>
      <c r="J82" s="56" t="str">
        <f>IFERROR(VLOOKUP($B82,'APS Tubes by Date Import'!$B$2:$J115,9,FALSE),"")</f>
        <v/>
      </c>
      <c r="K82" s="56" t="str">
        <f>IFNA(VLOOKUP($B82,'APS Tubes by Date Import'!$B$2:$J115,6,FALSE),"")</f>
        <v/>
      </c>
      <c r="L82" s="56" t="str">
        <f t="shared" si="30"/>
        <v/>
      </c>
      <c r="M82" s="56"/>
      <c r="N82" s="120"/>
      <c r="O82" s="6" t="str">
        <f t="shared" si="31"/>
        <v/>
      </c>
      <c r="Q82" s="6" t="str">
        <f t="shared" si="34"/>
        <v/>
      </c>
      <c r="R82" s="87" t="str">
        <f>IFNA(MATCH(A82,'RFR Data - preExcl'!A$2:A115,0),"")</f>
        <v/>
      </c>
      <c r="S82" s="43"/>
      <c r="T82" s="20" t="str">
        <f>IF(AND(NOT(ISBLANK(U82)),NOT(ISBLANK(V82)),NOT(ISBLANK(W82))),CONCATENATE("RUN-",'Process Ref'!$A$1,"_",TEXT(V82,"YYYY-MM-DD"),"_APS-",TEXT(W82,"000")),IFERROR(0/0,""))</f>
        <v/>
      </c>
      <c r="U82" s="20" t="str">
        <f t="shared" si="32"/>
        <v/>
      </c>
      <c r="V82" s="55">
        <v>44582.0</v>
      </c>
      <c r="W82" s="142" t="str">
        <f t="shared" ref="W82:W115" si="37">IF(NOT(ISBLANK(U82)),MAX(W$1:W81)+1,IFERROR(0/0,""))</f>
        <v/>
      </c>
    </row>
    <row r="83">
      <c r="C83" s="120"/>
      <c r="D83" s="56" t="str">
        <f t="array" ref="D83">IF(ISBLANK($A83),IFERROR(0/0,""),INDEX('RFR Data - preExcl'!E$2:E115,$R83,1))</f>
        <v/>
      </c>
      <c r="E83" s="56"/>
      <c r="F83" s="56" t="str">
        <f t="array" ref="F83">IF(ISBLANK($A83),IFERROR(0/0,""),INDEX('RFR Data - preExcl'!AC$2:AC115,$R83,1))</f>
        <v/>
      </c>
      <c r="G83" s="56" t="str">
        <f t="array" ref="G83">IF(ISBLANK($A83),IFERROR(0/0,""),INDEX('RFR Data - preExcl'!AK$2:AK115,$R83,1))</f>
        <v/>
      </c>
      <c r="H83" s="56" t="str">
        <f t="array" ref="H83">IF(ISBLANK($A83),IFERROR(0/0,""),INDEX('RFR Data - preExcl'!AL$2:AL115,$R83,1))</f>
        <v/>
      </c>
      <c r="I83" s="56" t="str">
        <f>IFERROR(VLOOKUP($B83,'APS Tubes by Date Import'!$B$2:$J115,2,FALSE),"")</f>
        <v/>
      </c>
      <c r="J83" s="56" t="str">
        <f>IFERROR(VLOOKUP($B83,'APS Tubes by Date Import'!$B$2:$J115,9,FALSE),"")</f>
        <v/>
      </c>
      <c r="K83" s="56" t="str">
        <f>IFNA(VLOOKUP($B83,'APS Tubes by Date Import'!$B$2:$J115,6,FALSE),"")</f>
        <v/>
      </c>
      <c r="L83" s="56" t="str">
        <f t="shared" si="30"/>
        <v/>
      </c>
      <c r="M83" s="56"/>
      <c r="N83" s="120"/>
      <c r="O83" s="6" t="str">
        <f t="shared" si="31"/>
        <v/>
      </c>
      <c r="Q83" s="6" t="str">
        <f t="shared" si="34"/>
        <v/>
      </c>
      <c r="R83" s="87" t="str">
        <f>IFNA(MATCH(A83,'RFR Data - preExcl'!A$2:A115,0),"")</f>
        <v/>
      </c>
      <c r="S83" s="43"/>
      <c r="T83" s="20" t="str">
        <f>IF(AND(NOT(ISBLANK(U83)),NOT(ISBLANK(V83)),NOT(ISBLANK(W83))),CONCATENATE("RUN-",'Process Ref'!$A$1,"_",TEXT(V83,"YYYY-MM-DD"),"_APS-",TEXT(W83,"000")),IFERROR(0/0,""))</f>
        <v/>
      </c>
      <c r="U83" s="20" t="str">
        <f t="shared" si="32"/>
        <v/>
      </c>
      <c r="V83" s="55">
        <v>44585.0</v>
      </c>
      <c r="W83" s="142" t="str">
        <f t="shared" si="37"/>
        <v/>
      </c>
    </row>
    <row r="84">
      <c r="C84" s="120"/>
      <c r="D84" s="56" t="str">
        <f t="array" ref="D84">IF(ISBLANK($A84),IFERROR(0/0,""),INDEX('RFR Data - preExcl'!E$2:E115,$R84,1))</f>
        <v/>
      </c>
      <c r="E84" s="56"/>
      <c r="F84" s="56" t="str">
        <f t="array" ref="F84">IF(ISBLANK($A84),IFERROR(0/0,""),INDEX('RFR Data - preExcl'!AC$2:AC115,$R84,1))</f>
        <v/>
      </c>
      <c r="G84" s="56" t="str">
        <f t="array" ref="G84">IF(ISBLANK($A84),IFERROR(0/0,""),INDEX('RFR Data - preExcl'!AK$2:AK115,$R84,1))</f>
        <v/>
      </c>
      <c r="H84" s="56" t="str">
        <f t="array" ref="H84">IF(ISBLANK($A84),IFERROR(0/0,""),INDEX('RFR Data - preExcl'!AL$2:AL115,$R84,1))</f>
        <v/>
      </c>
      <c r="I84" s="56" t="str">
        <f>IFERROR(VLOOKUP($B84,'APS Tubes by Date Import'!$B$2:$J115,2,FALSE),"")</f>
        <v/>
      </c>
      <c r="J84" s="56" t="str">
        <f>IFERROR(VLOOKUP($B84,'APS Tubes by Date Import'!$B$2:$J115,9,FALSE),"")</f>
        <v/>
      </c>
      <c r="K84" s="56" t="str">
        <f>IFNA(VLOOKUP($B84,'APS Tubes by Date Import'!$B$2:$J115,6,FALSE),"")</f>
        <v/>
      </c>
      <c r="L84" s="56" t="str">
        <f t="shared" si="30"/>
        <v/>
      </c>
      <c r="M84" s="56"/>
      <c r="N84" s="120"/>
      <c r="O84" s="6" t="str">
        <f t="shared" si="31"/>
        <v/>
      </c>
      <c r="Q84" s="6" t="str">
        <f t="shared" si="34"/>
        <v/>
      </c>
      <c r="R84" s="87" t="str">
        <f>IFNA(MATCH(A84,'RFR Data - preExcl'!A$2:A115,0),"")</f>
        <v/>
      </c>
      <c r="S84" s="43"/>
      <c r="T84" s="20" t="str">
        <f>IF(AND(NOT(ISBLANK(U84)),NOT(ISBLANK(V84)),NOT(ISBLANK(W84))),CONCATENATE("RUN-",'Process Ref'!$A$1,"_",TEXT(V84,"YYYY-MM-DD"),"_APS-",TEXT(W84,"000")),IFERROR(0/0,""))</f>
        <v/>
      </c>
      <c r="U84" s="20" t="str">
        <f t="shared" si="32"/>
        <v/>
      </c>
      <c r="V84" s="55">
        <v>44587.0</v>
      </c>
      <c r="W84" s="142" t="str">
        <f t="shared" si="37"/>
        <v/>
      </c>
    </row>
    <row r="85">
      <c r="C85" s="120"/>
      <c r="D85" s="56" t="str">
        <f t="array" ref="D85">IF(ISBLANK($A85),IFERROR(0/0,""),INDEX('RFR Data - preExcl'!E$2:E115,$R85,1))</f>
        <v/>
      </c>
      <c r="E85" s="56"/>
      <c r="F85" s="56" t="str">
        <f t="array" ref="F85">IF(ISBLANK($A85),IFERROR(0/0,""),INDEX('RFR Data - preExcl'!AC$2:AC115,$R85,1))</f>
        <v/>
      </c>
      <c r="G85" s="56" t="str">
        <f t="array" ref="G85">IF(ISBLANK($A85),IFERROR(0/0,""),INDEX('RFR Data - preExcl'!AK$2:AK115,$R85,1))</f>
        <v/>
      </c>
      <c r="H85" s="56" t="str">
        <f t="array" ref="H85">IF(ISBLANK($A85),IFERROR(0/0,""),INDEX('RFR Data - preExcl'!AL$2:AL115,$R85,1))</f>
        <v/>
      </c>
      <c r="I85" s="56" t="str">
        <f>IFERROR(VLOOKUP($B85,'APS Tubes by Date Import'!$B$2:$J115,2,FALSE),"")</f>
        <v/>
      </c>
      <c r="J85" s="56" t="str">
        <f>IFERROR(VLOOKUP($B85,'APS Tubes by Date Import'!$B$2:$J115,9,FALSE),"")</f>
        <v/>
      </c>
      <c r="K85" s="56" t="str">
        <f>IFNA(VLOOKUP($B85,'APS Tubes by Date Import'!$B$2:$J115,6,FALSE),"")</f>
        <v/>
      </c>
      <c r="L85" s="56" t="str">
        <f t="shared" si="30"/>
        <v/>
      </c>
      <c r="M85" s="56"/>
      <c r="N85" s="120"/>
      <c r="O85" s="6" t="str">
        <f t="shared" si="31"/>
        <v/>
      </c>
      <c r="Q85" s="6" t="str">
        <f t="shared" si="34"/>
        <v/>
      </c>
      <c r="R85" s="87" t="str">
        <f>IFNA(MATCH(A85,'RFR Data - preExcl'!A$2:A115,0),"")</f>
        <v/>
      </c>
      <c r="S85" s="43"/>
      <c r="T85" s="20" t="str">
        <f>IF(AND(NOT(ISBLANK(U85)),NOT(ISBLANK(V85)),NOT(ISBLANK(W85))),CONCATENATE("RUN-",'Process Ref'!$A$1,"_",TEXT(V85,"YYYY-MM-DD"),"_APS-",TEXT(W85,"000")),IFERROR(0/0,""))</f>
        <v/>
      </c>
      <c r="U85" s="20" t="str">
        <f t="shared" si="32"/>
        <v/>
      </c>
      <c r="V85" s="55">
        <v>44589.0</v>
      </c>
      <c r="W85" s="142" t="str">
        <f t="shared" si="37"/>
        <v/>
      </c>
    </row>
    <row r="86">
      <c r="C86" s="120"/>
      <c r="D86" s="56" t="str">
        <f t="array" ref="D86">IF(ISBLANK($A86),IFERROR(0/0,""),INDEX('RFR Data - preExcl'!E$2:E115,$R86,1))</f>
        <v/>
      </c>
      <c r="E86" s="56"/>
      <c r="F86" s="56" t="str">
        <f t="array" ref="F86">IF(ISBLANK($A86),IFERROR(0/0,""),INDEX('RFR Data - preExcl'!AC$2:AC115,$R86,1))</f>
        <v/>
      </c>
      <c r="G86" s="56" t="str">
        <f t="array" ref="G86">IF(ISBLANK($A86),IFERROR(0/0,""),INDEX('RFR Data - preExcl'!AK$2:AK115,$R86,1))</f>
        <v/>
      </c>
      <c r="H86" s="56" t="str">
        <f t="array" ref="H86">IF(ISBLANK($A86),IFERROR(0/0,""),INDEX('RFR Data - preExcl'!AL$2:AL115,$R86,1))</f>
        <v/>
      </c>
      <c r="I86" s="56" t="str">
        <f>IFERROR(VLOOKUP($B86,'APS Tubes by Date Import'!$B$2:$J115,2,FALSE),"")</f>
        <v/>
      </c>
      <c r="J86" s="56" t="str">
        <f>IFERROR(VLOOKUP($B86,'APS Tubes by Date Import'!$B$2:$J115,9,FALSE),"")</f>
        <v/>
      </c>
      <c r="K86" s="56" t="str">
        <f>IFNA(VLOOKUP($B86,'APS Tubes by Date Import'!$B$2:$J115,6,FALSE),"")</f>
        <v/>
      </c>
      <c r="L86" s="56" t="str">
        <f t="shared" si="30"/>
        <v/>
      </c>
      <c r="M86" s="56"/>
      <c r="N86" s="120"/>
      <c r="O86" s="6" t="str">
        <f t="shared" si="31"/>
        <v/>
      </c>
      <c r="Q86" s="6" t="str">
        <f t="shared" si="34"/>
        <v/>
      </c>
      <c r="R86" s="87" t="str">
        <f>IFNA(MATCH(A86,'RFR Data - preExcl'!A$2:A115,0),"")</f>
        <v/>
      </c>
      <c r="S86" s="43"/>
      <c r="T86" s="20" t="str">
        <f>IF(AND(NOT(ISBLANK(U86)),NOT(ISBLANK(V86)),NOT(ISBLANK(W86))),CONCATENATE("RUN-",'Process Ref'!$A$1,"_",TEXT(V86,"YYYY-MM-DD"),"_APS-",TEXT(W86,"000")),IFERROR(0/0,""))</f>
        <v/>
      </c>
      <c r="U86" s="20" t="str">
        <f t="shared" si="32"/>
        <v/>
      </c>
      <c r="V86" s="55">
        <v>44592.0</v>
      </c>
      <c r="W86" s="142" t="str">
        <f t="shared" si="37"/>
        <v/>
      </c>
    </row>
    <row r="87">
      <c r="C87" s="120"/>
      <c r="D87" s="56" t="str">
        <f t="array" ref="D87">IF(ISBLANK($A87),IFERROR(0/0,""),INDEX('RFR Data - preExcl'!E$2:E115,$R87,1))</f>
        <v/>
      </c>
      <c r="E87" s="56"/>
      <c r="F87" s="56" t="str">
        <f t="array" ref="F87">IF(ISBLANK($A87),IFERROR(0/0,""),INDEX('RFR Data - preExcl'!AC$2:AC115,$R87,1))</f>
        <v/>
      </c>
      <c r="G87" s="56" t="str">
        <f t="array" ref="G87">IF(ISBLANK($A87),IFERROR(0/0,""),INDEX('RFR Data - preExcl'!AK$2:AK115,$R87,1))</f>
        <v/>
      </c>
      <c r="H87" s="56" t="str">
        <f t="array" ref="H87">IF(ISBLANK($A87),IFERROR(0/0,""),INDEX('RFR Data - preExcl'!AL$2:AL115,$R87,1))</f>
        <v/>
      </c>
      <c r="I87" s="56" t="str">
        <f>IFERROR(VLOOKUP($B87,'APS Tubes by Date Import'!$B$2:$J115,2,FALSE),"")</f>
        <v/>
      </c>
      <c r="J87" s="56" t="str">
        <f>IFERROR(VLOOKUP($B87,'APS Tubes by Date Import'!$B$2:$J115,9,FALSE),"")</f>
        <v/>
      </c>
      <c r="K87" s="56" t="str">
        <f>IFNA(VLOOKUP($B87,'APS Tubes by Date Import'!$B$2:$J115,6,FALSE),"")</f>
        <v/>
      </c>
      <c r="L87" s="56" t="str">
        <f t="shared" si="30"/>
        <v/>
      </c>
      <c r="M87" s="56"/>
      <c r="N87" s="120"/>
      <c r="O87" s="6" t="str">
        <f t="shared" si="31"/>
        <v/>
      </c>
      <c r="Q87" s="6" t="str">
        <f t="shared" si="34"/>
        <v/>
      </c>
      <c r="R87" s="87" t="str">
        <f>IFNA(MATCH(A87,'RFR Data - preExcl'!A$2:A115,0),"")</f>
        <v/>
      </c>
      <c r="S87" s="43"/>
      <c r="T87" s="20" t="str">
        <f>IF(AND(NOT(ISBLANK(U87)),NOT(ISBLANK(V87)),NOT(ISBLANK(W87))),CONCATENATE("RUN-",'Process Ref'!$A$1,"_",TEXT(V87,"YYYY-MM-DD"),"_APS-",TEXT(W87,"000")),IFERROR(0/0,""))</f>
        <v/>
      </c>
      <c r="U87" s="20" t="str">
        <f t="shared" si="32"/>
        <v/>
      </c>
      <c r="V87" s="55">
        <v>44594.0</v>
      </c>
      <c r="W87" s="142" t="str">
        <f t="shared" si="37"/>
        <v/>
      </c>
    </row>
    <row r="88">
      <c r="C88" s="120"/>
      <c r="D88" s="56" t="str">
        <f t="array" ref="D88">IF(ISBLANK($A88),IFERROR(0/0,""),INDEX('RFR Data - preExcl'!E$2:E115,$R88,1))</f>
        <v/>
      </c>
      <c r="E88" s="56"/>
      <c r="F88" s="56" t="str">
        <f t="array" ref="F88">IF(ISBLANK($A88),IFERROR(0/0,""),INDEX('RFR Data - preExcl'!AC$2:AC115,$R88,1))</f>
        <v/>
      </c>
      <c r="G88" s="56" t="str">
        <f t="array" ref="G88">IF(ISBLANK($A88),IFERROR(0/0,""),INDEX('RFR Data - preExcl'!AK$2:AK115,$R88,1))</f>
        <v/>
      </c>
      <c r="H88" s="56" t="str">
        <f t="array" ref="H88">IF(ISBLANK($A88),IFERROR(0/0,""),INDEX('RFR Data - preExcl'!AL$2:AL115,$R88,1))</f>
        <v/>
      </c>
      <c r="I88" s="56" t="str">
        <f>IFERROR(VLOOKUP($B88,'APS Tubes by Date Import'!$B$2:$J115,2,FALSE),"")</f>
        <v/>
      </c>
      <c r="J88" s="56" t="str">
        <f>IFERROR(VLOOKUP($B88,'APS Tubes by Date Import'!$B$2:$J115,9,FALSE),"")</f>
        <v/>
      </c>
      <c r="K88" s="56" t="str">
        <f>IFNA(VLOOKUP($B88,'APS Tubes by Date Import'!$B$2:$J115,6,FALSE),"")</f>
        <v/>
      </c>
      <c r="L88" s="56" t="str">
        <f t="shared" si="30"/>
        <v/>
      </c>
      <c r="M88" s="56"/>
      <c r="N88" s="120"/>
      <c r="O88" s="6" t="str">
        <f t="shared" si="31"/>
        <v/>
      </c>
      <c r="Q88" s="6" t="str">
        <f t="shared" si="34"/>
        <v/>
      </c>
      <c r="R88" s="87" t="str">
        <f>IFNA(MATCH(A88,'RFR Data - preExcl'!A$2:A115,0),"")</f>
        <v/>
      </c>
      <c r="S88" s="43"/>
      <c r="T88" s="20" t="str">
        <f>IF(AND(NOT(ISBLANK(U88)),NOT(ISBLANK(V88)),NOT(ISBLANK(W88))),CONCATENATE("RUN-",'Process Ref'!$A$1,"_",TEXT(V88,"YYYY-MM-DD"),"_APS-",TEXT(W88,"000")),IFERROR(0/0,""))</f>
        <v/>
      </c>
      <c r="U88" s="20" t="str">
        <f t="shared" si="32"/>
        <v/>
      </c>
      <c r="V88" s="55">
        <v>44596.0</v>
      </c>
      <c r="W88" s="142" t="str">
        <f t="shared" si="37"/>
        <v/>
      </c>
    </row>
    <row r="89">
      <c r="C89" s="120"/>
      <c r="D89" s="56" t="str">
        <f t="array" ref="D89">IF(ISBLANK($A89),IFERROR(0/0,""),INDEX('RFR Data - preExcl'!E$2:E115,$R89,1))</f>
        <v/>
      </c>
      <c r="E89" s="56"/>
      <c r="F89" s="56" t="str">
        <f t="array" ref="F89">IF(ISBLANK($A89),IFERROR(0/0,""),INDEX('RFR Data - preExcl'!AC$2:AC115,$R89,1))</f>
        <v/>
      </c>
      <c r="G89" s="56" t="str">
        <f t="array" ref="G89">IF(ISBLANK($A89),IFERROR(0/0,""),INDEX('RFR Data - preExcl'!AK$2:AK115,$R89,1))</f>
        <v/>
      </c>
      <c r="H89" s="56" t="str">
        <f t="array" ref="H89">IF(ISBLANK($A89),IFERROR(0/0,""),INDEX('RFR Data - preExcl'!AL$2:AL115,$R89,1))</f>
        <v/>
      </c>
      <c r="I89" s="56" t="str">
        <f>IFERROR(VLOOKUP($B89,'APS Tubes by Date Import'!$B$2:$J115,2,FALSE),"")</f>
        <v/>
      </c>
      <c r="J89" s="56" t="str">
        <f>IFERROR(VLOOKUP($B89,'APS Tubes by Date Import'!$B$2:$J115,9,FALSE),"")</f>
        <v/>
      </c>
      <c r="K89" s="56" t="str">
        <f>IFNA(VLOOKUP($B89,'APS Tubes by Date Import'!$B$2:$J115,6,FALSE),"")</f>
        <v/>
      </c>
      <c r="L89" s="56" t="str">
        <f t="shared" si="30"/>
        <v/>
      </c>
      <c r="M89" s="56"/>
      <c r="N89" s="120"/>
      <c r="O89" s="6" t="str">
        <f t="shared" si="31"/>
        <v/>
      </c>
      <c r="Q89" s="6" t="str">
        <f t="shared" si="34"/>
        <v/>
      </c>
      <c r="R89" s="87" t="str">
        <f>IFNA(MATCH(A89,'RFR Data - preExcl'!A$2:A115,0),"")</f>
        <v/>
      </c>
      <c r="S89" s="43"/>
      <c r="T89" s="20" t="str">
        <f>IF(AND(NOT(ISBLANK(U89)),NOT(ISBLANK(V89)),NOT(ISBLANK(W89))),CONCATENATE("RUN-",'Process Ref'!$A$1,"_",TEXT(V89,"YYYY-MM-DD"),"_APS-",TEXT(W89,"000")),IFERROR(0/0,""))</f>
        <v/>
      </c>
      <c r="U89" s="20" t="str">
        <f t="shared" si="32"/>
        <v/>
      </c>
      <c r="V89" s="55">
        <v>44599.0</v>
      </c>
      <c r="W89" s="142" t="str">
        <f t="shared" si="37"/>
        <v/>
      </c>
    </row>
    <row r="90">
      <c r="C90" s="120"/>
      <c r="D90" s="56" t="str">
        <f t="array" ref="D90">IF(ISBLANK($A90),IFERROR(0/0,""),INDEX('RFR Data - preExcl'!E$2:E115,$R90,1))</f>
        <v/>
      </c>
      <c r="E90" s="56"/>
      <c r="F90" s="56" t="str">
        <f t="array" ref="F90">IF(ISBLANK($A90),IFERROR(0/0,""),INDEX('RFR Data - preExcl'!AC$2:AC115,$R90,1))</f>
        <v/>
      </c>
      <c r="G90" s="56" t="str">
        <f t="array" ref="G90">IF(ISBLANK($A90),IFERROR(0/0,""),INDEX('RFR Data - preExcl'!AK$2:AK115,$R90,1))</f>
        <v/>
      </c>
      <c r="H90" s="56" t="str">
        <f t="array" ref="H90">IF(ISBLANK($A90),IFERROR(0/0,""),INDEX('RFR Data - preExcl'!AL$2:AL115,$R90,1))</f>
        <v/>
      </c>
      <c r="I90" s="56" t="str">
        <f>IFERROR(VLOOKUP($B90,'APS Tubes by Date Import'!$B$2:$J115,2,FALSE),"")</f>
        <v/>
      </c>
      <c r="J90" s="56" t="str">
        <f>IFERROR(VLOOKUP($B90,'APS Tubes by Date Import'!$B$2:$J115,9,FALSE),"")</f>
        <v/>
      </c>
      <c r="K90" s="56" t="str">
        <f>IFNA(VLOOKUP($B90,'APS Tubes by Date Import'!$B$2:$J115,6,FALSE),"")</f>
        <v/>
      </c>
      <c r="L90" s="56" t="str">
        <f t="shared" si="30"/>
        <v/>
      </c>
      <c r="M90" s="56"/>
      <c r="N90" s="120"/>
      <c r="O90" s="6" t="str">
        <f t="shared" si="31"/>
        <v/>
      </c>
      <c r="Q90" s="6" t="str">
        <f t="shared" si="34"/>
        <v/>
      </c>
      <c r="R90" s="87" t="str">
        <f>IFNA(MATCH(A90,'RFR Data - preExcl'!A$2:A115,0),"")</f>
        <v/>
      </c>
      <c r="S90" s="43"/>
      <c r="T90" s="20" t="str">
        <f>IF(AND(NOT(ISBLANK(U90)),NOT(ISBLANK(V90)),NOT(ISBLANK(W90))),CONCATENATE("RUN-",'Process Ref'!$A$1,"_",TEXT(V90,"YYYY-MM-DD"),"_APS-",TEXT(W90,"000")),IFERROR(0/0,""))</f>
        <v/>
      </c>
      <c r="U90" s="20" t="str">
        <f t="shared" si="32"/>
        <v/>
      </c>
      <c r="V90" s="55">
        <v>44601.0</v>
      </c>
      <c r="W90" s="142" t="str">
        <f t="shared" si="37"/>
        <v/>
      </c>
    </row>
    <row r="91">
      <c r="C91" s="120"/>
      <c r="D91" s="56" t="str">
        <f t="array" ref="D91">IF(ISBLANK($A91),IFERROR(0/0,""),INDEX('RFR Data - preExcl'!E$2:E115,$R91,1))</f>
        <v/>
      </c>
      <c r="E91" s="56"/>
      <c r="F91" s="56" t="str">
        <f t="array" ref="F91">IF(ISBLANK($A91),IFERROR(0/0,""),INDEX('RFR Data - preExcl'!AC$2:AC115,$R91,1))</f>
        <v/>
      </c>
      <c r="G91" s="56" t="str">
        <f t="array" ref="G91">IF(ISBLANK($A91),IFERROR(0/0,""),INDEX('RFR Data - preExcl'!AK$2:AK115,$R91,1))</f>
        <v/>
      </c>
      <c r="H91" s="56" t="str">
        <f t="array" ref="H91">IF(ISBLANK($A91),IFERROR(0/0,""),INDEX('RFR Data - preExcl'!AL$2:AL115,$R91,1))</f>
        <v/>
      </c>
      <c r="I91" s="56" t="str">
        <f>IFERROR(VLOOKUP($B91,'APS Tubes by Date Import'!$B$2:$J115,2,FALSE),"")</f>
        <v/>
      </c>
      <c r="J91" s="56" t="str">
        <f>IFERROR(VLOOKUP($B91,'APS Tubes by Date Import'!$B$2:$J115,9,FALSE),"")</f>
        <v/>
      </c>
      <c r="K91" s="56" t="str">
        <f>IFNA(VLOOKUP($B91,'APS Tubes by Date Import'!$B$2:$J115,6,FALSE),"")</f>
        <v/>
      </c>
      <c r="L91" s="56" t="str">
        <f t="shared" si="30"/>
        <v/>
      </c>
      <c r="M91" s="56"/>
      <c r="N91" s="120"/>
      <c r="O91" s="6" t="str">
        <f t="shared" si="31"/>
        <v/>
      </c>
      <c r="Q91" s="6" t="str">
        <f t="shared" si="34"/>
        <v/>
      </c>
      <c r="R91" s="87" t="str">
        <f>IFNA(MATCH(A91,'RFR Data - preExcl'!A$2:A115,0),"")</f>
        <v/>
      </c>
      <c r="S91" s="43"/>
      <c r="T91" s="20" t="str">
        <f>IF(AND(NOT(ISBLANK(U91)),NOT(ISBLANK(V91)),NOT(ISBLANK(W91))),CONCATENATE("RUN-",'Process Ref'!$A$1,"_",TEXT(V91,"YYYY-MM-DD"),"_APS-",TEXT(W91,"000")),IFERROR(0/0,""))</f>
        <v/>
      </c>
      <c r="U91" s="20" t="str">
        <f t="shared" si="32"/>
        <v/>
      </c>
      <c r="V91" s="55">
        <v>44603.0</v>
      </c>
      <c r="W91" s="142" t="str">
        <f t="shared" si="37"/>
        <v/>
      </c>
    </row>
    <row r="92">
      <c r="C92" s="120"/>
      <c r="D92" s="56" t="str">
        <f t="array" ref="D92">IF(ISBLANK($A92),IFERROR(0/0,""),INDEX('RFR Data - preExcl'!E$2:E115,$R92,1))</f>
        <v/>
      </c>
      <c r="E92" s="56"/>
      <c r="F92" s="56" t="str">
        <f t="array" ref="F92">IF(ISBLANK($A92),IFERROR(0/0,""),INDEX('RFR Data - preExcl'!AC$2:AC115,$R92,1))</f>
        <v/>
      </c>
      <c r="G92" s="56" t="str">
        <f t="array" ref="G92">IF(ISBLANK($A92),IFERROR(0/0,""),INDEX('RFR Data - preExcl'!AK$2:AK115,$R92,1))</f>
        <v/>
      </c>
      <c r="H92" s="56" t="str">
        <f t="array" ref="H92">IF(ISBLANK($A92),IFERROR(0/0,""),INDEX('RFR Data - preExcl'!AL$2:AL115,$R92,1))</f>
        <v/>
      </c>
      <c r="I92" s="56" t="str">
        <f>IFERROR(VLOOKUP($B92,'APS Tubes by Date Import'!$B$2:$J115,2,FALSE),"")</f>
        <v/>
      </c>
      <c r="J92" s="56" t="str">
        <f>IFERROR(VLOOKUP($B92,'APS Tubes by Date Import'!$B$2:$J115,9,FALSE),"")</f>
        <v/>
      </c>
      <c r="K92" s="56" t="str">
        <f>IFNA(VLOOKUP($B92,'APS Tubes by Date Import'!$B$2:$J115,6,FALSE),"")</f>
        <v/>
      </c>
      <c r="L92" s="56" t="str">
        <f t="shared" si="30"/>
        <v/>
      </c>
      <c r="M92" s="56"/>
      <c r="N92" s="120"/>
      <c r="O92" s="6" t="str">
        <f t="shared" si="31"/>
        <v/>
      </c>
      <c r="Q92" s="6" t="str">
        <f t="shared" si="34"/>
        <v/>
      </c>
      <c r="R92" s="87" t="str">
        <f>IFNA(MATCH(A92,'RFR Data - preExcl'!A$2:A115,0),"")</f>
        <v/>
      </c>
      <c r="S92" s="43"/>
      <c r="T92" s="20" t="str">
        <f>IF(AND(NOT(ISBLANK(U92)),NOT(ISBLANK(V92)),NOT(ISBLANK(W92))),CONCATENATE("RUN-",'Process Ref'!$A$1,"_",TEXT(V92,"YYYY-MM-DD"),"_APS-",TEXT(W92,"000")),IFERROR(0/0,""))</f>
        <v/>
      </c>
      <c r="U92" s="20" t="str">
        <f t="shared" si="32"/>
        <v/>
      </c>
      <c r="V92" s="55">
        <v>44604.0</v>
      </c>
      <c r="W92" s="142" t="str">
        <f t="shared" si="37"/>
        <v/>
      </c>
    </row>
    <row r="93">
      <c r="C93" s="120"/>
      <c r="D93" s="56" t="str">
        <f t="array" ref="D93">IF(ISBLANK($A93),IFERROR(0/0,""),INDEX('RFR Data - preExcl'!E$2:E115,$R93,1))</f>
        <v/>
      </c>
      <c r="E93" s="56"/>
      <c r="F93" s="56" t="str">
        <f t="array" ref="F93">IF(ISBLANK($A93),IFERROR(0/0,""),INDEX('RFR Data - preExcl'!AC$2:AC115,$R93,1))</f>
        <v/>
      </c>
      <c r="G93" s="56" t="str">
        <f t="array" ref="G93">IF(ISBLANK($A93),IFERROR(0/0,""),INDEX('RFR Data - preExcl'!AK$2:AK115,$R93,1))</f>
        <v/>
      </c>
      <c r="H93" s="56" t="str">
        <f t="array" ref="H93">IF(ISBLANK($A93),IFERROR(0/0,""),INDEX('RFR Data - preExcl'!AL$2:AL115,$R93,1))</f>
        <v/>
      </c>
      <c r="I93" s="56" t="str">
        <f>IFERROR(VLOOKUP($B93,'APS Tubes by Date Import'!$B$2:$J115,2,FALSE),"")</f>
        <v/>
      </c>
      <c r="J93" s="56" t="str">
        <f>IFERROR(VLOOKUP($B93,'APS Tubes by Date Import'!$B$2:$J115,9,FALSE),"")</f>
        <v/>
      </c>
      <c r="K93" s="56" t="str">
        <f>IFNA(VLOOKUP($B93,'APS Tubes by Date Import'!$B$2:$J115,6,FALSE),"")</f>
        <v/>
      </c>
      <c r="L93" s="56" t="str">
        <f t="shared" si="30"/>
        <v/>
      </c>
      <c r="M93" s="56"/>
      <c r="N93" s="120"/>
      <c r="O93" s="6" t="str">
        <f t="shared" si="31"/>
        <v/>
      </c>
      <c r="Q93" s="6" t="str">
        <f t="shared" si="34"/>
        <v/>
      </c>
      <c r="R93" s="87" t="str">
        <f>IFNA(MATCH(A93,'RFR Data - preExcl'!A$2:A115,0),"")</f>
        <v/>
      </c>
      <c r="S93" s="43"/>
      <c r="T93" s="20" t="str">
        <f>IF(AND(NOT(ISBLANK(U93)),NOT(ISBLANK(V93)),NOT(ISBLANK(W93))),CONCATENATE("RUN-",'Process Ref'!$A$1,"_",TEXT(V93,"YYYY-MM-DD"),"_APS-",TEXT(W93,"000")),IFERROR(0/0,""))</f>
        <v/>
      </c>
      <c r="U93" s="20" t="str">
        <f t="shared" si="32"/>
        <v/>
      </c>
      <c r="V93" s="55">
        <v>44607.0</v>
      </c>
      <c r="W93" s="142" t="str">
        <f t="shared" si="37"/>
        <v/>
      </c>
    </row>
    <row r="94">
      <c r="C94" s="120"/>
      <c r="D94" s="56" t="str">
        <f t="array" ref="D94">IF(ISBLANK($A94),IFERROR(0/0,""),INDEX('RFR Data - preExcl'!E$2:E115,$R94,1))</f>
        <v/>
      </c>
      <c r="E94" s="56"/>
      <c r="F94" s="56" t="str">
        <f t="array" ref="F94">IF(ISBLANK($A94),IFERROR(0/0,""),INDEX('RFR Data - preExcl'!AC$2:AC115,$R94,1))</f>
        <v/>
      </c>
      <c r="G94" s="56" t="str">
        <f t="array" ref="G94">IF(ISBLANK($A94),IFERROR(0/0,""),INDEX('RFR Data - preExcl'!AK$2:AK115,$R94,1))</f>
        <v/>
      </c>
      <c r="H94" s="56" t="str">
        <f t="array" ref="H94">IF(ISBLANK($A94),IFERROR(0/0,""),INDEX('RFR Data - preExcl'!AL$2:AL115,$R94,1))</f>
        <v/>
      </c>
      <c r="I94" s="56" t="str">
        <f>IFERROR(VLOOKUP($B94,'APS Tubes by Date Import'!$B$2:$J115,2,FALSE),"")</f>
        <v/>
      </c>
      <c r="J94" s="56" t="str">
        <f>IFERROR(VLOOKUP($B94,'APS Tubes by Date Import'!$B$2:$J115,9,FALSE),"")</f>
        <v/>
      </c>
      <c r="K94" s="56" t="str">
        <f>IFNA(VLOOKUP($B94,'APS Tubes by Date Import'!$B$2:$J115,6,FALSE),"")</f>
        <v/>
      </c>
      <c r="L94" s="56" t="str">
        <f t="shared" si="30"/>
        <v/>
      </c>
      <c r="M94" s="56"/>
      <c r="N94" s="120"/>
      <c r="O94" s="6" t="str">
        <f t="shared" si="31"/>
        <v/>
      </c>
      <c r="Q94" s="6" t="str">
        <f t="shared" si="34"/>
        <v/>
      </c>
      <c r="R94" s="87" t="str">
        <f>IFNA(MATCH(A94,'RFR Data - preExcl'!A$2:A115,0),"")</f>
        <v/>
      </c>
      <c r="S94" s="43"/>
      <c r="T94" s="20" t="str">
        <f>IF(AND(NOT(ISBLANK(U94)),NOT(ISBLANK(V94)),NOT(ISBLANK(W94))),CONCATENATE("RUN-",'Process Ref'!$A$1,"_",TEXT(V94,"YYYY-MM-DD"),"_APS-",TEXT(W94,"000")),IFERROR(0/0,""))</f>
        <v/>
      </c>
      <c r="U94" s="20" t="str">
        <f t="shared" si="32"/>
        <v/>
      </c>
      <c r="V94" s="55">
        <v>44609.0</v>
      </c>
      <c r="W94" s="142" t="str">
        <f t="shared" si="37"/>
        <v/>
      </c>
    </row>
    <row r="95">
      <c r="C95" s="120"/>
      <c r="D95" s="56" t="str">
        <f t="array" ref="D95">IF(ISBLANK($A95),IFERROR(0/0,""),INDEX('RFR Data - preExcl'!E$2:E115,$R95,1))</f>
        <v/>
      </c>
      <c r="E95" s="56"/>
      <c r="F95" s="56" t="str">
        <f t="array" ref="F95">IF(ISBLANK($A95),IFERROR(0/0,""),INDEX('RFR Data - preExcl'!AC$2:AC115,$R95,1))</f>
        <v/>
      </c>
      <c r="G95" s="56" t="str">
        <f t="array" ref="G95">IF(ISBLANK($A95),IFERROR(0/0,""),INDEX('RFR Data - preExcl'!AK$2:AK115,$R95,1))</f>
        <v/>
      </c>
      <c r="H95" s="56" t="str">
        <f t="array" ref="H95">IF(ISBLANK($A95),IFERROR(0/0,""),INDEX('RFR Data - preExcl'!AL$2:AL115,$R95,1))</f>
        <v/>
      </c>
      <c r="I95" s="56" t="str">
        <f>IFERROR(VLOOKUP($B95,'APS Tubes by Date Import'!$B$2:$J115,2,FALSE),"")</f>
        <v/>
      </c>
      <c r="J95" s="56" t="str">
        <f>IFERROR(VLOOKUP($B95,'APS Tubes by Date Import'!$B$2:$J115,9,FALSE),"")</f>
        <v/>
      </c>
      <c r="K95" s="56" t="str">
        <f>IFNA(VLOOKUP($B95,'APS Tubes by Date Import'!$B$2:$J115,6,FALSE),"")</f>
        <v/>
      </c>
      <c r="L95" s="56" t="str">
        <f t="shared" si="30"/>
        <v/>
      </c>
      <c r="M95" s="56"/>
      <c r="N95" s="120"/>
      <c r="O95" s="6" t="str">
        <f t="shared" si="31"/>
        <v/>
      </c>
      <c r="Q95" s="6" t="str">
        <f t="shared" si="34"/>
        <v/>
      </c>
      <c r="R95" s="87" t="str">
        <f>IFNA(MATCH(A95,'RFR Data - preExcl'!A$2:A115,0),"")</f>
        <v/>
      </c>
      <c r="S95" s="43"/>
      <c r="T95" s="20" t="str">
        <f>IF(AND(NOT(ISBLANK(U95)),NOT(ISBLANK(V95)),NOT(ISBLANK(W95))),CONCATENATE("RUN-",'Process Ref'!$A$1,"_",TEXT(V95,"YYYY-MM-DD"),"_APS-",TEXT(W95,"000")),IFERROR(0/0,""))</f>
        <v/>
      </c>
      <c r="U95" s="20" t="str">
        <f t="shared" si="32"/>
        <v/>
      </c>
      <c r="V95" s="55">
        <v>44611.0</v>
      </c>
      <c r="W95" s="142" t="str">
        <f t="shared" si="37"/>
        <v/>
      </c>
    </row>
    <row r="96">
      <c r="C96" s="120"/>
      <c r="D96" s="56" t="str">
        <f t="array" ref="D96">IF(ISBLANK($A96),IFERROR(0/0,""),INDEX('RFR Data - preExcl'!E$2:E115,$R96,1))</f>
        <v/>
      </c>
      <c r="E96" s="56"/>
      <c r="F96" s="56" t="str">
        <f t="array" ref="F96">IF(ISBLANK($A96),IFERROR(0/0,""),INDEX('RFR Data - preExcl'!AC$2:AC115,$R96,1))</f>
        <v/>
      </c>
      <c r="G96" s="56" t="str">
        <f t="array" ref="G96">IF(ISBLANK($A96),IFERROR(0/0,""),INDEX('RFR Data - preExcl'!AK$2:AK115,$R96,1))</f>
        <v/>
      </c>
      <c r="H96" s="56" t="str">
        <f t="array" ref="H96">IF(ISBLANK($A96),IFERROR(0/0,""),INDEX('RFR Data - preExcl'!AL$2:AL115,$R96,1))</f>
        <v/>
      </c>
      <c r="I96" s="56" t="str">
        <f>IFERROR(VLOOKUP($B96,'APS Tubes by Date Import'!$B$2:$J115,2,FALSE),"")</f>
        <v/>
      </c>
      <c r="J96" s="56" t="str">
        <f>IFERROR(VLOOKUP($B96,'APS Tubes by Date Import'!$B$2:$J115,9,FALSE),"")</f>
        <v/>
      </c>
      <c r="K96" s="56" t="str">
        <f>IFNA(VLOOKUP($B96,'APS Tubes by Date Import'!$B$2:$J115,6,FALSE),"")</f>
        <v/>
      </c>
      <c r="L96" s="56" t="str">
        <f t="shared" si="30"/>
        <v/>
      </c>
      <c r="M96" s="56"/>
      <c r="N96" s="120"/>
      <c r="O96" s="6" t="str">
        <f t="shared" si="31"/>
        <v/>
      </c>
      <c r="Q96" s="6" t="str">
        <f t="shared" si="34"/>
        <v/>
      </c>
      <c r="R96" s="87" t="str">
        <f>IFNA(MATCH(A96,'RFR Data - preExcl'!A$2:A115,0),"")</f>
        <v/>
      </c>
      <c r="S96" s="43"/>
      <c r="T96" s="20" t="str">
        <f>IF(AND(NOT(ISBLANK(U96)),NOT(ISBLANK(V96)),NOT(ISBLANK(W96))),CONCATENATE("RUN-",'Process Ref'!$A$1,"_",TEXT(V96,"YYYY-MM-DD"),"_APS-",TEXT(W96,"000")),IFERROR(0/0,""))</f>
        <v/>
      </c>
      <c r="U96" s="20" t="str">
        <f t="shared" si="32"/>
        <v/>
      </c>
      <c r="V96" s="55">
        <v>44613.0</v>
      </c>
      <c r="W96" s="142" t="str">
        <f t="shared" si="37"/>
        <v/>
      </c>
    </row>
    <row r="97">
      <c r="C97" s="120"/>
      <c r="D97" s="56" t="str">
        <f t="array" ref="D97">IF(ISBLANK($A97),IFERROR(0/0,""),INDEX('RFR Data - preExcl'!E$2:E115,$R97,1))</f>
        <v/>
      </c>
      <c r="E97" s="56"/>
      <c r="F97" s="56" t="str">
        <f t="array" ref="F97">IF(ISBLANK($A97),IFERROR(0/0,""),INDEX('RFR Data - preExcl'!AC$2:AC115,$R97,1))</f>
        <v/>
      </c>
      <c r="G97" s="56" t="str">
        <f t="array" ref="G97">IF(ISBLANK($A97),IFERROR(0/0,""),INDEX('RFR Data - preExcl'!AK$2:AK115,$R97,1))</f>
        <v/>
      </c>
      <c r="H97" s="56" t="str">
        <f t="array" ref="H97">IF(ISBLANK($A97),IFERROR(0/0,""),INDEX('RFR Data - preExcl'!AL$2:AL115,$R97,1))</f>
        <v/>
      </c>
      <c r="I97" s="56" t="str">
        <f>IFERROR(VLOOKUP($B97,'APS Tubes by Date Import'!$B$2:$J115,2,FALSE),"")</f>
        <v/>
      </c>
      <c r="J97" s="56" t="str">
        <f>IFERROR(VLOOKUP($B97,'APS Tubes by Date Import'!$B$2:$J115,9,FALSE),"")</f>
        <v/>
      </c>
      <c r="K97" s="56" t="str">
        <f>IFNA(VLOOKUP($B97,'APS Tubes by Date Import'!$B$2:$J115,6,FALSE),"")</f>
        <v/>
      </c>
      <c r="L97" s="56" t="str">
        <f t="shared" si="30"/>
        <v/>
      </c>
      <c r="M97" s="56"/>
      <c r="N97" s="120"/>
      <c r="O97" s="6" t="str">
        <f t="shared" si="31"/>
        <v/>
      </c>
      <c r="Q97" s="6" t="str">
        <f t="shared" si="34"/>
        <v/>
      </c>
      <c r="R97" s="87" t="str">
        <f>IFNA(MATCH(A97,'RFR Data - preExcl'!A$2:A115,0),"")</f>
        <v/>
      </c>
      <c r="S97" s="43"/>
      <c r="T97" s="20" t="str">
        <f>IF(AND(NOT(ISBLANK(U97)),NOT(ISBLANK(V97)),NOT(ISBLANK(W97))),CONCATENATE("RUN-",'Process Ref'!$A$1,"_",TEXT(V97,"YYYY-MM-DD"),"_APS-",TEXT(W97,"000")),IFERROR(0/0,""))</f>
        <v/>
      </c>
      <c r="U97" s="20" t="str">
        <f t="shared" si="32"/>
        <v/>
      </c>
      <c r="V97" s="55">
        <v>44614.0</v>
      </c>
      <c r="W97" s="142" t="str">
        <f t="shared" si="37"/>
        <v/>
      </c>
    </row>
    <row r="98">
      <c r="C98" s="120"/>
      <c r="D98" s="56" t="str">
        <f t="array" ref="D98">IF(ISBLANK($A98),IFERROR(0/0,""),INDEX('RFR Data - preExcl'!E$2:E115,$R98,1))</f>
        <v/>
      </c>
      <c r="E98" s="56"/>
      <c r="F98" s="56" t="str">
        <f t="array" ref="F98">IF(ISBLANK($A98),IFERROR(0/0,""),INDEX('RFR Data - preExcl'!AC$2:AC115,$R98,1))</f>
        <v/>
      </c>
      <c r="G98" s="56" t="str">
        <f t="array" ref="G98">IF(ISBLANK($A98),IFERROR(0/0,""),INDEX('RFR Data - preExcl'!AK$2:AK115,$R98,1))</f>
        <v/>
      </c>
      <c r="H98" s="56" t="str">
        <f t="array" ref="H98">IF(ISBLANK($A98),IFERROR(0/0,""),INDEX('RFR Data - preExcl'!AL$2:AL115,$R98,1))</f>
        <v/>
      </c>
      <c r="I98" s="56" t="str">
        <f>IFERROR(VLOOKUP($B98,'APS Tubes by Date Import'!$B$2:$J115,2,FALSE),"")</f>
        <v/>
      </c>
      <c r="J98" s="56" t="str">
        <f>IFERROR(VLOOKUP($B98,'APS Tubes by Date Import'!$B$2:$J115,9,FALSE),"")</f>
        <v/>
      </c>
      <c r="K98" s="56" t="str">
        <f>IFNA(VLOOKUP($B98,'APS Tubes by Date Import'!$B$2:$J115,6,FALSE),"")</f>
        <v/>
      </c>
      <c r="L98" s="56" t="str">
        <f t="shared" si="30"/>
        <v/>
      </c>
      <c r="M98" s="56"/>
      <c r="N98" s="120"/>
      <c r="O98" s="6" t="str">
        <f t="shared" si="31"/>
        <v/>
      </c>
      <c r="Q98" s="6" t="str">
        <f t="shared" si="34"/>
        <v/>
      </c>
      <c r="R98" s="87" t="str">
        <f>IFNA(MATCH(A98,'RFR Data - preExcl'!A$2:A115,0),"")</f>
        <v/>
      </c>
      <c r="S98" s="43"/>
      <c r="T98" s="20" t="str">
        <f>IF(AND(NOT(ISBLANK(U98)),NOT(ISBLANK(V98)),NOT(ISBLANK(W98))),CONCATENATE("RUN-",'Process Ref'!$A$1,"_",TEXT(V98,"YYYY-MM-DD"),"_APS-",TEXT(W98,"000")),IFERROR(0/0,""))</f>
        <v/>
      </c>
      <c r="U98" s="20" t="str">
        <f t="shared" si="32"/>
        <v/>
      </c>
      <c r="V98" s="55">
        <v>44615.0</v>
      </c>
      <c r="W98" s="142" t="str">
        <f t="shared" si="37"/>
        <v/>
      </c>
    </row>
    <row r="99">
      <c r="C99" s="120"/>
      <c r="D99" s="56" t="str">
        <f t="array" ref="D99">IF(ISBLANK($A99),IFERROR(0/0,""),INDEX('RFR Data - preExcl'!E$2:E115,$R99,1))</f>
        <v/>
      </c>
      <c r="E99" s="56"/>
      <c r="F99" s="56" t="str">
        <f t="array" ref="F99">IF(ISBLANK($A99),IFERROR(0/0,""),INDEX('RFR Data - preExcl'!AC$2:AC115,$R99,1))</f>
        <v/>
      </c>
      <c r="G99" s="56" t="str">
        <f t="array" ref="G99">IF(ISBLANK($A99),IFERROR(0/0,""),INDEX('RFR Data - preExcl'!AK$2:AK115,$R99,1))</f>
        <v/>
      </c>
      <c r="H99" s="56" t="str">
        <f t="array" ref="H99">IF(ISBLANK($A99),IFERROR(0/0,""),INDEX('RFR Data - preExcl'!AL$2:AL115,$R99,1))</f>
        <v/>
      </c>
      <c r="I99" s="56" t="str">
        <f>IFERROR(VLOOKUP($B99,'APS Tubes by Date Import'!$B$2:$J115,2,FALSE),"")</f>
        <v/>
      </c>
      <c r="J99" s="56" t="str">
        <f>IFERROR(VLOOKUP($B99,'APS Tubes by Date Import'!$B$2:$J115,9,FALSE),"")</f>
        <v/>
      </c>
      <c r="K99" s="56" t="str">
        <f>IFNA(VLOOKUP($B99,'APS Tubes by Date Import'!$B$2:$J115,6,FALSE),"")</f>
        <v/>
      </c>
      <c r="L99" s="56" t="str">
        <f t="shared" si="30"/>
        <v/>
      </c>
      <c r="M99" s="56"/>
      <c r="N99" s="120"/>
      <c r="O99" s="6" t="str">
        <f t="shared" si="31"/>
        <v/>
      </c>
      <c r="Q99" s="6" t="str">
        <f t="shared" si="34"/>
        <v/>
      </c>
      <c r="R99" s="87" t="str">
        <f>IFNA(MATCH(A99,'RFR Data - preExcl'!A$2:A115,0),"")</f>
        <v/>
      </c>
      <c r="S99" s="43"/>
      <c r="T99" s="20" t="str">
        <f>IF(AND(NOT(ISBLANK(U99)),NOT(ISBLANK(V99)),NOT(ISBLANK(W99))),CONCATENATE("RUN-",'Process Ref'!$A$1,"_",TEXT(V99,"YYYY-MM-DD"),"_APS-",TEXT(W99,"000")),IFERROR(0/0,""))</f>
        <v/>
      </c>
      <c r="U99" s="20" t="str">
        <f t="shared" si="32"/>
        <v/>
      </c>
      <c r="V99" s="55">
        <v>44617.0</v>
      </c>
      <c r="W99" s="142" t="str">
        <f t="shared" si="37"/>
        <v/>
      </c>
    </row>
    <row r="100">
      <c r="C100" s="120"/>
      <c r="D100" s="56" t="str">
        <f t="array" ref="D100">IF(ISBLANK($A100),IFERROR(0/0,""),INDEX('RFR Data - preExcl'!E$2:E115,$R100,1))</f>
        <v/>
      </c>
      <c r="E100" s="56"/>
      <c r="F100" s="56" t="str">
        <f t="array" ref="F100">IF(ISBLANK($A100),IFERROR(0/0,""),INDEX('RFR Data - preExcl'!AC$2:AC115,$R100,1))</f>
        <v/>
      </c>
      <c r="G100" s="56" t="str">
        <f t="array" ref="G100">IF(ISBLANK($A100),IFERROR(0/0,""),INDEX('RFR Data - preExcl'!AK$2:AK115,$R100,1))</f>
        <v/>
      </c>
      <c r="H100" s="56" t="str">
        <f t="array" ref="H100">IF(ISBLANK($A100),IFERROR(0/0,""),INDEX('RFR Data - preExcl'!AL$2:AL115,$R100,1))</f>
        <v/>
      </c>
      <c r="I100" s="56" t="str">
        <f>IFERROR(VLOOKUP($B100,'APS Tubes by Date Import'!$B$2:$J115,2,FALSE),"")</f>
        <v/>
      </c>
      <c r="J100" s="56" t="str">
        <f>IFERROR(VLOOKUP($B100,'APS Tubes by Date Import'!$B$2:$J115,9,FALSE),"")</f>
        <v/>
      </c>
      <c r="K100" s="56" t="str">
        <f>IFNA(VLOOKUP($B100,'APS Tubes by Date Import'!$B$2:$J115,6,FALSE),"")</f>
        <v/>
      </c>
      <c r="L100" s="56" t="str">
        <f t="shared" si="30"/>
        <v/>
      </c>
      <c r="M100" s="56"/>
      <c r="N100" s="120"/>
      <c r="O100" s="6" t="str">
        <f t="shared" si="31"/>
        <v/>
      </c>
      <c r="Q100" s="6" t="str">
        <f t="shared" si="34"/>
        <v/>
      </c>
      <c r="R100" s="87" t="str">
        <f>IFNA(MATCH(A100,'RFR Data - preExcl'!A$2:A115,0),"")</f>
        <v/>
      </c>
      <c r="S100" s="43"/>
      <c r="T100" s="20" t="str">
        <f>IF(AND(NOT(ISBLANK(U100)),NOT(ISBLANK(V100)),NOT(ISBLANK(W100))),CONCATENATE("RUN-",'Process Ref'!$A$1,"_",TEXT(V100,"YYYY-MM-DD"),"_APS-",TEXT(W100,"000")),IFERROR(0/0,""))</f>
        <v/>
      </c>
      <c r="U100" s="20" t="str">
        <f t="shared" si="32"/>
        <v/>
      </c>
      <c r="V100" s="55">
        <v>44619.0</v>
      </c>
      <c r="W100" s="142" t="str">
        <f t="shared" si="37"/>
        <v/>
      </c>
    </row>
    <row r="101">
      <c r="C101" s="120"/>
      <c r="D101" s="56" t="str">
        <f t="array" ref="D101">IF(ISBLANK($A101),IFERROR(0/0,""),INDEX('RFR Data - preExcl'!E$2:E115,$R101,1))</f>
        <v/>
      </c>
      <c r="E101" s="56"/>
      <c r="F101" s="56" t="str">
        <f t="array" ref="F101">IF(ISBLANK($A101),IFERROR(0/0,""),INDEX('RFR Data - preExcl'!AC$2:AC115,$R101,1))</f>
        <v/>
      </c>
      <c r="G101" s="56" t="str">
        <f t="array" ref="G101">IF(ISBLANK($A101),IFERROR(0/0,""),INDEX('RFR Data - preExcl'!AK$2:AK115,$R101,1))</f>
        <v/>
      </c>
      <c r="H101" s="56" t="str">
        <f t="array" ref="H101">IF(ISBLANK($A101),IFERROR(0/0,""),INDEX('RFR Data - preExcl'!AL$2:AL115,$R101,1))</f>
        <v/>
      </c>
      <c r="I101" s="56" t="str">
        <f>IFERROR(VLOOKUP($B101,'APS Tubes by Date Import'!$B$2:$J115,2,FALSE),"")</f>
        <v/>
      </c>
      <c r="J101" s="56" t="str">
        <f>IFERROR(VLOOKUP($B101,'APS Tubes by Date Import'!$B$2:$J115,9,FALSE),"")</f>
        <v/>
      </c>
      <c r="K101" s="56" t="str">
        <f>IFNA(VLOOKUP($B101,'APS Tubes by Date Import'!$B$2:$J115,6,FALSE),"")</f>
        <v/>
      </c>
      <c r="L101" s="56" t="str">
        <f t="shared" si="30"/>
        <v/>
      </c>
      <c r="M101" s="56"/>
      <c r="N101" s="120"/>
      <c r="O101" s="6" t="str">
        <f t="shared" si="31"/>
        <v/>
      </c>
      <c r="Q101" s="6" t="str">
        <f t="shared" si="34"/>
        <v/>
      </c>
      <c r="R101" s="87" t="str">
        <f>IFNA(MATCH(A101,'RFR Data - preExcl'!A$2:A115,0),"")</f>
        <v/>
      </c>
      <c r="S101" s="43"/>
      <c r="T101" s="20" t="str">
        <f>IF(AND(NOT(ISBLANK(U101)),NOT(ISBLANK(V101)),NOT(ISBLANK(W101))),CONCATENATE("RUN-",'Process Ref'!$A$1,"_",TEXT(V101,"YYYY-MM-DD"),"_APS-",TEXT(W101,"000")),IFERROR(0/0,""))</f>
        <v/>
      </c>
      <c r="U101" s="20" t="str">
        <f t="shared" si="32"/>
        <v/>
      </c>
      <c r="V101" s="55">
        <v>44621.0</v>
      </c>
      <c r="W101" s="142" t="str">
        <f t="shared" si="37"/>
        <v/>
      </c>
    </row>
    <row r="102">
      <c r="C102" s="120"/>
      <c r="D102" s="56" t="str">
        <f t="array" ref="D102">IF(ISBLANK($A102),IFERROR(0/0,""),INDEX('RFR Data - preExcl'!E$2:E115,$R102,1))</f>
        <v/>
      </c>
      <c r="E102" s="56"/>
      <c r="F102" s="56" t="str">
        <f t="array" ref="F102">IF(ISBLANK($A102),IFERROR(0/0,""),INDEX('RFR Data - preExcl'!AC$2:AC115,$R102,1))</f>
        <v/>
      </c>
      <c r="G102" s="56" t="str">
        <f t="array" ref="G102">IF(ISBLANK($A102),IFERROR(0/0,""),INDEX('RFR Data - preExcl'!AK$2:AK115,$R102,1))</f>
        <v/>
      </c>
      <c r="H102" s="56" t="str">
        <f t="array" ref="H102">IF(ISBLANK($A102),IFERROR(0/0,""),INDEX('RFR Data - preExcl'!AL$2:AL115,$R102,1))</f>
        <v/>
      </c>
      <c r="I102" s="56" t="str">
        <f>IFERROR(VLOOKUP($B102,'APS Tubes by Date Import'!$B$2:$J115,2,FALSE),"")</f>
        <v/>
      </c>
      <c r="J102" s="56" t="str">
        <f>IFERROR(VLOOKUP($B102,'APS Tubes by Date Import'!$B$2:$J115,9,FALSE),"")</f>
        <v/>
      </c>
      <c r="K102" s="56" t="str">
        <f>IFNA(VLOOKUP($B102,'APS Tubes by Date Import'!$B$2:$J115,6,FALSE),"")</f>
        <v/>
      </c>
      <c r="L102" s="56" t="str">
        <f t="shared" si="30"/>
        <v/>
      </c>
      <c r="M102" s="56"/>
      <c r="N102" s="120"/>
      <c r="O102" s="6" t="str">
        <f t="shared" si="31"/>
        <v/>
      </c>
      <c r="Q102" s="6" t="str">
        <f t="shared" si="34"/>
        <v/>
      </c>
      <c r="R102" s="87" t="str">
        <f>IFNA(MATCH(A102,'RFR Data - preExcl'!A$2:A115,0),"")</f>
        <v/>
      </c>
      <c r="S102" s="43"/>
      <c r="T102" s="20" t="str">
        <f>IF(AND(NOT(ISBLANK(U102)),NOT(ISBLANK(V102)),NOT(ISBLANK(W102))),CONCATENATE("RUN-",'Process Ref'!$A$1,"_",TEXT(V102,"YYYY-MM-DD"),"_APS-",TEXT(W102,"000")),IFERROR(0/0,""))</f>
        <v/>
      </c>
      <c r="U102" s="20" t="str">
        <f t="shared" si="32"/>
        <v/>
      </c>
      <c r="V102" s="55">
        <v>44623.0</v>
      </c>
      <c r="W102" s="142" t="str">
        <f t="shared" si="37"/>
        <v/>
      </c>
    </row>
    <row r="103">
      <c r="C103" s="120"/>
      <c r="D103" s="56" t="str">
        <f t="array" ref="D103">IF(ISBLANK($A103),IFERROR(0/0,""),INDEX('RFR Data - preExcl'!E$2:E115,$R103,1))</f>
        <v/>
      </c>
      <c r="E103" s="56"/>
      <c r="F103" s="56" t="str">
        <f t="array" ref="F103">IF(ISBLANK($A103),IFERROR(0/0,""),INDEX('RFR Data - preExcl'!AC$2:AC115,$R103,1))</f>
        <v/>
      </c>
      <c r="G103" s="56" t="str">
        <f t="array" ref="G103">IF(ISBLANK($A103),IFERROR(0/0,""),INDEX('RFR Data - preExcl'!AK$2:AK115,$R103,1))</f>
        <v/>
      </c>
      <c r="H103" s="56" t="str">
        <f t="array" ref="H103">IF(ISBLANK($A103),IFERROR(0/0,""),INDEX('RFR Data - preExcl'!AL$2:AL115,$R103,1))</f>
        <v/>
      </c>
      <c r="I103" s="56" t="str">
        <f>IFERROR(VLOOKUP($B103,'APS Tubes by Date Import'!$B$2:$J115,2,FALSE),"")</f>
        <v/>
      </c>
      <c r="J103" s="56" t="str">
        <f>IFERROR(VLOOKUP($B103,'APS Tubes by Date Import'!$B$2:$J115,9,FALSE),"")</f>
        <v/>
      </c>
      <c r="K103" s="56" t="str">
        <f>IFNA(VLOOKUP($B103,'APS Tubes by Date Import'!$B$2:$J115,6,FALSE),"")</f>
        <v/>
      </c>
      <c r="L103" s="56" t="str">
        <f t="shared" si="30"/>
        <v/>
      </c>
      <c r="M103" s="56"/>
      <c r="N103" s="120"/>
      <c r="O103" s="6" t="str">
        <f t="shared" si="31"/>
        <v/>
      </c>
      <c r="Q103" s="6" t="str">
        <f t="shared" si="34"/>
        <v/>
      </c>
      <c r="R103" s="87" t="str">
        <f>IFNA(MATCH(A103,'RFR Data - preExcl'!A$2:A115,0),"")</f>
        <v/>
      </c>
      <c r="S103" s="43"/>
      <c r="T103" s="20" t="str">
        <f>IF(AND(NOT(ISBLANK(U103)),NOT(ISBLANK(V103)),NOT(ISBLANK(W103))),CONCATENATE("RUN-",'Process Ref'!$A$1,"_",TEXT(V103,"YYYY-MM-DD"),"_APS-",TEXT(W103,"000")),IFERROR(0/0,""))</f>
        <v/>
      </c>
      <c r="U103" s="20" t="str">
        <f t="shared" si="32"/>
        <v/>
      </c>
      <c r="V103" s="55">
        <v>44625.0</v>
      </c>
      <c r="W103" s="142" t="str">
        <f t="shared" si="37"/>
        <v/>
      </c>
    </row>
    <row r="104">
      <c r="C104" s="120"/>
      <c r="D104" s="56" t="str">
        <f t="array" ref="D104">IF(ISBLANK($A104),IFERROR(0/0,""),INDEX('RFR Data - preExcl'!E$2:E115,$R104,1))</f>
        <v/>
      </c>
      <c r="E104" s="56"/>
      <c r="F104" s="56" t="str">
        <f t="array" ref="F104">IF(ISBLANK($A104),IFERROR(0/0,""),INDEX('RFR Data - preExcl'!AC$2:AC115,$R104,1))</f>
        <v/>
      </c>
      <c r="G104" s="56" t="str">
        <f t="array" ref="G104">IF(ISBLANK($A104),IFERROR(0/0,""),INDEX('RFR Data - preExcl'!AK$2:AK115,$R104,1))</f>
        <v/>
      </c>
      <c r="H104" s="56" t="str">
        <f t="array" ref="H104">IF(ISBLANK($A104),IFERROR(0/0,""),INDEX('RFR Data - preExcl'!AL$2:AL115,$R104,1))</f>
        <v/>
      </c>
      <c r="I104" s="56" t="str">
        <f>IFERROR(VLOOKUP($B104,'APS Tubes by Date Import'!$B$2:$J115,2,FALSE),"")</f>
        <v/>
      </c>
      <c r="J104" s="56" t="str">
        <f>IFERROR(VLOOKUP($B104,'APS Tubes by Date Import'!$B$2:$J115,9,FALSE),"")</f>
        <v/>
      </c>
      <c r="K104" s="56" t="str">
        <f>IFNA(VLOOKUP($B104,'APS Tubes by Date Import'!$B$2:$J115,6,FALSE),"")</f>
        <v/>
      </c>
      <c r="L104" s="56" t="str">
        <f t="shared" si="30"/>
        <v/>
      </c>
      <c r="M104" s="56"/>
      <c r="N104" s="120"/>
      <c r="O104" s="6" t="str">
        <f t="shared" si="31"/>
        <v/>
      </c>
      <c r="Q104" s="6" t="str">
        <f t="shared" si="34"/>
        <v/>
      </c>
      <c r="R104" s="87" t="str">
        <f>IFNA(MATCH(A104,'RFR Data - preExcl'!A$2:A115,0),"")</f>
        <v/>
      </c>
      <c r="S104" s="43"/>
      <c r="T104" s="20" t="str">
        <f>IF(AND(NOT(ISBLANK(U104)),NOT(ISBLANK(V104)),NOT(ISBLANK(W104))),CONCATENATE("RUN-",'Process Ref'!$A$1,"_",TEXT(V104,"YYYY-MM-DD"),"_APS-",TEXT(W104,"000")),IFERROR(0/0,""))</f>
        <v/>
      </c>
      <c r="U104" s="20" t="str">
        <f t="shared" si="32"/>
        <v/>
      </c>
      <c r="V104" s="55">
        <v>44627.0</v>
      </c>
      <c r="W104" s="142" t="str">
        <f t="shared" si="37"/>
        <v/>
      </c>
    </row>
    <row r="105">
      <c r="C105" s="120"/>
      <c r="D105" s="56" t="str">
        <f t="array" ref="D105">IF(ISBLANK($A105),IFERROR(0/0,""),INDEX('RFR Data - preExcl'!E$2:E115,$R105,1))</f>
        <v/>
      </c>
      <c r="E105" s="56"/>
      <c r="F105" s="56" t="str">
        <f t="array" ref="F105">IF(ISBLANK($A105),IFERROR(0/0,""),INDEX('RFR Data - preExcl'!AC$2:AC115,$R105,1))</f>
        <v/>
      </c>
      <c r="G105" s="56" t="str">
        <f t="array" ref="G105">IF(ISBLANK($A105),IFERROR(0/0,""),INDEX('RFR Data - preExcl'!AK$2:AK115,$R105,1))</f>
        <v/>
      </c>
      <c r="H105" s="56" t="str">
        <f t="array" ref="H105">IF(ISBLANK($A105),IFERROR(0/0,""),INDEX('RFR Data - preExcl'!AL$2:AL115,$R105,1))</f>
        <v/>
      </c>
      <c r="I105" s="56" t="str">
        <f>IFERROR(VLOOKUP($B105,'APS Tubes by Date Import'!$B$2:$J115,2,FALSE),"")</f>
        <v/>
      </c>
      <c r="J105" s="56" t="str">
        <f>IFERROR(VLOOKUP($B105,'APS Tubes by Date Import'!$B$2:$J115,9,FALSE),"")</f>
        <v/>
      </c>
      <c r="K105" s="56" t="str">
        <f>IFNA(VLOOKUP($B105,'APS Tubes by Date Import'!$B$2:$J115,6,FALSE),"")</f>
        <v/>
      </c>
      <c r="L105" s="56" t="str">
        <f t="shared" si="30"/>
        <v/>
      </c>
      <c r="M105" s="56"/>
      <c r="N105" s="120"/>
      <c r="O105" s="6" t="str">
        <f t="shared" si="31"/>
        <v/>
      </c>
      <c r="Q105" s="6" t="str">
        <f t="shared" si="34"/>
        <v/>
      </c>
      <c r="R105" s="87" t="str">
        <f>IFNA(MATCH(A105,'RFR Data - preExcl'!A$2:A115,0),"")</f>
        <v/>
      </c>
      <c r="S105" s="43"/>
      <c r="T105" s="20" t="str">
        <f>IF(AND(NOT(ISBLANK(U105)),NOT(ISBLANK(V105)),NOT(ISBLANK(W105))),CONCATENATE("RUN-",'Process Ref'!$A$1,"_",TEXT(V105,"YYYY-MM-DD"),"_APS-",TEXT(W105,"000")),IFERROR(0/0,""))</f>
        <v/>
      </c>
      <c r="U105" s="20" t="str">
        <f t="shared" si="32"/>
        <v/>
      </c>
      <c r="V105" s="55">
        <v>44629.0</v>
      </c>
      <c r="W105" s="142" t="str">
        <f t="shared" si="37"/>
        <v/>
      </c>
    </row>
    <row r="106">
      <c r="C106" s="120"/>
      <c r="D106" s="56"/>
      <c r="E106" s="56"/>
      <c r="F106" s="56"/>
      <c r="G106" s="56"/>
      <c r="H106" s="56"/>
      <c r="I106" s="56"/>
      <c r="J106" s="56"/>
      <c r="K106" s="56"/>
      <c r="L106" s="56"/>
      <c r="M106" s="56"/>
      <c r="N106" s="120"/>
      <c r="R106" s="87"/>
      <c r="S106" s="43"/>
      <c r="T106" s="20" t="str">
        <f>IF(AND(NOT(ISBLANK(U106)),NOT(ISBLANK(V106)),NOT(ISBLANK(W106))),CONCATENATE("RUN-",'Process Ref'!$A$1,"_",TEXT(V106,"YYYY-MM-DD"),"_APS-",TEXT(W106,"000")),IFERROR(0/0,""))</f>
        <v/>
      </c>
      <c r="U106" s="20" t="str">
        <f t="shared" si="32"/>
        <v/>
      </c>
      <c r="V106" s="55">
        <v>44631.0</v>
      </c>
      <c r="W106" s="142" t="str">
        <f t="shared" si="37"/>
        <v/>
      </c>
    </row>
    <row r="107">
      <c r="C107" s="120"/>
      <c r="D107" s="56"/>
      <c r="E107" s="56"/>
      <c r="F107" s="56"/>
      <c r="G107" s="56"/>
      <c r="H107" s="56"/>
      <c r="I107" s="56"/>
      <c r="J107" s="56"/>
      <c r="K107" s="56"/>
      <c r="L107" s="56"/>
      <c r="M107" s="56"/>
      <c r="N107" s="120"/>
      <c r="R107" s="87"/>
      <c r="S107" s="43"/>
      <c r="T107" s="20" t="str">
        <f>IF(AND(NOT(ISBLANK(U107)),NOT(ISBLANK(V107)),NOT(ISBLANK(W107))),CONCATENATE("RUN-",'Process Ref'!$A$1,"_",TEXT(V107,"YYYY-MM-DD"),"_APS-",TEXT(W107,"000")),IFERROR(0/0,""))</f>
        <v/>
      </c>
      <c r="U107" s="20" t="str">
        <f t="shared" si="32"/>
        <v/>
      </c>
      <c r="V107" s="55">
        <v>44665.0</v>
      </c>
      <c r="W107" s="142" t="str">
        <f t="shared" si="37"/>
        <v/>
      </c>
    </row>
    <row r="108">
      <c r="C108" s="120"/>
      <c r="D108" s="56"/>
      <c r="E108" s="56"/>
      <c r="F108" s="56"/>
      <c r="G108" s="56"/>
      <c r="H108" s="56"/>
      <c r="I108" s="56"/>
      <c r="J108" s="56"/>
      <c r="K108" s="56"/>
      <c r="L108" s="56"/>
      <c r="M108" s="56"/>
      <c r="N108" s="120"/>
      <c r="R108" s="87"/>
      <c r="S108" s="43"/>
      <c r="T108" s="20" t="str">
        <f>IF(AND(NOT(ISBLANK(U108)),NOT(ISBLANK(V108)),NOT(ISBLANK(W108))),CONCATENATE("RUN-",'Process Ref'!$A$1,"_",TEXT(V108,"YYYY-MM-DD"),"_APS-",TEXT(W108,"000")),IFERROR(0/0,""))</f>
        <v/>
      </c>
      <c r="U108" s="20" t="str">
        <f t="shared" si="32"/>
        <v/>
      </c>
      <c r="V108" s="55">
        <v>44692.0</v>
      </c>
      <c r="W108" s="142" t="str">
        <f t="shared" si="37"/>
        <v/>
      </c>
    </row>
    <row r="109">
      <c r="C109" s="120"/>
      <c r="D109" s="56"/>
      <c r="E109" s="56"/>
      <c r="F109" s="56"/>
      <c r="G109" s="56"/>
      <c r="H109" s="56"/>
      <c r="I109" s="56"/>
      <c r="J109" s="56"/>
      <c r="K109" s="56"/>
      <c r="L109" s="56"/>
      <c r="M109" s="56"/>
      <c r="N109" s="120"/>
      <c r="R109" s="87"/>
      <c r="S109" s="43"/>
      <c r="T109" s="20" t="str">
        <f>IF(AND(NOT(ISBLANK(U109)),NOT(ISBLANK(V109)),NOT(ISBLANK(W109))),CONCATENATE("RUN-",'Process Ref'!$A$1,"_",TEXT(V109,"YYYY-MM-DD"),"_APS-",TEXT(W109,"000")),IFERROR(0/0,""))</f>
        <v/>
      </c>
      <c r="U109" s="20" t="str">
        <f t="shared" si="32"/>
        <v/>
      </c>
      <c r="V109" s="105"/>
      <c r="W109" s="142" t="str">
        <f t="shared" si="37"/>
        <v/>
      </c>
    </row>
    <row r="110">
      <c r="C110" s="120"/>
      <c r="D110" s="56"/>
      <c r="E110" s="56"/>
      <c r="F110" s="56"/>
      <c r="G110" s="56"/>
      <c r="H110" s="56"/>
      <c r="I110" s="56"/>
      <c r="J110" s="56"/>
      <c r="K110" s="56"/>
      <c r="L110" s="56"/>
      <c r="M110" s="56"/>
      <c r="N110" s="120"/>
      <c r="R110" s="87"/>
      <c r="S110" s="43"/>
      <c r="T110" s="20" t="str">
        <f>IF(AND(NOT(ISBLANK(U110)),NOT(ISBLANK(V110)),NOT(ISBLANK(W110))),CONCATENATE("RUN-",'Process Ref'!$A$1,"_",TEXT(V110,"YYYY-MM-DD"),"_APS-",TEXT(W110,"000")),IFERROR(0/0,""))</f>
        <v/>
      </c>
      <c r="U110" s="20" t="str">
        <f t="shared" si="32"/>
        <v/>
      </c>
      <c r="V110" s="105"/>
      <c r="W110" s="142" t="str">
        <f t="shared" si="37"/>
        <v/>
      </c>
    </row>
    <row r="111">
      <c r="C111" s="120"/>
      <c r="D111" s="56"/>
      <c r="E111" s="56"/>
      <c r="F111" s="56"/>
      <c r="G111" s="56"/>
      <c r="H111" s="56"/>
      <c r="I111" s="56"/>
      <c r="J111" s="56"/>
      <c r="K111" s="56"/>
      <c r="L111" s="56"/>
      <c r="M111" s="56"/>
      <c r="N111" s="120"/>
      <c r="R111" s="87"/>
      <c r="S111" s="43"/>
      <c r="T111" s="20" t="str">
        <f>IF(AND(NOT(ISBLANK(U111)),NOT(ISBLANK(V111)),NOT(ISBLANK(W111))),CONCATENATE("RUN-",'Process Ref'!$A$1,"_",TEXT(V111,"YYYY-MM-DD"),"_APS-",TEXT(W111,"000")),IFERROR(0/0,""))</f>
        <v/>
      </c>
      <c r="U111" s="20" t="str">
        <f t="shared" si="32"/>
        <v/>
      </c>
      <c r="V111" s="105"/>
      <c r="W111" s="142" t="str">
        <f t="shared" si="37"/>
        <v/>
      </c>
    </row>
    <row r="112">
      <c r="C112" s="120"/>
      <c r="D112" s="56"/>
      <c r="E112" s="56"/>
      <c r="F112" s="56"/>
      <c r="G112" s="56"/>
      <c r="H112" s="56"/>
      <c r="I112" s="56"/>
      <c r="J112" s="56"/>
      <c r="K112" s="56"/>
      <c r="L112" s="56"/>
      <c r="M112" s="56"/>
      <c r="N112" s="120"/>
      <c r="R112" s="87"/>
      <c r="S112" s="43"/>
      <c r="T112" s="20" t="str">
        <f>IF(AND(NOT(ISBLANK(U112)),NOT(ISBLANK(V112)),NOT(ISBLANK(W112))),CONCATENATE("RUN-",'Process Ref'!$A$1,"_",TEXT(V112,"YYYY-MM-DD"),"_APS-",TEXT(W112,"000")),IFERROR(0/0,""))</f>
        <v/>
      </c>
      <c r="U112" s="20" t="str">
        <f t="shared" si="32"/>
        <v/>
      </c>
      <c r="V112" s="105"/>
      <c r="W112" s="142" t="str">
        <f t="shared" si="37"/>
        <v/>
      </c>
    </row>
    <row r="113">
      <c r="C113" s="120"/>
      <c r="D113" s="56"/>
      <c r="E113" s="56"/>
      <c r="F113" s="56"/>
      <c r="G113" s="56"/>
      <c r="H113" s="56"/>
      <c r="I113" s="56"/>
      <c r="J113" s="56"/>
      <c r="K113" s="56"/>
      <c r="L113" s="56"/>
      <c r="M113" s="56"/>
      <c r="N113" s="120"/>
      <c r="R113" s="87"/>
      <c r="S113" s="43"/>
      <c r="T113" s="20" t="str">
        <f>IF(AND(NOT(ISBLANK(U113)),NOT(ISBLANK(V113)),NOT(ISBLANK(W113))),CONCATENATE("RUN-",'Process Ref'!$A$1,"_",TEXT(V113,"YYYY-MM-DD"),"_APS-",TEXT(W113,"000")),IFERROR(0/0,""))</f>
        <v/>
      </c>
      <c r="U113" s="20" t="str">
        <f t="shared" si="32"/>
        <v/>
      </c>
      <c r="V113" s="105"/>
      <c r="W113" s="142" t="str">
        <f t="shared" si="37"/>
        <v/>
      </c>
    </row>
    <row r="114">
      <c r="C114" s="120"/>
      <c r="D114" s="56"/>
      <c r="E114" s="56"/>
      <c r="F114" s="56"/>
      <c r="G114" s="56"/>
      <c r="H114" s="56"/>
      <c r="I114" s="56"/>
      <c r="J114" s="56"/>
      <c r="K114" s="56"/>
      <c r="L114" s="56"/>
      <c r="M114" s="56"/>
      <c r="N114" s="120"/>
      <c r="R114" s="87"/>
      <c r="S114" s="43"/>
      <c r="T114" s="20" t="str">
        <f>IF(AND(NOT(ISBLANK(U114)),NOT(ISBLANK(V114)),NOT(ISBLANK(W114))),CONCATENATE("RUN-",'Process Ref'!$A$1,"_",TEXT(V114,"YYYY-MM-DD"),"_APS-",TEXT(W114,"000")),IFERROR(0/0,""))</f>
        <v/>
      </c>
      <c r="U114" s="20" t="str">
        <f t="shared" si="32"/>
        <v/>
      </c>
      <c r="V114" s="105"/>
      <c r="W114" s="142" t="str">
        <f t="shared" si="37"/>
        <v/>
      </c>
    </row>
    <row r="115">
      <c r="C115" s="120"/>
      <c r="D115" s="56"/>
      <c r="E115" s="56"/>
      <c r="F115" s="56"/>
      <c r="G115" s="56"/>
      <c r="H115" s="56"/>
      <c r="I115" s="56"/>
      <c r="J115" s="56"/>
      <c r="K115" s="56"/>
      <c r="L115" s="56"/>
      <c r="M115" s="56"/>
      <c r="N115" s="120"/>
      <c r="R115" s="87"/>
      <c r="S115" s="43"/>
      <c r="T115" s="20" t="str">
        <f>IF(AND(NOT(ISBLANK(U115)),NOT(ISBLANK(V115)),NOT(ISBLANK(W115))),CONCATENATE("RUN-",'Process Ref'!$A$1,"_",TEXT(V115,"YYYY-MM-DD"),"_APS-",TEXT(W115,"000")),IFERROR(0/0,""))</f>
        <v/>
      </c>
      <c r="U115" s="20" t="str">
        <f t="shared" si="32"/>
        <v/>
      </c>
      <c r="V115" s="105"/>
      <c r="W115" s="142" t="str">
        <f t="shared" si="37"/>
        <v/>
      </c>
    </row>
  </sheetData>
  <conditionalFormatting sqref="K1">
    <cfRule type="expression" dxfId="0" priority="1">
      <formula>SUM(K3:K115)&gt;0</formula>
    </cfRule>
  </conditionalFormatting>
  <conditionalFormatting sqref="K1">
    <cfRule type="expression" dxfId="1" priority="2">
      <formula>SUM(K3:K115)=0</formula>
    </cfRule>
  </conditionalFormatting>
  <conditionalFormatting sqref="K1:K23 K25:K26 K28:K115">
    <cfRule type="cellIs" dxfId="2" priority="3" operator="greaterThan">
      <formula>0</formula>
    </cfRule>
  </conditionalFormatting>
  <conditionalFormatting sqref="M1">
    <cfRule type="colorScale" priority="4">
      <colorScale>
        <cfvo type="min"/>
        <cfvo type="max"/>
        <color rgb="FFFFFFFF"/>
        <color rgb="FF57BB8A"/>
      </colorScale>
    </cfRule>
  </conditionalFormatting>
  <conditionalFormatting sqref="M2:M24 M26:M54">
    <cfRule type="colorScale" priority="5">
      <colorScale>
        <cfvo type="formula" val="-1"/>
        <cfvo type="formula" val="0"/>
        <cfvo type="formula" val="1"/>
        <color rgb="FFCC0000"/>
        <color rgb="FF93C47D"/>
        <color rgb="FF4A86E8"/>
      </colorScale>
    </cfRule>
  </conditionalFormatting>
  <conditionalFormatting sqref="A2:B115">
    <cfRule type="expression" dxfId="3" priority="6">
      <formula>$C2</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4.0"/>
    <col customWidth="1" min="2" max="2" width="16.5"/>
    <col customWidth="1" min="3" max="3" width="15.13" outlineLevel="1"/>
    <col min="4" max="5" width="12.63" outlineLevel="1"/>
    <col customWidth="1" min="6" max="6" width="15.0" outlineLevel="1"/>
    <col customWidth="1" min="11" max="11" width="29.38"/>
    <col customWidth="1" min="12" max="12" width="10.25"/>
    <col customWidth="1" min="14" max="14" width="11.13"/>
    <col customWidth="1" min="16" max="16" width="9.25"/>
    <col customWidth="1" min="17" max="17" width="8.5"/>
    <col customWidth="1" min="18" max="18" width="7.75"/>
    <col customWidth="1" min="19" max="19" width="8.5"/>
    <col customWidth="1" min="20" max="20" width="9.0"/>
    <col customWidth="1" min="22" max="22" width="11.88"/>
    <col customWidth="1" min="23" max="23" width="8.38"/>
    <col min="30" max="31" width="12.63" outlineLevel="1"/>
    <col customWidth="1" min="32" max="32" width="9.5" outlineLevel="1"/>
    <col min="33" max="34" width="12.63" outlineLevel="1"/>
    <col customWidth="1" min="35" max="35" width="9.38" outlineLevel="1"/>
    <col customWidth="1" min="36" max="36" width="11.25" outlineLevel="1"/>
    <col customWidth="1" min="37" max="37" width="10.88" outlineLevel="1"/>
    <col min="38" max="38" width="12.63" outlineLevel="1"/>
    <col customWidth="1" min="39" max="39" width="9.75" outlineLevel="1"/>
    <col customWidth="1" min="40" max="43" width="10.13" outlineLevel="1"/>
    <col min="44" max="44" width="12.63" outlineLevel="1"/>
    <col customWidth="1" min="45" max="45" width="30.75" outlineLevel="1"/>
    <col customWidth="1" min="46" max="46" width="16.25" outlineLevel="1"/>
    <col customWidth="1" min="47" max="47" width="13.38" outlineLevel="1"/>
    <col customWidth="1" min="52" max="52" width="9.75"/>
    <col customWidth="1" min="53" max="53" width="16.75"/>
    <col customWidth="1" min="54" max="54" width="8.25" outlineLevel="1"/>
    <col customWidth="1" min="55" max="55" width="8.75"/>
    <col customWidth="1" min="56" max="56" width="9.63"/>
    <col customWidth="1" min="57" max="57" width="11.38"/>
    <col customWidth="1" min="58" max="58" width="11.88"/>
    <col customWidth="1" min="59" max="59" width="31.0"/>
    <col customWidth="1" min="60" max="62" width="11.0"/>
    <col customWidth="1" min="63" max="63" width="10.0"/>
    <col customWidth="1" min="64" max="64" width="9.63"/>
    <col customWidth="1" min="65" max="65" width="12.88"/>
    <col customWidth="1" min="66" max="66" width="13.63"/>
    <col customWidth="1" min="67" max="67" width="11.0"/>
    <col customWidth="1" min="68" max="68" width="12.0"/>
    <col customWidth="1" min="69" max="69" width="10.88"/>
    <col customWidth="1" min="70" max="70" width="14.5"/>
    <col customWidth="1" min="71" max="71" width="12.63"/>
    <col customWidth="1" min="72" max="74" width="15.38"/>
  </cols>
  <sheetData>
    <row r="1">
      <c r="A1" s="70" t="s">
        <v>8</v>
      </c>
      <c r="B1" s="80" t="s">
        <v>105</v>
      </c>
      <c r="C1" s="80" t="s">
        <v>106</v>
      </c>
      <c r="D1" s="80" t="s">
        <v>107</v>
      </c>
      <c r="E1" s="16" t="s">
        <v>108</v>
      </c>
      <c r="F1" s="80" t="s">
        <v>109</v>
      </c>
      <c r="G1" s="80" t="s">
        <v>110</v>
      </c>
      <c r="H1" s="80" t="s">
        <v>111</v>
      </c>
      <c r="I1" s="80" t="s">
        <v>112</v>
      </c>
      <c r="J1" s="16" t="s">
        <v>113</v>
      </c>
      <c r="K1" s="144" t="s">
        <v>114</v>
      </c>
      <c r="L1" s="16" t="s">
        <v>115</v>
      </c>
      <c r="M1" s="16" t="s">
        <v>116</v>
      </c>
      <c r="N1" s="16" t="s">
        <v>117</v>
      </c>
      <c r="O1" s="16" t="s">
        <v>118</v>
      </c>
      <c r="P1" s="145" t="s">
        <v>119</v>
      </c>
      <c r="Q1" s="16" t="s">
        <v>120</v>
      </c>
      <c r="R1" s="16" t="s">
        <v>121</v>
      </c>
      <c r="S1" s="16" t="s">
        <v>122</v>
      </c>
      <c r="T1" s="146" t="s">
        <v>123</v>
      </c>
      <c r="U1" s="16" t="s">
        <v>124</v>
      </c>
      <c r="V1" s="16" t="s">
        <v>125</v>
      </c>
      <c r="W1" s="16" t="s">
        <v>126</v>
      </c>
      <c r="X1" s="16" t="s">
        <v>127</v>
      </c>
      <c r="Y1" s="16" t="s">
        <v>128</v>
      </c>
      <c r="Z1" s="16" t="s">
        <v>129</v>
      </c>
      <c r="AA1" s="70" t="s">
        <v>130</v>
      </c>
      <c r="AB1" s="147" t="s">
        <v>131</v>
      </c>
      <c r="AC1" s="16" t="s">
        <v>132</v>
      </c>
      <c r="AD1" s="16" t="s">
        <v>133</v>
      </c>
      <c r="AE1" s="148" t="s">
        <v>134</v>
      </c>
      <c r="AF1" s="149" t="s">
        <v>135</v>
      </c>
      <c r="AG1" s="16" t="s">
        <v>136</v>
      </c>
      <c r="AH1" s="150" t="s">
        <v>137</v>
      </c>
      <c r="AI1" s="151" t="s">
        <v>138</v>
      </c>
      <c r="AJ1" s="16" t="s">
        <v>139</v>
      </c>
      <c r="AK1" s="152" t="s">
        <v>89</v>
      </c>
      <c r="AL1" s="16" t="s">
        <v>140</v>
      </c>
      <c r="AM1" s="16" t="s">
        <v>141</v>
      </c>
      <c r="AN1" s="70" t="s">
        <v>142</v>
      </c>
      <c r="AO1" s="70" t="str">
        <f>IF(COUNT(AO2:AO53),"ERROR","TRT CHECK")</f>
        <v>TRT CHECK</v>
      </c>
      <c r="AP1" s="145" t="s">
        <v>143</v>
      </c>
      <c r="AQ1" s="70" t="s">
        <v>144</v>
      </c>
      <c r="AR1" s="153" t="s">
        <v>145</v>
      </c>
      <c r="AS1" s="154" t="s">
        <v>146</v>
      </c>
      <c r="AT1" s="16" t="s">
        <v>147</v>
      </c>
      <c r="AU1" s="16" t="s">
        <v>148</v>
      </c>
      <c r="AV1" s="16" t="s">
        <v>149</v>
      </c>
      <c r="AW1" s="16" t="s">
        <v>150</v>
      </c>
      <c r="AX1" s="145" t="s">
        <v>151</v>
      </c>
      <c r="AY1" s="70" t="s">
        <v>152</v>
      </c>
      <c r="AZ1" s="155" t="s">
        <v>153</v>
      </c>
      <c r="BA1" s="156" t="s">
        <v>154</v>
      </c>
      <c r="BB1" s="70" t="s">
        <v>155</v>
      </c>
      <c r="BC1" s="70" t="s">
        <v>156</v>
      </c>
      <c r="BD1" s="70" t="str">
        <f>AK1</f>
        <v>RFR Audit
Num
Run Tubes</v>
      </c>
      <c r="BE1" s="157" t="s">
        <v>157</v>
      </c>
      <c r="BF1" s="70" t="s">
        <v>158</v>
      </c>
      <c r="BG1" s="70" t="s">
        <v>159</v>
      </c>
      <c r="BH1" s="70" t="str">
        <f>E1</f>
        <v>RAW Num of Samples (Gform)</v>
      </c>
      <c r="BI1" s="69" t="s">
        <v>88</v>
      </c>
      <c r="BJ1" s="70" t="str">
        <f>AK1</f>
        <v>RFR Audit
Num
Run Tubes</v>
      </c>
      <c r="BK1" s="70" t="s">
        <v>76</v>
      </c>
      <c r="BL1" s="70" t="s">
        <v>160</v>
      </c>
      <c r="BM1" s="69" t="s">
        <v>77</v>
      </c>
      <c r="BN1" s="70" t="s">
        <v>161</v>
      </c>
      <c r="BO1" s="158" t="str">
        <f>IF(SUM(BO2:BO100)&gt;0,"Num NULL &gt; 0 NEEDS CHANGE", "Num NULL = 0 OK")</f>
        <v>#N/A</v>
      </c>
      <c r="BP1" s="70" t="s">
        <v>162</v>
      </c>
      <c r="BQ1" s="16" t="s">
        <v>163</v>
      </c>
      <c r="BR1" s="16" t="s">
        <v>79</v>
      </c>
      <c r="BS1" s="70" t="s">
        <v>164</v>
      </c>
      <c r="BT1" s="145" t="s">
        <v>82</v>
      </c>
      <c r="BU1" s="16"/>
      <c r="BV1" s="16"/>
    </row>
    <row r="2">
      <c r="A2" s="159" t="str">
        <f>CONCATENATE("RUN-",'Process Ref'!$A$1,"_",TEXT(U2,"YYYY-MM-DD"),"_RFR-",TEXT(AR2,"000"),IF(EXACT(W2,"Initial"),"",CONCATENATE("_",W2)))</f>
        <v>RUN-BEND_2021-12-09_RFR-001_Exclude</v>
      </c>
      <c r="B2" s="160">
        <v>44539.681539351855</v>
      </c>
      <c r="C2" s="161"/>
      <c r="D2" s="161" t="s">
        <v>165</v>
      </c>
      <c r="E2" s="162"/>
      <c r="F2" s="163" t="s">
        <v>166</v>
      </c>
      <c r="G2" s="164"/>
      <c r="H2" s="165"/>
      <c r="I2" s="165"/>
      <c r="J2" s="166"/>
      <c r="K2" s="167"/>
      <c r="L2" s="162">
        <v>2.0</v>
      </c>
      <c r="M2" s="168"/>
      <c r="N2" s="168"/>
      <c r="O2" s="168"/>
      <c r="P2" s="169" t="b">
        <v>0</v>
      </c>
      <c r="Q2" s="169" t="b">
        <v>0</v>
      </c>
      <c r="R2" s="159"/>
      <c r="S2" s="169" t="b">
        <v>0</v>
      </c>
      <c r="T2" s="170" t="b">
        <v>0</v>
      </c>
      <c r="U2" s="171">
        <v>44539.0</v>
      </c>
      <c r="V2" s="172">
        <v>0.4166666666666667</v>
      </c>
      <c r="W2" s="173" t="s">
        <v>167</v>
      </c>
      <c r="X2" s="159"/>
      <c r="Y2" s="169" t="b">
        <v>0</v>
      </c>
      <c r="Z2" s="174">
        <v>0.0</v>
      </c>
      <c r="AA2" s="162">
        <f t="shared" ref="AA2:AA53" si="1">IF(ISBLANK(Z2),IFERROR(0/0,""),Z2-E2)</f>
        <v>0</v>
      </c>
      <c r="AB2" s="175" t="b">
        <f t="shared" ref="AB2:AB53" si="2">IF(AA2 = 2,FALSE,TRUE)</f>
        <v>1</v>
      </c>
      <c r="AC2" s="174">
        <v>0.0</v>
      </c>
      <c r="AD2" s="174">
        <v>0.0</v>
      </c>
      <c r="AE2" s="162">
        <v>0.0</v>
      </c>
      <c r="AF2" s="174">
        <v>0.0</v>
      </c>
      <c r="AG2" s="174">
        <v>0.0</v>
      </c>
      <c r="AH2" s="162">
        <v>0.0</v>
      </c>
      <c r="AI2" s="174">
        <v>0.0</v>
      </c>
      <c r="AJ2" s="162" t="b">
        <v>0</v>
      </c>
      <c r="AK2" s="175">
        <v>0.0</v>
      </c>
      <c r="AL2" s="162">
        <v>0.0</v>
      </c>
      <c r="AM2" s="162">
        <v>0.0</v>
      </c>
      <c r="AN2" s="162" t="str">
        <f>IFNA(VLOOKUP($A2,'Tube Reactions'!$J$2:$K53,2,FALSE),"")</f>
        <v/>
      </c>
      <c r="AO2" s="161" t="str">
        <f t="shared" ref="AO2:AO53" si="3">IF(AND(AM2&gt;0,AM2&lt;&gt;AN2),"NOT EQUAL","")</f>
        <v/>
      </c>
      <c r="AP2" s="161" t="str">
        <f t="shared" ref="AP2:AP3" si="4">IF(ISTEXT(H2),"", "Absent")</f>
        <v>Absent</v>
      </c>
      <c r="AQ2" s="166" t="b">
        <f t="shared" ref="AQ2:AQ3" si="5">NOT(ISBLANK(H2))</f>
        <v>0</v>
      </c>
      <c r="AR2" s="166">
        <v>1.0</v>
      </c>
      <c r="AS2" s="176"/>
      <c r="AT2" s="161"/>
      <c r="AU2" s="163" t="s">
        <v>168</v>
      </c>
      <c r="AV2" s="177"/>
      <c r="AW2" s="162" t="b">
        <v>0</v>
      </c>
      <c r="AX2" s="178" t="b">
        <f t="shared" ref="AX2:AX53" si="6">IF(OR(AND(AL2=0,AW2),AND(AL2&lt;&gt;0,NOT(AW2))),TRUE,FALSE)</f>
        <v>0</v>
      </c>
      <c r="AY2" s="166">
        <f t="shared" ref="AY2:AY8" si="7">AV2-AC2</f>
        <v>0</v>
      </c>
      <c r="AZ2" s="179"/>
      <c r="BA2" s="180" t="b">
        <v>1</v>
      </c>
      <c r="BB2" s="161" t="b">
        <f t="shared" ref="BB2:BB53" si="8">IF(BA2,IF(EXACT(W2,"Initial"),TRUE,FALSE),"")</f>
        <v>0</v>
      </c>
      <c r="BC2" s="166" t="str">
        <f t="shared" ref="BC2:BC53" si="9">IF(BB2,IF(AL2=0,TRUE,AL2),"")</f>
        <v/>
      </c>
      <c r="BD2" s="166" t="str">
        <f t="shared" ref="BD2:BD53" si="10">IF(BC2,AK2,"")</f>
        <v/>
      </c>
      <c r="BE2" s="181" t="b">
        <f t="shared" ref="BE2:BE53" si="11">IF(U2=FLOOR(B2,1),TRUE,IFERROR(0/0,""))</f>
        <v>1</v>
      </c>
      <c r="BF2" s="182" t="str">
        <f t="shared" ref="BF2:BF42" si="12">IF(EXACT($W2,"Initial"),$U2,IFERROR(0/0,""))</f>
        <v/>
      </c>
      <c r="BG2" s="183" t="str">
        <f t="shared" ref="BG2:BG42" si="13">IF(EXACT($W2,"Initial"),$A2,IFERROR(0/0,""))</f>
        <v/>
      </c>
      <c r="BH2" s="184" t="str">
        <f t="shared" ref="BH2:BH42" si="14">IF(EXACT($W2,"Initial"),E2,IFERROR(0/0,""))</f>
        <v/>
      </c>
      <c r="BI2" s="184" t="str">
        <f t="shared" ref="BI2:BI42" si="15">IF(EXACT($W2,"Initial"),AC2,IFERROR(0/0,""))</f>
        <v/>
      </c>
      <c r="BJ2" s="184" t="str">
        <f t="shared" ref="BJ2:BJ42" si="16">IF(EXACT($W2,"Initial"),$AK2,IFERROR(0/0,""))</f>
        <v/>
      </c>
      <c r="BK2" s="184" t="str">
        <f t="shared" ref="BK2:BK42" si="17">IF(EXACT($W2,"Initial"),$AL2,IFERROR(0/0,""))</f>
        <v/>
      </c>
      <c r="BL2" s="185" t="str">
        <f>VLOOKUP(FLOOR($B2,1),'APS Tubes by Date Import'!$B$2:$J53,1,FALSE)</f>
        <v>#N/A</v>
      </c>
      <c r="BM2" s="186" t="str">
        <f>IF(ISBLANK($BL2),IFERROR(0/0,""),VLOOKUP(FLOOR($B2,1),'APS Tubes by Date Import'!$B$2:$J53,2,FALSE))</f>
        <v>#N/A</v>
      </c>
      <c r="BN2" s="183"/>
      <c r="BO2" s="184" t="str">
        <f>VLOOKUP(FLOOR($B2,1),'APS Tubes by Date Import'!$B2:$I53,6,FALSE)</f>
        <v>#N/A</v>
      </c>
      <c r="BP2" s="187">
        <v>7.0</v>
      </c>
      <c r="BQ2" s="188" t="str">
        <f t="shared" ref="BQ2:BQ42" si="18">BP2-BM2</f>
        <v>#N/A</v>
      </c>
      <c r="BR2" s="189">
        <v>3.0</v>
      </c>
      <c r="BS2" s="190" t="b">
        <f t="shared" ref="BS2:BS42" si="19">IF(ISBLANK(BP2),IFERROR(0/0,""),IF($BR2&lt;=4,TRUE,IFERROR(0/0,"")))</f>
        <v>1</v>
      </c>
      <c r="BT2" s="191" t="str">
        <f t="shared" ref="BT2:BT42" si="20">IFS(OR(BR2=0.1,BR2=1.1,BR2=2.1),"NULL &gt; NEG",BR2=3, "Delete NULL",TRUE,IFERROR(0/0,""))</f>
        <v>Delete NULL</v>
      </c>
      <c r="BU2" s="192"/>
      <c r="BV2" s="192"/>
    </row>
    <row r="3">
      <c r="A3" s="183" t="str">
        <f>CONCATENATE("RUN-",'Process Ref'!$A$1,"_",TEXT(U3,"YYYY-MM-DD"),"_RFR-",TEXT(AR3,"000"),IF(EXACT(W3,"Initial"),"",CONCATENATE("_",W3)))</f>
        <v>RUN-BEND_2021-12-13_RFR-002</v>
      </c>
      <c r="B3" s="193">
        <v>44543.78885416667</v>
      </c>
      <c r="C3" s="194"/>
      <c r="D3" s="194" t="s">
        <v>169</v>
      </c>
      <c r="E3" s="195">
        <v>7.0</v>
      </c>
      <c r="F3" s="196" t="s">
        <v>170</v>
      </c>
      <c r="G3" s="197"/>
      <c r="H3" s="198"/>
      <c r="I3" s="198" t="s">
        <v>171</v>
      </c>
      <c r="J3" s="195">
        <v>0.0</v>
      </c>
      <c r="K3" s="199"/>
      <c r="L3" s="195"/>
      <c r="M3" s="200">
        <v>1.8</v>
      </c>
      <c r="N3" s="200"/>
      <c r="O3" s="200" t="s">
        <v>172</v>
      </c>
      <c r="P3" s="201" t="b">
        <v>0</v>
      </c>
      <c r="Q3" s="201" t="b">
        <v>0</v>
      </c>
      <c r="R3" s="202"/>
      <c r="S3" s="201" t="b">
        <v>0</v>
      </c>
      <c r="T3" s="203" t="b">
        <v>0</v>
      </c>
      <c r="U3" s="204">
        <v>44543.0</v>
      </c>
      <c r="V3" s="205">
        <v>0.4166666666666667</v>
      </c>
      <c r="W3" s="194" t="s">
        <v>173</v>
      </c>
      <c r="X3" s="202"/>
      <c r="Y3" s="201" t="b">
        <v>0</v>
      </c>
      <c r="Z3" s="206"/>
      <c r="AA3" s="207" t="str">
        <f t="shared" si="1"/>
        <v/>
      </c>
      <c r="AB3" s="208" t="b">
        <f t="shared" si="2"/>
        <v>1</v>
      </c>
      <c r="AC3" s="195">
        <v>9.0</v>
      </c>
      <c r="AD3" s="195">
        <v>0.0</v>
      </c>
      <c r="AE3" s="195">
        <v>0.0</v>
      </c>
      <c r="AF3" s="209">
        <v>0.0</v>
      </c>
      <c r="AG3" s="195">
        <v>0.0</v>
      </c>
      <c r="AH3" s="210">
        <v>0.0</v>
      </c>
      <c r="AI3" s="211">
        <v>0.0</v>
      </c>
      <c r="AJ3" s="195" t="b">
        <v>0</v>
      </c>
      <c r="AK3" s="212">
        <v>7.0</v>
      </c>
      <c r="AL3" s="195">
        <v>0.0</v>
      </c>
      <c r="AM3" s="195">
        <v>0.0</v>
      </c>
      <c r="AN3" s="207" t="str">
        <f>IFNA(VLOOKUP($A3,'Tube Reactions'!$J$2:$K53,2,FALSE),"")</f>
        <v/>
      </c>
      <c r="AO3" s="213" t="str">
        <f t="shared" si="3"/>
        <v/>
      </c>
      <c r="AP3" s="214" t="str">
        <f t="shared" si="4"/>
        <v>Absent</v>
      </c>
      <c r="AQ3" s="184" t="b">
        <f t="shared" si="5"/>
        <v>0</v>
      </c>
      <c r="AR3" s="215">
        <v>2.0</v>
      </c>
      <c r="AS3" s="216" t="s">
        <v>174</v>
      </c>
      <c r="AT3" s="194"/>
      <c r="AU3" s="196" t="s">
        <v>168</v>
      </c>
      <c r="AV3" s="217">
        <v>11.0</v>
      </c>
      <c r="AW3" s="195" t="b">
        <v>1</v>
      </c>
      <c r="AX3" s="218" t="b">
        <f t="shared" si="6"/>
        <v>1</v>
      </c>
      <c r="AY3" s="206">
        <f t="shared" si="7"/>
        <v>2</v>
      </c>
      <c r="AZ3" s="219"/>
      <c r="BA3" s="220" t="b">
        <v>1</v>
      </c>
      <c r="BB3" s="213" t="b">
        <f t="shared" si="8"/>
        <v>1</v>
      </c>
      <c r="BC3" s="184" t="b">
        <f t="shared" si="9"/>
        <v>1</v>
      </c>
      <c r="BD3" s="184">
        <f t="shared" si="10"/>
        <v>7</v>
      </c>
      <c r="BE3" s="181" t="b">
        <f t="shared" si="11"/>
        <v>1</v>
      </c>
      <c r="BF3" s="182">
        <f t="shared" si="12"/>
        <v>44543</v>
      </c>
      <c r="BG3" s="183" t="str">
        <f t="shared" si="13"/>
        <v>RUN-BEND_2021-12-13_RFR-002</v>
      </c>
      <c r="BH3" s="184">
        <f t="shared" si="14"/>
        <v>7</v>
      </c>
      <c r="BI3" s="184">
        <f t="shared" si="15"/>
        <v>9</v>
      </c>
      <c r="BJ3" s="184">
        <f t="shared" si="16"/>
        <v>7</v>
      </c>
      <c r="BK3" s="184">
        <f t="shared" si="17"/>
        <v>0</v>
      </c>
      <c r="BL3" s="182" t="str">
        <f>IFNA(IF(VLOOKUP(FLOOR($B3,1),'APS Tubes by Date Import'!$B$2:$J53,1,FALSE)=FLOOR($BL2,1),IFERROR(0/0,""),VLOOKUP(FLOOR($B3,1),'APS Tubes by Date Import'!$B$2:$J53,1,FALSE)),"")</f>
        <v/>
      </c>
      <c r="BM3" s="186" t="str">
        <f>IF(ISBLANK($BL3),IFERROR(0/0,""),VLOOKUP(FLOOR($B3,1),'APS Tubes by Date Import'!$B$2:$J53,2,FALSE))</f>
        <v/>
      </c>
      <c r="BN3" s="183" t="str">
        <f>VLOOKUP(FLOOR($B3,1),'APS Tubes by Date Import'!$B3:$J53,11,FALSE)</f>
        <v>#REF!</v>
      </c>
      <c r="BO3" s="184">
        <f>VLOOKUP(FLOOR($B3,1),'APS Tubes by Date Import'!$B3:$I53,6,FALSE)</f>
        <v>0</v>
      </c>
      <c r="BP3" s="184">
        <f t="shared" ref="BP3:BP42" si="21">BJ3</f>
        <v>7</v>
      </c>
      <c r="BQ3" s="188">
        <f t="shared" si="18"/>
        <v>7</v>
      </c>
      <c r="BR3" s="189">
        <v>1.1</v>
      </c>
      <c r="BS3" s="190" t="b">
        <f t="shared" si="19"/>
        <v>1</v>
      </c>
      <c r="BT3" s="191" t="str">
        <f t="shared" si="20"/>
        <v>NULL &gt; NEG</v>
      </c>
      <c r="BU3" s="192"/>
      <c r="BV3" s="192"/>
    </row>
    <row r="4">
      <c r="A4" s="183" t="str">
        <f>CONCATENATE("RUN-",'Process Ref'!$A$1,"_",TEXT(U4,"YYYY-MM-DD"),"_RFR-",TEXT(AR4,"000"),IF(EXACT(W4,"Initial"),"",CONCATENATE("_",W4)))</f>
        <v>RUN-BEND_2021-12-20_RFR-003</v>
      </c>
      <c r="B4" s="193">
        <v>44550.491319444445</v>
      </c>
      <c r="C4" s="194"/>
      <c r="D4" s="194" t="s">
        <v>169</v>
      </c>
      <c r="E4" s="195">
        <v>7.0</v>
      </c>
      <c r="F4" s="196" t="s">
        <v>175</v>
      </c>
      <c r="G4" s="221" t="s">
        <v>176</v>
      </c>
      <c r="H4" s="198" t="s">
        <v>177</v>
      </c>
      <c r="I4" s="198" t="s">
        <v>178</v>
      </c>
      <c r="J4" s="195">
        <v>0.0</v>
      </c>
      <c r="K4" s="222"/>
      <c r="L4" s="195"/>
      <c r="M4" s="200"/>
      <c r="N4" s="200"/>
      <c r="O4" s="200"/>
      <c r="P4" s="201" t="b">
        <v>0</v>
      </c>
      <c r="Q4" s="201" t="b">
        <v>0</v>
      </c>
      <c r="R4" s="202"/>
      <c r="S4" s="201" t="b">
        <v>0</v>
      </c>
      <c r="T4" s="203" t="b">
        <v>0</v>
      </c>
      <c r="U4" s="204">
        <v>44550.0</v>
      </c>
      <c r="V4" s="205">
        <v>0.41875</v>
      </c>
      <c r="W4" s="194" t="s">
        <v>173</v>
      </c>
      <c r="X4" s="194" t="s">
        <v>179</v>
      </c>
      <c r="Y4" s="201" t="b">
        <v>0</v>
      </c>
      <c r="Z4" s="195">
        <v>9.0</v>
      </c>
      <c r="AA4" s="207">
        <f t="shared" si="1"/>
        <v>2</v>
      </c>
      <c r="AB4" s="208" t="b">
        <f t="shared" si="2"/>
        <v>0</v>
      </c>
      <c r="AC4" s="195">
        <v>7.0</v>
      </c>
      <c r="AD4" s="195">
        <v>0.0</v>
      </c>
      <c r="AE4" s="195">
        <v>0.0</v>
      </c>
      <c r="AF4" s="209">
        <v>0.0</v>
      </c>
      <c r="AG4" s="195">
        <v>0.0</v>
      </c>
      <c r="AH4" s="210">
        <v>0.0</v>
      </c>
      <c r="AI4" s="211">
        <v>0.0</v>
      </c>
      <c r="AJ4" s="195" t="b">
        <v>0</v>
      </c>
      <c r="AK4" s="223">
        <v>7.0</v>
      </c>
      <c r="AL4" s="195">
        <v>0.0</v>
      </c>
      <c r="AM4" s="195">
        <v>0.0</v>
      </c>
      <c r="AN4" s="207" t="str">
        <f>IFNA(VLOOKUP($A4,'Tube Reactions'!$J$2:$K53,2,FALSE),"")</f>
        <v/>
      </c>
      <c r="AO4" s="213" t="str">
        <f t="shared" si="3"/>
        <v/>
      </c>
      <c r="AP4" s="214" t="str">
        <f>IF(ISTEXT(G4),"", "Absent")</f>
        <v/>
      </c>
      <c r="AQ4" s="184" t="b">
        <f>NOT(ISBLANK(G4))</f>
        <v>1</v>
      </c>
      <c r="AR4" s="215">
        <v>3.0</v>
      </c>
      <c r="AS4" s="224"/>
      <c r="AT4" s="194"/>
      <c r="AU4" s="196" t="s">
        <v>168</v>
      </c>
      <c r="AV4" s="217">
        <v>9.0</v>
      </c>
      <c r="AW4" s="195" t="b">
        <v>1</v>
      </c>
      <c r="AX4" s="218" t="b">
        <f t="shared" si="6"/>
        <v>1</v>
      </c>
      <c r="AY4" s="206">
        <f t="shared" si="7"/>
        <v>2</v>
      </c>
      <c r="AZ4" s="219"/>
      <c r="BA4" s="220" t="b">
        <v>1</v>
      </c>
      <c r="BB4" s="213" t="b">
        <f t="shared" si="8"/>
        <v>1</v>
      </c>
      <c r="BC4" s="184" t="b">
        <f t="shared" si="9"/>
        <v>1</v>
      </c>
      <c r="BD4" s="184">
        <f t="shared" si="10"/>
        <v>7</v>
      </c>
      <c r="BE4" s="181" t="b">
        <f t="shared" si="11"/>
        <v>1</v>
      </c>
      <c r="BF4" s="182">
        <f t="shared" si="12"/>
        <v>44550</v>
      </c>
      <c r="BG4" s="183" t="str">
        <f t="shared" si="13"/>
        <v>RUN-BEND_2021-12-20_RFR-003</v>
      </c>
      <c r="BH4" s="184">
        <f t="shared" si="14"/>
        <v>7</v>
      </c>
      <c r="BI4" s="184">
        <f t="shared" si="15"/>
        <v>7</v>
      </c>
      <c r="BJ4" s="184">
        <f t="shared" si="16"/>
        <v>7</v>
      </c>
      <c r="BK4" s="184">
        <f t="shared" si="17"/>
        <v>0</v>
      </c>
      <c r="BL4" s="182">
        <f>IFNA(IF(VLOOKUP(FLOOR($B4,1),'APS Tubes by Date Import'!$B$2:$J53,1,FALSE)=FLOOR($BL3,1),IFERROR(0/0,""),VLOOKUP(FLOOR($B4,1),'APS Tubes by Date Import'!$B$2:$J53,1,FALSE)),"")</f>
        <v>44550</v>
      </c>
      <c r="BM4" s="186">
        <f>IF(ISBLANK($BL4),IFERROR(0/0,""),VLOOKUP(FLOOR($B4,1),'APS Tubes by Date Import'!$B$2:$J53,2,FALSE))</f>
        <v>6</v>
      </c>
      <c r="BN4" s="183" t="str">
        <f>VLOOKUP(FLOOR($B4,1),'APS Tubes by Date Import'!$B4:$J53,11,FALSE)</f>
        <v>#REF!</v>
      </c>
      <c r="BO4" s="184">
        <f>VLOOKUP(FLOOR($B4,1),'APS Tubes by Date Import'!$B4:$I53,6,FALSE)</f>
        <v>0</v>
      </c>
      <c r="BP4" s="184">
        <f t="shared" si="21"/>
        <v>7</v>
      </c>
      <c r="BQ4" s="188">
        <f t="shared" si="18"/>
        <v>1</v>
      </c>
      <c r="BR4" s="189">
        <v>2.1</v>
      </c>
      <c r="BS4" s="190" t="b">
        <f t="shared" si="19"/>
        <v>1</v>
      </c>
      <c r="BT4" s="191" t="str">
        <f t="shared" si="20"/>
        <v>NULL &gt; NEG</v>
      </c>
      <c r="BU4" s="192"/>
      <c r="BV4" s="192"/>
    </row>
    <row r="5">
      <c r="A5" s="183" t="str">
        <f>CONCATENATE("RUN-",'Process Ref'!$A$1,"_",TEXT(U5,"YYYY-MM-DD"),"_RFR-",TEXT(AR5,"000"),IF(EXACT(W5,"Initial"),"",CONCATENATE("_",W5)))</f>
        <v>RUN-BEND_2021-12-22_RFR-004</v>
      </c>
      <c r="B5" s="193">
        <v>44552.42223379629</v>
      </c>
      <c r="C5" s="194"/>
      <c r="D5" s="194" t="s">
        <v>169</v>
      </c>
      <c r="E5" s="195">
        <v>4.0</v>
      </c>
      <c r="F5" s="196" t="s">
        <v>180</v>
      </c>
      <c r="G5" s="225" t="s">
        <v>181</v>
      </c>
      <c r="H5" s="198"/>
      <c r="I5" s="198" t="s">
        <v>182</v>
      </c>
      <c r="J5" s="195">
        <v>0.0</v>
      </c>
      <c r="K5" s="226" t="s">
        <v>183</v>
      </c>
      <c r="L5" s="195"/>
      <c r="M5" s="200">
        <v>1.4</v>
      </c>
      <c r="N5" s="200"/>
      <c r="O5" s="200"/>
      <c r="P5" s="201" t="b">
        <v>0</v>
      </c>
      <c r="Q5" s="201" t="b">
        <v>0</v>
      </c>
      <c r="R5" s="202"/>
      <c r="S5" s="201" t="b">
        <v>0</v>
      </c>
      <c r="T5" s="203" t="b">
        <v>0</v>
      </c>
      <c r="U5" s="204">
        <v>44552.0</v>
      </c>
      <c r="V5" s="205">
        <v>0.4166666666666667</v>
      </c>
      <c r="W5" s="194" t="s">
        <v>173</v>
      </c>
      <c r="X5" s="202"/>
      <c r="Y5" s="201" t="b">
        <v>0</v>
      </c>
      <c r="Z5" s="206"/>
      <c r="AA5" s="207" t="str">
        <f t="shared" si="1"/>
        <v/>
      </c>
      <c r="AB5" s="208" t="b">
        <f t="shared" si="2"/>
        <v>1</v>
      </c>
      <c r="AC5" s="195">
        <v>5.0</v>
      </c>
      <c r="AD5" s="195">
        <v>0.0</v>
      </c>
      <c r="AE5" s="195">
        <v>0.0</v>
      </c>
      <c r="AF5" s="209">
        <v>0.0</v>
      </c>
      <c r="AG5" s="195">
        <v>0.0</v>
      </c>
      <c r="AH5" s="210">
        <v>0.0</v>
      </c>
      <c r="AI5" s="211">
        <v>0.0</v>
      </c>
      <c r="AJ5" s="195" t="b">
        <v>0</v>
      </c>
      <c r="AK5" s="212">
        <v>5.0</v>
      </c>
      <c r="AL5" s="195">
        <v>0.0</v>
      </c>
      <c r="AM5" s="195">
        <v>0.0</v>
      </c>
      <c r="AN5" s="207" t="str">
        <f>IFNA(VLOOKUP($A5,'Tube Reactions'!$J$2:$K53,2,FALSE),"")</f>
        <v/>
      </c>
      <c r="AO5" s="213" t="str">
        <f t="shared" si="3"/>
        <v/>
      </c>
      <c r="AP5" s="214" t="str">
        <f t="shared" ref="AP5:AP53" si="22">IF(ISTEXT(H5),"", "Absent")</f>
        <v>Absent</v>
      </c>
      <c r="AQ5" s="184" t="b">
        <f t="shared" ref="AQ5:AQ53" si="23">NOT(ISBLANK(H5))</f>
        <v>0</v>
      </c>
      <c r="AR5" s="215">
        <v>4.0</v>
      </c>
      <c r="AS5" s="216" t="s">
        <v>184</v>
      </c>
      <c r="AT5" s="194"/>
      <c r="AU5" s="196" t="s">
        <v>168</v>
      </c>
      <c r="AV5" s="217">
        <v>7.0</v>
      </c>
      <c r="AW5" s="195" t="b">
        <v>1</v>
      </c>
      <c r="AX5" s="218" t="b">
        <f t="shared" si="6"/>
        <v>1</v>
      </c>
      <c r="AY5" s="227">
        <f t="shared" si="7"/>
        <v>2</v>
      </c>
      <c r="AZ5" s="219"/>
      <c r="BA5" s="220" t="b">
        <v>1</v>
      </c>
      <c r="BB5" s="213" t="b">
        <f t="shared" si="8"/>
        <v>1</v>
      </c>
      <c r="BC5" s="184" t="b">
        <f t="shared" si="9"/>
        <v>1</v>
      </c>
      <c r="BD5" s="184">
        <f t="shared" si="10"/>
        <v>5</v>
      </c>
      <c r="BE5" s="181" t="b">
        <f t="shared" si="11"/>
        <v>1</v>
      </c>
      <c r="BF5" s="182">
        <f t="shared" si="12"/>
        <v>44552</v>
      </c>
      <c r="BG5" s="183" t="str">
        <f t="shared" si="13"/>
        <v>RUN-BEND_2021-12-22_RFR-004</v>
      </c>
      <c r="BH5" s="184">
        <f t="shared" si="14"/>
        <v>4</v>
      </c>
      <c r="BI5" s="184">
        <f t="shared" si="15"/>
        <v>5</v>
      </c>
      <c r="BJ5" s="184">
        <f t="shared" si="16"/>
        <v>5</v>
      </c>
      <c r="BK5" s="184">
        <f t="shared" si="17"/>
        <v>0</v>
      </c>
      <c r="BL5" s="182">
        <f>IFNA(IF(VLOOKUP(FLOOR($B5,1),'APS Tubes by Date Import'!$B$2:$J53,1,FALSE)=FLOOR($BL4,1),IFERROR(0/0,""),VLOOKUP(FLOOR($B5,1),'APS Tubes by Date Import'!$B$2:$J53,1,FALSE)),"")</f>
        <v>44552</v>
      </c>
      <c r="BM5" s="186">
        <f>IF(ISBLANK($BL5),IFERROR(0/0,""),VLOOKUP(FLOOR($B5,1),'APS Tubes by Date Import'!$B$2:$J53,2,FALSE))</f>
        <v>3</v>
      </c>
      <c r="BN5" s="183" t="str">
        <f>VLOOKUP(FLOOR($B5,1),'APS Tubes by Date Import'!$B5:$J53,11,FALSE)</f>
        <v>#REF!</v>
      </c>
      <c r="BO5" s="184">
        <f>VLOOKUP(FLOOR($B5,1),'APS Tubes by Date Import'!$B5:$I53,6,FALSE)</f>
        <v>0</v>
      </c>
      <c r="BP5" s="184">
        <f t="shared" si="21"/>
        <v>5</v>
      </c>
      <c r="BQ5" s="188">
        <f t="shared" si="18"/>
        <v>2</v>
      </c>
      <c r="BR5" s="206"/>
      <c r="BS5" s="190" t="b">
        <f t="shared" si="19"/>
        <v>1</v>
      </c>
      <c r="BT5" s="191" t="str">
        <f t="shared" si="20"/>
        <v/>
      </c>
      <c r="BU5" s="192"/>
      <c r="BV5" s="192"/>
    </row>
    <row r="6">
      <c r="A6" s="183" t="str">
        <f>CONCATENATE("RUN-",'Process Ref'!$A$1,"_",TEXT(U6,"YYYY-MM-DD"),"_RFR-",TEXT(AR6,"000"),IF(EXACT(W6,"Initial"),"",CONCATENATE("_",W6)))</f>
        <v>RUN-BEND_2021-12-27_RFR-005</v>
      </c>
      <c r="B6" s="193">
        <v>44557.485983796294</v>
      </c>
      <c r="C6" s="194"/>
      <c r="D6" s="194" t="s">
        <v>169</v>
      </c>
      <c r="E6" s="195">
        <v>15.0</v>
      </c>
      <c r="F6" s="196" t="s">
        <v>185</v>
      </c>
      <c r="G6" s="198" t="s">
        <v>186</v>
      </c>
      <c r="H6" s="228"/>
      <c r="I6" s="229" t="s">
        <v>187</v>
      </c>
      <c r="J6" s="195">
        <v>1.0</v>
      </c>
      <c r="K6" s="222" t="s">
        <v>188</v>
      </c>
      <c r="L6" s="195"/>
      <c r="M6" s="200">
        <v>1.2</v>
      </c>
      <c r="N6" s="200"/>
      <c r="O6" s="200"/>
      <c r="P6" s="201" t="b">
        <v>0</v>
      </c>
      <c r="Q6" s="201" t="b">
        <v>0</v>
      </c>
      <c r="R6" s="202"/>
      <c r="S6" s="201" t="b">
        <v>0</v>
      </c>
      <c r="T6" s="203" t="b">
        <v>0</v>
      </c>
      <c r="U6" s="204">
        <v>44557.0</v>
      </c>
      <c r="V6" s="205">
        <v>0.4166666666666667</v>
      </c>
      <c r="W6" s="194" t="s">
        <v>173</v>
      </c>
      <c r="X6" s="194"/>
      <c r="Y6" s="201" t="b">
        <v>0</v>
      </c>
      <c r="Z6" s="195">
        <v>17.0</v>
      </c>
      <c r="AA6" s="207">
        <f t="shared" si="1"/>
        <v>2</v>
      </c>
      <c r="AB6" s="208" t="b">
        <f t="shared" si="2"/>
        <v>0</v>
      </c>
      <c r="AC6" s="195">
        <v>15.0</v>
      </c>
      <c r="AD6" s="195">
        <v>0.0</v>
      </c>
      <c r="AE6" s="195">
        <v>0.0</v>
      </c>
      <c r="AF6" s="209">
        <v>0.0</v>
      </c>
      <c r="AG6" s="195">
        <v>0.0</v>
      </c>
      <c r="AH6" s="210">
        <v>0.0</v>
      </c>
      <c r="AI6" s="211">
        <v>0.0</v>
      </c>
      <c r="AJ6" s="195" t="b">
        <v>0</v>
      </c>
      <c r="AK6" s="223">
        <v>15.0</v>
      </c>
      <c r="AL6" s="195">
        <v>0.0</v>
      </c>
      <c r="AM6" s="195">
        <v>0.0</v>
      </c>
      <c r="AN6" s="207" t="str">
        <f>IFNA(VLOOKUP($A6,'Tube Reactions'!$J$2:$K53,2,FALSE),"")</f>
        <v/>
      </c>
      <c r="AO6" s="213" t="str">
        <f t="shared" si="3"/>
        <v/>
      </c>
      <c r="AP6" s="214" t="str">
        <f t="shared" si="22"/>
        <v>Absent</v>
      </c>
      <c r="AQ6" s="184" t="b">
        <f t="shared" si="23"/>
        <v>0</v>
      </c>
      <c r="AR6" s="215">
        <v>5.0</v>
      </c>
      <c r="AS6" s="224"/>
      <c r="AT6" s="194"/>
      <c r="AU6" s="196" t="s">
        <v>168</v>
      </c>
      <c r="AV6" s="217">
        <v>17.0</v>
      </c>
      <c r="AW6" s="210" t="b">
        <v>1</v>
      </c>
      <c r="AX6" s="218" t="b">
        <f t="shared" si="6"/>
        <v>1</v>
      </c>
      <c r="AY6" s="206">
        <f t="shared" si="7"/>
        <v>2</v>
      </c>
      <c r="AZ6" s="219"/>
      <c r="BA6" s="220" t="b">
        <v>1</v>
      </c>
      <c r="BB6" s="213" t="b">
        <f t="shared" si="8"/>
        <v>1</v>
      </c>
      <c r="BC6" s="184" t="b">
        <f t="shared" si="9"/>
        <v>1</v>
      </c>
      <c r="BD6" s="184">
        <f t="shared" si="10"/>
        <v>15</v>
      </c>
      <c r="BE6" s="181" t="b">
        <f t="shared" si="11"/>
        <v>1</v>
      </c>
      <c r="BF6" s="182">
        <f t="shared" si="12"/>
        <v>44557</v>
      </c>
      <c r="BG6" s="183" t="str">
        <f t="shared" si="13"/>
        <v>RUN-BEND_2021-12-27_RFR-005</v>
      </c>
      <c r="BH6" s="184">
        <f t="shared" si="14"/>
        <v>15</v>
      </c>
      <c r="BI6" s="184">
        <f t="shared" si="15"/>
        <v>15</v>
      </c>
      <c r="BJ6" s="184">
        <f t="shared" si="16"/>
        <v>15</v>
      </c>
      <c r="BK6" s="184">
        <f t="shared" si="17"/>
        <v>0</v>
      </c>
      <c r="BL6" s="182">
        <f>IFNA(IF(VLOOKUP(FLOOR($B6,1),'APS Tubes by Date Import'!$B$2:$J53,1,FALSE)=FLOOR($BL5,1),IFERROR(0/0,""),VLOOKUP(FLOOR($B6,1),'APS Tubes by Date Import'!$B$2:$J53,1,FALSE)),"")</f>
        <v>44557</v>
      </c>
      <c r="BM6" s="186">
        <f>IF(ISBLANK($BL6),IFERROR(0/0,""),VLOOKUP(FLOOR($B6,1),'APS Tubes by Date Import'!$B$2:$J53,2,FALSE))</f>
        <v>14</v>
      </c>
      <c r="BN6" s="183" t="str">
        <f>VLOOKUP(FLOOR($B6,1),'APS Tubes by Date Import'!$B6:$J53,11,FALSE)</f>
        <v>#REF!</v>
      </c>
      <c r="BO6" s="184">
        <f>VLOOKUP(FLOOR($B6,1),'APS Tubes by Date Import'!$B6:$I53,6,FALSE)</f>
        <v>0</v>
      </c>
      <c r="BP6" s="184">
        <f t="shared" si="21"/>
        <v>15</v>
      </c>
      <c r="BQ6" s="188">
        <f t="shared" si="18"/>
        <v>1</v>
      </c>
      <c r="BR6" s="206"/>
      <c r="BS6" s="190" t="b">
        <f t="shared" si="19"/>
        <v>1</v>
      </c>
      <c r="BT6" s="191" t="str">
        <f t="shared" si="20"/>
        <v/>
      </c>
      <c r="BU6" s="192"/>
      <c r="BV6" s="192"/>
    </row>
    <row r="7">
      <c r="A7" s="183" t="str">
        <f>CONCATENATE("RUN-",'Process Ref'!$A$1,"_",TEXT(U7,"YYYY-MM-DD"),"_RFR-",TEXT(AR7,"000"),IF(EXACT(W7,"Initial"),"",CONCATENATE("_",W7)))</f>
        <v>RUN-BEND_2021-12-29_RFR-006</v>
      </c>
      <c r="B7" s="193">
        <v>44559.43604166667</v>
      </c>
      <c r="C7" s="194"/>
      <c r="D7" s="194" t="s">
        <v>169</v>
      </c>
      <c r="E7" s="195">
        <v>4.0</v>
      </c>
      <c r="F7" s="230" t="s">
        <v>189</v>
      </c>
      <c r="G7" s="198" t="s">
        <v>190</v>
      </c>
      <c r="H7" s="198"/>
      <c r="I7" s="198" t="s">
        <v>191</v>
      </c>
      <c r="J7" s="195">
        <v>0.0</v>
      </c>
      <c r="K7" s="222" t="s">
        <v>183</v>
      </c>
      <c r="L7" s="195"/>
      <c r="M7" s="200">
        <v>1.2</v>
      </c>
      <c r="N7" s="200"/>
      <c r="O7" s="200"/>
      <c r="P7" s="201" t="b">
        <v>0</v>
      </c>
      <c r="Q7" s="201" t="b">
        <v>0</v>
      </c>
      <c r="R7" s="202"/>
      <c r="S7" s="201" t="b">
        <v>0</v>
      </c>
      <c r="T7" s="203" t="b">
        <v>0</v>
      </c>
      <c r="U7" s="204">
        <v>44559.0</v>
      </c>
      <c r="V7" s="205">
        <v>0.4166666666666667</v>
      </c>
      <c r="W7" s="194" t="s">
        <v>173</v>
      </c>
      <c r="X7" s="194"/>
      <c r="Y7" s="201" t="b">
        <v>0</v>
      </c>
      <c r="Z7" s="195">
        <v>7.0</v>
      </c>
      <c r="AA7" s="207">
        <f t="shared" si="1"/>
        <v>3</v>
      </c>
      <c r="AB7" s="208" t="b">
        <f t="shared" si="2"/>
        <v>1</v>
      </c>
      <c r="AC7" s="195">
        <v>5.0</v>
      </c>
      <c r="AD7" s="195">
        <v>0.0</v>
      </c>
      <c r="AE7" s="195">
        <v>0.0</v>
      </c>
      <c r="AF7" s="209">
        <v>0.0</v>
      </c>
      <c r="AG7" s="195">
        <v>0.0</v>
      </c>
      <c r="AH7" s="210">
        <v>0.0</v>
      </c>
      <c r="AI7" s="211">
        <v>0.0</v>
      </c>
      <c r="AJ7" s="195" t="b">
        <v>0</v>
      </c>
      <c r="AK7" s="223">
        <v>5.0</v>
      </c>
      <c r="AL7" s="195">
        <v>0.0</v>
      </c>
      <c r="AM7" s="195">
        <v>0.0</v>
      </c>
      <c r="AN7" s="207" t="str">
        <f>IFNA(VLOOKUP($A7,'Tube Reactions'!$J$2:$K53,2,FALSE),"")</f>
        <v/>
      </c>
      <c r="AO7" s="213" t="str">
        <f t="shared" si="3"/>
        <v/>
      </c>
      <c r="AP7" s="214" t="str">
        <f t="shared" si="22"/>
        <v>Absent</v>
      </c>
      <c r="AQ7" s="184" t="b">
        <f t="shared" si="23"/>
        <v>0</v>
      </c>
      <c r="AR7" s="215">
        <v>6.0</v>
      </c>
      <c r="AS7" s="224"/>
      <c r="AT7" s="194"/>
      <c r="AU7" s="196" t="s">
        <v>168</v>
      </c>
      <c r="AV7" s="217">
        <v>7.0</v>
      </c>
      <c r="AW7" s="195" t="b">
        <v>1</v>
      </c>
      <c r="AX7" s="218" t="b">
        <f t="shared" si="6"/>
        <v>1</v>
      </c>
      <c r="AY7" s="227">
        <f t="shared" si="7"/>
        <v>2</v>
      </c>
      <c r="AZ7" s="219"/>
      <c r="BA7" s="220" t="b">
        <v>1</v>
      </c>
      <c r="BB7" s="213" t="b">
        <f t="shared" si="8"/>
        <v>1</v>
      </c>
      <c r="BC7" s="184" t="b">
        <f t="shared" si="9"/>
        <v>1</v>
      </c>
      <c r="BD7" s="184">
        <f t="shared" si="10"/>
        <v>5</v>
      </c>
      <c r="BE7" s="181" t="b">
        <f t="shared" si="11"/>
        <v>1</v>
      </c>
      <c r="BF7" s="182">
        <f t="shared" si="12"/>
        <v>44559</v>
      </c>
      <c r="BG7" s="183" t="str">
        <f t="shared" si="13"/>
        <v>RUN-BEND_2021-12-29_RFR-006</v>
      </c>
      <c r="BH7" s="184">
        <f t="shared" si="14"/>
        <v>4</v>
      </c>
      <c r="BI7" s="184">
        <f t="shared" si="15"/>
        <v>5</v>
      </c>
      <c r="BJ7" s="184">
        <f t="shared" si="16"/>
        <v>5</v>
      </c>
      <c r="BK7" s="184">
        <f t="shared" si="17"/>
        <v>0</v>
      </c>
      <c r="BL7" s="182">
        <f>IFNA(IF(VLOOKUP(FLOOR($B7,1),'APS Tubes by Date Import'!$B$2:$J53,1,FALSE)=FLOOR($BL6,1),IFERROR(0/0,""),VLOOKUP(FLOOR($B7,1),'APS Tubes by Date Import'!$B$2:$J53,1,FALSE)),"")</f>
        <v>44559</v>
      </c>
      <c r="BM7" s="186">
        <f>IF(ISBLANK($BL7),IFERROR(0/0,""),VLOOKUP(FLOOR($B7,1),'APS Tubes by Date Import'!$B$2:$J53,2,FALSE))</f>
        <v>4</v>
      </c>
      <c r="BN7" s="183" t="str">
        <f>VLOOKUP(FLOOR($B7,1),'APS Tubes by Date Import'!$B7:$J53,11,FALSE)</f>
        <v>#REF!</v>
      </c>
      <c r="BO7" s="184">
        <f>VLOOKUP(FLOOR($B7,1),'APS Tubes by Date Import'!$B7:$I53,6,FALSE)</f>
        <v>0</v>
      </c>
      <c r="BP7" s="184">
        <f t="shared" si="21"/>
        <v>5</v>
      </c>
      <c r="BQ7" s="188">
        <f t="shared" si="18"/>
        <v>1</v>
      </c>
      <c r="BR7" s="206"/>
      <c r="BS7" s="190" t="b">
        <f t="shared" si="19"/>
        <v>1</v>
      </c>
      <c r="BT7" s="191" t="str">
        <f t="shared" si="20"/>
        <v/>
      </c>
      <c r="BU7" s="192"/>
      <c r="BV7" s="192"/>
    </row>
    <row r="8">
      <c r="A8" s="183" t="str">
        <f>CONCATENATE("RUN-",'Process Ref'!$A$1,"_",TEXT(U8,"YYYY-MM-DD"),"_RFR-",TEXT(AR8,"000"),IF(EXACT(W8,"Initial"),"",CONCATENATE("_",W8)))</f>
        <v>RUN-BEND_2021-12-31_RFR-007</v>
      </c>
      <c r="B8" s="193">
        <v>44561.45054398148</v>
      </c>
      <c r="C8" s="194"/>
      <c r="D8" s="194" t="s">
        <v>169</v>
      </c>
      <c r="E8" s="195">
        <v>8.0</v>
      </c>
      <c r="F8" s="196" t="s">
        <v>192</v>
      </c>
      <c r="G8" s="221" t="s">
        <v>193</v>
      </c>
      <c r="H8" s="228"/>
      <c r="I8" s="229" t="s">
        <v>194</v>
      </c>
      <c r="J8" s="195"/>
      <c r="K8" s="222" t="s">
        <v>195</v>
      </c>
      <c r="L8" s="195"/>
      <c r="M8" s="200">
        <v>1.2</v>
      </c>
      <c r="N8" s="200"/>
      <c r="O8" s="200"/>
      <c r="P8" s="201" t="b">
        <v>0</v>
      </c>
      <c r="Q8" s="201" t="b">
        <v>0</v>
      </c>
      <c r="R8" s="202"/>
      <c r="S8" s="201" t="b">
        <v>0</v>
      </c>
      <c r="T8" s="203" t="b">
        <v>1</v>
      </c>
      <c r="U8" s="204">
        <v>44561.0</v>
      </c>
      <c r="V8" s="205">
        <v>0.3958333333333333</v>
      </c>
      <c r="W8" s="194" t="s">
        <v>173</v>
      </c>
      <c r="X8" s="194"/>
      <c r="Y8" s="201" t="b">
        <v>0</v>
      </c>
      <c r="Z8" s="195">
        <v>10.0</v>
      </c>
      <c r="AA8" s="207">
        <f t="shared" si="1"/>
        <v>2</v>
      </c>
      <c r="AB8" s="208" t="b">
        <f t="shared" si="2"/>
        <v>0</v>
      </c>
      <c r="AC8" s="195">
        <v>8.0</v>
      </c>
      <c r="AD8" s="195">
        <v>0.0</v>
      </c>
      <c r="AE8" s="195">
        <v>0.0</v>
      </c>
      <c r="AF8" s="209">
        <v>0.0</v>
      </c>
      <c r="AG8" s="195">
        <v>2.0</v>
      </c>
      <c r="AH8" s="210">
        <v>2.0</v>
      </c>
      <c r="AI8" s="211">
        <v>2.0</v>
      </c>
      <c r="AJ8" s="195" t="b">
        <v>0</v>
      </c>
      <c r="AK8" s="223">
        <v>8.0</v>
      </c>
      <c r="AL8" s="195">
        <v>4.0</v>
      </c>
      <c r="AM8" s="195">
        <v>2.0</v>
      </c>
      <c r="AN8" s="207" t="str">
        <f>IFNA(VLOOKUP($A8,'Tube Reactions'!$J$2:$K53,2,FALSE),"")</f>
        <v/>
      </c>
      <c r="AO8" s="213" t="str">
        <f t="shared" si="3"/>
        <v>NOT EQUAL</v>
      </c>
      <c r="AP8" s="214" t="str">
        <f t="shared" si="22"/>
        <v>Absent</v>
      </c>
      <c r="AQ8" s="184" t="b">
        <f t="shared" si="23"/>
        <v>0</v>
      </c>
      <c r="AR8" s="215">
        <v>7.0</v>
      </c>
      <c r="AS8" s="224"/>
      <c r="AT8" s="194"/>
      <c r="AU8" s="196" t="s">
        <v>168</v>
      </c>
      <c r="AV8" s="195">
        <v>10.0</v>
      </c>
      <c r="AW8" s="194" t="b">
        <v>0</v>
      </c>
      <c r="AX8" s="218" t="b">
        <f t="shared" si="6"/>
        <v>1</v>
      </c>
      <c r="AY8" s="206">
        <f t="shared" si="7"/>
        <v>2</v>
      </c>
      <c r="AZ8" s="219"/>
      <c r="BA8" s="220" t="b">
        <v>0</v>
      </c>
      <c r="BB8" s="213" t="str">
        <f t="shared" si="8"/>
        <v/>
      </c>
      <c r="BC8" s="184" t="str">
        <f t="shared" si="9"/>
        <v/>
      </c>
      <c r="BD8" s="184" t="str">
        <f t="shared" si="10"/>
        <v/>
      </c>
      <c r="BE8" s="181" t="b">
        <f t="shared" si="11"/>
        <v>1</v>
      </c>
      <c r="BF8" s="182">
        <f t="shared" si="12"/>
        <v>44561</v>
      </c>
      <c r="BG8" s="183" t="str">
        <f t="shared" si="13"/>
        <v>RUN-BEND_2021-12-31_RFR-007</v>
      </c>
      <c r="BH8" s="184">
        <f t="shared" si="14"/>
        <v>8</v>
      </c>
      <c r="BI8" s="184">
        <f t="shared" si="15"/>
        <v>8</v>
      </c>
      <c r="BJ8" s="184">
        <f t="shared" si="16"/>
        <v>8</v>
      </c>
      <c r="BK8" s="184">
        <f t="shared" si="17"/>
        <v>4</v>
      </c>
      <c r="BL8" s="182">
        <f>IFNA(IF(VLOOKUP(FLOOR($B8,1),'APS Tubes by Date Import'!$B$2:$J53,1,FALSE)=FLOOR($BL7,1),IFERROR(0/0,""),VLOOKUP(FLOOR($B8,1),'APS Tubes by Date Import'!$B$2:$J53,1,FALSE)),"")</f>
        <v>44561</v>
      </c>
      <c r="BM8" s="186">
        <f>IF(ISBLANK($BL8),IFERROR(0/0,""),VLOOKUP(FLOOR($B8,1),'APS Tubes by Date Import'!$B$2:$J53,2,FALSE))</f>
        <v>8</v>
      </c>
      <c r="BN8" s="183" t="str">
        <f>VLOOKUP(FLOOR($B8,1),'APS Tubes by Date Import'!$B8:$J53,11,FALSE)</f>
        <v>#REF!</v>
      </c>
      <c r="BO8" s="184">
        <f>VLOOKUP(FLOOR($B8,1),'APS Tubes by Date Import'!$B8:$I53,6,FALSE)</f>
        <v>0</v>
      </c>
      <c r="BP8" s="184">
        <f t="shared" si="21"/>
        <v>8</v>
      </c>
      <c r="BQ8" s="188">
        <f t="shared" si="18"/>
        <v>0</v>
      </c>
      <c r="BR8" s="206"/>
      <c r="BS8" s="190" t="b">
        <f t="shared" si="19"/>
        <v>1</v>
      </c>
      <c r="BT8" s="191" t="str">
        <f t="shared" si="20"/>
        <v/>
      </c>
      <c r="BU8" s="192"/>
      <c r="BV8" s="192"/>
    </row>
    <row r="9">
      <c r="A9" s="183" t="str">
        <f>CONCATENATE("RUN-",'Process Ref'!$A$1,"_",TEXT(U9,"YYYY-MM-DD"),"_RFR-",TEXT(AR9,"000"),IF(EXACT(W9,"Initial"),"",CONCATENATE("_",W9)))</f>
        <v>RUN-BEND_2021-12-31_RFR-008_Re-run</v>
      </c>
      <c r="B9" s="193">
        <v>44561.4531712963</v>
      </c>
      <c r="C9" s="194"/>
      <c r="D9" s="194" t="s">
        <v>169</v>
      </c>
      <c r="E9" s="195">
        <v>2.0</v>
      </c>
      <c r="F9" s="196" t="s">
        <v>196</v>
      </c>
      <c r="G9" s="221" t="s">
        <v>197</v>
      </c>
      <c r="H9" s="228"/>
      <c r="I9" s="228" t="s">
        <v>198</v>
      </c>
      <c r="J9" s="195"/>
      <c r="K9" s="222" t="s">
        <v>199</v>
      </c>
      <c r="L9" s="195"/>
      <c r="M9" s="200"/>
      <c r="N9" s="200"/>
      <c r="O9" s="200"/>
      <c r="P9" s="201" t="b">
        <v>0</v>
      </c>
      <c r="Q9" s="201" t="b">
        <v>0</v>
      </c>
      <c r="R9" s="202"/>
      <c r="S9" s="201" t="b">
        <v>0</v>
      </c>
      <c r="T9" s="203" t="b">
        <v>1</v>
      </c>
      <c r="U9" s="204">
        <v>44561.0</v>
      </c>
      <c r="V9" s="205">
        <v>0.3958333333333333</v>
      </c>
      <c r="W9" s="194" t="s">
        <v>200</v>
      </c>
      <c r="X9" s="194" t="s">
        <v>201</v>
      </c>
      <c r="Y9" s="201" t="b">
        <v>1</v>
      </c>
      <c r="Z9" s="195">
        <v>2.0</v>
      </c>
      <c r="AA9" s="207">
        <f t="shared" si="1"/>
        <v>0</v>
      </c>
      <c r="AB9" s="208" t="b">
        <f t="shared" si="2"/>
        <v>1</v>
      </c>
      <c r="AC9" s="195">
        <v>2.0</v>
      </c>
      <c r="AD9" s="195">
        <v>0.0</v>
      </c>
      <c r="AE9" s="195">
        <v>0.0</v>
      </c>
      <c r="AF9" s="209">
        <v>0.0</v>
      </c>
      <c r="AG9" s="195">
        <v>2.0</v>
      </c>
      <c r="AH9" s="210">
        <v>2.0</v>
      </c>
      <c r="AI9" s="211">
        <v>2.0</v>
      </c>
      <c r="AJ9" s="195" t="b">
        <v>1</v>
      </c>
      <c r="AK9" s="223">
        <v>2.0</v>
      </c>
      <c r="AL9" s="195">
        <v>4.0</v>
      </c>
      <c r="AM9" s="195" t="str">
        <f>IF(EXACT(W9,"Initial"),"Audit","")</f>
        <v/>
      </c>
      <c r="AN9" s="207" t="str">
        <f>IFNA(VLOOKUP($A9,'Tube Reactions'!$J$2:$K53,2,FALSE),"")</f>
        <v/>
      </c>
      <c r="AO9" s="213" t="str">
        <f t="shared" si="3"/>
        <v/>
      </c>
      <c r="AP9" s="214" t="str">
        <f t="shared" si="22"/>
        <v>Absent</v>
      </c>
      <c r="AQ9" s="184" t="b">
        <f t="shared" si="23"/>
        <v>0</v>
      </c>
      <c r="AR9" s="215">
        <v>8.0</v>
      </c>
      <c r="AS9" s="224" t="s">
        <v>202</v>
      </c>
      <c r="AT9" s="194"/>
      <c r="AU9" s="196" t="s">
        <v>168</v>
      </c>
      <c r="AV9" s="195"/>
      <c r="AW9" s="194" t="b">
        <v>0</v>
      </c>
      <c r="AX9" s="218" t="b">
        <f t="shared" si="6"/>
        <v>1</v>
      </c>
      <c r="AY9" s="206"/>
      <c r="AZ9" s="219"/>
      <c r="BA9" s="220" t="b">
        <v>0</v>
      </c>
      <c r="BB9" s="213" t="str">
        <f t="shared" si="8"/>
        <v/>
      </c>
      <c r="BC9" s="184" t="str">
        <f t="shared" si="9"/>
        <v/>
      </c>
      <c r="BD9" s="184" t="str">
        <f t="shared" si="10"/>
        <v/>
      </c>
      <c r="BE9" s="181" t="b">
        <f t="shared" si="11"/>
        <v>1</v>
      </c>
      <c r="BF9" s="182" t="str">
        <f t="shared" si="12"/>
        <v/>
      </c>
      <c r="BG9" s="183" t="str">
        <f t="shared" si="13"/>
        <v/>
      </c>
      <c r="BH9" s="184" t="str">
        <f t="shared" si="14"/>
        <v/>
      </c>
      <c r="BI9" s="184" t="str">
        <f t="shared" si="15"/>
        <v/>
      </c>
      <c r="BJ9" s="184" t="str">
        <f t="shared" si="16"/>
        <v/>
      </c>
      <c r="BK9" s="184" t="str">
        <f t="shared" si="17"/>
        <v/>
      </c>
      <c r="BL9" s="182" t="str">
        <f>IFNA(IF(VLOOKUP(FLOOR($B9,1),'APS Tubes by Date Import'!$B$2:$J53,1,FALSE)=FLOOR($BL8,1),IFERROR(0/0,""),VLOOKUP(FLOOR($B9,1),'APS Tubes by Date Import'!$B$2:$J53,1,FALSE)),"")</f>
        <v/>
      </c>
      <c r="BM9" s="186" t="str">
        <f>IF(ISBLANK($BL9),IFERROR(0/0,""),VLOOKUP(FLOOR($B9,1),'APS Tubes by Date Import'!$B$2:$J53,2,FALSE))</f>
        <v/>
      </c>
      <c r="BN9" s="183" t="str">
        <f>VLOOKUP(FLOOR($B9,1),'APS Tubes by Date Import'!$B9:$J53,11,FALSE)</f>
        <v>#REF!</v>
      </c>
      <c r="BO9" s="184">
        <f>VLOOKUP(FLOOR($B9,1),'APS Tubes by Date Import'!$B9:$I53,6,FALSE)</f>
        <v>0</v>
      </c>
      <c r="BP9" s="184" t="str">
        <f t="shared" si="21"/>
        <v/>
      </c>
      <c r="BQ9" s="188">
        <f t="shared" si="18"/>
        <v>0</v>
      </c>
      <c r="BR9" s="206"/>
      <c r="BS9" s="190" t="str">
        <f t="shared" si="19"/>
        <v/>
      </c>
      <c r="BT9" s="191" t="str">
        <f t="shared" si="20"/>
        <v/>
      </c>
      <c r="BU9" s="192"/>
      <c r="BV9" s="192"/>
    </row>
    <row r="10">
      <c r="A10" s="183" t="str">
        <f>CONCATENATE("RUN-",'Process Ref'!$A$1,"_",TEXT(U10,"YYYY-MM-DD"),"_RFR-",TEXT(AR10,"000"),IF(EXACT(W10,"Initial"),"",CONCATENATE("_",W10)))</f>
        <v>RUN-BEND_2022-01-03_RFR-009</v>
      </c>
      <c r="B10" s="193">
        <v>44564.52481481482</v>
      </c>
      <c r="C10" s="194"/>
      <c r="D10" s="194" t="s">
        <v>169</v>
      </c>
      <c r="E10" s="195">
        <v>14.0</v>
      </c>
      <c r="F10" s="196" t="s">
        <v>203</v>
      </c>
      <c r="G10" s="221" t="s">
        <v>204</v>
      </c>
      <c r="H10" s="221"/>
      <c r="I10" s="221" t="s">
        <v>205</v>
      </c>
      <c r="J10" s="195">
        <v>0.0</v>
      </c>
      <c r="K10" s="222" t="s">
        <v>206</v>
      </c>
      <c r="L10" s="195"/>
      <c r="M10" s="200"/>
      <c r="N10" s="200"/>
      <c r="O10" s="200"/>
      <c r="P10" s="201" t="b">
        <v>0</v>
      </c>
      <c r="Q10" s="201" t="b">
        <v>0</v>
      </c>
      <c r="R10" s="202"/>
      <c r="S10" s="201" t="b">
        <v>0</v>
      </c>
      <c r="T10" s="203" t="b">
        <v>0</v>
      </c>
      <c r="U10" s="204">
        <v>44564.0</v>
      </c>
      <c r="V10" s="205">
        <v>0.4166666666666667</v>
      </c>
      <c r="W10" s="194" t="s">
        <v>173</v>
      </c>
      <c r="X10" s="194" t="s">
        <v>207</v>
      </c>
      <c r="Y10" s="201" t="b">
        <v>0</v>
      </c>
      <c r="Z10" s="195">
        <v>16.0</v>
      </c>
      <c r="AA10" s="207">
        <f t="shared" si="1"/>
        <v>2</v>
      </c>
      <c r="AB10" s="208" t="b">
        <f t="shared" si="2"/>
        <v>0</v>
      </c>
      <c r="AC10" s="195">
        <v>14.0</v>
      </c>
      <c r="AD10" s="195">
        <v>0.0</v>
      </c>
      <c r="AE10" s="195">
        <v>0.0</v>
      </c>
      <c r="AF10" s="209">
        <v>0.0</v>
      </c>
      <c r="AG10" s="195">
        <v>4.0</v>
      </c>
      <c r="AH10" s="210">
        <v>4.0</v>
      </c>
      <c r="AI10" s="211">
        <v>4.0</v>
      </c>
      <c r="AJ10" s="195" t="b">
        <v>0</v>
      </c>
      <c r="AK10" s="223">
        <v>14.0</v>
      </c>
      <c r="AL10" s="195">
        <v>4.0</v>
      </c>
      <c r="AM10" s="195">
        <v>4.0</v>
      </c>
      <c r="AN10" s="207" t="str">
        <f>IFNA(VLOOKUP($A10,'Tube Reactions'!$J$2:$K53,2,FALSE),"")</f>
        <v/>
      </c>
      <c r="AO10" s="213" t="str">
        <f t="shared" si="3"/>
        <v>NOT EQUAL</v>
      </c>
      <c r="AP10" s="214" t="str">
        <f t="shared" si="22"/>
        <v>Absent</v>
      </c>
      <c r="AQ10" s="184" t="b">
        <f t="shared" si="23"/>
        <v>0</v>
      </c>
      <c r="AR10" s="215">
        <v>9.0</v>
      </c>
      <c r="AS10" s="224"/>
      <c r="AT10" s="194"/>
      <c r="AU10" s="196" t="s">
        <v>168</v>
      </c>
      <c r="AV10" s="217">
        <v>16.0</v>
      </c>
      <c r="AW10" s="195" t="b">
        <v>0</v>
      </c>
      <c r="AX10" s="218" t="b">
        <f t="shared" si="6"/>
        <v>1</v>
      </c>
      <c r="AY10" s="206">
        <f t="shared" ref="AY10:AY18" si="24">AV10-AC10</f>
        <v>2</v>
      </c>
      <c r="AZ10" s="219"/>
      <c r="BA10" s="220" t="b">
        <v>1</v>
      </c>
      <c r="BB10" s="213" t="b">
        <f t="shared" si="8"/>
        <v>1</v>
      </c>
      <c r="BC10" s="184">
        <f t="shared" si="9"/>
        <v>4</v>
      </c>
      <c r="BD10" s="184">
        <f t="shared" si="10"/>
        <v>14</v>
      </c>
      <c r="BE10" s="181" t="b">
        <f t="shared" si="11"/>
        <v>1</v>
      </c>
      <c r="BF10" s="182">
        <f t="shared" si="12"/>
        <v>44564</v>
      </c>
      <c r="BG10" s="183" t="str">
        <f t="shared" si="13"/>
        <v>RUN-BEND_2022-01-03_RFR-009</v>
      </c>
      <c r="BH10" s="184">
        <f t="shared" si="14"/>
        <v>14</v>
      </c>
      <c r="BI10" s="184">
        <f t="shared" si="15"/>
        <v>14</v>
      </c>
      <c r="BJ10" s="184">
        <f t="shared" si="16"/>
        <v>14</v>
      </c>
      <c r="BK10" s="184">
        <f t="shared" si="17"/>
        <v>4</v>
      </c>
      <c r="BL10" s="182">
        <f>IFNA(IF(VLOOKUP(FLOOR($B10,1),'APS Tubes by Date Import'!$B$2:$J53,1,FALSE)=FLOOR($BL9,1),IFERROR(0/0,""),VLOOKUP(FLOOR($B10,1),'APS Tubes by Date Import'!$B$2:$J53,1,FALSE)),"")</f>
        <v>44564</v>
      </c>
      <c r="BM10" s="186">
        <f>IF(ISBLANK($BL10),IFERROR(0/0,""),VLOOKUP(FLOOR($B10,1),'APS Tubes by Date Import'!$B$2:$J53,2,FALSE))</f>
        <v>14</v>
      </c>
      <c r="BN10" s="183" t="str">
        <f>VLOOKUP(FLOOR($B10,1),'APS Tubes by Date Import'!$B10:$J53,11,FALSE)</f>
        <v>#REF!</v>
      </c>
      <c r="BO10" s="184">
        <f>VLOOKUP(FLOOR($B10,1),'APS Tubes by Date Import'!$B10:$I53,6,FALSE)</f>
        <v>0</v>
      </c>
      <c r="BP10" s="184">
        <f t="shared" si="21"/>
        <v>14</v>
      </c>
      <c r="BQ10" s="188">
        <f t="shared" si="18"/>
        <v>0</v>
      </c>
      <c r="BR10" s="206"/>
      <c r="BS10" s="190" t="b">
        <f t="shared" si="19"/>
        <v>1</v>
      </c>
      <c r="BT10" s="191" t="str">
        <f t="shared" si="20"/>
        <v/>
      </c>
      <c r="BU10" s="192"/>
      <c r="BV10" s="192"/>
    </row>
    <row r="11">
      <c r="A11" s="183" t="str">
        <f>CONCATENATE("RUN-",'Process Ref'!$A$1,"_",TEXT(U11,"YYYY-MM-DD"),"_RFR-",TEXT(AR11,"000"),IF(EXACT(W11,"Initial"),"",CONCATENATE("_",W11)))</f>
        <v>RUN-BEND_2022-01-05_RFR-010</v>
      </c>
      <c r="B11" s="193">
        <v>44566.462476851855</v>
      </c>
      <c r="C11" s="194"/>
      <c r="D11" s="194" t="s">
        <v>169</v>
      </c>
      <c r="E11" s="195">
        <v>21.0</v>
      </c>
      <c r="F11" s="196" t="s">
        <v>208</v>
      </c>
      <c r="G11" s="221" t="s">
        <v>209</v>
      </c>
      <c r="H11" s="197"/>
      <c r="I11" s="221" t="s">
        <v>210</v>
      </c>
      <c r="J11" s="195">
        <v>0.0</v>
      </c>
      <c r="K11" s="222" t="s">
        <v>211</v>
      </c>
      <c r="L11" s="195"/>
      <c r="M11" s="200">
        <v>1.2</v>
      </c>
      <c r="N11" s="200"/>
      <c r="O11" s="200"/>
      <c r="P11" s="201" t="b">
        <v>0</v>
      </c>
      <c r="Q11" s="201" t="b">
        <v>0</v>
      </c>
      <c r="R11" s="202"/>
      <c r="S11" s="201" t="b">
        <v>0</v>
      </c>
      <c r="T11" s="203" t="b">
        <v>0</v>
      </c>
      <c r="U11" s="204">
        <v>44566.0</v>
      </c>
      <c r="V11" s="205">
        <v>0.4166666666666667</v>
      </c>
      <c r="W11" s="194" t="s">
        <v>173</v>
      </c>
      <c r="X11" s="194" t="s">
        <v>212</v>
      </c>
      <c r="Y11" s="201" t="b">
        <v>1</v>
      </c>
      <c r="Z11" s="189">
        <v>23.0</v>
      </c>
      <c r="AA11" s="207">
        <f t="shared" si="1"/>
        <v>2</v>
      </c>
      <c r="AB11" s="208" t="b">
        <f t="shared" si="2"/>
        <v>0</v>
      </c>
      <c r="AC11" s="195">
        <v>22.0</v>
      </c>
      <c r="AD11" s="195">
        <v>0.0</v>
      </c>
      <c r="AE11" s="195">
        <v>0.0</v>
      </c>
      <c r="AF11" s="209">
        <v>0.0</v>
      </c>
      <c r="AG11" s="195">
        <v>3.0</v>
      </c>
      <c r="AH11" s="210">
        <v>3.0</v>
      </c>
      <c r="AI11" s="211">
        <v>3.0</v>
      </c>
      <c r="AJ11" s="195" t="b">
        <v>0</v>
      </c>
      <c r="AK11" s="212">
        <v>21.0</v>
      </c>
      <c r="AL11" s="195">
        <v>4.0</v>
      </c>
      <c r="AM11" s="195">
        <v>3.0</v>
      </c>
      <c r="AN11" s="207" t="str">
        <f>IFNA(VLOOKUP($A11,'Tube Reactions'!$J$2:$K53,2,FALSE),"")</f>
        <v/>
      </c>
      <c r="AO11" s="213" t="str">
        <f t="shared" si="3"/>
        <v>NOT EQUAL</v>
      </c>
      <c r="AP11" s="214" t="str">
        <f t="shared" si="22"/>
        <v>Absent</v>
      </c>
      <c r="AQ11" s="184" t="b">
        <f t="shared" si="23"/>
        <v>0</v>
      </c>
      <c r="AR11" s="215">
        <v>10.0</v>
      </c>
      <c r="AS11" s="224"/>
      <c r="AT11" s="194"/>
      <c r="AU11" s="196" t="s">
        <v>168</v>
      </c>
      <c r="AV11" s="217">
        <v>24.0</v>
      </c>
      <c r="AW11" s="195" t="b">
        <v>0</v>
      </c>
      <c r="AX11" s="218" t="b">
        <f t="shared" si="6"/>
        <v>1</v>
      </c>
      <c r="AY11" s="206">
        <f t="shared" si="24"/>
        <v>2</v>
      </c>
      <c r="AZ11" s="219"/>
      <c r="BA11" s="220" t="b">
        <v>1</v>
      </c>
      <c r="BB11" s="213" t="b">
        <f t="shared" si="8"/>
        <v>1</v>
      </c>
      <c r="BC11" s="184">
        <f t="shared" si="9"/>
        <v>4</v>
      </c>
      <c r="BD11" s="184">
        <f t="shared" si="10"/>
        <v>21</v>
      </c>
      <c r="BE11" s="181" t="b">
        <f t="shared" si="11"/>
        <v>1</v>
      </c>
      <c r="BF11" s="182">
        <f t="shared" si="12"/>
        <v>44566</v>
      </c>
      <c r="BG11" s="183" t="str">
        <f t="shared" si="13"/>
        <v>RUN-BEND_2022-01-05_RFR-010</v>
      </c>
      <c r="BH11" s="184">
        <f t="shared" si="14"/>
        <v>21</v>
      </c>
      <c r="BI11" s="184">
        <f t="shared" si="15"/>
        <v>22</v>
      </c>
      <c r="BJ11" s="184">
        <f t="shared" si="16"/>
        <v>21</v>
      </c>
      <c r="BK11" s="184">
        <f t="shared" si="17"/>
        <v>4</v>
      </c>
      <c r="BL11" s="182">
        <f>IFNA(IF(VLOOKUP(FLOOR($B11,1),'APS Tubes by Date Import'!$B$2:$J53,1,FALSE)=FLOOR($BL10,1),IFERROR(0/0,""),VLOOKUP(FLOOR($B11,1),'APS Tubes by Date Import'!$B$2:$J53,1,FALSE)),"")</f>
        <v>44566</v>
      </c>
      <c r="BM11" s="186">
        <f>IF(ISBLANK($BL11),IFERROR(0/0,""),VLOOKUP(FLOOR($B11,1),'APS Tubes by Date Import'!$B$2:$J53,2,FALSE))</f>
        <v>18</v>
      </c>
      <c r="BN11" s="183" t="str">
        <f>VLOOKUP(FLOOR($B11,1),'APS Tubes by Date Import'!$B11:$J53,11,FALSE)</f>
        <v>#REF!</v>
      </c>
      <c r="BO11" s="184">
        <f>VLOOKUP(FLOOR($B11,1),'APS Tubes by Date Import'!$B11:$I53,6,FALSE)</f>
        <v>0</v>
      </c>
      <c r="BP11" s="184">
        <f t="shared" si="21"/>
        <v>21</v>
      </c>
      <c r="BQ11" s="188">
        <f t="shared" si="18"/>
        <v>3</v>
      </c>
      <c r="BR11" s="206"/>
      <c r="BS11" s="190" t="b">
        <f t="shared" si="19"/>
        <v>1</v>
      </c>
      <c r="BT11" s="191" t="str">
        <f t="shared" si="20"/>
        <v/>
      </c>
      <c r="BU11" s="192"/>
      <c r="BV11" s="192"/>
    </row>
    <row r="12">
      <c r="A12" s="183" t="str">
        <f>CONCATENATE("RUN-",'Process Ref'!$A$1,"_",TEXT(U12,"YYYY-MM-DD"),"_RFR-",TEXT(AR12,"000"),IF(EXACT(W12,"Initial"),"",CONCATENATE("_",W12)))</f>
        <v>RUN-BEND_2022-01-07_RFR-011</v>
      </c>
      <c r="B12" s="193">
        <v>44568.50341435185</v>
      </c>
      <c r="C12" s="194"/>
      <c r="D12" s="194" t="s">
        <v>169</v>
      </c>
      <c r="E12" s="195">
        <v>21.0</v>
      </c>
      <c r="F12" s="196" t="s">
        <v>213</v>
      </c>
      <c r="G12" s="198" t="s">
        <v>214</v>
      </c>
      <c r="H12" s="198"/>
      <c r="I12" s="198" t="s">
        <v>215</v>
      </c>
      <c r="J12" s="195">
        <v>1.0</v>
      </c>
      <c r="K12" s="222" t="s">
        <v>216</v>
      </c>
      <c r="L12" s="195"/>
      <c r="M12" s="200">
        <v>1.2</v>
      </c>
      <c r="N12" s="200"/>
      <c r="O12" s="200"/>
      <c r="P12" s="201" t="b">
        <v>0</v>
      </c>
      <c r="Q12" s="201" t="b">
        <v>0</v>
      </c>
      <c r="R12" s="202"/>
      <c r="S12" s="201" t="b">
        <v>0</v>
      </c>
      <c r="T12" s="203" t="b">
        <v>0</v>
      </c>
      <c r="U12" s="204">
        <v>44568.0</v>
      </c>
      <c r="V12" s="205">
        <v>0.4166666666666667</v>
      </c>
      <c r="W12" s="194" t="s">
        <v>173</v>
      </c>
      <c r="X12" s="202"/>
      <c r="Y12" s="201" t="b">
        <v>0</v>
      </c>
      <c r="Z12" s="189">
        <v>23.0</v>
      </c>
      <c r="AA12" s="207">
        <f t="shared" si="1"/>
        <v>2</v>
      </c>
      <c r="AB12" s="208" t="b">
        <f t="shared" si="2"/>
        <v>0</v>
      </c>
      <c r="AC12" s="195">
        <v>22.0</v>
      </c>
      <c r="AD12" s="195">
        <v>1.0</v>
      </c>
      <c r="AE12" s="195">
        <v>1.0</v>
      </c>
      <c r="AF12" s="209">
        <v>1.0</v>
      </c>
      <c r="AG12" s="195">
        <v>3.0</v>
      </c>
      <c r="AH12" s="210">
        <v>3.0</v>
      </c>
      <c r="AI12" s="211">
        <v>3.0</v>
      </c>
      <c r="AJ12" s="195" t="b">
        <v>0</v>
      </c>
      <c r="AK12" s="212">
        <v>21.0</v>
      </c>
      <c r="AL12" s="195">
        <v>4.0</v>
      </c>
      <c r="AM12" s="195">
        <v>4.0</v>
      </c>
      <c r="AN12" s="207" t="str">
        <f>IFNA(VLOOKUP($A12,'Tube Reactions'!$J$2:$K53,2,FALSE),"")</f>
        <v/>
      </c>
      <c r="AO12" s="213" t="str">
        <f t="shared" si="3"/>
        <v>NOT EQUAL</v>
      </c>
      <c r="AP12" s="214" t="str">
        <f t="shared" si="22"/>
        <v>Absent</v>
      </c>
      <c r="AQ12" s="184" t="b">
        <f t="shared" si="23"/>
        <v>0</v>
      </c>
      <c r="AR12" s="215">
        <v>11.0</v>
      </c>
      <c r="AS12" s="224"/>
      <c r="AT12" s="194"/>
      <c r="AU12" s="196" t="s">
        <v>168</v>
      </c>
      <c r="AV12" s="217">
        <v>24.0</v>
      </c>
      <c r="AW12" s="195" t="b">
        <v>0</v>
      </c>
      <c r="AX12" s="218" t="b">
        <f t="shared" si="6"/>
        <v>1</v>
      </c>
      <c r="AY12" s="206">
        <f t="shared" si="24"/>
        <v>2</v>
      </c>
      <c r="AZ12" s="219"/>
      <c r="BA12" s="220" t="b">
        <v>1</v>
      </c>
      <c r="BB12" s="213" t="b">
        <f t="shared" si="8"/>
        <v>1</v>
      </c>
      <c r="BC12" s="184">
        <f t="shared" si="9"/>
        <v>4</v>
      </c>
      <c r="BD12" s="184">
        <f t="shared" si="10"/>
        <v>21</v>
      </c>
      <c r="BE12" s="181" t="b">
        <f t="shared" si="11"/>
        <v>1</v>
      </c>
      <c r="BF12" s="182">
        <f t="shared" si="12"/>
        <v>44568</v>
      </c>
      <c r="BG12" s="183" t="str">
        <f t="shared" si="13"/>
        <v>RUN-BEND_2022-01-07_RFR-011</v>
      </c>
      <c r="BH12" s="184">
        <f t="shared" si="14"/>
        <v>21</v>
      </c>
      <c r="BI12" s="184">
        <f t="shared" si="15"/>
        <v>22</v>
      </c>
      <c r="BJ12" s="184">
        <f t="shared" si="16"/>
        <v>21</v>
      </c>
      <c r="BK12" s="184">
        <f t="shared" si="17"/>
        <v>4</v>
      </c>
      <c r="BL12" s="182">
        <f>IFNA(IF(VLOOKUP(FLOOR($B12,1),'APS Tubes by Date Import'!$B$2:$J53,1,FALSE)=FLOOR($BL11,1),IFERROR(0/0,""),VLOOKUP(FLOOR($B12,1),'APS Tubes by Date Import'!$B$2:$J53,1,FALSE)),"")</f>
        <v>44568</v>
      </c>
      <c r="BM12" s="186">
        <f>IF(ISBLANK($BL12),IFERROR(0/0,""),VLOOKUP(FLOOR($B12,1),'APS Tubes by Date Import'!$B$2:$J53,2,FALSE))</f>
        <v>16</v>
      </c>
      <c r="BN12" s="183" t="str">
        <f>VLOOKUP(FLOOR($B12,1),'APS Tubes by Date Import'!$B12:$J53,11,FALSE)</f>
        <v>#REF!</v>
      </c>
      <c r="BO12" s="184">
        <f>VLOOKUP(FLOOR($B12,1),'APS Tubes by Date Import'!$B12:$I53,6,FALSE)</f>
        <v>0</v>
      </c>
      <c r="BP12" s="184">
        <f t="shared" si="21"/>
        <v>21</v>
      </c>
      <c r="BQ12" s="188">
        <f t="shared" si="18"/>
        <v>5</v>
      </c>
      <c r="BR12" s="206"/>
      <c r="BS12" s="190" t="b">
        <f t="shared" si="19"/>
        <v>1</v>
      </c>
      <c r="BT12" s="191" t="str">
        <f t="shared" si="20"/>
        <v/>
      </c>
      <c r="BU12" s="192"/>
      <c r="BV12" s="192"/>
    </row>
    <row r="13">
      <c r="A13" s="183" t="str">
        <f>CONCATENATE("RUN-",'Process Ref'!$A$1,"_",TEXT(U13,"YYYY-MM-DD"),"_RFR-",TEXT(AR13,"000"),IF(EXACT(W13,"Initial"),"",CONCATENATE("_",W13)))</f>
        <v>RUN-BEND_2022-01-10_RFR-012</v>
      </c>
      <c r="B13" s="193">
        <v>44571.46362268519</v>
      </c>
      <c r="C13" s="194"/>
      <c r="D13" s="194" t="s">
        <v>169</v>
      </c>
      <c r="E13" s="195">
        <v>31.0</v>
      </c>
      <c r="F13" s="196" t="s">
        <v>217</v>
      </c>
      <c r="G13" s="198" t="s">
        <v>218</v>
      </c>
      <c r="H13" s="228"/>
      <c r="I13" s="229" t="s">
        <v>219</v>
      </c>
      <c r="J13" s="195">
        <v>3.0</v>
      </c>
      <c r="K13" s="222" t="s">
        <v>220</v>
      </c>
      <c r="L13" s="195"/>
      <c r="M13" s="200"/>
      <c r="N13" s="200">
        <v>2.2</v>
      </c>
      <c r="O13" s="200"/>
      <c r="P13" s="201" t="b">
        <v>1</v>
      </c>
      <c r="Q13" s="201" t="b">
        <v>0</v>
      </c>
      <c r="R13" s="202"/>
      <c r="S13" s="201" t="b">
        <v>0</v>
      </c>
      <c r="T13" s="203" t="b">
        <v>0</v>
      </c>
      <c r="U13" s="204">
        <v>44571.0</v>
      </c>
      <c r="V13" s="205">
        <v>0.4166666666666667</v>
      </c>
      <c r="W13" s="194" t="s">
        <v>173</v>
      </c>
      <c r="X13" s="194" t="s">
        <v>220</v>
      </c>
      <c r="Y13" s="201" t="b">
        <v>1</v>
      </c>
      <c r="Z13" s="195">
        <v>33.0</v>
      </c>
      <c r="AA13" s="207">
        <f t="shared" si="1"/>
        <v>2</v>
      </c>
      <c r="AB13" s="208" t="b">
        <f t="shared" si="2"/>
        <v>0</v>
      </c>
      <c r="AC13" s="195">
        <v>31.0</v>
      </c>
      <c r="AD13" s="195">
        <v>2.0</v>
      </c>
      <c r="AE13" s="195">
        <v>2.0</v>
      </c>
      <c r="AF13" s="209">
        <v>2.0</v>
      </c>
      <c r="AG13" s="195">
        <v>8.0</v>
      </c>
      <c r="AH13" s="210">
        <v>8.0</v>
      </c>
      <c r="AI13" s="211">
        <v>8.0</v>
      </c>
      <c r="AJ13" s="195" t="b">
        <v>0</v>
      </c>
      <c r="AK13" s="223">
        <v>31.0</v>
      </c>
      <c r="AL13" s="195">
        <v>4.0</v>
      </c>
      <c r="AM13" s="195">
        <v>10.0</v>
      </c>
      <c r="AN13" s="207" t="str">
        <f>IFNA(VLOOKUP($A13,'Tube Reactions'!$J$2:$K53,2,FALSE),"")</f>
        <v/>
      </c>
      <c r="AO13" s="213" t="str">
        <f t="shared" si="3"/>
        <v>NOT EQUAL</v>
      </c>
      <c r="AP13" s="214" t="str">
        <f t="shared" si="22"/>
        <v>Absent</v>
      </c>
      <c r="AQ13" s="184" t="b">
        <f t="shared" si="23"/>
        <v>0</v>
      </c>
      <c r="AR13" s="215">
        <v>12.0</v>
      </c>
      <c r="AS13" s="224" t="s">
        <v>221</v>
      </c>
      <c r="AT13" s="194"/>
      <c r="AU13" s="196" t="s">
        <v>168</v>
      </c>
      <c r="AV13" s="217">
        <v>33.0</v>
      </c>
      <c r="AW13" s="210" t="b">
        <v>0</v>
      </c>
      <c r="AX13" s="218" t="b">
        <f t="shared" si="6"/>
        <v>1</v>
      </c>
      <c r="AY13" s="206">
        <f t="shared" si="24"/>
        <v>2</v>
      </c>
      <c r="AZ13" s="219"/>
      <c r="BA13" s="220" t="b">
        <v>1</v>
      </c>
      <c r="BB13" s="213" t="b">
        <f t="shared" si="8"/>
        <v>1</v>
      </c>
      <c r="BC13" s="184">
        <f t="shared" si="9"/>
        <v>4</v>
      </c>
      <c r="BD13" s="184">
        <f t="shared" si="10"/>
        <v>31</v>
      </c>
      <c r="BE13" s="181" t="b">
        <f t="shared" si="11"/>
        <v>1</v>
      </c>
      <c r="BF13" s="182">
        <f t="shared" si="12"/>
        <v>44571</v>
      </c>
      <c r="BG13" s="183" t="str">
        <f t="shared" si="13"/>
        <v>RUN-BEND_2022-01-10_RFR-012</v>
      </c>
      <c r="BH13" s="184">
        <f t="shared" si="14"/>
        <v>31</v>
      </c>
      <c r="BI13" s="184">
        <f t="shared" si="15"/>
        <v>31</v>
      </c>
      <c r="BJ13" s="184">
        <f t="shared" si="16"/>
        <v>31</v>
      </c>
      <c r="BK13" s="184">
        <f t="shared" si="17"/>
        <v>4</v>
      </c>
      <c r="BL13" s="182">
        <f>IFNA(IF(VLOOKUP(FLOOR($B13,1),'APS Tubes by Date Import'!$B$2:$J53,1,FALSE)=FLOOR($BL12,1),IFERROR(0/0,""),VLOOKUP(FLOOR($B13,1),'APS Tubes by Date Import'!$B$2:$J53,1,FALSE)),"")</f>
        <v>44571</v>
      </c>
      <c r="BM13" s="186">
        <f>IF(ISBLANK($BL13),IFERROR(0/0,""),VLOOKUP(FLOOR($B13,1),'APS Tubes by Date Import'!$B$2:$J53,2,FALSE))</f>
        <v>31</v>
      </c>
      <c r="BN13" s="183" t="str">
        <f>VLOOKUP(FLOOR($B13,1),'APS Tubes by Date Import'!$B13:$J53,11,FALSE)</f>
        <v>#REF!</v>
      </c>
      <c r="BO13" s="184">
        <f>VLOOKUP(FLOOR($B13,1),'APS Tubes by Date Import'!$B13:$I53,6,FALSE)</f>
        <v>0</v>
      </c>
      <c r="BP13" s="184">
        <f t="shared" si="21"/>
        <v>31</v>
      </c>
      <c r="BQ13" s="188">
        <f t="shared" si="18"/>
        <v>0</v>
      </c>
      <c r="BR13" s="206"/>
      <c r="BS13" s="190" t="b">
        <f t="shared" si="19"/>
        <v>1</v>
      </c>
      <c r="BT13" s="191" t="str">
        <f t="shared" si="20"/>
        <v/>
      </c>
      <c r="BU13" s="192"/>
      <c r="BV13" s="192"/>
    </row>
    <row r="14">
      <c r="A14" s="183" t="str">
        <f>CONCATENATE("RUN-",'Process Ref'!$A$1,"_",TEXT(U14,"YYYY-MM-DD"),"_RFR-",TEXT(AR14,"000"),IF(EXACT(W14,"Initial"),"",CONCATENATE("_",W14)))</f>
        <v>RUN-BEND_2022-01-12_RFR-013</v>
      </c>
      <c r="B14" s="193">
        <v>44573.49392361111</v>
      </c>
      <c r="C14" s="194"/>
      <c r="D14" s="194" t="s">
        <v>169</v>
      </c>
      <c r="E14" s="195">
        <v>22.0</v>
      </c>
      <c r="F14" s="196" t="s">
        <v>222</v>
      </c>
      <c r="G14" s="221" t="s">
        <v>223</v>
      </c>
      <c r="H14" s="221"/>
      <c r="I14" s="221" t="s">
        <v>224</v>
      </c>
      <c r="J14" s="195">
        <v>0.0</v>
      </c>
      <c r="K14" s="222" t="s">
        <v>225</v>
      </c>
      <c r="L14" s="195"/>
      <c r="M14" s="200"/>
      <c r="N14" s="200"/>
      <c r="O14" s="200"/>
      <c r="P14" s="201" t="b">
        <v>0</v>
      </c>
      <c r="Q14" s="201" t="b">
        <v>0</v>
      </c>
      <c r="R14" s="202"/>
      <c r="S14" s="201" t="b">
        <v>0</v>
      </c>
      <c r="T14" s="203" t="b">
        <v>0</v>
      </c>
      <c r="U14" s="204">
        <v>44573.0</v>
      </c>
      <c r="V14" s="205">
        <v>0.4166666666666667</v>
      </c>
      <c r="W14" s="194" t="s">
        <v>173</v>
      </c>
      <c r="X14" s="202"/>
      <c r="Y14" s="201" t="b">
        <v>0</v>
      </c>
      <c r="Z14" s="195">
        <v>24.0</v>
      </c>
      <c r="AA14" s="207">
        <f t="shared" si="1"/>
        <v>2</v>
      </c>
      <c r="AB14" s="208" t="b">
        <f t="shared" si="2"/>
        <v>0</v>
      </c>
      <c r="AC14" s="195">
        <v>22.0</v>
      </c>
      <c r="AD14" s="195">
        <v>0.0</v>
      </c>
      <c r="AE14" s="195">
        <v>0.0</v>
      </c>
      <c r="AF14" s="209">
        <v>0.0</v>
      </c>
      <c r="AG14" s="195">
        <v>4.0</v>
      </c>
      <c r="AH14" s="210">
        <v>4.0</v>
      </c>
      <c r="AI14" s="211">
        <v>4.0</v>
      </c>
      <c r="AJ14" s="195" t="b">
        <v>0</v>
      </c>
      <c r="AK14" s="223">
        <v>22.0</v>
      </c>
      <c r="AL14" s="195">
        <v>4.0</v>
      </c>
      <c r="AM14" s="195">
        <v>4.0</v>
      </c>
      <c r="AN14" s="207" t="str">
        <f>IFNA(VLOOKUP($A14,'Tube Reactions'!$J$2:$K53,2,FALSE),"")</f>
        <v/>
      </c>
      <c r="AO14" s="213" t="str">
        <f t="shared" si="3"/>
        <v>NOT EQUAL</v>
      </c>
      <c r="AP14" s="214" t="str">
        <f t="shared" si="22"/>
        <v>Absent</v>
      </c>
      <c r="AQ14" s="184" t="b">
        <f t="shared" si="23"/>
        <v>0</v>
      </c>
      <c r="AR14" s="215">
        <v>13.0</v>
      </c>
      <c r="AS14" s="224"/>
      <c r="AT14" s="194"/>
      <c r="AU14" s="196" t="s">
        <v>168</v>
      </c>
      <c r="AV14" s="217">
        <v>24.0</v>
      </c>
      <c r="AW14" s="195" t="b">
        <v>0</v>
      </c>
      <c r="AX14" s="218" t="b">
        <f t="shared" si="6"/>
        <v>1</v>
      </c>
      <c r="AY14" s="206">
        <f t="shared" si="24"/>
        <v>2</v>
      </c>
      <c r="AZ14" s="219"/>
      <c r="BA14" s="220" t="b">
        <v>1</v>
      </c>
      <c r="BB14" s="213" t="b">
        <f t="shared" si="8"/>
        <v>1</v>
      </c>
      <c r="BC14" s="184">
        <f t="shared" si="9"/>
        <v>4</v>
      </c>
      <c r="BD14" s="184">
        <f t="shared" si="10"/>
        <v>22</v>
      </c>
      <c r="BE14" s="181" t="b">
        <f t="shared" si="11"/>
        <v>1</v>
      </c>
      <c r="BF14" s="182">
        <f t="shared" si="12"/>
        <v>44573</v>
      </c>
      <c r="BG14" s="183" t="str">
        <f t="shared" si="13"/>
        <v>RUN-BEND_2022-01-12_RFR-013</v>
      </c>
      <c r="BH14" s="184">
        <f t="shared" si="14"/>
        <v>22</v>
      </c>
      <c r="BI14" s="184">
        <f t="shared" si="15"/>
        <v>22</v>
      </c>
      <c r="BJ14" s="184">
        <f t="shared" si="16"/>
        <v>22</v>
      </c>
      <c r="BK14" s="184">
        <f t="shared" si="17"/>
        <v>4</v>
      </c>
      <c r="BL14" s="182">
        <f>IFNA(IF(VLOOKUP(FLOOR($B14,1),'APS Tubes by Date Import'!$B$2:$J53,1,FALSE)=FLOOR($BL13,1),IFERROR(0/0,""),VLOOKUP(FLOOR($B14,1),'APS Tubes by Date Import'!$B$2:$J53,1,FALSE)),"")</f>
        <v>44573</v>
      </c>
      <c r="BM14" s="186">
        <f>IF(ISBLANK($BL14),IFERROR(0/0,""),VLOOKUP(FLOOR($B14,1),'APS Tubes by Date Import'!$B$2:$J53,2,FALSE))</f>
        <v>22</v>
      </c>
      <c r="BN14" s="183" t="str">
        <f>VLOOKUP(FLOOR($B14,1),'APS Tubes by Date Import'!$B14:$J53,11,FALSE)</f>
        <v>#REF!</v>
      </c>
      <c r="BO14" s="184">
        <f>VLOOKUP(FLOOR($B14,1),'APS Tubes by Date Import'!$B14:$I53,6,FALSE)</f>
        <v>0</v>
      </c>
      <c r="BP14" s="184">
        <f t="shared" si="21"/>
        <v>22</v>
      </c>
      <c r="BQ14" s="188">
        <f t="shared" si="18"/>
        <v>0</v>
      </c>
      <c r="BR14" s="206"/>
      <c r="BS14" s="190" t="b">
        <f t="shared" si="19"/>
        <v>1</v>
      </c>
      <c r="BT14" s="191" t="str">
        <f t="shared" si="20"/>
        <v/>
      </c>
      <c r="BU14" s="192"/>
      <c r="BV14" s="192"/>
    </row>
    <row r="15">
      <c r="A15" s="183" t="str">
        <f>CONCATENATE("RUN-",'Process Ref'!$A$1,"_",TEXT(U15,"YYYY-MM-DD"),"_RFR-",TEXT(AR15,"000"),IF(EXACT(W15,"Initial"),"",CONCATENATE("_",W15)))</f>
        <v>RUN-BEND_2022-01-14_RFR-014</v>
      </c>
      <c r="B15" s="193">
        <v>44575.4966087963</v>
      </c>
      <c r="C15" s="194"/>
      <c r="D15" s="194" t="s">
        <v>169</v>
      </c>
      <c r="E15" s="195">
        <v>22.0</v>
      </c>
      <c r="F15" s="196" t="s">
        <v>226</v>
      </c>
      <c r="G15" s="221" t="s">
        <v>227</v>
      </c>
      <c r="H15" s="221"/>
      <c r="I15" s="221" t="s">
        <v>228</v>
      </c>
      <c r="J15" s="195">
        <v>0.0</v>
      </c>
      <c r="K15" s="222"/>
      <c r="L15" s="195"/>
      <c r="M15" s="200"/>
      <c r="N15" s="200"/>
      <c r="O15" s="200"/>
      <c r="P15" s="201" t="b">
        <v>0</v>
      </c>
      <c r="Q15" s="201" t="b">
        <v>0</v>
      </c>
      <c r="R15" s="202"/>
      <c r="S15" s="201" t="b">
        <v>0</v>
      </c>
      <c r="T15" s="203" t="b">
        <v>0</v>
      </c>
      <c r="U15" s="231">
        <v>44575.0</v>
      </c>
      <c r="V15" s="205">
        <v>0.4166666666666667</v>
      </c>
      <c r="W15" s="194" t="s">
        <v>173</v>
      </c>
      <c r="X15" s="202"/>
      <c r="Y15" s="201" t="b">
        <v>0</v>
      </c>
      <c r="Z15" s="195">
        <v>24.0</v>
      </c>
      <c r="AA15" s="207">
        <f t="shared" si="1"/>
        <v>2</v>
      </c>
      <c r="AB15" s="208" t="b">
        <f t="shared" si="2"/>
        <v>0</v>
      </c>
      <c r="AC15" s="195">
        <v>22.0</v>
      </c>
      <c r="AD15" s="195">
        <v>0.0</v>
      </c>
      <c r="AE15" s="195">
        <v>0.0</v>
      </c>
      <c r="AF15" s="209">
        <v>0.0</v>
      </c>
      <c r="AG15" s="195">
        <v>7.0</v>
      </c>
      <c r="AH15" s="210">
        <v>7.0</v>
      </c>
      <c r="AI15" s="211">
        <v>7.0</v>
      </c>
      <c r="AJ15" s="195" t="b">
        <v>0</v>
      </c>
      <c r="AK15" s="223">
        <v>22.0</v>
      </c>
      <c r="AL15" s="195">
        <v>4.0</v>
      </c>
      <c r="AM15" s="195">
        <v>7.0</v>
      </c>
      <c r="AN15" s="207" t="str">
        <f>IFNA(VLOOKUP($A15,'Tube Reactions'!$J$2:$K53,2,FALSE),"")</f>
        <v/>
      </c>
      <c r="AO15" s="213" t="str">
        <f t="shared" si="3"/>
        <v>NOT EQUAL</v>
      </c>
      <c r="AP15" s="214" t="str">
        <f t="shared" si="22"/>
        <v>Absent</v>
      </c>
      <c r="AQ15" s="184" t="b">
        <f t="shared" si="23"/>
        <v>0</v>
      </c>
      <c r="AR15" s="215">
        <v>14.0</v>
      </c>
      <c r="AS15" s="224"/>
      <c r="AT15" s="194"/>
      <c r="AU15" s="232"/>
      <c r="AV15" s="217">
        <v>24.0</v>
      </c>
      <c r="AW15" s="195" t="b">
        <v>0</v>
      </c>
      <c r="AX15" s="218" t="b">
        <f t="shared" si="6"/>
        <v>1</v>
      </c>
      <c r="AY15" s="206">
        <f t="shared" si="24"/>
        <v>2</v>
      </c>
      <c r="AZ15" s="219"/>
      <c r="BA15" s="220" t="b">
        <v>1</v>
      </c>
      <c r="BB15" s="213" t="b">
        <f t="shared" si="8"/>
        <v>1</v>
      </c>
      <c r="BC15" s="184">
        <f t="shared" si="9"/>
        <v>4</v>
      </c>
      <c r="BD15" s="184">
        <f t="shared" si="10"/>
        <v>22</v>
      </c>
      <c r="BE15" s="181" t="b">
        <f t="shared" si="11"/>
        <v>1</v>
      </c>
      <c r="BF15" s="182">
        <f t="shared" si="12"/>
        <v>44575</v>
      </c>
      <c r="BG15" s="183" t="str">
        <f t="shared" si="13"/>
        <v>RUN-BEND_2022-01-14_RFR-014</v>
      </c>
      <c r="BH15" s="184">
        <f t="shared" si="14"/>
        <v>22</v>
      </c>
      <c r="BI15" s="184">
        <f t="shared" si="15"/>
        <v>22</v>
      </c>
      <c r="BJ15" s="184">
        <f t="shared" si="16"/>
        <v>22</v>
      </c>
      <c r="BK15" s="184">
        <f t="shared" si="17"/>
        <v>4</v>
      </c>
      <c r="BL15" s="182">
        <f>IFNA(IF(VLOOKUP(FLOOR($B15,1),'APS Tubes by Date Import'!$B$2:$J53,1,FALSE)=FLOOR($BL14,1),IFERROR(0/0,""),VLOOKUP(FLOOR($B15,1),'APS Tubes by Date Import'!$B$2:$J53,1,FALSE)),"")</f>
        <v>44575</v>
      </c>
      <c r="BM15" s="186">
        <f>IF(ISBLANK($BL15),IFERROR(0/0,""),VLOOKUP(FLOOR($B15,1),'APS Tubes by Date Import'!$B$2:$J53,2,FALSE))</f>
        <v>17</v>
      </c>
      <c r="BN15" s="183" t="str">
        <f>VLOOKUP(FLOOR($B15,1),'APS Tubes by Date Import'!$B15:$J53,11,FALSE)</f>
        <v>#REF!</v>
      </c>
      <c r="BO15" s="184">
        <f>VLOOKUP(FLOOR($B15,1),'APS Tubes by Date Import'!$B15:$I53,6,FALSE)</f>
        <v>0</v>
      </c>
      <c r="BP15" s="184">
        <f t="shared" si="21"/>
        <v>22</v>
      </c>
      <c r="BQ15" s="188">
        <f t="shared" si="18"/>
        <v>5</v>
      </c>
      <c r="BR15" s="206"/>
      <c r="BS15" s="190" t="b">
        <f t="shared" si="19"/>
        <v>1</v>
      </c>
      <c r="BT15" s="191" t="str">
        <f t="shared" si="20"/>
        <v/>
      </c>
      <c r="BU15" s="192"/>
      <c r="BV15" s="192"/>
    </row>
    <row r="16">
      <c r="A16" s="183" t="str">
        <f>CONCATENATE("RUN-",'Process Ref'!$A$1,"_",TEXT(U16,"YYYY-MM-DD"),"_RFR-",TEXT(AR16,"000"),IF(EXACT(W16,"Initial"),"",CONCATENATE("_",W16)))</f>
        <v>RUN-BEND_2022-01-19_RFR-015</v>
      </c>
      <c r="B16" s="193">
        <v>44580.42900462963</v>
      </c>
      <c r="C16" s="194"/>
      <c r="D16" s="194" t="s">
        <v>169</v>
      </c>
      <c r="E16" s="195">
        <v>33.0</v>
      </c>
      <c r="F16" s="196" t="s">
        <v>229</v>
      </c>
      <c r="G16" s="225" t="s">
        <v>230</v>
      </c>
      <c r="H16" s="198"/>
      <c r="I16" s="198" t="s">
        <v>231</v>
      </c>
      <c r="J16" s="195">
        <v>1.0</v>
      </c>
      <c r="K16" s="222"/>
      <c r="L16" s="195"/>
      <c r="M16" s="200"/>
      <c r="N16" s="200"/>
      <c r="O16" s="200"/>
      <c r="P16" s="201" t="b">
        <v>0</v>
      </c>
      <c r="Q16" s="201" t="b">
        <v>0</v>
      </c>
      <c r="R16" s="202"/>
      <c r="S16" s="201" t="b">
        <v>0</v>
      </c>
      <c r="T16" s="203" t="b">
        <v>0</v>
      </c>
      <c r="U16" s="204">
        <v>44580.0</v>
      </c>
      <c r="V16" s="205">
        <v>0.4166666666666667</v>
      </c>
      <c r="W16" s="194" t="s">
        <v>173</v>
      </c>
      <c r="X16" s="202"/>
      <c r="Y16" s="201" t="b">
        <v>0</v>
      </c>
      <c r="Z16" s="206"/>
      <c r="AA16" s="207" t="str">
        <f t="shared" si="1"/>
        <v/>
      </c>
      <c r="AB16" s="208" t="b">
        <f t="shared" si="2"/>
        <v>1</v>
      </c>
      <c r="AC16" s="195">
        <v>33.0</v>
      </c>
      <c r="AD16" s="195">
        <v>0.0</v>
      </c>
      <c r="AE16" s="195">
        <v>0.0</v>
      </c>
      <c r="AF16" s="209">
        <v>0.0</v>
      </c>
      <c r="AG16" s="195">
        <v>9.0</v>
      </c>
      <c r="AH16" s="210">
        <v>9.0</v>
      </c>
      <c r="AI16" s="211">
        <v>9.0</v>
      </c>
      <c r="AJ16" s="195" t="b">
        <v>0</v>
      </c>
      <c r="AK16" s="223">
        <v>33.0</v>
      </c>
      <c r="AL16" s="195">
        <v>4.0</v>
      </c>
      <c r="AM16" s="195">
        <v>9.0</v>
      </c>
      <c r="AN16" s="207" t="str">
        <f>IFNA(VLOOKUP($A16,'Tube Reactions'!$J$2:$K53,2,FALSE),"")</f>
        <v/>
      </c>
      <c r="AO16" s="213" t="str">
        <f t="shared" si="3"/>
        <v>NOT EQUAL</v>
      </c>
      <c r="AP16" s="214" t="str">
        <f t="shared" si="22"/>
        <v>Absent</v>
      </c>
      <c r="AQ16" s="184" t="b">
        <f t="shared" si="23"/>
        <v>0</v>
      </c>
      <c r="AR16" s="215">
        <v>15.0</v>
      </c>
      <c r="AS16" s="224" t="s">
        <v>232</v>
      </c>
      <c r="AT16" s="194"/>
      <c r="AU16" s="196" t="s">
        <v>233</v>
      </c>
      <c r="AV16" s="217">
        <v>35.0</v>
      </c>
      <c r="AW16" s="194" t="b">
        <v>0</v>
      </c>
      <c r="AX16" s="218" t="b">
        <f t="shared" si="6"/>
        <v>1</v>
      </c>
      <c r="AY16" s="206">
        <f t="shared" si="24"/>
        <v>2</v>
      </c>
      <c r="AZ16" s="219"/>
      <c r="BA16" s="220" t="b">
        <v>0</v>
      </c>
      <c r="BB16" s="213" t="str">
        <f t="shared" si="8"/>
        <v/>
      </c>
      <c r="BC16" s="184" t="str">
        <f t="shared" si="9"/>
        <v/>
      </c>
      <c r="BD16" s="184" t="str">
        <f t="shared" si="10"/>
        <v/>
      </c>
      <c r="BE16" s="181" t="b">
        <f t="shared" si="11"/>
        <v>1</v>
      </c>
      <c r="BF16" s="182">
        <f t="shared" si="12"/>
        <v>44580</v>
      </c>
      <c r="BG16" s="183" t="str">
        <f t="shared" si="13"/>
        <v>RUN-BEND_2022-01-19_RFR-015</v>
      </c>
      <c r="BH16" s="184">
        <f t="shared" si="14"/>
        <v>33</v>
      </c>
      <c r="BI16" s="184">
        <f t="shared" si="15"/>
        <v>33</v>
      </c>
      <c r="BJ16" s="184">
        <f t="shared" si="16"/>
        <v>33</v>
      </c>
      <c r="BK16" s="184">
        <f t="shared" si="17"/>
        <v>4</v>
      </c>
      <c r="BL16" s="182">
        <f>IFNA(IF(VLOOKUP(FLOOR($B16,1),'APS Tubes by Date Import'!$B$2:$J53,1,FALSE)=FLOOR($BL15,1),IFERROR(0/0,""),VLOOKUP(FLOOR($B16,1),'APS Tubes by Date Import'!$B$2:$J53,1,FALSE)),"")</f>
        <v>44580</v>
      </c>
      <c r="BM16" s="186">
        <f>IF(ISBLANK($BL16),IFERROR(0/0,""),VLOOKUP(FLOOR($B16,1),'APS Tubes by Date Import'!$B$2:$J53,2,FALSE))</f>
        <v>14</v>
      </c>
      <c r="BN16" s="183" t="str">
        <f>VLOOKUP(FLOOR($B16,1),'APS Tubes by Date Import'!$B16:$J53,11,FALSE)</f>
        <v>#REF!</v>
      </c>
      <c r="BO16" s="184">
        <f>VLOOKUP(FLOOR($B16,1),'APS Tubes by Date Import'!$B16:$I53,6,FALSE)</f>
        <v>0</v>
      </c>
      <c r="BP16" s="184">
        <f t="shared" si="21"/>
        <v>33</v>
      </c>
      <c r="BQ16" s="188">
        <f t="shared" si="18"/>
        <v>19</v>
      </c>
      <c r="BR16" s="206"/>
      <c r="BS16" s="190" t="b">
        <f t="shared" si="19"/>
        <v>1</v>
      </c>
      <c r="BT16" s="191" t="str">
        <f t="shared" si="20"/>
        <v/>
      </c>
      <c r="BU16" s="192"/>
      <c r="BV16" s="192"/>
    </row>
    <row r="17">
      <c r="A17" s="183" t="str">
        <f>CONCATENATE("RUN-",'Process Ref'!$A$1,"_",TEXT(U17,"YYYY-MM-DD"),"_RFR-",TEXT(AR17,"000"),IF(EXACT(W17,"Initial"),"",CONCATENATE("_",W17)))</f>
        <v>RUN-BEND_2022-01-19_RFR-016</v>
      </c>
      <c r="B17" s="193">
        <v>44580.52381944445</v>
      </c>
      <c r="C17" s="194"/>
      <c r="D17" s="194" t="s">
        <v>169</v>
      </c>
      <c r="E17" s="195">
        <v>15.0</v>
      </c>
      <c r="F17" s="196" t="s">
        <v>234</v>
      </c>
      <c r="G17" s="198" t="s">
        <v>235</v>
      </c>
      <c r="H17" s="228"/>
      <c r="I17" s="229" t="s">
        <v>236</v>
      </c>
      <c r="J17" s="195">
        <v>0.0</v>
      </c>
      <c r="K17" s="222"/>
      <c r="L17" s="195"/>
      <c r="M17" s="200">
        <v>1.2</v>
      </c>
      <c r="N17" s="200"/>
      <c r="O17" s="200"/>
      <c r="P17" s="201" t="b">
        <v>0</v>
      </c>
      <c r="Q17" s="201" t="b">
        <v>0</v>
      </c>
      <c r="R17" s="202"/>
      <c r="S17" s="201" t="b">
        <v>0</v>
      </c>
      <c r="T17" s="203" t="b">
        <v>0</v>
      </c>
      <c r="U17" s="204">
        <v>44580.0</v>
      </c>
      <c r="V17" s="205">
        <v>0.4166666666666667</v>
      </c>
      <c r="W17" s="194" t="s">
        <v>173</v>
      </c>
      <c r="X17" s="202"/>
      <c r="Y17" s="201" t="b">
        <v>0</v>
      </c>
      <c r="Z17" s="195">
        <v>18.0</v>
      </c>
      <c r="AA17" s="207">
        <f t="shared" si="1"/>
        <v>3</v>
      </c>
      <c r="AB17" s="208" t="b">
        <f t="shared" si="2"/>
        <v>1</v>
      </c>
      <c r="AC17" s="195">
        <v>16.0</v>
      </c>
      <c r="AD17" s="195">
        <v>0.0</v>
      </c>
      <c r="AE17" s="195">
        <v>0.0</v>
      </c>
      <c r="AF17" s="209">
        <v>0.0</v>
      </c>
      <c r="AG17" s="195">
        <v>6.0</v>
      </c>
      <c r="AH17" s="210">
        <v>6.0</v>
      </c>
      <c r="AI17" s="211">
        <v>6.0</v>
      </c>
      <c r="AJ17" s="195" t="b">
        <v>0</v>
      </c>
      <c r="AK17" s="223">
        <v>16.0</v>
      </c>
      <c r="AL17" s="195">
        <v>4.0</v>
      </c>
      <c r="AM17" s="195">
        <v>6.0</v>
      </c>
      <c r="AN17" s="207" t="str">
        <f>IFNA(VLOOKUP($A17,'Tube Reactions'!$J$2:$K53,2,FALSE),"")</f>
        <v/>
      </c>
      <c r="AO17" s="213" t="str">
        <f t="shared" si="3"/>
        <v>NOT EQUAL</v>
      </c>
      <c r="AP17" s="214" t="str">
        <f t="shared" si="22"/>
        <v>Absent</v>
      </c>
      <c r="AQ17" s="184" t="b">
        <f t="shared" si="23"/>
        <v>0</v>
      </c>
      <c r="AR17" s="215">
        <v>16.0</v>
      </c>
      <c r="AS17" s="224" t="s">
        <v>237</v>
      </c>
      <c r="AT17" s="194"/>
      <c r="AU17" s="196" t="s">
        <v>233</v>
      </c>
      <c r="AV17" s="217">
        <v>18.0</v>
      </c>
      <c r="AW17" s="210" t="b">
        <v>0</v>
      </c>
      <c r="AX17" s="218" t="b">
        <f t="shared" si="6"/>
        <v>1</v>
      </c>
      <c r="AY17" s="206">
        <f t="shared" si="24"/>
        <v>2</v>
      </c>
      <c r="AZ17" s="219"/>
      <c r="BA17" s="220" t="b">
        <v>0</v>
      </c>
      <c r="BB17" s="213" t="str">
        <f t="shared" si="8"/>
        <v/>
      </c>
      <c r="BC17" s="184" t="str">
        <f t="shared" si="9"/>
        <v/>
      </c>
      <c r="BD17" s="184" t="str">
        <f t="shared" si="10"/>
        <v/>
      </c>
      <c r="BE17" s="181" t="b">
        <f t="shared" si="11"/>
        <v>1</v>
      </c>
      <c r="BF17" s="182">
        <f t="shared" si="12"/>
        <v>44580</v>
      </c>
      <c r="BG17" s="183" t="str">
        <f t="shared" si="13"/>
        <v>RUN-BEND_2022-01-19_RFR-016</v>
      </c>
      <c r="BH17" s="184">
        <f t="shared" si="14"/>
        <v>15</v>
      </c>
      <c r="BI17" s="184">
        <f t="shared" si="15"/>
        <v>16</v>
      </c>
      <c r="BJ17" s="184">
        <f t="shared" si="16"/>
        <v>16</v>
      </c>
      <c r="BK17" s="184">
        <f t="shared" si="17"/>
        <v>4</v>
      </c>
      <c r="BL17" s="182" t="str">
        <f>IFNA(IF(VLOOKUP(FLOOR($B17,1),'APS Tubes by Date Import'!$B$2:$J53,1,FALSE)=FLOOR($BL16,1),IFERROR(0/0,""),VLOOKUP(FLOOR($B17,1),'APS Tubes by Date Import'!$B$2:$J53,1,FALSE)),"")</f>
        <v/>
      </c>
      <c r="BM17" s="186" t="str">
        <f>IF(ISBLANK($BL17),IFERROR(0/0,""),VLOOKUP(FLOOR($B17,1),'APS Tubes by Date Import'!$B$2:$J53,2,FALSE))</f>
        <v/>
      </c>
      <c r="BN17" s="183" t="str">
        <f>VLOOKUP(FLOOR($B17,1),'APS Tubes by Date Import'!$B17:$J53,11,FALSE)</f>
        <v>#REF!</v>
      </c>
      <c r="BO17" s="184">
        <f>VLOOKUP(FLOOR($B17,1),'APS Tubes by Date Import'!$B17:$I53,6,FALSE)</f>
        <v>0</v>
      </c>
      <c r="BP17" s="184">
        <f t="shared" si="21"/>
        <v>16</v>
      </c>
      <c r="BQ17" s="188">
        <f t="shared" si="18"/>
        <v>16</v>
      </c>
      <c r="BR17" s="206"/>
      <c r="BS17" s="190" t="b">
        <f t="shared" si="19"/>
        <v>1</v>
      </c>
      <c r="BT17" s="191" t="str">
        <f t="shared" si="20"/>
        <v/>
      </c>
      <c r="BU17" s="192"/>
      <c r="BV17" s="192"/>
    </row>
    <row r="18">
      <c r="A18" s="183" t="str">
        <f>CONCATENATE("RUN-",'Process Ref'!$A$1,"_",TEXT(U18,"YYYY-MM-DD"),"_RFR-",TEXT(AR18,"000"),IF(EXACT(W18,"Initial"),"",CONCATENATE("_",W18)))</f>
        <v>RUN-BEND_2022-01-21_RFR-017</v>
      </c>
      <c r="B18" s="193">
        <v>44582.49561342593</v>
      </c>
      <c r="C18" s="194"/>
      <c r="D18" s="194" t="s">
        <v>169</v>
      </c>
      <c r="E18" s="195">
        <v>14.0</v>
      </c>
      <c r="F18" s="196" t="s">
        <v>238</v>
      </c>
      <c r="G18" s="221" t="s">
        <v>239</v>
      </c>
      <c r="H18" s="221"/>
      <c r="I18" s="221" t="s">
        <v>240</v>
      </c>
      <c r="J18" s="195">
        <v>0.0</v>
      </c>
      <c r="K18" s="222" t="s">
        <v>241</v>
      </c>
      <c r="L18" s="195"/>
      <c r="M18" s="200"/>
      <c r="N18" s="200"/>
      <c r="O18" s="200"/>
      <c r="P18" s="201" t="b">
        <v>0</v>
      </c>
      <c r="Q18" s="201" t="b">
        <v>0</v>
      </c>
      <c r="R18" s="202"/>
      <c r="S18" s="201" t="b">
        <v>0</v>
      </c>
      <c r="T18" s="203" t="b">
        <v>1</v>
      </c>
      <c r="U18" s="204">
        <v>44582.0</v>
      </c>
      <c r="V18" s="205">
        <v>0.4166666666666667</v>
      </c>
      <c r="W18" s="194" t="s">
        <v>173</v>
      </c>
      <c r="X18" s="194" t="s">
        <v>242</v>
      </c>
      <c r="Y18" s="201" t="b">
        <v>0</v>
      </c>
      <c r="Z18" s="195">
        <v>16.0</v>
      </c>
      <c r="AA18" s="207">
        <f t="shared" si="1"/>
        <v>2</v>
      </c>
      <c r="AB18" s="208" t="b">
        <f t="shared" si="2"/>
        <v>0</v>
      </c>
      <c r="AC18" s="195">
        <v>14.0</v>
      </c>
      <c r="AD18" s="195">
        <v>0.0</v>
      </c>
      <c r="AE18" s="195">
        <v>0.0</v>
      </c>
      <c r="AF18" s="209">
        <v>0.0</v>
      </c>
      <c r="AG18" s="195">
        <v>7.0</v>
      </c>
      <c r="AH18" s="210">
        <v>7.0</v>
      </c>
      <c r="AI18" s="211">
        <v>7.0</v>
      </c>
      <c r="AJ18" s="195" t="b">
        <v>0</v>
      </c>
      <c r="AK18" s="223">
        <v>14.0</v>
      </c>
      <c r="AL18" s="195">
        <v>4.0</v>
      </c>
      <c r="AM18" s="195">
        <v>7.0</v>
      </c>
      <c r="AN18" s="207" t="str">
        <f>IFNA(VLOOKUP($A18,'Tube Reactions'!$J$2:$K53,2,FALSE),"")</f>
        <v/>
      </c>
      <c r="AO18" s="213" t="str">
        <f t="shared" si="3"/>
        <v>NOT EQUAL</v>
      </c>
      <c r="AP18" s="214" t="str">
        <f t="shared" si="22"/>
        <v>Absent</v>
      </c>
      <c r="AQ18" s="184" t="b">
        <f t="shared" si="23"/>
        <v>0</v>
      </c>
      <c r="AR18" s="215">
        <v>17.0</v>
      </c>
      <c r="AS18" s="224"/>
      <c r="AT18" s="194"/>
      <c r="AU18" s="196" t="s">
        <v>168</v>
      </c>
      <c r="AV18" s="217">
        <v>16.0</v>
      </c>
      <c r="AW18" s="195" t="b">
        <v>0</v>
      </c>
      <c r="AX18" s="218" t="b">
        <f t="shared" si="6"/>
        <v>1</v>
      </c>
      <c r="AY18" s="206">
        <f t="shared" si="24"/>
        <v>2</v>
      </c>
      <c r="AZ18" s="219"/>
      <c r="BA18" s="220" t="b">
        <v>0</v>
      </c>
      <c r="BB18" s="213" t="str">
        <f t="shared" si="8"/>
        <v/>
      </c>
      <c r="BC18" s="184" t="str">
        <f t="shared" si="9"/>
        <v/>
      </c>
      <c r="BD18" s="184" t="str">
        <f t="shared" si="10"/>
        <v/>
      </c>
      <c r="BE18" s="181" t="b">
        <f t="shared" si="11"/>
        <v>1</v>
      </c>
      <c r="BF18" s="182">
        <f t="shared" si="12"/>
        <v>44582</v>
      </c>
      <c r="BG18" s="183" t="str">
        <f t="shared" si="13"/>
        <v>RUN-BEND_2022-01-21_RFR-017</v>
      </c>
      <c r="BH18" s="184">
        <f t="shared" si="14"/>
        <v>14</v>
      </c>
      <c r="BI18" s="184">
        <f t="shared" si="15"/>
        <v>14</v>
      </c>
      <c r="BJ18" s="184">
        <f t="shared" si="16"/>
        <v>14</v>
      </c>
      <c r="BK18" s="184">
        <f t="shared" si="17"/>
        <v>4</v>
      </c>
      <c r="BL18" s="182">
        <f>IFNA(IF(VLOOKUP(FLOOR($B18,1),'APS Tubes by Date Import'!$B$2:$J53,1,FALSE)=FLOOR($BL17,1),IFERROR(0/0,""),VLOOKUP(FLOOR($B18,1),'APS Tubes by Date Import'!$B$2:$J53,1,FALSE)),"")</f>
        <v>44582</v>
      </c>
      <c r="BM18" s="186">
        <f>IF(ISBLANK($BL18),IFERROR(0/0,""),VLOOKUP(FLOOR($B18,1),'APS Tubes by Date Import'!$B$2:$J53,2,FALSE))</f>
        <v>14</v>
      </c>
      <c r="BN18" s="183" t="str">
        <f>VLOOKUP(FLOOR($B18,1),'APS Tubes by Date Import'!$B18:$J53,11,FALSE)</f>
        <v>#REF!</v>
      </c>
      <c r="BO18" s="184">
        <f>VLOOKUP(FLOOR($B18,1),'APS Tubes by Date Import'!$B18:$I53,6,FALSE)</f>
        <v>0</v>
      </c>
      <c r="BP18" s="184">
        <f t="shared" si="21"/>
        <v>14</v>
      </c>
      <c r="BQ18" s="188">
        <f t="shared" si="18"/>
        <v>0</v>
      </c>
      <c r="BR18" s="206"/>
      <c r="BS18" s="190" t="b">
        <f t="shared" si="19"/>
        <v>1</v>
      </c>
      <c r="BT18" s="191" t="str">
        <f t="shared" si="20"/>
        <v/>
      </c>
      <c r="BU18" s="192"/>
      <c r="BV18" s="192"/>
    </row>
    <row r="19">
      <c r="A19" s="183" t="str">
        <f>CONCATENATE("RUN-",'Process Ref'!$A$1,"_",TEXT(U19,"YYYY-MM-DD"),"_RFR-",TEXT(AR19,"000"),IF(EXACT(W19,"Initial"),"",CONCATENATE("_",W19)))</f>
        <v>RUN-BEND_2022-01-21_RFR-018_Re-run</v>
      </c>
      <c r="B19" s="193">
        <v>44582.49561342593</v>
      </c>
      <c r="C19" s="194"/>
      <c r="D19" s="194" t="s">
        <v>169</v>
      </c>
      <c r="E19" s="195"/>
      <c r="F19" s="196" t="s">
        <v>238</v>
      </c>
      <c r="G19" s="221"/>
      <c r="H19" s="221"/>
      <c r="I19" s="221" t="s">
        <v>243</v>
      </c>
      <c r="J19" s="195"/>
      <c r="K19" s="222"/>
      <c r="L19" s="195"/>
      <c r="M19" s="200"/>
      <c r="N19" s="200"/>
      <c r="O19" s="200"/>
      <c r="P19" s="201" t="b">
        <v>0</v>
      </c>
      <c r="Q19" s="201" t="b">
        <v>0</v>
      </c>
      <c r="R19" s="202"/>
      <c r="S19" s="201" t="b">
        <v>1</v>
      </c>
      <c r="T19" s="203" t="b">
        <v>1</v>
      </c>
      <c r="U19" s="204">
        <v>44582.0</v>
      </c>
      <c r="V19" s="205">
        <v>0.4583333333333333</v>
      </c>
      <c r="W19" s="194" t="s">
        <v>200</v>
      </c>
      <c r="X19" s="202"/>
      <c r="Y19" s="201" t="b">
        <v>0</v>
      </c>
      <c r="Z19" s="206"/>
      <c r="AA19" s="207" t="str">
        <f t="shared" si="1"/>
        <v/>
      </c>
      <c r="AB19" s="208" t="b">
        <f t="shared" si="2"/>
        <v>1</v>
      </c>
      <c r="AC19" s="195">
        <v>6.0</v>
      </c>
      <c r="AD19" s="195">
        <v>0.0</v>
      </c>
      <c r="AE19" s="195">
        <v>0.0</v>
      </c>
      <c r="AF19" s="209">
        <v>0.0</v>
      </c>
      <c r="AG19" s="195">
        <v>6.0</v>
      </c>
      <c r="AH19" s="210">
        <v>6.0</v>
      </c>
      <c r="AI19" s="211">
        <v>7.0</v>
      </c>
      <c r="AJ19" s="195" t="b">
        <v>1</v>
      </c>
      <c r="AK19" s="223">
        <v>6.0</v>
      </c>
      <c r="AL19" s="195">
        <v>4.0</v>
      </c>
      <c r="AM19" s="195" t="str">
        <f>IF(EXACT(W19,"Initial"),"Audit","")</f>
        <v/>
      </c>
      <c r="AN19" s="207" t="str">
        <f>IFNA(VLOOKUP($A19,'Tube Reactions'!$J$2:$K53,2,FALSE),"")</f>
        <v/>
      </c>
      <c r="AO19" s="213" t="str">
        <f t="shared" si="3"/>
        <v/>
      </c>
      <c r="AP19" s="214" t="str">
        <f t="shared" si="22"/>
        <v>Absent</v>
      </c>
      <c r="AQ19" s="184" t="b">
        <f t="shared" si="23"/>
        <v>0</v>
      </c>
      <c r="AR19" s="215">
        <v>18.0</v>
      </c>
      <c r="AS19" s="224" t="s">
        <v>244</v>
      </c>
      <c r="AT19" s="194"/>
      <c r="AU19" s="196" t="s">
        <v>168</v>
      </c>
      <c r="AV19" s="233"/>
      <c r="AW19" s="195" t="b">
        <v>0</v>
      </c>
      <c r="AX19" s="218" t="b">
        <f t="shared" si="6"/>
        <v>1</v>
      </c>
      <c r="AY19" s="206"/>
      <c r="AZ19" s="219"/>
      <c r="BA19" s="220" t="b">
        <v>0</v>
      </c>
      <c r="BB19" s="213" t="str">
        <f t="shared" si="8"/>
        <v/>
      </c>
      <c r="BC19" s="184" t="str">
        <f t="shared" si="9"/>
        <v/>
      </c>
      <c r="BD19" s="184" t="str">
        <f t="shared" si="10"/>
        <v/>
      </c>
      <c r="BE19" s="181" t="b">
        <f t="shared" si="11"/>
        <v>1</v>
      </c>
      <c r="BF19" s="182" t="str">
        <f t="shared" si="12"/>
        <v/>
      </c>
      <c r="BG19" s="183" t="str">
        <f t="shared" si="13"/>
        <v/>
      </c>
      <c r="BH19" s="184" t="str">
        <f t="shared" si="14"/>
        <v/>
      </c>
      <c r="BI19" s="184" t="str">
        <f t="shared" si="15"/>
        <v/>
      </c>
      <c r="BJ19" s="184" t="str">
        <f t="shared" si="16"/>
        <v/>
      </c>
      <c r="BK19" s="184" t="str">
        <f t="shared" si="17"/>
        <v/>
      </c>
      <c r="BL19" s="182" t="str">
        <f>IFNA(IF(VLOOKUP(FLOOR($B19,1),'APS Tubes by Date Import'!$B$2:$J53,1,FALSE)=FLOOR($BL18,1),IFERROR(0/0,""),VLOOKUP(FLOOR($B19,1),'APS Tubes by Date Import'!$B$2:$J53,1,FALSE)),"")</f>
        <v/>
      </c>
      <c r="BM19" s="186" t="str">
        <f>IF(ISBLANK($BL19),IFERROR(0/0,""),VLOOKUP(FLOOR($B19,1),'APS Tubes by Date Import'!$B$2:$J53,2,FALSE))</f>
        <v/>
      </c>
      <c r="BN19" s="183" t="str">
        <f>VLOOKUP(FLOOR($B19,1),'APS Tubes by Date Import'!$B19:$J53,11,FALSE)</f>
        <v>#REF!</v>
      </c>
      <c r="BO19" s="184">
        <f>VLOOKUP(FLOOR($B19,1),'APS Tubes by Date Import'!$B19:$I53,6,FALSE)</f>
        <v>0</v>
      </c>
      <c r="BP19" s="184" t="str">
        <f t="shared" si="21"/>
        <v/>
      </c>
      <c r="BQ19" s="188">
        <f t="shared" si="18"/>
        <v>0</v>
      </c>
      <c r="BR19" s="206"/>
      <c r="BS19" s="190" t="str">
        <f t="shared" si="19"/>
        <v/>
      </c>
      <c r="BT19" s="191" t="str">
        <f t="shared" si="20"/>
        <v/>
      </c>
      <c r="BU19" s="192"/>
      <c r="BV19" s="192"/>
    </row>
    <row r="20">
      <c r="A20" s="183" t="str">
        <f>CONCATENATE("RUN-",'Process Ref'!$A$1,"_",TEXT(U20,"YYYY-MM-DD"),"_RFR-",TEXT(AR20,"000"),IF(EXACT(W20,"Initial"),"",CONCATENATE("_",W20)))</f>
        <v>RUN-BEND_2022-01-24_RFR-019</v>
      </c>
      <c r="B20" s="193">
        <v>44585.47454861111</v>
      </c>
      <c r="C20" s="194"/>
      <c r="D20" s="194" t="s">
        <v>169</v>
      </c>
      <c r="E20" s="195">
        <v>16.0</v>
      </c>
      <c r="F20" s="196" t="s">
        <v>245</v>
      </c>
      <c r="G20" s="198" t="s">
        <v>246</v>
      </c>
      <c r="H20" s="198"/>
      <c r="I20" s="198" t="s">
        <v>247</v>
      </c>
      <c r="J20" s="195">
        <v>1.0</v>
      </c>
      <c r="K20" s="222"/>
      <c r="L20" s="195"/>
      <c r="M20" s="200"/>
      <c r="N20" s="200"/>
      <c r="O20" s="200"/>
      <c r="P20" s="201" t="b">
        <v>0</v>
      </c>
      <c r="Q20" s="201" t="b">
        <v>0</v>
      </c>
      <c r="R20" s="202"/>
      <c r="S20" s="201" t="b">
        <v>0</v>
      </c>
      <c r="T20" s="203" t="b">
        <v>0</v>
      </c>
      <c r="U20" s="204">
        <v>44585.0</v>
      </c>
      <c r="V20" s="205">
        <v>0.4166666666666667</v>
      </c>
      <c r="W20" s="194" t="s">
        <v>173</v>
      </c>
      <c r="X20" s="202"/>
      <c r="Y20" s="201" t="b">
        <v>0</v>
      </c>
      <c r="Z20" s="206"/>
      <c r="AA20" s="207" t="str">
        <f t="shared" si="1"/>
        <v/>
      </c>
      <c r="AB20" s="208" t="b">
        <f t="shared" si="2"/>
        <v>1</v>
      </c>
      <c r="AC20" s="195">
        <v>17.0</v>
      </c>
      <c r="AD20" s="195">
        <v>1.0</v>
      </c>
      <c r="AE20" s="195">
        <v>1.0</v>
      </c>
      <c r="AF20" s="209">
        <v>1.0</v>
      </c>
      <c r="AG20" s="195">
        <v>4.0</v>
      </c>
      <c r="AH20" s="210">
        <v>4.0</v>
      </c>
      <c r="AI20" s="211">
        <v>4.0</v>
      </c>
      <c r="AJ20" s="195" t="b">
        <v>0</v>
      </c>
      <c r="AK20" s="212">
        <v>16.0</v>
      </c>
      <c r="AL20" s="195">
        <v>4.0</v>
      </c>
      <c r="AM20" s="195">
        <v>5.0</v>
      </c>
      <c r="AN20" s="207" t="str">
        <f>IFNA(VLOOKUP($A20,'Tube Reactions'!$J$2:$K53,2,FALSE),"")</f>
        <v/>
      </c>
      <c r="AO20" s="213" t="str">
        <f t="shared" si="3"/>
        <v>NOT EQUAL</v>
      </c>
      <c r="AP20" s="214" t="str">
        <f t="shared" si="22"/>
        <v>Absent</v>
      </c>
      <c r="AQ20" s="184" t="b">
        <f t="shared" si="23"/>
        <v>0</v>
      </c>
      <c r="AR20" s="215">
        <v>19.0</v>
      </c>
      <c r="AS20" s="224"/>
      <c r="AT20" s="194"/>
      <c r="AU20" s="196" t="s">
        <v>168</v>
      </c>
      <c r="AV20" s="217">
        <v>19.0</v>
      </c>
      <c r="AW20" s="194" t="b">
        <v>0</v>
      </c>
      <c r="AX20" s="218" t="b">
        <f t="shared" si="6"/>
        <v>1</v>
      </c>
      <c r="AY20" s="206">
        <f t="shared" ref="AY20:AY21" si="25">AV20-AC20</f>
        <v>2</v>
      </c>
      <c r="AZ20" s="219"/>
      <c r="BA20" s="220" t="b">
        <v>1</v>
      </c>
      <c r="BB20" s="213" t="b">
        <f t="shared" si="8"/>
        <v>1</v>
      </c>
      <c r="BC20" s="184">
        <f t="shared" si="9"/>
        <v>4</v>
      </c>
      <c r="BD20" s="184">
        <f t="shared" si="10"/>
        <v>16</v>
      </c>
      <c r="BE20" s="181" t="b">
        <f t="shared" si="11"/>
        <v>1</v>
      </c>
      <c r="BF20" s="182">
        <f t="shared" si="12"/>
        <v>44585</v>
      </c>
      <c r="BG20" s="183" t="str">
        <f t="shared" si="13"/>
        <v>RUN-BEND_2022-01-24_RFR-019</v>
      </c>
      <c r="BH20" s="184">
        <f t="shared" si="14"/>
        <v>16</v>
      </c>
      <c r="BI20" s="184">
        <f t="shared" si="15"/>
        <v>17</v>
      </c>
      <c r="BJ20" s="184">
        <f t="shared" si="16"/>
        <v>16</v>
      </c>
      <c r="BK20" s="184">
        <f t="shared" si="17"/>
        <v>4</v>
      </c>
      <c r="BL20" s="182">
        <f>IFNA(IF(VLOOKUP(FLOOR($B20,1),'APS Tubes by Date Import'!$B$2:$J53,1,FALSE)=FLOOR($BL19,1),IFERROR(0/0,""),VLOOKUP(FLOOR($B20,1),'APS Tubes by Date Import'!$B$2:$J53,1,FALSE)),"")</f>
        <v>44585</v>
      </c>
      <c r="BM20" s="186">
        <f>IF(ISBLANK($BL20),IFERROR(0/0,""),VLOOKUP(FLOOR($B20,1),'APS Tubes by Date Import'!$B$2:$J53,2,FALSE))</f>
        <v>16</v>
      </c>
      <c r="BN20" s="183" t="str">
        <f>VLOOKUP(FLOOR($B20,1),'APS Tubes by Date Import'!$B20:$J53,11,FALSE)</f>
        <v>#REF!</v>
      </c>
      <c r="BO20" s="184">
        <f>VLOOKUP(FLOOR($B20,1),'APS Tubes by Date Import'!$B20:$I53,6,FALSE)</f>
        <v>0</v>
      </c>
      <c r="BP20" s="184">
        <f t="shared" si="21"/>
        <v>16</v>
      </c>
      <c r="BQ20" s="188">
        <f t="shared" si="18"/>
        <v>0</v>
      </c>
      <c r="BR20" s="206"/>
      <c r="BS20" s="190" t="b">
        <f t="shared" si="19"/>
        <v>1</v>
      </c>
      <c r="BT20" s="191" t="str">
        <f t="shared" si="20"/>
        <v/>
      </c>
      <c r="BU20" s="192"/>
      <c r="BV20" s="192"/>
    </row>
    <row r="21">
      <c r="A21" s="183" t="str">
        <f>CONCATENATE("RUN-",'Process Ref'!$A$1,"_",TEXT(U21,"YYYY-MM-DD"),"_RFR-",TEXT(AR21,"000"),IF(EXACT(W21,"Initial"),"",CONCATENATE("_",W21)))</f>
        <v>RUN-BEND_2022-01-26_RFR-020</v>
      </c>
      <c r="B21" s="193">
        <v>44587.49961805555</v>
      </c>
      <c r="C21" s="194"/>
      <c r="D21" s="194" t="s">
        <v>169</v>
      </c>
      <c r="E21" s="195">
        <v>13.0</v>
      </c>
      <c r="F21" s="196" t="s">
        <v>248</v>
      </c>
      <c r="G21" s="198" t="s">
        <v>249</v>
      </c>
      <c r="H21" s="228"/>
      <c r="I21" s="229" t="s">
        <v>250</v>
      </c>
      <c r="J21" s="195">
        <v>1.0</v>
      </c>
      <c r="K21" s="222" t="s">
        <v>251</v>
      </c>
      <c r="L21" s="195"/>
      <c r="M21" s="200"/>
      <c r="N21" s="200"/>
      <c r="O21" s="200"/>
      <c r="P21" s="201" t="b">
        <v>0</v>
      </c>
      <c r="Q21" s="201" t="b">
        <v>0</v>
      </c>
      <c r="R21" s="202"/>
      <c r="S21" s="201" t="b">
        <v>0</v>
      </c>
      <c r="T21" s="203" t="b">
        <v>1</v>
      </c>
      <c r="U21" s="204">
        <v>44587.0</v>
      </c>
      <c r="V21" s="205">
        <v>0.4375</v>
      </c>
      <c r="W21" s="194" t="s">
        <v>173</v>
      </c>
      <c r="X21" s="202"/>
      <c r="Y21" s="201" t="b">
        <v>0</v>
      </c>
      <c r="Z21" s="195">
        <v>15.0</v>
      </c>
      <c r="AA21" s="207">
        <f t="shared" si="1"/>
        <v>2</v>
      </c>
      <c r="AB21" s="208" t="b">
        <f t="shared" si="2"/>
        <v>0</v>
      </c>
      <c r="AC21" s="195">
        <v>14.0</v>
      </c>
      <c r="AD21" s="195">
        <v>1.0</v>
      </c>
      <c r="AE21" s="195">
        <v>1.0</v>
      </c>
      <c r="AF21" s="209">
        <v>0.0</v>
      </c>
      <c r="AG21" s="195">
        <v>0.0</v>
      </c>
      <c r="AH21" s="210">
        <v>0.0</v>
      </c>
      <c r="AI21" s="211">
        <v>0.0</v>
      </c>
      <c r="AJ21" s="195" t="b">
        <v>0</v>
      </c>
      <c r="AK21" s="212">
        <v>13.0</v>
      </c>
      <c r="AL21" s="195">
        <v>1.1</v>
      </c>
      <c r="AM21" s="195">
        <v>1.0</v>
      </c>
      <c r="AN21" s="207">
        <v>1.0</v>
      </c>
      <c r="AO21" s="213" t="str">
        <f t="shared" si="3"/>
        <v/>
      </c>
      <c r="AP21" s="214" t="str">
        <f t="shared" si="22"/>
        <v>Absent</v>
      </c>
      <c r="AQ21" s="184" t="b">
        <f t="shared" si="23"/>
        <v>0</v>
      </c>
      <c r="AR21" s="215">
        <v>20.0</v>
      </c>
      <c r="AS21" s="224" t="s">
        <v>252</v>
      </c>
      <c r="AT21" s="194"/>
      <c r="AU21" s="196" t="s">
        <v>168</v>
      </c>
      <c r="AV21" s="217">
        <v>18.0</v>
      </c>
      <c r="AW21" s="210" t="b">
        <v>0</v>
      </c>
      <c r="AX21" s="218" t="b">
        <f t="shared" si="6"/>
        <v>1</v>
      </c>
      <c r="AY21" s="206">
        <f t="shared" si="25"/>
        <v>4</v>
      </c>
      <c r="AZ21" s="234" t="s">
        <v>253</v>
      </c>
      <c r="BA21" s="220" t="b">
        <v>0</v>
      </c>
      <c r="BB21" s="213" t="str">
        <f t="shared" si="8"/>
        <v/>
      </c>
      <c r="BC21" s="184" t="str">
        <f t="shared" si="9"/>
        <v/>
      </c>
      <c r="BD21" s="184" t="str">
        <f t="shared" si="10"/>
        <v/>
      </c>
      <c r="BE21" s="181" t="b">
        <f t="shared" si="11"/>
        <v>1</v>
      </c>
      <c r="BF21" s="182">
        <f t="shared" si="12"/>
        <v>44587</v>
      </c>
      <c r="BG21" s="183" t="str">
        <f t="shared" si="13"/>
        <v>RUN-BEND_2022-01-26_RFR-020</v>
      </c>
      <c r="BH21" s="184">
        <f t="shared" si="14"/>
        <v>13</v>
      </c>
      <c r="BI21" s="184">
        <f t="shared" si="15"/>
        <v>14</v>
      </c>
      <c r="BJ21" s="184">
        <f t="shared" si="16"/>
        <v>13</v>
      </c>
      <c r="BK21" s="184">
        <f t="shared" si="17"/>
        <v>1.1</v>
      </c>
      <c r="BL21" s="182">
        <f>IFNA(IF(VLOOKUP(FLOOR($B21,1),'APS Tubes by Date Import'!$B$2:$J53,1,FALSE)=FLOOR($BL20,1),IFERROR(0/0,""),VLOOKUP(FLOOR($B21,1),'APS Tubes by Date Import'!$B$2:$J53,1,FALSE)),"")</f>
        <v>44587</v>
      </c>
      <c r="BM21" s="186">
        <f>IF(ISBLANK($BL21),IFERROR(0/0,""),VLOOKUP(FLOOR($B21,1),'APS Tubes by Date Import'!$B$2:$J53,2,FALSE))</f>
        <v>13</v>
      </c>
      <c r="BN21" s="183" t="str">
        <f>VLOOKUP(FLOOR($B21,1),'APS Tubes by Date Import'!$B21:$J53,11,FALSE)</f>
        <v>#REF!</v>
      </c>
      <c r="BO21" s="184">
        <f>VLOOKUP(FLOOR($B21,1),'APS Tubes by Date Import'!$B21:$I53,6,FALSE)</f>
        <v>0</v>
      </c>
      <c r="BP21" s="184">
        <f t="shared" si="21"/>
        <v>13</v>
      </c>
      <c r="BQ21" s="188">
        <f t="shared" si="18"/>
        <v>0</v>
      </c>
      <c r="BR21" s="206"/>
      <c r="BS21" s="190" t="b">
        <f t="shared" si="19"/>
        <v>1</v>
      </c>
      <c r="BT21" s="191" t="str">
        <f t="shared" si="20"/>
        <v/>
      </c>
      <c r="BU21" s="192"/>
      <c r="BV21" s="192"/>
    </row>
    <row r="22">
      <c r="A22" s="183" t="str">
        <f>CONCATENATE("RUN-",'Process Ref'!$A$1,"_",TEXT(U22,"YYYY-MM-DD"),"_RFR-",TEXT(AR22,"000"),IF(EXACT(W22,"Initial"),"",CONCATENATE("_",W22)))</f>
        <v>RUN-BEND_2022-01-26_RFR-021_Re-run</v>
      </c>
      <c r="B22" s="193">
        <v>44587.49961805555</v>
      </c>
      <c r="C22" s="194"/>
      <c r="D22" s="194" t="s">
        <v>169</v>
      </c>
      <c r="E22" s="195"/>
      <c r="F22" s="196" t="s">
        <v>248</v>
      </c>
      <c r="G22" s="221"/>
      <c r="H22" s="221"/>
      <c r="I22" s="221" t="s">
        <v>254</v>
      </c>
      <c r="J22" s="195"/>
      <c r="K22" s="226"/>
      <c r="L22" s="195"/>
      <c r="M22" s="200"/>
      <c r="N22" s="200"/>
      <c r="O22" s="200"/>
      <c r="P22" s="201" t="b">
        <v>0</v>
      </c>
      <c r="Q22" s="201" t="b">
        <v>0</v>
      </c>
      <c r="R22" s="202"/>
      <c r="S22" s="201" t="b">
        <v>1</v>
      </c>
      <c r="T22" s="203" t="b">
        <v>1</v>
      </c>
      <c r="U22" s="204">
        <v>44587.0</v>
      </c>
      <c r="V22" s="205">
        <v>0.4791666666666667</v>
      </c>
      <c r="W22" s="194" t="s">
        <v>200</v>
      </c>
      <c r="X22" s="202"/>
      <c r="Y22" s="201" t="b">
        <v>0</v>
      </c>
      <c r="Z22" s="195">
        <v>15.0</v>
      </c>
      <c r="AA22" s="207">
        <f t="shared" si="1"/>
        <v>15</v>
      </c>
      <c r="AB22" s="208" t="b">
        <f t="shared" si="2"/>
        <v>1</v>
      </c>
      <c r="AC22" s="195">
        <v>2.0</v>
      </c>
      <c r="AD22" s="195">
        <v>0.0</v>
      </c>
      <c r="AE22" s="195">
        <v>0.0</v>
      </c>
      <c r="AF22" s="209">
        <v>0.0</v>
      </c>
      <c r="AG22" s="195">
        <v>0.0</v>
      </c>
      <c r="AH22" s="210">
        <v>0.0</v>
      </c>
      <c r="AI22" s="211">
        <v>0.0</v>
      </c>
      <c r="AJ22" s="195" t="b">
        <v>1</v>
      </c>
      <c r="AK22" s="223">
        <v>1.0</v>
      </c>
      <c r="AL22" s="195">
        <v>0.0</v>
      </c>
      <c r="AM22" s="195" t="str">
        <f>IF(EXACT(W22,"Initial"),"Audit","")</f>
        <v/>
      </c>
      <c r="AN22" s="207" t="str">
        <f>IFNA(VLOOKUP($A22,'Tube Reactions'!$J$2:$K53,2,FALSE),"")</f>
        <v/>
      </c>
      <c r="AO22" s="213" t="str">
        <f t="shared" si="3"/>
        <v/>
      </c>
      <c r="AP22" s="214" t="str">
        <f t="shared" si="22"/>
        <v>Absent</v>
      </c>
      <c r="AQ22" s="184" t="b">
        <f t="shared" si="23"/>
        <v>0</v>
      </c>
      <c r="AR22" s="215">
        <v>21.0</v>
      </c>
      <c r="AS22" s="224"/>
      <c r="AT22" s="194"/>
      <c r="AU22" s="196" t="s">
        <v>168</v>
      </c>
      <c r="AV22" s="233"/>
      <c r="AW22" s="195" t="b">
        <v>0</v>
      </c>
      <c r="AX22" s="218" t="b">
        <f t="shared" si="6"/>
        <v>0</v>
      </c>
      <c r="AY22" s="206"/>
      <c r="AZ22" s="219"/>
      <c r="BA22" s="220" t="b">
        <v>0</v>
      </c>
      <c r="BB22" s="213" t="str">
        <f t="shared" si="8"/>
        <v/>
      </c>
      <c r="BC22" s="184" t="str">
        <f t="shared" si="9"/>
        <v/>
      </c>
      <c r="BD22" s="184" t="str">
        <f t="shared" si="10"/>
        <v/>
      </c>
      <c r="BE22" s="181" t="b">
        <f t="shared" si="11"/>
        <v>1</v>
      </c>
      <c r="BF22" s="182" t="str">
        <f t="shared" si="12"/>
        <v/>
      </c>
      <c r="BG22" s="183" t="str">
        <f t="shared" si="13"/>
        <v/>
      </c>
      <c r="BH22" s="184" t="str">
        <f t="shared" si="14"/>
        <v/>
      </c>
      <c r="BI22" s="184" t="str">
        <f t="shared" si="15"/>
        <v/>
      </c>
      <c r="BJ22" s="184" t="str">
        <f t="shared" si="16"/>
        <v/>
      </c>
      <c r="BK22" s="184" t="str">
        <f t="shared" si="17"/>
        <v/>
      </c>
      <c r="BL22" s="182" t="str">
        <f>IFNA(IF(VLOOKUP(FLOOR($B22,1),'APS Tubes by Date Import'!$B$2:$J53,1,FALSE)=FLOOR($BL21,1),IFERROR(0/0,""),VLOOKUP(FLOOR($B22,1),'APS Tubes by Date Import'!$B$2:$J53,1,FALSE)),"")</f>
        <v/>
      </c>
      <c r="BM22" s="186" t="str">
        <f>IF(ISBLANK($BL22),IFERROR(0/0,""),VLOOKUP(FLOOR($B22,1),'APS Tubes by Date Import'!$B$2:$J53,2,FALSE))</f>
        <v/>
      </c>
      <c r="BN22" s="183" t="str">
        <f>VLOOKUP(FLOOR($B22,1),'APS Tubes by Date Import'!$B22:$J53,11,FALSE)</f>
        <v>#REF!</v>
      </c>
      <c r="BO22" s="184">
        <f>VLOOKUP(FLOOR($B22,1),'APS Tubes by Date Import'!$B22:$I53,6,FALSE)</f>
        <v>0</v>
      </c>
      <c r="BP22" s="184" t="str">
        <f t="shared" si="21"/>
        <v/>
      </c>
      <c r="BQ22" s="188">
        <f t="shared" si="18"/>
        <v>0</v>
      </c>
      <c r="BR22" s="206"/>
      <c r="BS22" s="190" t="str">
        <f t="shared" si="19"/>
        <v/>
      </c>
      <c r="BT22" s="191" t="str">
        <f t="shared" si="20"/>
        <v/>
      </c>
      <c r="BU22" s="192"/>
      <c r="BV22" s="192"/>
    </row>
    <row r="23">
      <c r="A23" s="183" t="str">
        <f>CONCATENATE("RUN-",'Process Ref'!$A$1,"_",TEXT(U23,"YYYY-MM-DD"),"_RFR-",TEXT(AR23,"000"),IF(EXACT(W23,"Initial"),"",CONCATENATE("_",W23)))</f>
        <v>RUN-BEND_2022-01-28_RFR-022</v>
      </c>
      <c r="B23" s="193">
        <v>44589.47217592593</v>
      </c>
      <c r="C23" s="194"/>
      <c r="D23" s="194" t="s">
        <v>169</v>
      </c>
      <c r="E23" s="195">
        <v>7.0</v>
      </c>
      <c r="F23" s="196" t="s">
        <v>255</v>
      </c>
      <c r="G23" s="221" t="s">
        <v>256</v>
      </c>
      <c r="H23" s="221"/>
      <c r="I23" s="221" t="s">
        <v>257</v>
      </c>
      <c r="J23" s="195">
        <v>1.0</v>
      </c>
      <c r="K23" s="222" t="s">
        <v>258</v>
      </c>
      <c r="L23" s="195"/>
      <c r="M23" s="200"/>
      <c r="N23" s="200"/>
      <c r="O23" s="200"/>
      <c r="P23" s="201" t="b">
        <v>0</v>
      </c>
      <c r="Q23" s="201" t="b">
        <v>0</v>
      </c>
      <c r="R23" s="202"/>
      <c r="S23" s="201" t="b">
        <v>0</v>
      </c>
      <c r="T23" s="203" t="b">
        <v>1</v>
      </c>
      <c r="U23" s="204">
        <v>44589.0</v>
      </c>
      <c r="V23" s="205">
        <v>0.4166666666666667</v>
      </c>
      <c r="W23" s="194" t="s">
        <v>173</v>
      </c>
      <c r="X23" s="194" t="s">
        <v>258</v>
      </c>
      <c r="Y23" s="201" t="b">
        <v>0</v>
      </c>
      <c r="Z23" s="195">
        <v>9.0</v>
      </c>
      <c r="AA23" s="207">
        <f t="shared" si="1"/>
        <v>2</v>
      </c>
      <c r="AB23" s="208" t="b">
        <f t="shared" si="2"/>
        <v>0</v>
      </c>
      <c r="AC23" s="195">
        <v>7.0</v>
      </c>
      <c r="AD23" s="195">
        <v>1.0</v>
      </c>
      <c r="AE23" s="195">
        <v>1.0</v>
      </c>
      <c r="AF23" s="209">
        <v>0.0</v>
      </c>
      <c r="AG23" s="195">
        <v>0.0</v>
      </c>
      <c r="AH23" s="210">
        <v>0.0</v>
      </c>
      <c r="AI23" s="211">
        <v>0.0</v>
      </c>
      <c r="AJ23" s="195" t="b">
        <v>0</v>
      </c>
      <c r="AK23" s="223">
        <v>7.0</v>
      </c>
      <c r="AL23" s="195">
        <v>1.0</v>
      </c>
      <c r="AM23" s="195">
        <v>1.0</v>
      </c>
      <c r="AN23" s="207" t="str">
        <f>IFNA(VLOOKUP($A23,'Tube Reactions'!$J$2:$K53,2,FALSE),"")</f>
        <v/>
      </c>
      <c r="AO23" s="213" t="str">
        <f t="shared" si="3"/>
        <v>NOT EQUAL</v>
      </c>
      <c r="AP23" s="214" t="str">
        <f t="shared" si="22"/>
        <v>Absent</v>
      </c>
      <c r="AQ23" s="184" t="b">
        <f t="shared" si="23"/>
        <v>0</v>
      </c>
      <c r="AR23" s="215">
        <v>22.0</v>
      </c>
      <c r="AS23" s="224"/>
      <c r="AT23" s="194"/>
      <c r="AU23" s="196" t="s">
        <v>168</v>
      </c>
      <c r="AV23" s="217">
        <v>9.0</v>
      </c>
      <c r="AW23" s="195" t="b">
        <v>0</v>
      </c>
      <c r="AX23" s="218" t="b">
        <f t="shared" si="6"/>
        <v>1</v>
      </c>
      <c r="AY23" s="206">
        <f>AV23-AC23</f>
        <v>2</v>
      </c>
      <c r="AZ23" s="219"/>
      <c r="BA23" s="220" t="b">
        <v>0</v>
      </c>
      <c r="BB23" s="213" t="str">
        <f t="shared" si="8"/>
        <v/>
      </c>
      <c r="BC23" s="184" t="str">
        <f t="shared" si="9"/>
        <v/>
      </c>
      <c r="BD23" s="184" t="str">
        <f t="shared" si="10"/>
        <v/>
      </c>
      <c r="BE23" s="181" t="b">
        <f t="shared" si="11"/>
        <v>1</v>
      </c>
      <c r="BF23" s="182">
        <f t="shared" si="12"/>
        <v>44589</v>
      </c>
      <c r="BG23" s="183" t="str">
        <f t="shared" si="13"/>
        <v>RUN-BEND_2022-01-28_RFR-022</v>
      </c>
      <c r="BH23" s="184">
        <f t="shared" si="14"/>
        <v>7</v>
      </c>
      <c r="BI23" s="184">
        <f t="shared" si="15"/>
        <v>7</v>
      </c>
      <c r="BJ23" s="184">
        <f t="shared" si="16"/>
        <v>7</v>
      </c>
      <c r="BK23" s="184">
        <f t="shared" si="17"/>
        <v>1</v>
      </c>
      <c r="BL23" s="182">
        <f>IFNA(IF(VLOOKUP(FLOOR($B23,1),'APS Tubes by Date Import'!$B$2:$J53,1,FALSE)=FLOOR($BL22,1),IFERROR(0/0,""),VLOOKUP(FLOOR($B23,1),'APS Tubes by Date Import'!$B$2:$J53,1,FALSE)),"")</f>
        <v>44589</v>
      </c>
      <c r="BM23" s="186">
        <f>IF(ISBLANK($BL23),IFERROR(0/0,""),VLOOKUP(FLOOR($B23,1),'APS Tubes by Date Import'!$B$2:$J53,2,FALSE))</f>
        <v>7</v>
      </c>
      <c r="BN23" s="183" t="str">
        <f>VLOOKUP(FLOOR($B23,1),'APS Tubes by Date Import'!$B23:$J53,11,FALSE)</f>
        <v>#REF!</v>
      </c>
      <c r="BO23" s="184">
        <f>VLOOKUP(FLOOR($B23,1),'APS Tubes by Date Import'!$B23:$I53,6,FALSE)</f>
        <v>0</v>
      </c>
      <c r="BP23" s="184">
        <f t="shared" si="21"/>
        <v>7</v>
      </c>
      <c r="BQ23" s="188">
        <f t="shared" si="18"/>
        <v>0</v>
      </c>
      <c r="BR23" s="206"/>
      <c r="BS23" s="190" t="b">
        <f t="shared" si="19"/>
        <v>1</v>
      </c>
      <c r="BT23" s="191" t="str">
        <f t="shared" si="20"/>
        <v/>
      </c>
      <c r="BU23" s="192"/>
      <c r="BV23" s="192"/>
    </row>
    <row r="24">
      <c r="A24" s="183" t="str">
        <f>CONCATENATE("RUN-",'Process Ref'!$A$1,"_",TEXT(U24,"YYYY-MM-DD"),"_RFR-",TEXT(AR24,"000"),IF(EXACT(W24,"Initial"),"",CONCATENATE("_",W24)))</f>
        <v>RUN-BEND_2022-01-28_RFR-023_Re-run</v>
      </c>
      <c r="B24" s="193">
        <v>44589.47217592593</v>
      </c>
      <c r="C24" s="194"/>
      <c r="D24" s="194" t="s">
        <v>169</v>
      </c>
      <c r="E24" s="195"/>
      <c r="F24" s="196" t="s">
        <v>255</v>
      </c>
      <c r="G24" s="198"/>
      <c r="H24" s="198"/>
      <c r="I24" s="198" t="s">
        <v>254</v>
      </c>
      <c r="J24" s="195"/>
      <c r="K24" s="222"/>
      <c r="L24" s="195"/>
      <c r="M24" s="200"/>
      <c r="N24" s="200"/>
      <c r="O24" s="200"/>
      <c r="P24" s="201" t="b">
        <v>0</v>
      </c>
      <c r="Q24" s="201" t="b">
        <v>0</v>
      </c>
      <c r="R24" s="202"/>
      <c r="S24" s="201" t="b">
        <v>1</v>
      </c>
      <c r="T24" s="203" t="b">
        <v>1</v>
      </c>
      <c r="U24" s="204">
        <v>44589.0</v>
      </c>
      <c r="V24" s="205">
        <v>0.4583333333333333</v>
      </c>
      <c r="W24" s="194" t="s">
        <v>200</v>
      </c>
      <c r="X24" s="202"/>
      <c r="Y24" s="201" t="b">
        <v>0</v>
      </c>
      <c r="Z24" s="195"/>
      <c r="AA24" s="207" t="str">
        <f t="shared" si="1"/>
        <v/>
      </c>
      <c r="AB24" s="208" t="b">
        <f t="shared" si="2"/>
        <v>1</v>
      </c>
      <c r="AC24" s="235">
        <v>1.0</v>
      </c>
      <c r="AD24" s="195">
        <v>0.0</v>
      </c>
      <c r="AE24" s="195">
        <v>0.0</v>
      </c>
      <c r="AF24" s="209">
        <v>0.0</v>
      </c>
      <c r="AG24" s="195">
        <v>0.0</v>
      </c>
      <c r="AH24" s="210">
        <v>0.0</v>
      </c>
      <c r="AI24" s="211">
        <v>0.0</v>
      </c>
      <c r="AJ24" s="195" t="b">
        <v>1</v>
      </c>
      <c r="AK24" s="223">
        <v>1.0</v>
      </c>
      <c r="AL24" s="195">
        <v>0.0</v>
      </c>
      <c r="AM24" s="195" t="str">
        <f>IF(EXACT(W24,"Initial"),"Audit","")</f>
        <v/>
      </c>
      <c r="AN24" s="207" t="str">
        <f>IFNA(VLOOKUP($A24,'Tube Reactions'!$J$2:$K53,2,FALSE),"")</f>
        <v/>
      </c>
      <c r="AO24" s="213" t="str">
        <f t="shared" si="3"/>
        <v/>
      </c>
      <c r="AP24" s="214" t="str">
        <f t="shared" si="22"/>
        <v>Absent</v>
      </c>
      <c r="AQ24" s="184" t="b">
        <f t="shared" si="23"/>
        <v>0</v>
      </c>
      <c r="AR24" s="215">
        <v>23.0</v>
      </c>
      <c r="AS24" s="224" t="s">
        <v>259</v>
      </c>
      <c r="AT24" s="194"/>
      <c r="AU24" s="196" t="s">
        <v>168</v>
      </c>
      <c r="AV24" s="233"/>
      <c r="AW24" s="195" t="b">
        <v>0</v>
      </c>
      <c r="AX24" s="218" t="b">
        <f t="shared" si="6"/>
        <v>0</v>
      </c>
      <c r="AY24" s="227"/>
      <c r="AZ24" s="219"/>
      <c r="BA24" s="220" t="b">
        <v>0</v>
      </c>
      <c r="BB24" s="213" t="str">
        <f t="shared" si="8"/>
        <v/>
      </c>
      <c r="BC24" s="184" t="str">
        <f t="shared" si="9"/>
        <v/>
      </c>
      <c r="BD24" s="184" t="str">
        <f t="shared" si="10"/>
        <v/>
      </c>
      <c r="BE24" s="181" t="b">
        <f t="shared" si="11"/>
        <v>1</v>
      </c>
      <c r="BF24" s="182" t="str">
        <f t="shared" si="12"/>
        <v/>
      </c>
      <c r="BG24" s="183" t="str">
        <f t="shared" si="13"/>
        <v/>
      </c>
      <c r="BH24" s="184" t="str">
        <f t="shared" si="14"/>
        <v/>
      </c>
      <c r="BI24" s="184" t="str">
        <f t="shared" si="15"/>
        <v/>
      </c>
      <c r="BJ24" s="184" t="str">
        <f t="shared" si="16"/>
        <v/>
      </c>
      <c r="BK24" s="184" t="str">
        <f t="shared" si="17"/>
        <v/>
      </c>
      <c r="BL24" s="182" t="str">
        <f>IFNA(IF(VLOOKUP(FLOOR($B24,1),'APS Tubes by Date Import'!$B$2:$J53,1,FALSE)=FLOOR($BL23,1),IFERROR(0/0,""),VLOOKUP(FLOOR($B24,1),'APS Tubes by Date Import'!$B$2:$J53,1,FALSE)),"")</f>
        <v/>
      </c>
      <c r="BM24" s="186" t="str">
        <f>IF(ISBLANK($BL24),IFERROR(0/0,""),VLOOKUP(FLOOR($B24,1),'APS Tubes by Date Import'!$B$2:$J53,2,FALSE))</f>
        <v/>
      </c>
      <c r="BN24" s="183" t="str">
        <f>VLOOKUP(FLOOR($B24,1),'APS Tubes by Date Import'!$B24:$J53,11,FALSE)</f>
        <v>#REF!</v>
      </c>
      <c r="BO24" s="184">
        <f>VLOOKUP(FLOOR($B24,1),'APS Tubes by Date Import'!$B24:$I53,6,FALSE)</f>
        <v>0</v>
      </c>
      <c r="BP24" s="184" t="str">
        <f t="shared" si="21"/>
        <v/>
      </c>
      <c r="BQ24" s="188">
        <f t="shared" si="18"/>
        <v>0</v>
      </c>
      <c r="BR24" s="206"/>
      <c r="BS24" s="190" t="str">
        <f t="shared" si="19"/>
        <v/>
      </c>
      <c r="BT24" s="191" t="str">
        <f t="shared" si="20"/>
        <v/>
      </c>
      <c r="BU24" s="192"/>
      <c r="BV24" s="192"/>
    </row>
    <row r="25">
      <c r="A25" s="183" t="str">
        <f>CONCATENATE("RUN-",'Process Ref'!$A$1,"_",TEXT(U25,"YYYY-MM-DD"),"_RFR-",TEXT(AR25,"000"),IF(EXACT(W25,"Initial"),"",CONCATENATE("_",W25)))</f>
        <v>RUN-BEND_2022-01-31_RFR-024</v>
      </c>
      <c r="B25" s="193">
        <v>44592.460011574076</v>
      </c>
      <c r="C25" s="194"/>
      <c r="D25" s="194" t="s">
        <v>169</v>
      </c>
      <c r="E25" s="195">
        <v>9.0</v>
      </c>
      <c r="F25" s="196" t="s">
        <v>260</v>
      </c>
      <c r="G25" s="198" t="s">
        <v>261</v>
      </c>
      <c r="H25" s="228"/>
      <c r="I25" s="229" t="s">
        <v>262</v>
      </c>
      <c r="J25" s="195">
        <v>0.0</v>
      </c>
      <c r="K25" s="222"/>
      <c r="L25" s="195"/>
      <c r="M25" s="200">
        <v>1.2</v>
      </c>
      <c r="N25" s="200"/>
      <c r="O25" s="200"/>
      <c r="P25" s="201" t="b">
        <v>0</v>
      </c>
      <c r="Q25" s="201" t="b">
        <v>0</v>
      </c>
      <c r="R25" s="202"/>
      <c r="S25" s="201" t="b">
        <v>0</v>
      </c>
      <c r="T25" s="203" t="b">
        <v>0</v>
      </c>
      <c r="U25" s="204">
        <v>44592.0</v>
      </c>
      <c r="V25" s="205">
        <v>0.4166666666666667</v>
      </c>
      <c r="W25" s="194" t="s">
        <v>173</v>
      </c>
      <c r="X25" s="202"/>
      <c r="Y25" s="201" t="b">
        <v>0</v>
      </c>
      <c r="Z25" s="195">
        <v>12.0</v>
      </c>
      <c r="AA25" s="207">
        <f t="shared" si="1"/>
        <v>3</v>
      </c>
      <c r="AB25" s="208" t="b">
        <f t="shared" si="2"/>
        <v>1</v>
      </c>
      <c r="AC25" s="195">
        <v>10.0</v>
      </c>
      <c r="AD25" s="195">
        <v>0.0</v>
      </c>
      <c r="AE25" s="195">
        <v>0.0</v>
      </c>
      <c r="AF25" s="209">
        <v>0.0</v>
      </c>
      <c r="AG25" s="195">
        <v>0.0</v>
      </c>
      <c r="AH25" s="210">
        <v>0.0</v>
      </c>
      <c r="AI25" s="211">
        <v>0.0</v>
      </c>
      <c r="AJ25" s="195" t="b">
        <v>0</v>
      </c>
      <c r="AK25" s="223">
        <v>10.0</v>
      </c>
      <c r="AL25" s="195">
        <v>0.0</v>
      </c>
      <c r="AM25" s="195">
        <v>0.0</v>
      </c>
      <c r="AN25" s="207" t="str">
        <f>IFNA(VLOOKUP($A25,'Tube Reactions'!$J$2:$K53,2,FALSE),"")</f>
        <v/>
      </c>
      <c r="AO25" s="213" t="str">
        <f t="shared" si="3"/>
        <v/>
      </c>
      <c r="AP25" s="214" t="str">
        <f t="shared" si="22"/>
        <v>Absent</v>
      </c>
      <c r="AQ25" s="184" t="b">
        <f t="shared" si="23"/>
        <v>0</v>
      </c>
      <c r="AR25" s="215">
        <v>24.0</v>
      </c>
      <c r="AS25" s="224"/>
      <c r="AT25" s="194"/>
      <c r="AU25" s="196" t="s">
        <v>168</v>
      </c>
      <c r="AV25" s="217">
        <v>12.0</v>
      </c>
      <c r="AW25" s="210" t="b">
        <v>1</v>
      </c>
      <c r="AX25" s="218" t="b">
        <f t="shared" si="6"/>
        <v>1</v>
      </c>
      <c r="AY25" s="206">
        <f t="shared" ref="AY25:AY29" si="26">AV25-AC25</f>
        <v>2</v>
      </c>
      <c r="AZ25" s="219"/>
      <c r="BA25" s="220" t="b">
        <v>1</v>
      </c>
      <c r="BB25" s="213" t="b">
        <f t="shared" si="8"/>
        <v>1</v>
      </c>
      <c r="BC25" s="184" t="b">
        <f t="shared" si="9"/>
        <v>1</v>
      </c>
      <c r="BD25" s="184">
        <f t="shared" si="10"/>
        <v>10</v>
      </c>
      <c r="BE25" s="181" t="b">
        <f t="shared" si="11"/>
        <v>1</v>
      </c>
      <c r="BF25" s="182">
        <f t="shared" si="12"/>
        <v>44592</v>
      </c>
      <c r="BG25" s="183" t="str">
        <f t="shared" si="13"/>
        <v>RUN-BEND_2022-01-31_RFR-024</v>
      </c>
      <c r="BH25" s="184">
        <f t="shared" si="14"/>
        <v>9</v>
      </c>
      <c r="BI25" s="184">
        <f t="shared" si="15"/>
        <v>10</v>
      </c>
      <c r="BJ25" s="184">
        <f t="shared" si="16"/>
        <v>10</v>
      </c>
      <c r="BK25" s="184">
        <f t="shared" si="17"/>
        <v>0</v>
      </c>
      <c r="BL25" s="182">
        <f>IFNA(IF(VLOOKUP(FLOOR($B25,1),'APS Tubes by Date Import'!$B$2:$J53,1,FALSE)=FLOOR($BL24,1),IFERROR(0/0,""),VLOOKUP(FLOOR($B25,1),'APS Tubes by Date Import'!$B$2:$J53,1,FALSE)),"")</f>
        <v>44592</v>
      </c>
      <c r="BM25" s="186">
        <f>IF(ISBLANK($BL25),IFERROR(0/0,""),VLOOKUP(FLOOR($B25,1),'APS Tubes by Date Import'!$B$2:$J53,2,FALSE))</f>
        <v>10</v>
      </c>
      <c r="BN25" s="183" t="str">
        <f>VLOOKUP(FLOOR($B25,1),'APS Tubes by Date Import'!$B25:$J53,11,FALSE)</f>
        <v>#REF!</v>
      </c>
      <c r="BO25" s="184">
        <f>VLOOKUP(FLOOR($B25,1),'APS Tubes by Date Import'!$B25:$I53,6,FALSE)</f>
        <v>0</v>
      </c>
      <c r="BP25" s="184">
        <f t="shared" si="21"/>
        <v>10</v>
      </c>
      <c r="BQ25" s="188">
        <f t="shared" si="18"/>
        <v>0</v>
      </c>
      <c r="BR25" s="206"/>
      <c r="BS25" s="190" t="b">
        <f t="shared" si="19"/>
        <v>1</v>
      </c>
      <c r="BT25" s="191" t="str">
        <f t="shared" si="20"/>
        <v/>
      </c>
      <c r="BU25" s="192"/>
      <c r="BV25" s="192"/>
    </row>
    <row r="26">
      <c r="A26" s="183" t="str">
        <f>CONCATENATE("RUN-",'Process Ref'!$A$1,"_",TEXT(U26,"YYYY-MM-DD"),"_RFR-",TEXT(AR26,"000"),IF(EXACT(W26,"Initial"),"",CONCATENATE("_",W26)))</f>
        <v>RUN-BEND_2022-02-02_RFR-025</v>
      </c>
      <c r="B26" s="193">
        <v>44594.49476851852</v>
      </c>
      <c r="C26" s="194"/>
      <c r="D26" s="194" t="s">
        <v>169</v>
      </c>
      <c r="E26" s="195">
        <v>9.0</v>
      </c>
      <c r="F26" s="196" t="s">
        <v>263</v>
      </c>
      <c r="G26" s="221" t="s">
        <v>264</v>
      </c>
      <c r="H26" s="221"/>
      <c r="I26" s="221" t="s">
        <v>265</v>
      </c>
      <c r="J26" s="195">
        <v>0.0</v>
      </c>
      <c r="K26" s="222"/>
      <c r="L26" s="195"/>
      <c r="M26" s="200">
        <v>1.4</v>
      </c>
      <c r="N26" s="200"/>
      <c r="O26" s="200"/>
      <c r="P26" s="201" t="b">
        <v>0</v>
      </c>
      <c r="Q26" s="201" t="b">
        <v>0</v>
      </c>
      <c r="R26" s="202"/>
      <c r="S26" s="201" t="b">
        <v>0</v>
      </c>
      <c r="T26" s="203" t="b">
        <v>0</v>
      </c>
      <c r="U26" s="204">
        <v>44594.0</v>
      </c>
      <c r="V26" s="205">
        <v>0.4166666666666667</v>
      </c>
      <c r="W26" s="194" t="s">
        <v>173</v>
      </c>
      <c r="X26" s="202"/>
      <c r="Y26" s="201" t="b">
        <v>0</v>
      </c>
      <c r="Z26" s="195">
        <v>12.0</v>
      </c>
      <c r="AA26" s="207">
        <f t="shared" si="1"/>
        <v>3</v>
      </c>
      <c r="AB26" s="208" t="b">
        <f t="shared" si="2"/>
        <v>1</v>
      </c>
      <c r="AC26" s="195">
        <v>10.0</v>
      </c>
      <c r="AD26" s="195">
        <v>0.0</v>
      </c>
      <c r="AE26" s="195">
        <v>0.0</v>
      </c>
      <c r="AF26" s="209">
        <v>0.0</v>
      </c>
      <c r="AG26" s="195">
        <v>1.0</v>
      </c>
      <c r="AH26" s="210">
        <v>1.0</v>
      </c>
      <c r="AI26" s="211">
        <v>1.0</v>
      </c>
      <c r="AJ26" s="195" t="b">
        <v>0</v>
      </c>
      <c r="AK26" s="223">
        <v>10.0</v>
      </c>
      <c r="AL26" s="195">
        <v>4.0</v>
      </c>
      <c r="AM26" s="195">
        <v>1.0</v>
      </c>
      <c r="AN26" s="207" t="str">
        <f>IFNA(VLOOKUP($A26,'Tube Reactions'!$J$2:$K53,2,FALSE),"")</f>
        <v/>
      </c>
      <c r="AO26" s="213" t="str">
        <f t="shared" si="3"/>
        <v>NOT EQUAL</v>
      </c>
      <c r="AP26" s="214" t="str">
        <f t="shared" si="22"/>
        <v>Absent</v>
      </c>
      <c r="AQ26" s="184" t="b">
        <f t="shared" si="23"/>
        <v>0</v>
      </c>
      <c r="AR26" s="215">
        <v>25.0</v>
      </c>
      <c r="AS26" s="224"/>
      <c r="AT26" s="194"/>
      <c r="AU26" s="196" t="s">
        <v>168</v>
      </c>
      <c r="AV26" s="217">
        <v>12.0</v>
      </c>
      <c r="AW26" s="195" t="b">
        <v>0</v>
      </c>
      <c r="AX26" s="218" t="b">
        <f t="shared" si="6"/>
        <v>1</v>
      </c>
      <c r="AY26" s="206">
        <f t="shared" si="26"/>
        <v>2</v>
      </c>
      <c r="AZ26" s="219"/>
      <c r="BA26" s="220" t="b">
        <v>1</v>
      </c>
      <c r="BB26" s="213" t="b">
        <f t="shared" si="8"/>
        <v>1</v>
      </c>
      <c r="BC26" s="184">
        <f t="shared" si="9"/>
        <v>4</v>
      </c>
      <c r="BD26" s="184">
        <f t="shared" si="10"/>
        <v>10</v>
      </c>
      <c r="BE26" s="181" t="b">
        <f t="shared" si="11"/>
        <v>1</v>
      </c>
      <c r="BF26" s="182">
        <f t="shared" si="12"/>
        <v>44594</v>
      </c>
      <c r="BG26" s="183" t="str">
        <f t="shared" si="13"/>
        <v>RUN-BEND_2022-02-02_RFR-025</v>
      </c>
      <c r="BH26" s="184">
        <f t="shared" si="14"/>
        <v>9</v>
      </c>
      <c r="BI26" s="184">
        <f t="shared" si="15"/>
        <v>10</v>
      </c>
      <c r="BJ26" s="184">
        <f t="shared" si="16"/>
        <v>10</v>
      </c>
      <c r="BK26" s="184">
        <f t="shared" si="17"/>
        <v>4</v>
      </c>
      <c r="BL26" s="182">
        <f>IFNA(IF(VLOOKUP(FLOOR($B26,1),'APS Tubes by Date Import'!$B$2:$J53,1,FALSE)=FLOOR($BL25,1),IFERROR(0/0,""),VLOOKUP(FLOOR($B26,1),'APS Tubes by Date Import'!$B$2:$J53,1,FALSE)),"")</f>
        <v>44594</v>
      </c>
      <c r="BM26" s="186">
        <f>IF(ISBLANK($BL26),IFERROR(0/0,""),VLOOKUP(FLOOR($B26,1),'APS Tubes by Date Import'!$B$2:$J53,2,FALSE))</f>
        <v>9</v>
      </c>
      <c r="BN26" s="183" t="str">
        <f>VLOOKUP(FLOOR($B26,1),'APS Tubes by Date Import'!$B26:$J53,11,FALSE)</f>
        <v>#REF!</v>
      </c>
      <c r="BO26" s="184">
        <f>VLOOKUP(FLOOR($B26,1),'APS Tubes by Date Import'!$B26:$I53,6,FALSE)</f>
        <v>0</v>
      </c>
      <c r="BP26" s="184">
        <f t="shared" si="21"/>
        <v>10</v>
      </c>
      <c r="BQ26" s="188">
        <f t="shared" si="18"/>
        <v>1</v>
      </c>
      <c r="BR26" s="206"/>
      <c r="BS26" s="190" t="b">
        <f t="shared" si="19"/>
        <v>1</v>
      </c>
      <c r="BT26" s="191" t="str">
        <f t="shared" si="20"/>
        <v/>
      </c>
      <c r="BU26" s="192"/>
      <c r="BV26" s="192"/>
    </row>
    <row r="27">
      <c r="A27" s="183" t="str">
        <f>CONCATENATE("RUN-",'Process Ref'!$A$1,"_",TEXT(U27,"YYYY-MM-DD"),"_RFR-",TEXT(AR27,"000"),IF(EXACT(W27,"Initial"),"",CONCATENATE("_",W27)))</f>
        <v>RUN-BEND_2022-02-04_RFR-026</v>
      </c>
      <c r="B27" s="193">
        <v>44596.48131944444</v>
      </c>
      <c r="C27" s="194"/>
      <c r="D27" s="194" t="s">
        <v>169</v>
      </c>
      <c r="E27" s="195">
        <v>5.0</v>
      </c>
      <c r="F27" s="196" t="s">
        <v>266</v>
      </c>
      <c r="G27" s="198" t="s">
        <v>267</v>
      </c>
      <c r="H27" s="198"/>
      <c r="I27" s="198" t="s">
        <v>268</v>
      </c>
      <c r="J27" s="195">
        <v>0.0</v>
      </c>
      <c r="K27" s="222"/>
      <c r="L27" s="195"/>
      <c r="M27" s="200">
        <v>1.2</v>
      </c>
      <c r="N27" s="200"/>
      <c r="O27" s="200"/>
      <c r="P27" s="201" t="b">
        <v>0</v>
      </c>
      <c r="Q27" s="201" t="b">
        <v>0</v>
      </c>
      <c r="R27" s="202"/>
      <c r="S27" s="201" t="b">
        <v>0</v>
      </c>
      <c r="T27" s="203" t="b">
        <v>0</v>
      </c>
      <c r="U27" s="204">
        <v>44596.0</v>
      </c>
      <c r="V27" s="205">
        <v>0.4166666666666667</v>
      </c>
      <c r="W27" s="194" t="s">
        <v>173</v>
      </c>
      <c r="X27" s="202"/>
      <c r="Y27" s="201" t="b">
        <v>0</v>
      </c>
      <c r="Z27" s="195">
        <v>8.0</v>
      </c>
      <c r="AA27" s="207">
        <f t="shared" si="1"/>
        <v>3</v>
      </c>
      <c r="AB27" s="208" t="b">
        <f t="shared" si="2"/>
        <v>1</v>
      </c>
      <c r="AC27" s="195">
        <v>6.0</v>
      </c>
      <c r="AD27" s="195">
        <v>0.0</v>
      </c>
      <c r="AE27" s="195">
        <v>0.0</v>
      </c>
      <c r="AF27" s="209">
        <v>0.0</v>
      </c>
      <c r="AG27" s="195">
        <v>0.0</v>
      </c>
      <c r="AH27" s="210">
        <v>0.0</v>
      </c>
      <c r="AI27" s="211">
        <v>0.0</v>
      </c>
      <c r="AJ27" s="195" t="b">
        <v>0</v>
      </c>
      <c r="AK27" s="223">
        <v>6.0</v>
      </c>
      <c r="AL27" s="195">
        <v>0.0</v>
      </c>
      <c r="AM27" s="195">
        <v>0.0</v>
      </c>
      <c r="AN27" s="207" t="str">
        <f>IFNA(VLOOKUP($A27,'Tube Reactions'!$J$2:$K53,2,FALSE),"")</f>
        <v/>
      </c>
      <c r="AO27" s="213" t="str">
        <f t="shared" si="3"/>
        <v/>
      </c>
      <c r="AP27" s="214" t="str">
        <f t="shared" si="22"/>
        <v>Absent</v>
      </c>
      <c r="AQ27" s="184" t="b">
        <f t="shared" si="23"/>
        <v>0</v>
      </c>
      <c r="AR27" s="215">
        <v>26.0</v>
      </c>
      <c r="AS27" s="224"/>
      <c r="AT27" s="194"/>
      <c r="AU27" s="196" t="s">
        <v>168</v>
      </c>
      <c r="AV27" s="217">
        <v>8.0</v>
      </c>
      <c r="AW27" s="195" t="b">
        <v>1</v>
      </c>
      <c r="AX27" s="218" t="b">
        <f t="shared" si="6"/>
        <v>1</v>
      </c>
      <c r="AY27" s="206">
        <f t="shared" si="26"/>
        <v>2</v>
      </c>
      <c r="AZ27" s="219"/>
      <c r="BA27" s="220" t="b">
        <v>1</v>
      </c>
      <c r="BB27" s="213" t="b">
        <f t="shared" si="8"/>
        <v>1</v>
      </c>
      <c r="BC27" s="184" t="b">
        <f t="shared" si="9"/>
        <v>1</v>
      </c>
      <c r="BD27" s="184">
        <f t="shared" si="10"/>
        <v>6</v>
      </c>
      <c r="BE27" s="181" t="b">
        <f t="shared" si="11"/>
        <v>1</v>
      </c>
      <c r="BF27" s="182">
        <f t="shared" si="12"/>
        <v>44596</v>
      </c>
      <c r="BG27" s="183" t="str">
        <f t="shared" si="13"/>
        <v>RUN-BEND_2022-02-04_RFR-026</v>
      </c>
      <c r="BH27" s="184">
        <f t="shared" si="14"/>
        <v>5</v>
      </c>
      <c r="BI27" s="184">
        <f t="shared" si="15"/>
        <v>6</v>
      </c>
      <c r="BJ27" s="184">
        <f t="shared" si="16"/>
        <v>6</v>
      </c>
      <c r="BK27" s="184">
        <f t="shared" si="17"/>
        <v>0</v>
      </c>
      <c r="BL27" s="182">
        <f>IFNA(IF(VLOOKUP(FLOOR($B27,1),'APS Tubes by Date Import'!$B$2:$J53,1,FALSE)=FLOOR($BL26,1),IFERROR(0/0,""),VLOOKUP(FLOOR($B27,1),'APS Tubes by Date Import'!$B$2:$J53,1,FALSE)),"")</f>
        <v>44596</v>
      </c>
      <c r="BM27" s="186">
        <f>IF(ISBLANK($BL27),IFERROR(0/0,""),VLOOKUP(FLOOR($B27,1),'APS Tubes by Date Import'!$B$2:$J53,2,FALSE))</f>
        <v>5</v>
      </c>
      <c r="BN27" s="183" t="str">
        <f>VLOOKUP(FLOOR($B27,1),'APS Tubes by Date Import'!$B27:$J53,11,FALSE)</f>
        <v>#REF!</v>
      </c>
      <c r="BO27" s="184">
        <f>VLOOKUP(FLOOR($B27,1),'APS Tubes by Date Import'!$B27:$I53,6,FALSE)</f>
        <v>0</v>
      </c>
      <c r="BP27" s="184">
        <f t="shared" si="21"/>
        <v>6</v>
      </c>
      <c r="BQ27" s="188">
        <f t="shared" si="18"/>
        <v>1</v>
      </c>
      <c r="BR27" s="206"/>
      <c r="BS27" s="190" t="b">
        <f t="shared" si="19"/>
        <v>1</v>
      </c>
      <c r="BT27" s="191" t="str">
        <f t="shared" si="20"/>
        <v/>
      </c>
      <c r="BU27" s="192"/>
      <c r="BV27" s="192"/>
    </row>
    <row r="28">
      <c r="A28" s="183" t="str">
        <f>CONCATENATE("RUN-",'Process Ref'!$A$1,"_",TEXT(U28,"YYYY-MM-DD"),"_RFR-",TEXT(AR28,"000"),IF(EXACT(W28,"Initial"),"",CONCATENATE("_",W28)))</f>
        <v>RUN-BEND_2022-02-07_RFR-027</v>
      </c>
      <c r="B28" s="193">
        <v>44599.49445601852</v>
      </c>
      <c r="C28" s="194"/>
      <c r="D28" s="194" t="s">
        <v>169</v>
      </c>
      <c r="E28" s="195">
        <v>13.0</v>
      </c>
      <c r="F28" s="196" t="s">
        <v>269</v>
      </c>
      <c r="G28" s="198" t="s">
        <v>270</v>
      </c>
      <c r="H28" s="228"/>
      <c r="I28" s="229" t="s">
        <v>271</v>
      </c>
      <c r="J28" s="195">
        <v>0.0</v>
      </c>
      <c r="K28" s="222"/>
      <c r="L28" s="195"/>
      <c r="M28" s="200">
        <v>1.2</v>
      </c>
      <c r="N28" s="200"/>
      <c r="O28" s="200"/>
      <c r="P28" s="201" t="b">
        <v>0</v>
      </c>
      <c r="Q28" s="201" t="b">
        <v>0</v>
      </c>
      <c r="R28" s="202"/>
      <c r="S28" s="201" t="b">
        <v>0</v>
      </c>
      <c r="T28" s="203" t="b">
        <v>0</v>
      </c>
      <c r="U28" s="204">
        <v>44599.0</v>
      </c>
      <c r="V28" s="205">
        <v>0.4166666666666667</v>
      </c>
      <c r="W28" s="194" t="s">
        <v>173</v>
      </c>
      <c r="X28" s="202"/>
      <c r="Y28" s="201" t="b">
        <v>0</v>
      </c>
      <c r="Z28" s="195">
        <v>16.0</v>
      </c>
      <c r="AA28" s="207">
        <f t="shared" si="1"/>
        <v>3</v>
      </c>
      <c r="AB28" s="208" t="b">
        <f t="shared" si="2"/>
        <v>1</v>
      </c>
      <c r="AC28" s="195">
        <v>14.0</v>
      </c>
      <c r="AD28" s="195">
        <v>0.0</v>
      </c>
      <c r="AE28" s="195">
        <v>0.0</v>
      </c>
      <c r="AF28" s="209">
        <v>0.0</v>
      </c>
      <c r="AG28" s="195">
        <v>1.0</v>
      </c>
      <c r="AH28" s="210">
        <v>1.0</v>
      </c>
      <c r="AI28" s="211">
        <v>1.0</v>
      </c>
      <c r="AJ28" s="195" t="b">
        <v>0</v>
      </c>
      <c r="AK28" s="223">
        <v>14.0</v>
      </c>
      <c r="AL28" s="195">
        <v>4.0</v>
      </c>
      <c r="AM28" s="195">
        <v>1.0</v>
      </c>
      <c r="AN28" s="207" t="str">
        <f>IFNA(VLOOKUP($A28,'Tube Reactions'!$J$2:$K53,2,FALSE),"")</f>
        <v/>
      </c>
      <c r="AO28" s="213" t="str">
        <f t="shared" si="3"/>
        <v>NOT EQUAL</v>
      </c>
      <c r="AP28" s="214" t="str">
        <f t="shared" si="22"/>
        <v>Absent</v>
      </c>
      <c r="AQ28" s="184" t="b">
        <f t="shared" si="23"/>
        <v>0</v>
      </c>
      <c r="AR28" s="215">
        <v>27.0</v>
      </c>
      <c r="AS28" s="224"/>
      <c r="AT28" s="194"/>
      <c r="AU28" s="196" t="s">
        <v>168</v>
      </c>
      <c r="AV28" s="217">
        <v>16.0</v>
      </c>
      <c r="AW28" s="210" t="b">
        <v>0</v>
      </c>
      <c r="AX28" s="218" t="b">
        <f t="shared" si="6"/>
        <v>1</v>
      </c>
      <c r="AY28" s="206">
        <f t="shared" si="26"/>
        <v>2</v>
      </c>
      <c r="AZ28" s="219"/>
      <c r="BA28" s="220" t="b">
        <v>1</v>
      </c>
      <c r="BB28" s="213" t="b">
        <f t="shared" si="8"/>
        <v>1</v>
      </c>
      <c r="BC28" s="184">
        <f t="shared" si="9"/>
        <v>4</v>
      </c>
      <c r="BD28" s="184">
        <f t="shared" si="10"/>
        <v>14</v>
      </c>
      <c r="BE28" s="181" t="b">
        <f t="shared" si="11"/>
        <v>1</v>
      </c>
      <c r="BF28" s="182">
        <f t="shared" si="12"/>
        <v>44599</v>
      </c>
      <c r="BG28" s="183" t="str">
        <f t="shared" si="13"/>
        <v>RUN-BEND_2022-02-07_RFR-027</v>
      </c>
      <c r="BH28" s="184">
        <f t="shared" si="14"/>
        <v>13</v>
      </c>
      <c r="BI28" s="184">
        <f t="shared" si="15"/>
        <v>14</v>
      </c>
      <c r="BJ28" s="184">
        <f t="shared" si="16"/>
        <v>14</v>
      </c>
      <c r="BK28" s="184">
        <f t="shared" si="17"/>
        <v>4</v>
      </c>
      <c r="BL28" s="182">
        <f>IFNA(IF(VLOOKUP(FLOOR($B28,1),'APS Tubes by Date Import'!$B$2:$J53,1,FALSE)=FLOOR($BL27,1),IFERROR(0/0,""),VLOOKUP(FLOOR($B28,1),'APS Tubes by Date Import'!$B$2:$J53,1,FALSE)),"")</f>
        <v>44599</v>
      </c>
      <c r="BM28" s="186">
        <f>IF(ISBLANK($BL28),IFERROR(0/0,""),VLOOKUP(FLOOR($B28,1),'APS Tubes by Date Import'!$B$2:$J53,2,FALSE))</f>
        <v>13</v>
      </c>
      <c r="BN28" s="183" t="str">
        <f>VLOOKUP(FLOOR($B28,1),'APS Tubes by Date Import'!$B28:$J53,11,FALSE)</f>
        <v>#REF!</v>
      </c>
      <c r="BO28" s="184">
        <f>VLOOKUP(FLOOR($B28,1),'APS Tubes by Date Import'!$B28:$I53,6,FALSE)</f>
        <v>0</v>
      </c>
      <c r="BP28" s="184">
        <f t="shared" si="21"/>
        <v>14</v>
      </c>
      <c r="BQ28" s="188">
        <f t="shared" si="18"/>
        <v>1</v>
      </c>
      <c r="BR28" s="206"/>
      <c r="BS28" s="190" t="b">
        <f t="shared" si="19"/>
        <v>1</v>
      </c>
      <c r="BT28" s="191" t="str">
        <f t="shared" si="20"/>
        <v/>
      </c>
      <c r="BU28" s="192"/>
      <c r="BV28" s="192"/>
    </row>
    <row r="29">
      <c r="A29" s="183" t="str">
        <f>CONCATENATE("RUN-",'Process Ref'!$A$1,"_",TEXT(U29,"YYYY-MM-DD"),"_RFR-",TEXT(AR29,"000"),IF(EXACT(W29,"Initial"),"",CONCATENATE("_",W29)))</f>
        <v>RUN-BEND_2022-02-09_RFR-028</v>
      </c>
      <c r="B29" s="193">
        <v>44601.48434027778</v>
      </c>
      <c r="C29" s="194"/>
      <c r="D29" s="194" t="s">
        <v>169</v>
      </c>
      <c r="E29" s="195">
        <v>14.0</v>
      </c>
      <c r="F29" s="196" t="s">
        <v>272</v>
      </c>
      <c r="G29" s="198" t="s">
        <v>273</v>
      </c>
      <c r="H29" s="198"/>
      <c r="I29" s="198" t="s">
        <v>274</v>
      </c>
      <c r="J29" s="195">
        <v>0.0</v>
      </c>
      <c r="K29" s="222"/>
      <c r="L29" s="195"/>
      <c r="M29" s="200"/>
      <c r="N29" s="200"/>
      <c r="O29" s="200">
        <v>3.4</v>
      </c>
      <c r="P29" s="201" t="b">
        <v>1</v>
      </c>
      <c r="Q29" s="201" t="b">
        <v>0</v>
      </c>
      <c r="R29" s="202"/>
      <c r="S29" s="201" t="b">
        <v>0</v>
      </c>
      <c r="T29" s="203" t="b">
        <v>1</v>
      </c>
      <c r="U29" s="204">
        <v>44601.0</v>
      </c>
      <c r="V29" s="205">
        <v>0.4166666666666667</v>
      </c>
      <c r="W29" s="194" t="s">
        <v>173</v>
      </c>
      <c r="X29" s="202"/>
      <c r="Y29" s="201" t="b">
        <v>0</v>
      </c>
      <c r="Z29" s="195">
        <v>18.0</v>
      </c>
      <c r="AA29" s="207">
        <f t="shared" si="1"/>
        <v>4</v>
      </c>
      <c r="AB29" s="208" t="b">
        <f t="shared" si="2"/>
        <v>1</v>
      </c>
      <c r="AC29" s="195">
        <v>16.0</v>
      </c>
      <c r="AD29" s="195">
        <v>0.0</v>
      </c>
      <c r="AE29" s="195">
        <v>0.0</v>
      </c>
      <c r="AF29" s="209">
        <v>0.0</v>
      </c>
      <c r="AG29" s="195">
        <v>2.0</v>
      </c>
      <c r="AH29" s="210">
        <v>2.0</v>
      </c>
      <c r="AI29" s="211">
        <v>1.0</v>
      </c>
      <c r="AJ29" s="195" t="b">
        <v>0</v>
      </c>
      <c r="AK29" s="223">
        <v>14.0</v>
      </c>
      <c r="AL29" s="195">
        <v>4.0</v>
      </c>
      <c r="AM29" s="195">
        <v>2.0</v>
      </c>
      <c r="AN29" s="207" t="str">
        <f>IFNA(VLOOKUP($A29,'Tube Reactions'!$J$2:$K53,2,FALSE),"")</f>
        <v/>
      </c>
      <c r="AO29" s="213" t="str">
        <f t="shared" si="3"/>
        <v>NOT EQUAL</v>
      </c>
      <c r="AP29" s="214" t="str">
        <f t="shared" si="22"/>
        <v>Absent</v>
      </c>
      <c r="AQ29" s="184" t="b">
        <f t="shared" si="23"/>
        <v>0</v>
      </c>
      <c r="AR29" s="215">
        <v>28.0</v>
      </c>
      <c r="AS29" s="224" t="s">
        <v>275</v>
      </c>
      <c r="AT29" s="194"/>
      <c r="AU29" s="196" t="s">
        <v>233</v>
      </c>
      <c r="AV29" s="217">
        <v>19.0</v>
      </c>
      <c r="AW29" s="195" t="b">
        <v>0</v>
      </c>
      <c r="AX29" s="218" t="b">
        <f t="shared" si="6"/>
        <v>1</v>
      </c>
      <c r="AY29" s="206">
        <f t="shared" si="26"/>
        <v>3</v>
      </c>
      <c r="AZ29" s="234" t="s">
        <v>276</v>
      </c>
      <c r="BA29" s="220" t="b">
        <v>0</v>
      </c>
      <c r="BB29" s="213" t="str">
        <f t="shared" si="8"/>
        <v/>
      </c>
      <c r="BC29" s="184" t="str">
        <f t="shared" si="9"/>
        <v/>
      </c>
      <c r="BD29" s="184" t="str">
        <f t="shared" si="10"/>
        <v/>
      </c>
      <c r="BE29" s="181" t="b">
        <f t="shared" si="11"/>
        <v>1</v>
      </c>
      <c r="BF29" s="182">
        <f t="shared" si="12"/>
        <v>44601</v>
      </c>
      <c r="BG29" s="183" t="str">
        <f t="shared" si="13"/>
        <v>RUN-BEND_2022-02-09_RFR-028</v>
      </c>
      <c r="BH29" s="184">
        <f t="shared" si="14"/>
        <v>14</v>
      </c>
      <c r="BI29" s="184">
        <f t="shared" si="15"/>
        <v>16</v>
      </c>
      <c r="BJ29" s="184">
        <f t="shared" si="16"/>
        <v>14</v>
      </c>
      <c r="BK29" s="184">
        <f t="shared" si="17"/>
        <v>4</v>
      </c>
      <c r="BL29" s="182">
        <f>IFNA(IF(VLOOKUP(FLOOR($B29,1),'APS Tubes by Date Import'!$B$2:$J53,1,FALSE)=FLOOR($BL28,1),IFERROR(0/0,""),VLOOKUP(FLOOR($B29,1),'APS Tubes by Date Import'!$B$2:$J53,1,FALSE)),"")</f>
        <v>44601</v>
      </c>
      <c r="BM29" s="186">
        <f>IF(ISBLANK($BL29),IFERROR(0/0,""),VLOOKUP(FLOOR($B29,1),'APS Tubes by Date Import'!$B$2:$J53,2,FALSE))</f>
        <v>14</v>
      </c>
      <c r="BN29" s="183" t="str">
        <f>VLOOKUP(FLOOR($B29,1),'APS Tubes by Date Import'!$B29:$J53,11,FALSE)</f>
        <v>#REF!</v>
      </c>
      <c r="BO29" s="184">
        <f>VLOOKUP(FLOOR($B29,1),'APS Tubes by Date Import'!$B29:$I53,6,FALSE)</f>
        <v>0</v>
      </c>
      <c r="BP29" s="184">
        <f t="shared" si="21"/>
        <v>14</v>
      </c>
      <c r="BQ29" s="188">
        <f t="shared" si="18"/>
        <v>0</v>
      </c>
      <c r="BR29" s="206"/>
      <c r="BS29" s="190" t="b">
        <f t="shared" si="19"/>
        <v>1</v>
      </c>
      <c r="BT29" s="191" t="str">
        <f t="shared" si="20"/>
        <v/>
      </c>
      <c r="BU29" s="192"/>
      <c r="BV29" s="192"/>
    </row>
    <row r="30" ht="14.25" customHeight="1">
      <c r="A30" s="183" t="str">
        <f>CONCATENATE("RUN-",'Process Ref'!$A$1,"_",TEXT(U30,"YYYY-MM-DD"),"_RFR-",TEXT(AR30,"000"),IF(EXACT(W30,"Initial"),"",CONCATENATE("_",W30)))</f>
        <v>RUN-BEND_2022-02-09_RFR-029_Re-run</v>
      </c>
      <c r="B30" s="193">
        <v>44601.48434027778</v>
      </c>
      <c r="C30" s="194"/>
      <c r="D30" s="194" t="s">
        <v>169</v>
      </c>
      <c r="E30" s="195"/>
      <c r="F30" s="196" t="s">
        <v>272</v>
      </c>
      <c r="G30" s="198"/>
      <c r="H30" s="228"/>
      <c r="I30" s="228" t="s">
        <v>254</v>
      </c>
      <c r="J30" s="195"/>
      <c r="K30" s="222"/>
      <c r="L30" s="195"/>
      <c r="M30" s="200"/>
      <c r="N30" s="200"/>
      <c r="O30" s="200"/>
      <c r="P30" s="201" t="b">
        <v>0</v>
      </c>
      <c r="Q30" s="201" t="b">
        <v>0</v>
      </c>
      <c r="R30" s="202"/>
      <c r="S30" s="201" t="b">
        <v>1</v>
      </c>
      <c r="T30" s="203" t="b">
        <v>1</v>
      </c>
      <c r="U30" s="204">
        <v>44601.0</v>
      </c>
      <c r="V30" s="205">
        <v>0.4583333333333333</v>
      </c>
      <c r="W30" s="194" t="s">
        <v>200</v>
      </c>
      <c r="X30" s="202"/>
      <c r="Y30" s="201" t="b">
        <v>0</v>
      </c>
      <c r="Z30" s="195">
        <v>3.0</v>
      </c>
      <c r="AA30" s="207">
        <f t="shared" si="1"/>
        <v>3</v>
      </c>
      <c r="AB30" s="208" t="b">
        <f t="shared" si="2"/>
        <v>1</v>
      </c>
      <c r="AC30" s="195">
        <v>1.0</v>
      </c>
      <c r="AD30" s="195">
        <v>0.0</v>
      </c>
      <c r="AE30" s="195">
        <v>0.0</v>
      </c>
      <c r="AF30" s="209">
        <v>0.0</v>
      </c>
      <c r="AG30" s="195">
        <v>0.0</v>
      </c>
      <c r="AH30" s="210">
        <v>0.0</v>
      </c>
      <c r="AI30" s="211">
        <v>0.0</v>
      </c>
      <c r="AJ30" s="195" t="b">
        <v>0</v>
      </c>
      <c r="AK30" s="223">
        <v>1.0</v>
      </c>
      <c r="AL30" s="195">
        <v>0.0</v>
      </c>
      <c r="AM30" s="195" t="str">
        <f>IF(EXACT(W30,"Initial"),"Audit","")</f>
        <v/>
      </c>
      <c r="AN30" s="207" t="str">
        <f>IFNA(VLOOKUP($A30,'Tube Reactions'!$J$2:$K53,2,FALSE),"")</f>
        <v/>
      </c>
      <c r="AO30" s="213" t="str">
        <f t="shared" si="3"/>
        <v/>
      </c>
      <c r="AP30" s="214" t="str">
        <f t="shared" si="22"/>
        <v>Absent</v>
      </c>
      <c r="AQ30" s="184" t="b">
        <f t="shared" si="23"/>
        <v>0</v>
      </c>
      <c r="AR30" s="215">
        <v>29.0</v>
      </c>
      <c r="AS30" s="224" t="s">
        <v>277</v>
      </c>
      <c r="AT30" s="194"/>
      <c r="AU30" s="196" t="s">
        <v>233</v>
      </c>
      <c r="AV30" s="233"/>
      <c r="AW30" s="210" t="b">
        <v>0</v>
      </c>
      <c r="AX30" s="218" t="b">
        <f t="shared" si="6"/>
        <v>0</v>
      </c>
      <c r="AY30" s="206"/>
      <c r="AZ30" s="219"/>
      <c r="BA30" s="220" t="b">
        <v>0</v>
      </c>
      <c r="BB30" s="213" t="str">
        <f t="shared" si="8"/>
        <v/>
      </c>
      <c r="BC30" s="184" t="str">
        <f t="shared" si="9"/>
        <v/>
      </c>
      <c r="BD30" s="184" t="str">
        <f t="shared" si="10"/>
        <v/>
      </c>
      <c r="BE30" s="181" t="b">
        <f t="shared" si="11"/>
        <v>1</v>
      </c>
      <c r="BF30" s="182" t="str">
        <f t="shared" si="12"/>
        <v/>
      </c>
      <c r="BG30" s="183" t="str">
        <f t="shared" si="13"/>
        <v/>
      </c>
      <c r="BH30" s="184" t="str">
        <f t="shared" si="14"/>
        <v/>
      </c>
      <c r="BI30" s="184" t="str">
        <f t="shared" si="15"/>
        <v/>
      </c>
      <c r="BJ30" s="184" t="str">
        <f t="shared" si="16"/>
        <v/>
      </c>
      <c r="BK30" s="184" t="str">
        <f t="shared" si="17"/>
        <v/>
      </c>
      <c r="BL30" s="182" t="str">
        <f>IFNA(IF(VLOOKUP(FLOOR($B30,1),'APS Tubes by Date Import'!$B$2:$J53,1,FALSE)=FLOOR($BL29,1),IFERROR(0/0,""),VLOOKUP(FLOOR($B30,1),'APS Tubes by Date Import'!$B$2:$J53,1,FALSE)),"")</f>
        <v/>
      </c>
      <c r="BM30" s="186" t="str">
        <f>IF(ISBLANK($BL30),IFERROR(0/0,""),VLOOKUP(FLOOR($B30,1),'APS Tubes by Date Import'!$B$2:$J53,2,FALSE))</f>
        <v/>
      </c>
      <c r="BN30" s="183" t="str">
        <f>VLOOKUP(FLOOR($B30,1),'APS Tubes by Date Import'!$B30:$J53,11,FALSE)</f>
        <v>#REF!</v>
      </c>
      <c r="BO30" s="184">
        <f>VLOOKUP(FLOOR($B30,1),'APS Tubes by Date Import'!$B30:$I53,6,FALSE)</f>
        <v>0</v>
      </c>
      <c r="BP30" s="184" t="str">
        <f t="shared" si="21"/>
        <v/>
      </c>
      <c r="BQ30" s="188">
        <f t="shared" si="18"/>
        <v>0</v>
      </c>
      <c r="BR30" s="206"/>
      <c r="BS30" s="190" t="str">
        <f t="shared" si="19"/>
        <v/>
      </c>
      <c r="BT30" s="191" t="str">
        <f t="shared" si="20"/>
        <v/>
      </c>
      <c r="BU30" s="192"/>
      <c r="BV30" s="192"/>
    </row>
    <row r="31" ht="18.0" customHeight="1">
      <c r="A31" s="183" t="str">
        <f>CONCATENATE("RUN-",'Process Ref'!$A$1,"_",TEXT(U31,"YYYY-MM-DD"),"_RFR-",TEXT(AR31,"000"),IF(EXACT(W31,"Initial"),"",CONCATENATE("_",W31)))</f>
        <v>RUN-BEND_2022-02-11_RFR-030</v>
      </c>
      <c r="B31" s="193">
        <v>44603.4718287037</v>
      </c>
      <c r="C31" s="194"/>
      <c r="D31" s="194" t="s">
        <v>169</v>
      </c>
      <c r="E31" s="195">
        <v>11.0</v>
      </c>
      <c r="F31" s="196" t="s">
        <v>278</v>
      </c>
      <c r="G31" s="198" t="s">
        <v>279</v>
      </c>
      <c r="H31" s="198"/>
      <c r="I31" s="198" t="s">
        <v>280</v>
      </c>
      <c r="J31" s="195">
        <v>0.0</v>
      </c>
      <c r="K31" s="222"/>
      <c r="L31" s="195"/>
      <c r="M31" s="200"/>
      <c r="N31" s="200"/>
      <c r="O31" s="200"/>
      <c r="P31" s="201" t="b">
        <v>0</v>
      </c>
      <c r="Q31" s="201" t="b">
        <v>0</v>
      </c>
      <c r="R31" s="202"/>
      <c r="S31" s="201" t="b">
        <v>0</v>
      </c>
      <c r="T31" s="203" t="b">
        <v>0</v>
      </c>
      <c r="U31" s="204">
        <v>44603.0</v>
      </c>
      <c r="V31" s="205">
        <v>0.4166666666666667</v>
      </c>
      <c r="W31" s="194" t="s">
        <v>173</v>
      </c>
      <c r="X31" s="194" t="s">
        <v>281</v>
      </c>
      <c r="Y31" s="201" t="b">
        <v>0</v>
      </c>
      <c r="Z31" s="195">
        <v>11.0</v>
      </c>
      <c r="AA31" s="207">
        <f t="shared" si="1"/>
        <v>0</v>
      </c>
      <c r="AB31" s="208" t="b">
        <f t="shared" si="2"/>
        <v>1</v>
      </c>
      <c r="AC31" s="195">
        <v>9.0</v>
      </c>
      <c r="AD31" s="195">
        <v>0.0</v>
      </c>
      <c r="AE31" s="195">
        <v>0.0</v>
      </c>
      <c r="AF31" s="209">
        <v>0.0</v>
      </c>
      <c r="AG31" s="195">
        <v>2.0</v>
      </c>
      <c r="AH31" s="210">
        <v>2.0</v>
      </c>
      <c r="AI31" s="211">
        <v>2.0</v>
      </c>
      <c r="AJ31" s="195" t="b">
        <v>0</v>
      </c>
      <c r="AK31" s="223">
        <v>9.0</v>
      </c>
      <c r="AL31" s="195">
        <v>4.0</v>
      </c>
      <c r="AM31" s="195">
        <v>2.0</v>
      </c>
      <c r="AN31" s="207" t="str">
        <f>IFNA(VLOOKUP($A31,'Tube Reactions'!$J$2:$K53,2,FALSE),"")</f>
        <v/>
      </c>
      <c r="AO31" s="213" t="str">
        <f t="shared" si="3"/>
        <v>NOT EQUAL</v>
      </c>
      <c r="AP31" s="214" t="str">
        <f t="shared" si="22"/>
        <v>Absent</v>
      </c>
      <c r="AQ31" s="184" t="b">
        <f t="shared" si="23"/>
        <v>0</v>
      </c>
      <c r="AR31" s="215">
        <v>30.0</v>
      </c>
      <c r="AS31" s="224"/>
      <c r="AT31" s="194"/>
      <c r="AU31" s="196" t="s">
        <v>168</v>
      </c>
      <c r="AV31" s="217">
        <v>11.0</v>
      </c>
      <c r="AW31" s="195" t="b">
        <v>0</v>
      </c>
      <c r="AX31" s="218" t="b">
        <f t="shared" si="6"/>
        <v>1</v>
      </c>
      <c r="AY31" s="206">
        <f t="shared" ref="AY31:AY33" si="27">AV31-AC31</f>
        <v>2</v>
      </c>
      <c r="AZ31" s="219"/>
      <c r="BA31" s="220" t="b">
        <v>1</v>
      </c>
      <c r="BB31" s="213" t="b">
        <f t="shared" si="8"/>
        <v>1</v>
      </c>
      <c r="BC31" s="184">
        <f t="shared" si="9"/>
        <v>4</v>
      </c>
      <c r="BD31" s="184">
        <f t="shared" si="10"/>
        <v>9</v>
      </c>
      <c r="BE31" s="181" t="b">
        <f t="shared" si="11"/>
        <v>1</v>
      </c>
      <c r="BF31" s="182">
        <f t="shared" si="12"/>
        <v>44603</v>
      </c>
      <c r="BG31" s="183" t="str">
        <f t="shared" si="13"/>
        <v>RUN-BEND_2022-02-11_RFR-030</v>
      </c>
      <c r="BH31" s="184">
        <f t="shared" si="14"/>
        <v>11</v>
      </c>
      <c r="BI31" s="184">
        <f t="shared" si="15"/>
        <v>9</v>
      </c>
      <c r="BJ31" s="184">
        <f t="shared" si="16"/>
        <v>9</v>
      </c>
      <c r="BK31" s="184">
        <f t="shared" si="17"/>
        <v>4</v>
      </c>
      <c r="BL31" s="182">
        <f>IFNA(IF(VLOOKUP(FLOOR($B31,1),'APS Tubes by Date Import'!$B$2:$J53,1,FALSE)=FLOOR($BL30,1),IFERROR(0/0,""),VLOOKUP(FLOOR($B31,1),'APS Tubes by Date Import'!$B$2:$J53,1,FALSE)),"")</f>
        <v>44603</v>
      </c>
      <c r="BM31" s="186">
        <f>IF(ISBLANK($BL31),IFERROR(0/0,""),VLOOKUP(FLOOR($B31,1),'APS Tubes by Date Import'!$B$2:$J53,2,FALSE))</f>
        <v>9</v>
      </c>
      <c r="BN31" s="183" t="str">
        <f>VLOOKUP(FLOOR($B31,1),'APS Tubes by Date Import'!$B31:$J53,11,FALSE)</f>
        <v>#REF!</v>
      </c>
      <c r="BO31" s="184">
        <f>VLOOKUP(FLOOR($B31,1),'APS Tubes by Date Import'!$B31:$I53,6,FALSE)</f>
        <v>0</v>
      </c>
      <c r="BP31" s="184">
        <f t="shared" si="21"/>
        <v>9</v>
      </c>
      <c r="BQ31" s="188">
        <f t="shared" si="18"/>
        <v>0</v>
      </c>
      <c r="BR31" s="206"/>
      <c r="BS31" s="190" t="b">
        <f t="shared" si="19"/>
        <v>1</v>
      </c>
      <c r="BT31" s="191" t="str">
        <f t="shared" si="20"/>
        <v/>
      </c>
      <c r="BU31" s="192"/>
      <c r="BV31" s="192"/>
    </row>
    <row r="32">
      <c r="A32" s="183" t="str">
        <f>CONCATENATE("RUN-",'Process Ref'!$A$1,"_",TEXT(U32,"YYYY-MM-DD"),"_RFR-",TEXT(AR32,"000"),IF(EXACT(W32,"Initial"),"",CONCATENATE("_",W32)))</f>
        <v>RUN-BEND_2022-02-12_RFR-031</v>
      </c>
      <c r="B32" s="193">
        <v>44604.3956712963</v>
      </c>
      <c r="C32" s="194"/>
      <c r="D32" s="194" t="s">
        <v>169</v>
      </c>
      <c r="E32" s="195">
        <v>2.0</v>
      </c>
      <c r="F32" s="196" t="s">
        <v>282</v>
      </c>
      <c r="G32" s="198" t="s">
        <v>283</v>
      </c>
      <c r="H32" s="228"/>
      <c r="I32" s="229" t="s">
        <v>284</v>
      </c>
      <c r="J32" s="195">
        <v>0.0</v>
      </c>
      <c r="K32" s="222"/>
      <c r="L32" s="195"/>
      <c r="M32" s="200"/>
      <c r="N32" s="200"/>
      <c r="O32" s="200"/>
      <c r="P32" s="201" t="b">
        <v>0</v>
      </c>
      <c r="Q32" s="201" t="b">
        <v>0</v>
      </c>
      <c r="R32" s="202"/>
      <c r="S32" s="201" t="b">
        <v>0</v>
      </c>
      <c r="T32" s="203" t="b">
        <v>0</v>
      </c>
      <c r="U32" s="204">
        <v>44604.0</v>
      </c>
      <c r="V32" s="205">
        <v>0.4166666666666667</v>
      </c>
      <c r="W32" s="194" t="s">
        <v>173</v>
      </c>
      <c r="X32" s="202"/>
      <c r="Y32" s="201" t="b">
        <v>0</v>
      </c>
      <c r="Z32" s="195">
        <v>4.0</v>
      </c>
      <c r="AA32" s="207">
        <f t="shared" si="1"/>
        <v>2</v>
      </c>
      <c r="AB32" s="208" t="b">
        <f t="shared" si="2"/>
        <v>0</v>
      </c>
      <c r="AC32" s="195">
        <v>2.0</v>
      </c>
      <c r="AD32" s="195">
        <v>0.0</v>
      </c>
      <c r="AE32" s="195">
        <v>0.0</v>
      </c>
      <c r="AF32" s="209">
        <v>0.0</v>
      </c>
      <c r="AG32" s="195">
        <v>2.0</v>
      </c>
      <c r="AH32" s="210">
        <v>2.0</v>
      </c>
      <c r="AI32" s="211">
        <v>2.0</v>
      </c>
      <c r="AJ32" s="195" t="b">
        <v>0</v>
      </c>
      <c r="AK32" s="223">
        <v>2.0</v>
      </c>
      <c r="AL32" s="195">
        <v>4.0</v>
      </c>
      <c r="AM32" s="195">
        <v>2.0</v>
      </c>
      <c r="AN32" s="207" t="str">
        <f>IFNA(VLOOKUP($A32,'Tube Reactions'!$J$2:$K53,2,FALSE),"")</f>
        <v/>
      </c>
      <c r="AO32" s="213" t="str">
        <f t="shared" si="3"/>
        <v>NOT EQUAL</v>
      </c>
      <c r="AP32" s="214" t="str">
        <f t="shared" si="22"/>
        <v>Absent</v>
      </c>
      <c r="AQ32" s="184" t="b">
        <f t="shared" si="23"/>
        <v>0</v>
      </c>
      <c r="AR32" s="215">
        <v>31.0</v>
      </c>
      <c r="AS32" s="224"/>
      <c r="AT32" s="194"/>
      <c r="AU32" s="196" t="s">
        <v>168</v>
      </c>
      <c r="AV32" s="217">
        <v>4.0</v>
      </c>
      <c r="AW32" s="210" t="b">
        <v>0</v>
      </c>
      <c r="AX32" s="218" t="b">
        <f t="shared" si="6"/>
        <v>1</v>
      </c>
      <c r="AY32" s="206">
        <f t="shared" si="27"/>
        <v>2</v>
      </c>
      <c r="AZ32" s="219"/>
      <c r="BA32" s="220" t="b">
        <v>1</v>
      </c>
      <c r="BB32" s="213" t="b">
        <f t="shared" si="8"/>
        <v>1</v>
      </c>
      <c r="BC32" s="184">
        <f t="shared" si="9"/>
        <v>4</v>
      </c>
      <c r="BD32" s="184">
        <f t="shared" si="10"/>
        <v>2</v>
      </c>
      <c r="BE32" s="181" t="b">
        <f t="shared" si="11"/>
        <v>1</v>
      </c>
      <c r="BF32" s="182">
        <f t="shared" si="12"/>
        <v>44604</v>
      </c>
      <c r="BG32" s="183" t="str">
        <f t="shared" si="13"/>
        <v>RUN-BEND_2022-02-12_RFR-031</v>
      </c>
      <c r="BH32" s="184">
        <f t="shared" si="14"/>
        <v>2</v>
      </c>
      <c r="BI32" s="184">
        <f t="shared" si="15"/>
        <v>2</v>
      </c>
      <c r="BJ32" s="184">
        <f t="shared" si="16"/>
        <v>2</v>
      </c>
      <c r="BK32" s="184">
        <f t="shared" si="17"/>
        <v>4</v>
      </c>
      <c r="BL32" s="182">
        <f>IFNA(IF(VLOOKUP(FLOOR($B32,1),'APS Tubes by Date Import'!$B$2:$J53,1,FALSE)=FLOOR($BL31,1),IFERROR(0/0,""),VLOOKUP(FLOOR($B32,1),'APS Tubes by Date Import'!$B$2:$J53,1,FALSE)),"")</f>
        <v>44604</v>
      </c>
      <c r="BM32" s="186">
        <f>IF(ISBLANK($BL32),IFERROR(0/0,""),VLOOKUP(FLOOR($B32,1),'APS Tubes by Date Import'!$B$2:$J53,2,FALSE))</f>
        <v>2</v>
      </c>
      <c r="BN32" s="183" t="str">
        <f>VLOOKUP(FLOOR($B32,1),'APS Tubes by Date Import'!$B32:$J53,11,FALSE)</f>
        <v>#REF!</v>
      </c>
      <c r="BO32" s="184">
        <f>VLOOKUP(FLOOR($B32,1),'APS Tubes by Date Import'!$B32:$I53,6,FALSE)</f>
        <v>0</v>
      </c>
      <c r="BP32" s="184">
        <f t="shared" si="21"/>
        <v>2</v>
      </c>
      <c r="BQ32" s="188">
        <f t="shared" si="18"/>
        <v>0</v>
      </c>
      <c r="BR32" s="206"/>
      <c r="BS32" s="190" t="b">
        <f t="shared" si="19"/>
        <v>1</v>
      </c>
      <c r="BT32" s="191" t="str">
        <f t="shared" si="20"/>
        <v/>
      </c>
      <c r="BU32" s="192"/>
      <c r="BV32" s="192"/>
    </row>
    <row r="33">
      <c r="A33" s="183" t="str">
        <f>CONCATENATE("RUN-",'Process Ref'!$A$1,"_",TEXT(U33,"YYYY-MM-DD"),"_RFR-",TEXT(AR33,"000"),IF(EXACT(W33,"Initial"),"",CONCATENATE("_",W33)))</f>
        <v>RUN-BEND_2022-02-15_RFR-032</v>
      </c>
      <c r="B33" s="193">
        <v>44607.591099537036</v>
      </c>
      <c r="C33" s="194"/>
      <c r="D33" s="194" t="s">
        <v>169</v>
      </c>
      <c r="E33" s="195">
        <v>34.0</v>
      </c>
      <c r="F33" s="196" t="s">
        <v>285</v>
      </c>
      <c r="G33" s="221" t="s">
        <v>286</v>
      </c>
      <c r="H33" s="221" t="s">
        <v>287</v>
      </c>
      <c r="I33" s="221" t="s">
        <v>288</v>
      </c>
      <c r="J33" s="195">
        <v>1.0</v>
      </c>
      <c r="K33" s="222" t="s">
        <v>289</v>
      </c>
      <c r="L33" s="195"/>
      <c r="M33" s="200"/>
      <c r="N33" s="200">
        <v>2.3</v>
      </c>
      <c r="O33" s="200"/>
      <c r="P33" s="201" t="b">
        <v>1</v>
      </c>
      <c r="Q33" s="201" t="b">
        <v>0</v>
      </c>
      <c r="R33" s="202"/>
      <c r="S33" s="201" t="b">
        <v>0</v>
      </c>
      <c r="T33" s="203" t="b">
        <v>1</v>
      </c>
      <c r="U33" s="204">
        <v>44607.0</v>
      </c>
      <c r="V33" s="205">
        <v>0.4166666666666667</v>
      </c>
      <c r="W33" s="194" t="s">
        <v>173</v>
      </c>
      <c r="X33" s="194" t="s">
        <v>290</v>
      </c>
      <c r="Y33" s="201" t="b">
        <v>1</v>
      </c>
      <c r="Z33" s="195">
        <v>37.0</v>
      </c>
      <c r="AA33" s="207">
        <f t="shared" si="1"/>
        <v>3</v>
      </c>
      <c r="AB33" s="208" t="b">
        <f t="shared" si="2"/>
        <v>1</v>
      </c>
      <c r="AC33" s="195">
        <v>33.0</v>
      </c>
      <c r="AD33" s="195">
        <v>1.0</v>
      </c>
      <c r="AE33" s="195">
        <v>1.0</v>
      </c>
      <c r="AF33" s="209">
        <v>0.0</v>
      </c>
      <c r="AG33" s="195">
        <v>0.0</v>
      </c>
      <c r="AH33" s="210">
        <v>0.0</v>
      </c>
      <c r="AI33" s="211">
        <v>0.0</v>
      </c>
      <c r="AJ33" s="195" t="b">
        <v>0</v>
      </c>
      <c r="AK33" s="223">
        <v>33.0</v>
      </c>
      <c r="AL33" s="195">
        <v>2.0</v>
      </c>
      <c r="AM33" s="195">
        <v>3.0</v>
      </c>
      <c r="AN33" s="207" t="str">
        <f>IFNA(VLOOKUP($A33,'Tube Reactions'!$J$2:$K53,2,FALSE),"")</f>
        <v/>
      </c>
      <c r="AO33" s="213" t="str">
        <f t="shared" si="3"/>
        <v>NOT EQUAL</v>
      </c>
      <c r="AP33" s="214" t="str">
        <f t="shared" si="22"/>
        <v/>
      </c>
      <c r="AQ33" s="184" t="b">
        <f t="shared" si="23"/>
        <v>1</v>
      </c>
      <c r="AR33" s="215">
        <v>32.0</v>
      </c>
      <c r="AS33" s="216" t="s">
        <v>291</v>
      </c>
      <c r="AT33" s="194"/>
      <c r="AU33" s="196" t="s">
        <v>168</v>
      </c>
      <c r="AV33" s="217">
        <v>44.0</v>
      </c>
      <c r="AW33" s="195" t="b">
        <v>0</v>
      </c>
      <c r="AX33" s="218" t="b">
        <f t="shared" si="6"/>
        <v>1</v>
      </c>
      <c r="AY33" s="206">
        <f t="shared" si="27"/>
        <v>11</v>
      </c>
      <c r="AZ33" s="234" t="s">
        <v>292</v>
      </c>
      <c r="BA33" s="220" t="b">
        <v>0</v>
      </c>
      <c r="BB33" s="213" t="str">
        <f t="shared" si="8"/>
        <v/>
      </c>
      <c r="BC33" s="184" t="str">
        <f t="shared" si="9"/>
        <v/>
      </c>
      <c r="BD33" s="184" t="str">
        <f t="shared" si="10"/>
        <v/>
      </c>
      <c r="BE33" s="181" t="b">
        <f t="shared" si="11"/>
        <v>1</v>
      </c>
      <c r="BF33" s="182">
        <f t="shared" si="12"/>
        <v>44607</v>
      </c>
      <c r="BG33" s="183" t="str">
        <f t="shared" si="13"/>
        <v>RUN-BEND_2022-02-15_RFR-032</v>
      </c>
      <c r="BH33" s="184">
        <f t="shared" si="14"/>
        <v>34</v>
      </c>
      <c r="BI33" s="184">
        <f t="shared" si="15"/>
        <v>33</v>
      </c>
      <c r="BJ33" s="184">
        <f t="shared" si="16"/>
        <v>33</v>
      </c>
      <c r="BK33" s="184">
        <f t="shared" si="17"/>
        <v>2</v>
      </c>
      <c r="BL33" s="182">
        <f>IFNA(IF(VLOOKUP(FLOOR($B33,1),'APS Tubes by Date Import'!$B$2:$J53,1,FALSE)=FLOOR($BL32,1),IFERROR(0/0,""),VLOOKUP(FLOOR($B33,1),'APS Tubes by Date Import'!$B$2:$J53,1,FALSE)),"")</f>
        <v>44607</v>
      </c>
      <c r="BM33" s="186">
        <f>IF(ISBLANK($BL33),IFERROR(0/0,""),VLOOKUP(FLOOR($B33,1),'APS Tubes by Date Import'!$B$2:$J53,2,FALSE))</f>
        <v>33</v>
      </c>
      <c r="BN33" s="183" t="str">
        <f>VLOOKUP(FLOOR($B33,1),'APS Tubes by Date Import'!$B33:$J53,11,FALSE)</f>
        <v>#REF!</v>
      </c>
      <c r="BO33" s="184">
        <f>VLOOKUP(FLOOR($B33,1),'APS Tubes by Date Import'!$B33:$I53,6,FALSE)</f>
        <v>0</v>
      </c>
      <c r="BP33" s="184">
        <f t="shared" si="21"/>
        <v>33</v>
      </c>
      <c r="BQ33" s="188">
        <f t="shared" si="18"/>
        <v>0</v>
      </c>
      <c r="BR33" s="206"/>
      <c r="BS33" s="190" t="b">
        <f t="shared" si="19"/>
        <v>1</v>
      </c>
      <c r="BT33" s="191" t="str">
        <f t="shared" si="20"/>
        <v/>
      </c>
      <c r="BU33" s="192"/>
      <c r="BV33" s="192"/>
    </row>
    <row r="34">
      <c r="A34" s="183" t="str">
        <f>CONCATENATE("RUN-",'Process Ref'!$A$1,"_",TEXT(U34,"YYYY-MM-DD"),"_RFR-",TEXT(AR34,"000"),IF(EXACT(W34,"Initial"),"",CONCATENATE("_",W34)))</f>
        <v>RUN-BEND_2022-02-15_RFR-033_Re-run</v>
      </c>
      <c r="B34" s="193">
        <v>44607.591099537036</v>
      </c>
      <c r="C34" s="194"/>
      <c r="D34" s="194" t="s">
        <v>169</v>
      </c>
      <c r="E34" s="195"/>
      <c r="F34" s="196" t="s">
        <v>285</v>
      </c>
      <c r="G34" s="221"/>
      <c r="H34" s="221"/>
      <c r="I34" s="221" t="s">
        <v>254</v>
      </c>
      <c r="J34" s="195"/>
      <c r="K34" s="222"/>
      <c r="L34" s="195"/>
      <c r="M34" s="200"/>
      <c r="N34" s="200"/>
      <c r="O34" s="200"/>
      <c r="P34" s="201" t="b">
        <v>0</v>
      </c>
      <c r="Q34" s="201" t="b">
        <v>0</v>
      </c>
      <c r="R34" s="202"/>
      <c r="S34" s="201" t="b">
        <v>1</v>
      </c>
      <c r="T34" s="203" t="b">
        <v>1</v>
      </c>
      <c r="U34" s="204">
        <v>44607.0</v>
      </c>
      <c r="V34" s="205">
        <v>0.4583333333333333</v>
      </c>
      <c r="W34" s="194" t="s">
        <v>200</v>
      </c>
      <c r="X34" s="202"/>
      <c r="Y34" s="201" t="b">
        <v>0</v>
      </c>
      <c r="Z34" s="195"/>
      <c r="AA34" s="207" t="str">
        <f t="shared" si="1"/>
        <v/>
      </c>
      <c r="AB34" s="208" t="b">
        <f t="shared" si="2"/>
        <v>1</v>
      </c>
      <c r="AC34" s="195">
        <v>4.0</v>
      </c>
      <c r="AD34" s="195">
        <v>0.0</v>
      </c>
      <c r="AE34" s="195">
        <v>0.0</v>
      </c>
      <c r="AF34" s="209">
        <v>0.0</v>
      </c>
      <c r="AG34" s="195">
        <v>0.0</v>
      </c>
      <c r="AH34" s="210">
        <v>0.0</v>
      </c>
      <c r="AI34" s="211">
        <v>0.0</v>
      </c>
      <c r="AJ34" s="195" t="b">
        <v>0</v>
      </c>
      <c r="AK34" s="223">
        <v>2.0</v>
      </c>
      <c r="AL34" s="195">
        <v>0.0</v>
      </c>
      <c r="AM34" s="195" t="str">
        <f t="shared" ref="AM34:AM35" si="28">IF(EXACT(W34,"Initial"),"Audit","")</f>
        <v/>
      </c>
      <c r="AN34" s="207" t="str">
        <f>IFNA(VLOOKUP($A34,'Tube Reactions'!$J$2:$K53,2,FALSE),"")</f>
        <v/>
      </c>
      <c r="AO34" s="213" t="str">
        <f t="shared" si="3"/>
        <v/>
      </c>
      <c r="AP34" s="214" t="str">
        <f t="shared" si="22"/>
        <v>Absent</v>
      </c>
      <c r="AQ34" s="184" t="b">
        <f t="shared" si="23"/>
        <v>0</v>
      </c>
      <c r="AR34" s="215">
        <v>33.0</v>
      </c>
      <c r="AS34" s="236" t="s">
        <v>293</v>
      </c>
      <c r="AT34" s="194"/>
      <c r="AU34" s="196" t="s">
        <v>168</v>
      </c>
      <c r="AV34" s="233"/>
      <c r="AW34" s="195" t="b">
        <v>0</v>
      </c>
      <c r="AX34" s="218" t="b">
        <f t="shared" si="6"/>
        <v>0</v>
      </c>
      <c r="AY34" s="206"/>
      <c r="AZ34" s="219"/>
      <c r="BA34" s="220" t="b">
        <v>0</v>
      </c>
      <c r="BB34" s="213" t="str">
        <f t="shared" si="8"/>
        <v/>
      </c>
      <c r="BC34" s="184" t="str">
        <f t="shared" si="9"/>
        <v/>
      </c>
      <c r="BD34" s="184" t="str">
        <f t="shared" si="10"/>
        <v/>
      </c>
      <c r="BE34" s="181" t="b">
        <f t="shared" si="11"/>
        <v>1</v>
      </c>
      <c r="BF34" s="182" t="str">
        <f t="shared" si="12"/>
        <v/>
      </c>
      <c r="BG34" s="183" t="str">
        <f t="shared" si="13"/>
        <v/>
      </c>
      <c r="BH34" s="184" t="str">
        <f t="shared" si="14"/>
        <v/>
      </c>
      <c r="BI34" s="184" t="str">
        <f t="shared" si="15"/>
        <v/>
      </c>
      <c r="BJ34" s="184" t="str">
        <f t="shared" si="16"/>
        <v/>
      </c>
      <c r="BK34" s="184" t="str">
        <f t="shared" si="17"/>
        <v/>
      </c>
      <c r="BL34" s="182" t="str">
        <f>IFNA(IF(VLOOKUP(FLOOR($B34,1),'APS Tubes by Date Import'!$B$2:$J53,1,FALSE)=FLOOR($BL33,1),IFERROR(0/0,""),VLOOKUP(FLOOR($B34,1),'APS Tubes by Date Import'!$B$2:$J53,1,FALSE)),"")</f>
        <v/>
      </c>
      <c r="BM34" s="186" t="str">
        <f>IF(ISBLANK($BL34),IFERROR(0/0,""),VLOOKUP(FLOOR($B34,1),'APS Tubes by Date Import'!$B$2:$J53,2,FALSE))</f>
        <v/>
      </c>
      <c r="BN34" s="183" t="str">
        <f>VLOOKUP(FLOOR($B34,1),'APS Tubes by Date Import'!$B34:$J53,11,FALSE)</f>
        <v>#REF!</v>
      </c>
      <c r="BO34" s="184">
        <f>VLOOKUP(FLOOR($B34,1),'APS Tubes by Date Import'!$B34:$I53,6,FALSE)</f>
        <v>0</v>
      </c>
      <c r="BP34" s="184" t="str">
        <f t="shared" si="21"/>
        <v/>
      </c>
      <c r="BQ34" s="188">
        <f t="shared" si="18"/>
        <v>0</v>
      </c>
      <c r="BR34" s="206"/>
      <c r="BS34" s="190" t="str">
        <f t="shared" si="19"/>
        <v/>
      </c>
      <c r="BT34" s="191" t="str">
        <f t="shared" si="20"/>
        <v/>
      </c>
      <c r="BU34" s="192"/>
      <c r="BV34" s="192"/>
    </row>
    <row r="35">
      <c r="A35" s="183" t="str">
        <f>CONCATENATE("RUN-",'Process Ref'!$A$1,"_",TEXT(U35,"YYYY-MM-DD"),"_RFR-",TEXT(AR35,"000"),IF(EXACT(W35,"Initial"),"",CONCATENATE("_",W35)))</f>
        <v>RUN-BEND_2022-02-15_RFR-034_Re-run</v>
      </c>
      <c r="B35" s="193">
        <v>44607.591099537036</v>
      </c>
      <c r="C35" s="194"/>
      <c r="D35" s="194" t="s">
        <v>169</v>
      </c>
      <c r="E35" s="195"/>
      <c r="F35" s="196" t="s">
        <v>285</v>
      </c>
      <c r="G35" s="198"/>
      <c r="H35" s="198"/>
      <c r="I35" s="198" t="s">
        <v>254</v>
      </c>
      <c r="J35" s="195"/>
      <c r="K35" s="222"/>
      <c r="L35" s="195"/>
      <c r="M35" s="200"/>
      <c r="N35" s="200"/>
      <c r="O35" s="200"/>
      <c r="P35" s="201" t="b">
        <v>0</v>
      </c>
      <c r="Q35" s="201" t="b">
        <v>0</v>
      </c>
      <c r="R35" s="202"/>
      <c r="S35" s="201" t="b">
        <v>1</v>
      </c>
      <c r="T35" s="203" t="b">
        <v>1</v>
      </c>
      <c r="U35" s="204">
        <v>44607.0</v>
      </c>
      <c r="V35" s="205">
        <v>0.4791666666666667</v>
      </c>
      <c r="W35" s="194" t="s">
        <v>200</v>
      </c>
      <c r="X35" s="202"/>
      <c r="Y35" s="201" t="b">
        <v>0</v>
      </c>
      <c r="Z35" s="195"/>
      <c r="AA35" s="207" t="str">
        <f t="shared" si="1"/>
        <v/>
      </c>
      <c r="AB35" s="208" t="b">
        <f t="shared" si="2"/>
        <v>1</v>
      </c>
      <c r="AC35" s="195">
        <v>3.0</v>
      </c>
      <c r="AD35" s="195">
        <v>0.0</v>
      </c>
      <c r="AE35" s="195">
        <v>0.0</v>
      </c>
      <c r="AF35" s="209">
        <v>2.0</v>
      </c>
      <c r="AG35" s="195">
        <v>0.0</v>
      </c>
      <c r="AH35" s="210">
        <v>0.0</v>
      </c>
      <c r="AI35" s="211">
        <v>0.0</v>
      </c>
      <c r="AJ35" s="195" t="b">
        <v>0</v>
      </c>
      <c r="AK35" s="223">
        <v>1.0</v>
      </c>
      <c r="AL35" s="195">
        <v>4.0</v>
      </c>
      <c r="AM35" s="195" t="str">
        <f t="shared" si="28"/>
        <v/>
      </c>
      <c r="AN35" s="207" t="str">
        <f>IFNA(VLOOKUP($A35,'Tube Reactions'!$J$2:$K53,2,FALSE),"")</f>
        <v/>
      </c>
      <c r="AO35" s="213" t="str">
        <f t="shared" si="3"/>
        <v/>
      </c>
      <c r="AP35" s="214" t="str">
        <f t="shared" si="22"/>
        <v>Absent</v>
      </c>
      <c r="AQ35" s="184" t="b">
        <f t="shared" si="23"/>
        <v>0</v>
      </c>
      <c r="AR35" s="215">
        <v>34.0</v>
      </c>
      <c r="AS35" s="236" t="s">
        <v>293</v>
      </c>
      <c r="AT35" s="194"/>
      <c r="AU35" s="196" t="s">
        <v>168</v>
      </c>
      <c r="AV35" s="233"/>
      <c r="AW35" s="195" t="b">
        <v>0</v>
      </c>
      <c r="AX35" s="218" t="b">
        <f t="shared" si="6"/>
        <v>1</v>
      </c>
      <c r="AY35" s="206"/>
      <c r="AZ35" s="219"/>
      <c r="BA35" s="220" t="b">
        <v>0</v>
      </c>
      <c r="BB35" s="213" t="str">
        <f t="shared" si="8"/>
        <v/>
      </c>
      <c r="BC35" s="184" t="str">
        <f t="shared" si="9"/>
        <v/>
      </c>
      <c r="BD35" s="184" t="str">
        <f t="shared" si="10"/>
        <v/>
      </c>
      <c r="BE35" s="181" t="b">
        <f t="shared" si="11"/>
        <v>1</v>
      </c>
      <c r="BF35" s="182" t="str">
        <f t="shared" si="12"/>
        <v/>
      </c>
      <c r="BG35" s="183" t="str">
        <f t="shared" si="13"/>
        <v/>
      </c>
      <c r="BH35" s="184" t="str">
        <f t="shared" si="14"/>
        <v/>
      </c>
      <c r="BI35" s="184" t="str">
        <f t="shared" si="15"/>
        <v/>
      </c>
      <c r="BJ35" s="184" t="str">
        <f t="shared" si="16"/>
        <v/>
      </c>
      <c r="BK35" s="184" t="str">
        <f t="shared" si="17"/>
        <v/>
      </c>
      <c r="BL35" s="182">
        <f>IFNA(IF(VLOOKUP(FLOOR($B35,1),'APS Tubes by Date Import'!$B$2:$J53,1,FALSE)=FLOOR($BL34,1),IFERROR(0/0,""),VLOOKUP(FLOOR($B35,1),'APS Tubes by Date Import'!$B$2:$J53,1,FALSE)),"")</f>
        <v>44607</v>
      </c>
      <c r="BM35" s="186">
        <f>IF(ISBLANK($BL35),IFERROR(0/0,""),VLOOKUP(FLOOR($B35,1),'APS Tubes by Date Import'!$B$2:$J53,2,FALSE))</f>
        <v>33</v>
      </c>
      <c r="BN35" s="183" t="str">
        <f>VLOOKUP(FLOOR($B35,1),'APS Tubes by Date Import'!$B35:$J53,11,FALSE)</f>
        <v>#REF!</v>
      </c>
      <c r="BO35" s="184">
        <f>VLOOKUP(FLOOR($B35,1),'APS Tubes by Date Import'!$B35:$I53,6,FALSE)</f>
        <v>0</v>
      </c>
      <c r="BP35" s="184" t="str">
        <f t="shared" si="21"/>
        <v/>
      </c>
      <c r="BQ35" s="188">
        <f t="shared" si="18"/>
        <v>-33</v>
      </c>
      <c r="BR35" s="206"/>
      <c r="BS35" s="190" t="str">
        <f t="shared" si="19"/>
        <v/>
      </c>
      <c r="BT35" s="191" t="str">
        <f t="shared" si="20"/>
        <v/>
      </c>
      <c r="BU35" s="192"/>
      <c r="BV35" s="192"/>
    </row>
    <row r="36">
      <c r="A36" s="183" t="str">
        <f>CONCATENATE("RUN-",'Process Ref'!$A$1,"_",TEXT(U36,"YYYY-MM-DD"),"_RFR-",TEXT(AR36,"000"),IF(EXACT(W36,"Initial"),"",CONCATENATE("_",W36)))</f>
        <v>RUN-BEND_2022-02-17_RFR-035</v>
      </c>
      <c r="B36" s="193">
        <v>44609.49377314815</v>
      </c>
      <c r="C36" s="194"/>
      <c r="D36" s="194" t="s">
        <v>169</v>
      </c>
      <c r="E36" s="195">
        <v>32.0</v>
      </c>
      <c r="F36" s="196" t="s">
        <v>294</v>
      </c>
      <c r="G36" s="198" t="s">
        <v>295</v>
      </c>
      <c r="H36" s="229" t="s">
        <v>296</v>
      </c>
      <c r="I36" s="229" t="s">
        <v>297</v>
      </c>
      <c r="J36" s="195">
        <v>1.0</v>
      </c>
      <c r="K36" s="222"/>
      <c r="L36" s="195"/>
      <c r="M36" s="200">
        <v>1.4</v>
      </c>
      <c r="N36" s="200"/>
      <c r="O36" s="200"/>
      <c r="P36" s="201" t="b">
        <v>0</v>
      </c>
      <c r="Q36" s="201" t="b">
        <v>0</v>
      </c>
      <c r="R36" s="202"/>
      <c r="S36" s="201" t="b">
        <v>0</v>
      </c>
      <c r="T36" s="203" t="b">
        <v>0</v>
      </c>
      <c r="U36" s="204">
        <v>44609.0</v>
      </c>
      <c r="V36" s="205">
        <v>0.4166666666666667</v>
      </c>
      <c r="W36" s="194" t="s">
        <v>173</v>
      </c>
      <c r="X36" s="194" t="s">
        <v>298</v>
      </c>
      <c r="Y36" s="201" t="b">
        <v>1</v>
      </c>
      <c r="Z36" s="195">
        <v>34.0</v>
      </c>
      <c r="AA36" s="207">
        <f t="shared" si="1"/>
        <v>2</v>
      </c>
      <c r="AB36" s="208" t="b">
        <f t="shared" si="2"/>
        <v>0</v>
      </c>
      <c r="AC36" s="195">
        <v>32.0</v>
      </c>
      <c r="AD36" s="195">
        <v>1.0</v>
      </c>
      <c r="AE36" s="195">
        <v>1.0</v>
      </c>
      <c r="AF36" s="209">
        <v>1.0</v>
      </c>
      <c r="AG36" s="195">
        <v>0.0</v>
      </c>
      <c r="AH36" s="210">
        <v>0.0</v>
      </c>
      <c r="AI36" s="211">
        <v>0.0</v>
      </c>
      <c r="AJ36" s="195" t="b">
        <v>0</v>
      </c>
      <c r="AK36" s="223">
        <v>32.0</v>
      </c>
      <c r="AL36" s="195">
        <v>2.0</v>
      </c>
      <c r="AM36" s="195">
        <v>1.0</v>
      </c>
      <c r="AN36" s="207" t="str">
        <f>IFNA(VLOOKUP($A36,'Tube Reactions'!$J$2:$K53,2,FALSE),"")</f>
        <v/>
      </c>
      <c r="AO36" s="213" t="str">
        <f t="shared" si="3"/>
        <v>NOT EQUAL</v>
      </c>
      <c r="AP36" s="214" t="str">
        <f t="shared" si="22"/>
        <v/>
      </c>
      <c r="AQ36" s="184" t="b">
        <f t="shared" si="23"/>
        <v>1</v>
      </c>
      <c r="AR36" s="215">
        <v>35.0</v>
      </c>
      <c r="AS36" s="224"/>
      <c r="AT36" s="194"/>
      <c r="AU36" s="196" t="s">
        <v>168</v>
      </c>
      <c r="AV36" s="217">
        <v>34.0</v>
      </c>
      <c r="AW36" s="210" t="b">
        <v>0</v>
      </c>
      <c r="AX36" s="218" t="b">
        <f t="shared" si="6"/>
        <v>1</v>
      </c>
      <c r="AY36" s="206">
        <f t="shared" ref="AY36:AY41" si="29">AV36-AC36</f>
        <v>2</v>
      </c>
      <c r="AZ36" s="219"/>
      <c r="BA36" s="220" t="b">
        <v>1</v>
      </c>
      <c r="BB36" s="213" t="b">
        <f t="shared" si="8"/>
        <v>1</v>
      </c>
      <c r="BC36" s="184">
        <f t="shared" si="9"/>
        <v>2</v>
      </c>
      <c r="BD36" s="184">
        <f t="shared" si="10"/>
        <v>32</v>
      </c>
      <c r="BE36" s="181" t="b">
        <f t="shared" si="11"/>
        <v>1</v>
      </c>
      <c r="BF36" s="182">
        <f t="shared" si="12"/>
        <v>44609</v>
      </c>
      <c r="BG36" s="183" t="str">
        <f t="shared" si="13"/>
        <v>RUN-BEND_2022-02-17_RFR-035</v>
      </c>
      <c r="BH36" s="184">
        <f t="shared" si="14"/>
        <v>32</v>
      </c>
      <c r="BI36" s="184">
        <f t="shared" si="15"/>
        <v>32</v>
      </c>
      <c r="BJ36" s="184">
        <f t="shared" si="16"/>
        <v>32</v>
      </c>
      <c r="BK36" s="184">
        <f t="shared" si="17"/>
        <v>2</v>
      </c>
      <c r="BL36" s="182">
        <f>IFNA(IF(VLOOKUP(FLOOR($B36,1),'APS Tubes by Date Import'!$B$2:$J53,1,FALSE)=FLOOR($BL35,1),IFERROR(0/0,""),VLOOKUP(FLOOR($B36,1),'APS Tubes by Date Import'!$B$2:$J53,1,FALSE)),"")</f>
        <v>44609</v>
      </c>
      <c r="BM36" s="186">
        <f>IF(ISBLANK($BL36),IFERROR(0/0,""),VLOOKUP(FLOOR($B36,1),'APS Tubes by Date Import'!$B$2:$J53,2,FALSE))</f>
        <v>33</v>
      </c>
      <c r="BN36" s="183" t="str">
        <f>VLOOKUP(FLOOR($B36,1),'APS Tubes by Date Import'!$B36:$J53,11,FALSE)</f>
        <v>#REF!</v>
      </c>
      <c r="BO36" s="184">
        <f>VLOOKUP(FLOOR($B36,1),'APS Tubes by Date Import'!$B36:$I53,6,FALSE)</f>
        <v>0</v>
      </c>
      <c r="BP36" s="184">
        <f t="shared" si="21"/>
        <v>32</v>
      </c>
      <c r="BQ36" s="188">
        <f t="shared" si="18"/>
        <v>-1</v>
      </c>
      <c r="BR36" s="206"/>
      <c r="BS36" s="190" t="b">
        <f t="shared" si="19"/>
        <v>1</v>
      </c>
      <c r="BT36" s="191" t="str">
        <f t="shared" si="20"/>
        <v/>
      </c>
      <c r="BU36" s="192"/>
      <c r="BV36" s="192"/>
    </row>
    <row r="37">
      <c r="A37" s="183" t="str">
        <f>CONCATENATE("RUN-",'Process Ref'!$A$1,"_",TEXT(U37,"YYYY-MM-DD"),"_RFR-",TEXT(AR37,"000"),IF(EXACT(W37,"Initial"),"",CONCATENATE("_",W37)))</f>
        <v>RUN-BEND_2022-02-19_RFR-036</v>
      </c>
      <c r="B37" s="193">
        <v>44611.48726851852</v>
      </c>
      <c r="C37" s="194"/>
      <c r="D37" s="194" t="s">
        <v>169</v>
      </c>
      <c r="E37" s="195">
        <v>31.0</v>
      </c>
      <c r="F37" s="196" t="s">
        <v>299</v>
      </c>
      <c r="G37" s="221" t="s">
        <v>300</v>
      </c>
      <c r="H37" s="221" t="s">
        <v>301</v>
      </c>
      <c r="I37" s="221" t="s">
        <v>302</v>
      </c>
      <c r="J37" s="195">
        <v>2.0</v>
      </c>
      <c r="K37" s="222"/>
      <c r="L37" s="195"/>
      <c r="M37" s="200"/>
      <c r="N37" s="200">
        <v>2.1</v>
      </c>
      <c r="O37" s="200"/>
      <c r="P37" s="201" t="b">
        <v>1</v>
      </c>
      <c r="Q37" s="201" t="b">
        <v>0</v>
      </c>
      <c r="R37" s="202"/>
      <c r="S37" s="201" t="b">
        <v>0</v>
      </c>
      <c r="T37" s="203" t="b">
        <v>0</v>
      </c>
      <c r="U37" s="204">
        <v>44611.0</v>
      </c>
      <c r="V37" s="205">
        <v>0.4444444444444444</v>
      </c>
      <c r="W37" s="194" t="s">
        <v>173</v>
      </c>
      <c r="X37" s="202"/>
      <c r="Y37" s="201" t="b">
        <v>0</v>
      </c>
      <c r="Z37" s="195">
        <v>33.0</v>
      </c>
      <c r="AA37" s="207">
        <f t="shared" si="1"/>
        <v>2</v>
      </c>
      <c r="AB37" s="208" t="b">
        <f t="shared" si="2"/>
        <v>0</v>
      </c>
      <c r="AC37" s="195">
        <v>31.0</v>
      </c>
      <c r="AD37" s="195">
        <v>0.0</v>
      </c>
      <c r="AE37" s="195">
        <v>0.0</v>
      </c>
      <c r="AF37" s="209">
        <v>0.0</v>
      </c>
      <c r="AG37" s="195">
        <v>0.0</v>
      </c>
      <c r="AH37" s="210">
        <v>0.0</v>
      </c>
      <c r="AI37" s="211">
        <v>0.0</v>
      </c>
      <c r="AJ37" s="195" t="b">
        <v>0</v>
      </c>
      <c r="AK37" s="223">
        <v>31.0</v>
      </c>
      <c r="AL37" s="195">
        <v>0.0</v>
      </c>
      <c r="AM37" s="195">
        <v>2.0</v>
      </c>
      <c r="AN37" s="207" t="str">
        <f>IFNA(VLOOKUP($A37,'Tube Reactions'!$J$2:$K53,2,FALSE),"")</f>
        <v/>
      </c>
      <c r="AO37" s="213" t="str">
        <f t="shared" si="3"/>
        <v>NOT EQUAL</v>
      </c>
      <c r="AP37" s="214" t="str">
        <f t="shared" si="22"/>
        <v/>
      </c>
      <c r="AQ37" s="184" t="b">
        <f t="shared" si="23"/>
        <v>1</v>
      </c>
      <c r="AR37" s="215">
        <v>36.0</v>
      </c>
      <c r="AS37" s="224"/>
      <c r="AT37" s="194"/>
      <c r="AU37" s="196" t="s">
        <v>168</v>
      </c>
      <c r="AV37" s="217">
        <v>33.0</v>
      </c>
      <c r="AW37" s="195" t="b">
        <v>1</v>
      </c>
      <c r="AX37" s="218" t="b">
        <f t="shared" si="6"/>
        <v>1</v>
      </c>
      <c r="AY37" s="206">
        <f t="shared" si="29"/>
        <v>2</v>
      </c>
      <c r="AZ37" s="219"/>
      <c r="BA37" s="220" t="b">
        <v>1</v>
      </c>
      <c r="BB37" s="213" t="b">
        <f t="shared" si="8"/>
        <v>1</v>
      </c>
      <c r="BC37" s="184" t="b">
        <f t="shared" si="9"/>
        <v>1</v>
      </c>
      <c r="BD37" s="184">
        <f t="shared" si="10"/>
        <v>31</v>
      </c>
      <c r="BE37" s="181" t="b">
        <f t="shared" si="11"/>
        <v>1</v>
      </c>
      <c r="BF37" s="182">
        <f t="shared" si="12"/>
        <v>44611</v>
      </c>
      <c r="BG37" s="183" t="str">
        <f t="shared" si="13"/>
        <v>RUN-BEND_2022-02-19_RFR-036</v>
      </c>
      <c r="BH37" s="184">
        <f t="shared" si="14"/>
        <v>31</v>
      </c>
      <c r="BI37" s="184">
        <f t="shared" si="15"/>
        <v>31</v>
      </c>
      <c r="BJ37" s="184">
        <f t="shared" si="16"/>
        <v>31</v>
      </c>
      <c r="BK37" s="184">
        <f t="shared" si="17"/>
        <v>0</v>
      </c>
      <c r="BL37" s="182">
        <f>IFNA(IF(VLOOKUP(FLOOR($B37,1),'APS Tubes by Date Import'!$B$2:$J53,1,FALSE)=FLOOR($BL36,1),IFERROR(0/0,""),VLOOKUP(FLOOR($B37,1),'APS Tubes by Date Import'!$B$2:$J53,1,FALSE)),"")</f>
        <v>44611</v>
      </c>
      <c r="BM37" s="186">
        <f>IF(ISBLANK($BL37),IFERROR(0/0,""),VLOOKUP(FLOOR($B37,1),'APS Tubes by Date Import'!$B$2:$J53,2,FALSE))</f>
        <v>31</v>
      </c>
      <c r="BN37" s="183" t="str">
        <f>VLOOKUP(FLOOR($B37,1),'APS Tubes by Date Import'!$B37:$J53,11,FALSE)</f>
        <v>#REF!</v>
      </c>
      <c r="BO37" s="184">
        <f>VLOOKUP(FLOOR($B37,1),'APS Tubes by Date Import'!$B37:$I53,6,FALSE)</f>
        <v>0</v>
      </c>
      <c r="BP37" s="184">
        <f t="shared" si="21"/>
        <v>31</v>
      </c>
      <c r="BQ37" s="188">
        <f t="shared" si="18"/>
        <v>0</v>
      </c>
      <c r="BR37" s="206"/>
      <c r="BS37" s="190" t="b">
        <f t="shared" si="19"/>
        <v>1</v>
      </c>
      <c r="BT37" s="191" t="str">
        <f t="shared" si="20"/>
        <v/>
      </c>
      <c r="BU37" s="192"/>
      <c r="BV37" s="192"/>
    </row>
    <row r="38">
      <c r="A38" s="183" t="str">
        <f>CONCATENATE("RUN-",'Process Ref'!$A$1,"_",TEXT(U38,"YYYY-MM-DD"),"_RFR-",TEXT(AR38,"000"),IF(EXACT(W38,"Initial"),"",CONCATENATE("_",W38)))</f>
        <v>RUN-BEND_2022-02-21_RFR-037</v>
      </c>
      <c r="B38" s="193">
        <v>44613.46643518518</v>
      </c>
      <c r="C38" s="194"/>
      <c r="D38" s="194" t="s">
        <v>169</v>
      </c>
      <c r="E38" s="195">
        <v>29.0</v>
      </c>
      <c r="F38" s="196" t="s">
        <v>303</v>
      </c>
      <c r="G38" s="221" t="s">
        <v>304</v>
      </c>
      <c r="H38" s="221" t="s">
        <v>305</v>
      </c>
      <c r="I38" s="221" t="s">
        <v>306</v>
      </c>
      <c r="J38" s="195">
        <v>0.0</v>
      </c>
      <c r="K38" s="222"/>
      <c r="L38" s="195"/>
      <c r="M38" s="200"/>
      <c r="N38" s="200"/>
      <c r="O38" s="200"/>
      <c r="P38" s="201" t="b">
        <v>0</v>
      </c>
      <c r="Q38" s="201" t="b">
        <v>0</v>
      </c>
      <c r="R38" s="202"/>
      <c r="S38" s="201" t="b">
        <v>0</v>
      </c>
      <c r="T38" s="203" t="b">
        <v>0</v>
      </c>
      <c r="U38" s="204">
        <v>44613.0</v>
      </c>
      <c r="V38" s="205">
        <v>0.4166666666666667</v>
      </c>
      <c r="W38" s="194" t="s">
        <v>173</v>
      </c>
      <c r="X38" s="202"/>
      <c r="Y38" s="201" t="b">
        <v>0</v>
      </c>
      <c r="Z38" s="195">
        <v>31.0</v>
      </c>
      <c r="AA38" s="207">
        <f t="shared" si="1"/>
        <v>2</v>
      </c>
      <c r="AB38" s="208" t="b">
        <f t="shared" si="2"/>
        <v>0</v>
      </c>
      <c r="AC38" s="195">
        <v>29.0</v>
      </c>
      <c r="AD38" s="195">
        <v>0.0</v>
      </c>
      <c r="AE38" s="195">
        <v>0.0</v>
      </c>
      <c r="AF38" s="209">
        <v>0.0</v>
      </c>
      <c r="AG38" s="195">
        <v>0.0</v>
      </c>
      <c r="AH38" s="210">
        <v>0.0</v>
      </c>
      <c r="AI38" s="211">
        <v>0.0</v>
      </c>
      <c r="AJ38" s="195" t="b">
        <v>0</v>
      </c>
      <c r="AK38" s="223">
        <v>29.0</v>
      </c>
      <c r="AL38" s="195">
        <v>0.0</v>
      </c>
      <c r="AM38" s="195">
        <v>0.0</v>
      </c>
      <c r="AN38" s="207" t="str">
        <f>IFNA(VLOOKUP($A38,'Tube Reactions'!$J$2:$K53,2,FALSE),"")</f>
        <v/>
      </c>
      <c r="AO38" s="213" t="str">
        <f t="shared" si="3"/>
        <v/>
      </c>
      <c r="AP38" s="214" t="str">
        <f t="shared" si="22"/>
        <v/>
      </c>
      <c r="AQ38" s="184" t="b">
        <f t="shared" si="23"/>
        <v>1</v>
      </c>
      <c r="AR38" s="215">
        <v>37.0</v>
      </c>
      <c r="AS38" s="224"/>
      <c r="AT38" s="194"/>
      <c r="AU38" s="196" t="s">
        <v>168</v>
      </c>
      <c r="AV38" s="217">
        <v>31.0</v>
      </c>
      <c r="AW38" s="195" t="b">
        <v>1</v>
      </c>
      <c r="AX38" s="218" t="b">
        <f t="shared" si="6"/>
        <v>1</v>
      </c>
      <c r="AY38" s="206">
        <f t="shared" si="29"/>
        <v>2</v>
      </c>
      <c r="AZ38" s="219"/>
      <c r="BA38" s="220" t="b">
        <v>1</v>
      </c>
      <c r="BB38" s="213" t="b">
        <f t="shared" si="8"/>
        <v>1</v>
      </c>
      <c r="BC38" s="184" t="b">
        <f t="shared" si="9"/>
        <v>1</v>
      </c>
      <c r="BD38" s="184">
        <f t="shared" si="10"/>
        <v>29</v>
      </c>
      <c r="BE38" s="181" t="b">
        <f t="shared" si="11"/>
        <v>1</v>
      </c>
      <c r="BF38" s="182">
        <f t="shared" si="12"/>
        <v>44613</v>
      </c>
      <c r="BG38" s="183" t="str">
        <f t="shared" si="13"/>
        <v>RUN-BEND_2022-02-21_RFR-037</v>
      </c>
      <c r="BH38" s="184">
        <f t="shared" si="14"/>
        <v>29</v>
      </c>
      <c r="BI38" s="184">
        <f t="shared" si="15"/>
        <v>29</v>
      </c>
      <c r="BJ38" s="184">
        <f t="shared" si="16"/>
        <v>29</v>
      </c>
      <c r="BK38" s="184">
        <f t="shared" si="17"/>
        <v>0</v>
      </c>
      <c r="BL38" s="182">
        <f>IFNA(IF(VLOOKUP(FLOOR($B38,1),'APS Tubes by Date Import'!$B$2:$J53,1,FALSE)=FLOOR($BL37,1),IFERROR(0/0,""),VLOOKUP(FLOOR($B38,1),'APS Tubes by Date Import'!$B$2:$J53,1,FALSE)),"")</f>
        <v>44613</v>
      </c>
      <c r="BM38" s="186">
        <f>IF(ISBLANK($BL38),IFERROR(0/0,""),VLOOKUP(FLOOR($B38,1),'APS Tubes by Date Import'!$B$2:$J53,2,FALSE))</f>
        <v>28</v>
      </c>
      <c r="BN38" s="183" t="str">
        <f>VLOOKUP(FLOOR($B38,1),'APS Tubes by Date Import'!$B38:$J53,11,FALSE)</f>
        <v>#REF!</v>
      </c>
      <c r="BO38" s="184">
        <f>VLOOKUP(FLOOR($B38,1),'APS Tubes by Date Import'!$B38:$I53,6,FALSE)</f>
        <v>0</v>
      </c>
      <c r="BP38" s="184">
        <f t="shared" si="21"/>
        <v>29</v>
      </c>
      <c r="BQ38" s="188">
        <f t="shared" si="18"/>
        <v>1</v>
      </c>
      <c r="BR38" s="206"/>
      <c r="BS38" s="190" t="b">
        <f t="shared" si="19"/>
        <v>1</v>
      </c>
      <c r="BT38" s="191" t="str">
        <f t="shared" si="20"/>
        <v/>
      </c>
      <c r="BU38" s="192"/>
      <c r="BV38" s="192"/>
    </row>
    <row r="39">
      <c r="A39" s="183" t="str">
        <f>CONCATENATE("RUN-",'Process Ref'!$A$1,"_",TEXT(U39,"YYYY-MM-DD"),"_RFR-",TEXT(AR39,"000"),IF(EXACT(W39,"Initial"),"",CONCATENATE("_",W39)))</f>
        <v>RUN-BEND_2022-02-22_RFR-038</v>
      </c>
      <c r="B39" s="193">
        <v>44614.66663194444</v>
      </c>
      <c r="C39" s="194"/>
      <c r="D39" s="194" t="s">
        <v>169</v>
      </c>
      <c r="E39" s="195">
        <v>1.0</v>
      </c>
      <c r="F39" s="196" t="s">
        <v>307</v>
      </c>
      <c r="G39" s="198" t="s">
        <v>308</v>
      </c>
      <c r="H39" s="198"/>
      <c r="I39" s="198" t="s">
        <v>309</v>
      </c>
      <c r="J39" s="195">
        <v>0.0</v>
      </c>
      <c r="K39" s="222"/>
      <c r="L39" s="195"/>
      <c r="M39" s="200"/>
      <c r="N39" s="200"/>
      <c r="O39" s="200"/>
      <c r="P39" s="201" t="b">
        <v>0</v>
      </c>
      <c r="Q39" s="201" t="b">
        <v>0</v>
      </c>
      <c r="R39" s="202"/>
      <c r="S39" s="201" t="b">
        <v>0</v>
      </c>
      <c r="T39" s="203" t="b">
        <v>0</v>
      </c>
      <c r="U39" s="204">
        <v>44614.0</v>
      </c>
      <c r="V39" s="205">
        <v>0.625</v>
      </c>
      <c r="W39" s="194" t="s">
        <v>173</v>
      </c>
      <c r="X39" s="202"/>
      <c r="Y39" s="201" t="b">
        <v>0</v>
      </c>
      <c r="Z39" s="195">
        <v>3.0</v>
      </c>
      <c r="AA39" s="207">
        <f t="shared" si="1"/>
        <v>2</v>
      </c>
      <c r="AB39" s="208" t="b">
        <f t="shared" si="2"/>
        <v>0</v>
      </c>
      <c r="AC39" s="195">
        <v>1.0</v>
      </c>
      <c r="AD39" s="195">
        <v>0.0</v>
      </c>
      <c r="AE39" s="195">
        <v>0.0</v>
      </c>
      <c r="AF39" s="209">
        <v>0.0</v>
      </c>
      <c r="AG39" s="195">
        <v>1.0</v>
      </c>
      <c r="AH39" s="210">
        <v>1.0</v>
      </c>
      <c r="AI39" s="211">
        <v>1.0</v>
      </c>
      <c r="AJ39" s="195" t="b">
        <v>0</v>
      </c>
      <c r="AK39" s="223">
        <v>1.0</v>
      </c>
      <c r="AL39" s="195">
        <v>4.0</v>
      </c>
      <c r="AM39" s="195">
        <v>1.0</v>
      </c>
      <c r="AN39" s="207" t="str">
        <f>IFNA(VLOOKUP($A39,'Tube Reactions'!$J$2:$K53,2,FALSE),"")</f>
        <v/>
      </c>
      <c r="AO39" s="213" t="str">
        <f t="shared" si="3"/>
        <v>NOT EQUAL</v>
      </c>
      <c r="AP39" s="214" t="str">
        <f t="shared" si="22"/>
        <v>Absent</v>
      </c>
      <c r="AQ39" s="184" t="b">
        <f t="shared" si="23"/>
        <v>0</v>
      </c>
      <c r="AR39" s="215">
        <v>38.0</v>
      </c>
      <c r="AS39" s="224"/>
      <c r="AT39" s="194"/>
      <c r="AU39" s="196" t="s">
        <v>168</v>
      </c>
      <c r="AV39" s="217">
        <v>3.0</v>
      </c>
      <c r="AW39" s="195" t="b">
        <v>0</v>
      </c>
      <c r="AX39" s="218" t="b">
        <f t="shared" si="6"/>
        <v>1</v>
      </c>
      <c r="AY39" s="206">
        <f t="shared" si="29"/>
        <v>2</v>
      </c>
      <c r="AZ39" s="219"/>
      <c r="BA39" s="220" t="b">
        <v>1</v>
      </c>
      <c r="BB39" s="213" t="b">
        <f t="shared" si="8"/>
        <v>1</v>
      </c>
      <c r="BC39" s="184">
        <f t="shared" si="9"/>
        <v>4</v>
      </c>
      <c r="BD39" s="184">
        <f t="shared" si="10"/>
        <v>1</v>
      </c>
      <c r="BE39" s="181" t="b">
        <f t="shared" si="11"/>
        <v>1</v>
      </c>
      <c r="BF39" s="182">
        <f t="shared" si="12"/>
        <v>44614</v>
      </c>
      <c r="BG39" s="183" t="str">
        <f t="shared" si="13"/>
        <v>RUN-BEND_2022-02-22_RFR-038</v>
      </c>
      <c r="BH39" s="184">
        <f t="shared" si="14"/>
        <v>1</v>
      </c>
      <c r="BI39" s="184">
        <f t="shared" si="15"/>
        <v>1</v>
      </c>
      <c r="BJ39" s="184">
        <f t="shared" si="16"/>
        <v>1</v>
      </c>
      <c r="BK39" s="184">
        <f t="shared" si="17"/>
        <v>4</v>
      </c>
      <c r="BL39" s="182">
        <f>IFNA(IF(VLOOKUP(FLOOR($B39,1),'APS Tubes by Date Import'!$B$2:$J53,1,FALSE)=FLOOR($BL38,1),IFERROR(0/0,""),VLOOKUP(FLOOR($B39,1),'APS Tubes by Date Import'!$B$2:$J53,1,FALSE)),"")</f>
        <v>44614</v>
      </c>
      <c r="BM39" s="186">
        <f>IF(ISBLANK($BL39),IFERROR(0/0,""),VLOOKUP(FLOOR($B39,1),'APS Tubes by Date Import'!$B$2:$J53,2,FALSE))</f>
        <v>1</v>
      </c>
      <c r="BN39" s="183" t="str">
        <f>VLOOKUP(FLOOR($B39,1),'APS Tubes by Date Import'!$B39:$J53,11,FALSE)</f>
        <v>#REF!</v>
      </c>
      <c r="BO39" s="184">
        <f>VLOOKUP(FLOOR($B39,1),'APS Tubes by Date Import'!$B39:$I53,6,FALSE)</f>
        <v>0</v>
      </c>
      <c r="BP39" s="184">
        <f t="shared" si="21"/>
        <v>1</v>
      </c>
      <c r="BQ39" s="188">
        <f t="shared" si="18"/>
        <v>0</v>
      </c>
      <c r="BR39" s="206"/>
      <c r="BS39" s="190" t="b">
        <f t="shared" si="19"/>
        <v>1</v>
      </c>
      <c r="BT39" s="191" t="str">
        <f t="shared" si="20"/>
        <v/>
      </c>
      <c r="BU39" s="192"/>
      <c r="BV39" s="192"/>
    </row>
    <row r="40">
      <c r="A40" s="183" t="str">
        <f>CONCATENATE("RUN-",'Process Ref'!$A$1,"_",TEXT(U40,"YYYY-MM-DD"),"_RFR-",TEXT(AR40,"000"),IF(EXACT(W40,"Initial"),"",CONCATENATE("_",W40)))</f>
        <v>RUN-BEND_2022-02-23_RFR-039</v>
      </c>
      <c r="B40" s="193">
        <v>44615.48767361111</v>
      </c>
      <c r="C40" s="194"/>
      <c r="D40" s="194" t="s">
        <v>169</v>
      </c>
      <c r="E40" s="195">
        <v>34.0</v>
      </c>
      <c r="F40" s="196" t="s">
        <v>310</v>
      </c>
      <c r="G40" s="198" t="s">
        <v>311</v>
      </c>
      <c r="H40" s="198" t="s">
        <v>312</v>
      </c>
      <c r="I40" s="198" t="s">
        <v>313</v>
      </c>
      <c r="J40" s="195">
        <v>0.0</v>
      </c>
      <c r="K40" s="222"/>
      <c r="L40" s="195"/>
      <c r="M40" s="200"/>
      <c r="N40" s="200"/>
      <c r="O40" s="200"/>
      <c r="P40" s="201" t="b">
        <v>0</v>
      </c>
      <c r="Q40" s="201" t="b">
        <v>0</v>
      </c>
      <c r="R40" s="202"/>
      <c r="S40" s="201" t="b">
        <v>0</v>
      </c>
      <c r="T40" s="203" t="b">
        <v>0</v>
      </c>
      <c r="U40" s="204">
        <v>44615.0</v>
      </c>
      <c r="V40" s="205">
        <v>0.4375</v>
      </c>
      <c r="W40" s="194" t="s">
        <v>173</v>
      </c>
      <c r="X40" s="202"/>
      <c r="Y40" s="201" t="b">
        <v>0</v>
      </c>
      <c r="Z40" s="195"/>
      <c r="AA40" s="207" t="str">
        <f t="shared" si="1"/>
        <v/>
      </c>
      <c r="AB40" s="208" t="b">
        <f t="shared" si="2"/>
        <v>1</v>
      </c>
      <c r="AC40" s="195">
        <v>34.0</v>
      </c>
      <c r="AD40" s="195">
        <v>0.0</v>
      </c>
      <c r="AE40" s="195">
        <v>0.0</v>
      </c>
      <c r="AF40" s="209">
        <v>0.0</v>
      </c>
      <c r="AG40" s="195">
        <v>0.0</v>
      </c>
      <c r="AH40" s="210">
        <v>0.0</v>
      </c>
      <c r="AI40" s="211">
        <v>0.0</v>
      </c>
      <c r="AJ40" s="195" t="b">
        <v>0</v>
      </c>
      <c r="AK40" s="223">
        <v>34.0</v>
      </c>
      <c r="AL40" s="195">
        <v>0.0</v>
      </c>
      <c r="AM40" s="195">
        <v>0.0</v>
      </c>
      <c r="AN40" s="207" t="str">
        <f>IFNA(VLOOKUP($A40,'Tube Reactions'!$J$2:$K53,2,FALSE),"")</f>
        <v/>
      </c>
      <c r="AO40" s="213" t="str">
        <f t="shared" si="3"/>
        <v/>
      </c>
      <c r="AP40" s="214" t="str">
        <f t="shared" si="22"/>
        <v/>
      </c>
      <c r="AQ40" s="184" t="b">
        <f t="shared" si="23"/>
        <v>1</v>
      </c>
      <c r="AR40" s="215">
        <v>39.0</v>
      </c>
      <c r="AS40" s="224"/>
      <c r="AT40" s="194"/>
      <c r="AU40" s="196" t="s">
        <v>168</v>
      </c>
      <c r="AV40" s="217">
        <v>36.0</v>
      </c>
      <c r="AW40" s="195" t="b">
        <v>1</v>
      </c>
      <c r="AX40" s="218" t="b">
        <f t="shared" si="6"/>
        <v>1</v>
      </c>
      <c r="AY40" s="206">
        <f t="shared" si="29"/>
        <v>2</v>
      </c>
      <c r="AZ40" s="219"/>
      <c r="BA40" s="220" t="b">
        <v>1</v>
      </c>
      <c r="BB40" s="213" t="b">
        <f t="shared" si="8"/>
        <v>1</v>
      </c>
      <c r="BC40" s="184" t="b">
        <f t="shared" si="9"/>
        <v>1</v>
      </c>
      <c r="BD40" s="184">
        <f t="shared" si="10"/>
        <v>34</v>
      </c>
      <c r="BE40" s="181" t="b">
        <f t="shared" si="11"/>
        <v>1</v>
      </c>
      <c r="BF40" s="182">
        <f t="shared" si="12"/>
        <v>44615</v>
      </c>
      <c r="BG40" s="183" t="str">
        <f t="shared" si="13"/>
        <v>RUN-BEND_2022-02-23_RFR-039</v>
      </c>
      <c r="BH40" s="184">
        <f t="shared" si="14"/>
        <v>34</v>
      </c>
      <c r="BI40" s="184">
        <f t="shared" si="15"/>
        <v>34</v>
      </c>
      <c r="BJ40" s="184">
        <f t="shared" si="16"/>
        <v>34</v>
      </c>
      <c r="BK40" s="184">
        <f t="shared" si="17"/>
        <v>0</v>
      </c>
      <c r="BL40" s="182">
        <f>IFNA(IF(VLOOKUP(FLOOR($B40,1),'APS Tubes by Date Import'!$B$2:$J53,1,FALSE)=FLOOR($BL39,1),IFERROR(0/0,""),VLOOKUP(FLOOR($B40,1),'APS Tubes by Date Import'!$B$2:$J53,1,FALSE)),"")</f>
        <v>44615</v>
      </c>
      <c r="BM40" s="186">
        <f>IF(ISBLANK($BL40),IFERROR(0/0,""),VLOOKUP(FLOOR($B40,1),'APS Tubes by Date Import'!$B$2:$J53,2,FALSE))</f>
        <v>34</v>
      </c>
      <c r="BN40" s="183" t="str">
        <f>VLOOKUP(FLOOR($B40,1),'APS Tubes by Date Import'!$B40:$J53,11,FALSE)</f>
        <v>#REF!</v>
      </c>
      <c r="BO40" s="184">
        <f>VLOOKUP(FLOOR($B40,1),'APS Tubes by Date Import'!$B40:$I53,6,FALSE)</f>
        <v>0</v>
      </c>
      <c r="BP40" s="184">
        <f t="shared" si="21"/>
        <v>34</v>
      </c>
      <c r="BQ40" s="188">
        <f t="shared" si="18"/>
        <v>0</v>
      </c>
      <c r="BR40" s="206"/>
      <c r="BS40" s="190" t="b">
        <f t="shared" si="19"/>
        <v>1</v>
      </c>
      <c r="BT40" s="191" t="str">
        <f t="shared" si="20"/>
        <v/>
      </c>
      <c r="BU40" s="192"/>
      <c r="BV40" s="192"/>
    </row>
    <row r="41">
      <c r="A41" s="183" t="str">
        <f>CONCATENATE("RUN-",'Process Ref'!$A$1,"_",TEXT(U41,"YYYY-MM-DD"),"_RFR-",TEXT(AR41,"000"),IF(EXACT(W41,"Initial"),"",CONCATENATE("_",W41)))</f>
        <v>RUN-BEND_2022-02-25_RFR-040</v>
      </c>
      <c r="B41" s="193">
        <v>44617.500868055555</v>
      </c>
      <c r="C41" s="194"/>
      <c r="D41" s="194" t="s">
        <v>169</v>
      </c>
      <c r="E41" s="195">
        <v>33.0</v>
      </c>
      <c r="F41" s="196" t="s">
        <v>314</v>
      </c>
      <c r="G41" s="221" t="s">
        <v>315</v>
      </c>
      <c r="H41" s="221" t="s">
        <v>316</v>
      </c>
      <c r="I41" s="221" t="s">
        <v>317</v>
      </c>
      <c r="J41" s="195">
        <v>0.0</v>
      </c>
      <c r="K41" s="222"/>
      <c r="L41" s="195"/>
      <c r="M41" s="200"/>
      <c r="N41" s="200"/>
      <c r="O41" s="200"/>
      <c r="P41" s="201" t="b">
        <v>0</v>
      </c>
      <c r="Q41" s="201" t="b">
        <v>0</v>
      </c>
      <c r="R41" s="202"/>
      <c r="S41" s="201" t="b">
        <v>0</v>
      </c>
      <c r="T41" s="203" t="b">
        <v>1</v>
      </c>
      <c r="U41" s="204">
        <v>44617.0</v>
      </c>
      <c r="V41" s="205">
        <v>0.4166666666666667</v>
      </c>
      <c r="W41" s="194" t="s">
        <v>173</v>
      </c>
      <c r="X41" s="202"/>
      <c r="Y41" s="201" t="b">
        <v>0</v>
      </c>
      <c r="Z41" s="195">
        <v>35.0</v>
      </c>
      <c r="AA41" s="207">
        <f t="shared" si="1"/>
        <v>2</v>
      </c>
      <c r="AB41" s="208" t="b">
        <f t="shared" si="2"/>
        <v>0</v>
      </c>
      <c r="AC41" s="195">
        <v>33.0</v>
      </c>
      <c r="AD41" s="195">
        <v>1.0</v>
      </c>
      <c r="AE41" s="195">
        <v>1.0</v>
      </c>
      <c r="AF41" s="209">
        <v>0.0</v>
      </c>
      <c r="AG41" s="195">
        <v>0.0</v>
      </c>
      <c r="AH41" s="210">
        <v>0.0</v>
      </c>
      <c r="AI41" s="211">
        <v>0.0</v>
      </c>
      <c r="AJ41" s="195" t="b">
        <v>0</v>
      </c>
      <c r="AK41" s="223">
        <v>33.0</v>
      </c>
      <c r="AL41" s="195">
        <v>1.0</v>
      </c>
      <c r="AM41" s="195">
        <v>1.0</v>
      </c>
      <c r="AN41" s="207" t="str">
        <f>IFNA(VLOOKUP($A41,'Tube Reactions'!$J$2:$K53,2,FALSE),"")</f>
        <v/>
      </c>
      <c r="AO41" s="213" t="str">
        <f t="shared" si="3"/>
        <v>NOT EQUAL</v>
      </c>
      <c r="AP41" s="214" t="str">
        <f t="shared" si="22"/>
        <v/>
      </c>
      <c r="AQ41" s="184" t="b">
        <f t="shared" si="23"/>
        <v>1</v>
      </c>
      <c r="AR41" s="215">
        <v>40.0</v>
      </c>
      <c r="AS41" s="224"/>
      <c r="AT41" s="194"/>
      <c r="AU41" s="196" t="s">
        <v>168</v>
      </c>
      <c r="AV41" s="217">
        <v>36.0</v>
      </c>
      <c r="AW41" s="195" t="b">
        <v>0</v>
      </c>
      <c r="AX41" s="218" t="b">
        <f t="shared" si="6"/>
        <v>1</v>
      </c>
      <c r="AY41" s="206">
        <f t="shared" si="29"/>
        <v>3</v>
      </c>
      <c r="AZ41" s="234" t="s">
        <v>253</v>
      </c>
      <c r="BA41" s="220" t="b">
        <v>0</v>
      </c>
      <c r="BB41" s="213" t="str">
        <f t="shared" si="8"/>
        <v/>
      </c>
      <c r="BC41" s="184" t="str">
        <f t="shared" si="9"/>
        <v/>
      </c>
      <c r="BD41" s="184" t="str">
        <f t="shared" si="10"/>
        <v/>
      </c>
      <c r="BE41" s="181" t="b">
        <f t="shared" si="11"/>
        <v>1</v>
      </c>
      <c r="BF41" s="182">
        <f t="shared" si="12"/>
        <v>44617</v>
      </c>
      <c r="BG41" s="183" t="str">
        <f t="shared" si="13"/>
        <v>RUN-BEND_2022-02-25_RFR-040</v>
      </c>
      <c r="BH41" s="184">
        <f t="shared" si="14"/>
        <v>33</v>
      </c>
      <c r="BI41" s="184">
        <f t="shared" si="15"/>
        <v>33</v>
      </c>
      <c r="BJ41" s="184">
        <f t="shared" si="16"/>
        <v>33</v>
      </c>
      <c r="BK41" s="184">
        <f t="shared" si="17"/>
        <v>1</v>
      </c>
      <c r="BL41" s="182">
        <f>IFNA(IF(VLOOKUP(FLOOR($B41,1),'APS Tubes by Date Import'!$B$2:$J53,1,FALSE)=FLOOR($BL40,1),IFERROR(0/0,""),VLOOKUP(FLOOR($B41,1),'APS Tubes by Date Import'!$B$2:$J53,1,FALSE)),"")</f>
        <v>44617</v>
      </c>
      <c r="BM41" s="186">
        <f>IF(ISBLANK($BL41),IFERROR(0/0,""),VLOOKUP(FLOOR($B41,1),'APS Tubes by Date Import'!$B$2:$J53,2,FALSE))</f>
        <v>33</v>
      </c>
      <c r="BN41" s="183" t="str">
        <f>VLOOKUP(FLOOR($B41,1),'APS Tubes by Date Import'!$B41:$J53,11,FALSE)</f>
        <v>#REF!</v>
      </c>
      <c r="BO41" s="184">
        <f>VLOOKUP(FLOOR($B41,1),'APS Tubes by Date Import'!$B41:$I53,6,FALSE)</f>
        <v>0</v>
      </c>
      <c r="BP41" s="184">
        <f t="shared" si="21"/>
        <v>33</v>
      </c>
      <c r="BQ41" s="188">
        <f t="shared" si="18"/>
        <v>0</v>
      </c>
      <c r="BR41" s="206"/>
      <c r="BS41" s="190" t="b">
        <f t="shared" si="19"/>
        <v>1</v>
      </c>
      <c r="BT41" s="191" t="str">
        <f t="shared" si="20"/>
        <v/>
      </c>
      <c r="BU41" s="192"/>
      <c r="BV41" s="192"/>
    </row>
    <row r="42">
      <c r="A42" s="183" t="str">
        <f>CONCATENATE("RUN-",'Process Ref'!$A$1,"_",TEXT(U42,"YYYY-MM-DD"),"_RFR-",TEXT(AR42,"000"),IF(EXACT(W42,"Initial"),"",CONCATENATE("_",W42)))</f>
        <v>RUN-BEND_2022-02-25_RFR-041_Re-run</v>
      </c>
      <c r="B42" s="193">
        <v>44617.500868055555</v>
      </c>
      <c r="C42" s="194"/>
      <c r="D42" s="194" t="s">
        <v>169</v>
      </c>
      <c r="E42" s="195"/>
      <c r="F42" s="196" t="s">
        <v>314</v>
      </c>
      <c r="G42" s="198"/>
      <c r="H42" s="198"/>
      <c r="I42" s="198" t="s">
        <v>254</v>
      </c>
      <c r="J42" s="195"/>
      <c r="K42" s="222"/>
      <c r="L42" s="195"/>
      <c r="M42" s="200"/>
      <c r="N42" s="200"/>
      <c r="O42" s="200"/>
      <c r="P42" s="201" t="b">
        <v>0</v>
      </c>
      <c r="Q42" s="201" t="b">
        <v>0</v>
      </c>
      <c r="R42" s="202"/>
      <c r="S42" s="201" t="b">
        <v>1</v>
      </c>
      <c r="T42" s="203" t="b">
        <v>1</v>
      </c>
      <c r="U42" s="204">
        <v>44617.0</v>
      </c>
      <c r="V42" s="205">
        <v>0.4166666666666667</v>
      </c>
      <c r="W42" s="194" t="s">
        <v>200</v>
      </c>
      <c r="X42" s="202"/>
      <c r="Y42" s="201" t="b">
        <v>0</v>
      </c>
      <c r="Z42" s="195"/>
      <c r="AA42" s="207" t="str">
        <f t="shared" si="1"/>
        <v/>
      </c>
      <c r="AB42" s="208" t="b">
        <f t="shared" si="2"/>
        <v>1</v>
      </c>
      <c r="AC42" s="195">
        <v>1.0</v>
      </c>
      <c r="AD42" s="195">
        <v>0.0</v>
      </c>
      <c r="AE42" s="195">
        <v>0.0</v>
      </c>
      <c r="AF42" s="209">
        <v>0.0</v>
      </c>
      <c r="AG42" s="195">
        <v>0.0</v>
      </c>
      <c r="AH42" s="210">
        <v>0.0</v>
      </c>
      <c r="AI42" s="211">
        <v>0.0</v>
      </c>
      <c r="AJ42" s="195" t="b">
        <v>1</v>
      </c>
      <c r="AK42" s="223">
        <v>1.0</v>
      </c>
      <c r="AL42" s="195">
        <v>0.0</v>
      </c>
      <c r="AM42" s="195" t="str">
        <f>IF(EXACT(W42,"Initial"),"Audit","")</f>
        <v/>
      </c>
      <c r="AN42" s="207" t="str">
        <f>IFNA(VLOOKUP($A42,'Tube Reactions'!$J$2:$K53,2,FALSE),"")</f>
        <v/>
      </c>
      <c r="AO42" s="213" t="str">
        <f t="shared" si="3"/>
        <v/>
      </c>
      <c r="AP42" s="214" t="str">
        <f t="shared" si="22"/>
        <v>Absent</v>
      </c>
      <c r="AQ42" s="184" t="b">
        <f t="shared" si="23"/>
        <v>0</v>
      </c>
      <c r="AR42" s="215">
        <v>41.0</v>
      </c>
      <c r="AS42" s="224"/>
      <c r="AT42" s="194"/>
      <c r="AU42" s="196" t="s">
        <v>168</v>
      </c>
      <c r="AV42" s="233"/>
      <c r="AW42" s="195" t="b">
        <v>0</v>
      </c>
      <c r="AX42" s="218" t="b">
        <f t="shared" si="6"/>
        <v>0</v>
      </c>
      <c r="AY42" s="206"/>
      <c r="AZ42" s="219"/>
      <c r="BA42" s="220" t="b">
        <v>0</v>
      </c>
      <c r="BB42" s="213" t="str">
        <f t="shared" si="8"/>
        <v/>
      </c>
      <c r="BC42" s="184" t="str">
        <f t="shared" si="9"/>
        <v/>
      </c>
      <c r="BD42" s="184" t="str">
        <f t="shared" si="10"/>
        <v/>
      </c>
      <c r="BE42" s="181" t="b">
        <f t="shared" si="11"/>
        <v>1</v>
      </c>
      <c r="BF42" s="182" t="str">
        <f t="shared" si="12"/>
        <v/>
      </c>
      <c r="BG42" s="183" t="str">
        <f t="shared" si="13"/>
        <v/>
      </c>
      <c r="BH42" s="184" t="str">
        <f t="shared" si="14"/>
        <v/>
      </c>
      <c r="BI42" s="184" t="str">
        <f t="shared" si="15"/>
        <v/>
      </c>
      <c r="BJ42" s="184" t="str">
        <f t="shared" si="16"/>
        <v/>
      </c>
      <c r="BK42" s="184" t="str">
        <f t="shared" si="17"/>
        <v/>
      </c>
      <c r="BL42" s="182" t="str">
        <f>IFNA(IF(VLOOKUP(FLOOR($B42,1),'APS Tubes by Date Import'!$B$2:$J53,1,FALSE)=FLOOR($BL41,1),IFERROR(0/0,""),VLOOKUP(FLOOR($B42,1),'APS Tubes by Date Import'!$B$2:$J53,1,FALSE)),"")</f>
        <v/>
      </c>
      <c r="BM42" s="186" t="str">
        <f>IF(ISBLANK($BL42),IFERROR(0/0,""),VLOOKUP(FLOOR($B42,1),'APS Tubes by Date Import'!$B$2:$J53,2,FALSE))</f>
        <v/>
      </c>
      <c r="BN42" s="183" t="str">
        <f>VLOOKUP(FLOOR($B42,1),'APS Tubes by Date Import'!$B42:$J53,11,FALSE)</f>
        <v>#REF!</v>
      </c>
      <c r="BO42" s="184">
        <f>VLOOKUP(FLOOR($B42,1),'APS Tubes by Date Import'!$B42:$I53,6,FALSE)</f>
        <v>0</v>
      </c>
      <c r="BP42" s="184" t="str">
        <f t="shared" si="21"/>
        <v/>
      </c>
      <c r="BQ42" s="188">
        <f t="shared" si="18"/>
        <v>0</v>
      </c>
      <c r="BR42" s="206"/>
      <c r="BS42" s="190" t="str">
        <f t="shared" si="19"/>
        <v/>
      </c>
      <c r="BT42" s="191" t="str">
        <f t="shared" si="20"/>
        <v/>
      </c>
      <c r="BU42" s="192"/>
      <c r="BV42" s="192"/>
    </row>
    <row r="43">
      <c r="A43" s="183" t="str">
        <f>CONCATENATE("RUN-",'Process Ref'!$A$1,"_",TEXT(U43,"YYYY-MM-DD"),"_RFR-",TEXT(AR43,"000"),IF(EXACT(W43,"Initial"),"",CONCATENATE("_",W43)))</f>
        <v>RUN-BEND_2022-02-27_RFR-042</v>
      </c>
      <c r="B43" s="193">
        <v>44619.52893518518</v>
      </c>
      <c r="C43" s="194"/>
      <c r="D43" s="194" t="s">
        <v>169</v>
      </c>
      <c r="E43" s="195">
        <v>32.0</v>
      </c>
      <c r="F43" s="196" t="s">
        <v>318</v>
      </c>
      <c r="G43" s="198" t="s">
        <v>319</v>
      </c>
      <c r="H43" s="198" t="s">
        <v>320</v>
      </c>
      <c r="I43" s="198" t="s">
        <v>321</v>
      </c>
      <c r="J43" s="195">
        <v>0.0</v>
      </c>
      <c r="K43" s="222" t="s">
        <v>322</v>
      </c>
      <c r="L43" s="195"/>
      <c r="M43" s="200"/>
      <c r="N43" s="200"/>
      <c r="O43" s="200"/>
      <c r="P43" s="201" t="b">
        <v>0</v>
      </c>
      <c r="Q43" s="201" t="b">
        <v>0</v>
      </c>
      <c r="R43" s="202"/>
      <c r="S43" s="201" t="b">
        <v>0</v>
      </c>
      <c r="T43" s="203" t="b">
        <v>0</v>
      </c>
      <c r="U43" s="204">
        <v>44619.0</v>
      </c>
      <c r="V43" s="205">
        <v>0.375</v>
      </c>
      <c r="W43" s="194" t="s">
        <v>173</v>
      </c>
      <c r="X43" s="194" t="s">
        <v>323</v>
      </c>
      <c r="Y43" s="201" t="b">
        <v>0</v>
      </c>
      <c r="Z43" s="195">
        <v>34.0</v>
      </c>
      <c r="AA43" s="207">
        <f t="shared" si="1"/>
        <v>2</v>
      </c>
      <c r="AB43" s="208" t="b">
        <f t="shared" si="2"/>
        <v>0</v>
      </c>
      <c r="AC43" s="195">
        <v>32.0</v>
      </c>
      <c r="AD43" s="195">
        <v>0.0</v>
      </c>
      <c r="AE43" s="195">
        <v>0.0</v>
      </c>
      <c r="AF43" s="209">
        <v>0.0</v>
      </c>
      <c r="AG43" s="195">
        <v>2.0</v>
      </c>
      <c r="AH43" s="210">
        <v>2.0</v>
      </c>
      <c r="AI43" s="211">
        <v>2.0</v>
      </c>
      <c r="AJ43" s="195" t="b">
        <v>0</v>
      </c>
      <c r="AK43" s="223">
        <v>32.0</v>
      </c>
      <c r="AL43" s="195">
        <v>4.0</v>
      </c>
      <c r="AM43" s="195">
        <v>2.0</v>
      </c>
      <c r="AN43" s="207" t="str">
        <f>IFNA(VLOOKUP($A43,'Tube Reactions'!$J$2:$K53,2,FALSE),"")</f>
        <v/>
      </c>
      <c r="AO43" s="213" t="str">
        <f t="shared" si="3"/>
        <v>NOT EQUAL</v>
      </c>
      <c r="AP43" s="214" t="str">
        <f t="shared" si="22"/>
        <v/>
      </c>
      <c r="AQ43" s="184" t="b">
        <f t="shared" si="23"/>
        <v>1</v>
      </c>
      <c r="AR43" s="215">
        <v>42.0</v>
      </c>
      <c r="AS43" s="224"/>
      <c r="AT43" s="194"/>
      <c r="AU43" s="196" t="s">
        <v>168</v>
      </c>
      <c r="AV43" s="217">
        <v>34.0</v>
      </c>
      <c r="AW43" s="195" t="b">
        <v>0</v>
      </c>
      <c r="AX43" s="218" t="b">
        <f t="shared" si="6"/>
        <v>1</v>
      </c>
      <c r="AY43" s="206">
        <f t="shared" ref="AY43:AY48" si="30">AV43-AC43</f>
        <v>2</v>
      </c>
      <c r="AZ43" s="219"/>
      <c r="BA43" s="220" t="b">
        <v>1</v>
      </c>
      <c r="BB43" s="213" t="b">
        <f t="shared" si="8"/>
        <v>1</v>
      </c>
      <c r="BC43" s="184">
        <f t="shared" si="9"/>
        <v>4</v>
      </c>
      <c r="BD43" s="184">
        <f t="shared" si="10"/>
        <v>32</v>
      </c>
      <c r="BE43" s="181" t="b">
        <f t="shared" si="11"/>
        <v>1</v>
      </c>
      <c r="BF43" s="237"/>
      <c r="BG43" s="159"/>
      <c r="BH43" s="166"/>
      <c r="BI43" s="166"/>
      <c r="BJ43" s="166"/>
      <c r="BK43" s="166"/>
      <c r="BL43" s="237"/>
      <c r="BM43" s="238"/>
      <c r="BN43" s="159"/>
      <c r="BO43" s="166"/>
      <c r="BP43" s="166"/>
      <c r="BQ43" s="166"/>
      <c r="BR43" s="166"/>
      <c r="BS43" s="239"/>
      <c r="BT43" s="239"/>
      <c r="BU43" s="192"/>
      <c r="BV43" s="192"/>
    </row>
    <row r="44">
      <c r="A44" s="183" t="str">
        <f>CONCATENATE("RUN-",'Process Ref'!$A$1,"_",TEXT(U44,"YYYY-MM-DD"),"_RFR-",TEXT(AR44,"000"),IF(EXACT(W44,"Initial"),"",CONCATENATE("_",W44)))</f>
        <v>RUN-BEND_2022-03-01_RFR-043</v>
      </c>
      <c r="B44" s="193">
        <v>44621.47966435185</v>
      </c>
      <c r="C44" s="194"/>
      <c r="D44" s="194" t="s">
        <v>169</v>
      </c>
      <c r="E44" s="195">
        <v>31.0</v>
      </c>
      <c r="F44" s="196" t="s">
        <v>324</v>
      </c>
      <c r="G44" s="221" t="s">
        <v>325</v>
      </c>
      <c r="H44" s="221"/>
      <c r="I44" s="221" t="s">
        <v>326</v>
      </c>
      <c r="J44" s="195">
        <v>0.0</v>
      </c>
      <c r="K44" s="222"/>
      <c r="L44" s="195"/>
      <c r="M44" s="200"/>
      <c r="N44" s="200"/>
      <c r="O44" s="200"/>
      <c r="P44" s="201" t="b">
        <v>0</v>
      </c>
      <c r="Q44" s="201" t="b">
        <v>0</v>
      </c>
      <c r="R44" s="202"/>
      <c r="S44" s="201" t="b">
        <v>0</v>
      </c>
      <c r="T44" s="203" t="b">
        <v>0</v>
      </c>
      <c r="U44" s="204">
        <v>44621.0</v>
      </c>
      <c r="V44" s="205">
        <v>0.4166666666666667</v>
      </c>
      <c r="W44" s="194" t="s">
        <v>173</v>
      </c>
      <c r="X44" s="202"/>
      <c r="Y44" s="201" t="b">
        <v>0</v>
      </c>
      <c r="Z44" s="195">
        <v>33.0</v>
      </c>
      <c r="AA44" s="207">
        <f t="shared" si="1"/>
        <v>2</v>
      </c>
      <c r="AB44" s="208" t="b">
        <f t="shared" si="2"/>
        <v>0</v>
      </c>
      <c r="AC44" s="195">
        <v>31.0</v>
      </c>
      <c r="AD44" s="195">
        <v>0.0</v>
      </c>
      <c r="AE44" s="195">
        <v>0.0</v>
      </c>
      <c r="AF44" s="209">
        <v>0.0</v>
      </c>
      <c r="AG44" s="195">
        <v>0.0</v>
      </c>
      <c r="AH44" s="210">
        <v>0.0</v>
      </c>
      <c r="AI44" s="211">
        <v>0.0</v>
      </c>
      <c r="AJ44" s="195" t="b">
        <v>0</v>
      </c>
      <c r="AK44" s="223">
        <v>31.0</v>
      </c>
      <c r="AL44" s="195">
        <v>0.0</v>
      </c>
      <c r="AM44" s="195">
        <v>0.0</v>
      </c>
      <c r="AN44" s="207" t="str">
        <f>IFNA(VLOOKUP($A44,'Tube Reactions'!$J$2:$K53,2,FALSE),"")</f>
        <v/>
      </c>
      <c r="AO44" s="213" t="str">
        <f t="shared" si="3"/>
        <v/>
      </c>
      <c r="AP44" s="214" t="str">
        <f t="shared" si="22"/>
        <v>Absent</v>
      </c>
      <c r="AQ44" s="184" t="b">
        <f t="shared" si="23"/>
        <v>0</v>
      </c>
      <c r="AR44" s="215">
        <v>43.0</v>
      </c>
      <c r="AS44" s="224"/>
      <c r="AT44" s="194"/>
      <c r="AU44" s="196" t="s">
        <v>168</v>
      </c>
      <c r="AV44" s="217">
        <v>33.0</v>
      </c>
      <c r="AW44" s="195" t="b">
        <v>1</v>
      </c>
      <c r="AX44" s="218" t="b">
        <f t="shared" si="6"/>
        <v>1</v>
      </c>
      <c r="AY44" s="206">
        <f t="shared" si="30"/>
        <v>2</v>
      </c>
      <c r="AZ44" s="219"/>
      <c r="BA44" s="220" t="b">
        <v>1</v>
      </c>
      <c r="BB44" s="213" t="b">
        <f t="shared" si="8"/>
        <v>1</v>
      </c>
      <c r="BC44" s="184" t="b">
        <f t="shared" si="9"/>
        <v>1</v>
      </c>
      <c r="BD44" s="184">
        <f t="shared" si="10"/>
        <v>31</v>
      </c>
      <c r="BE44" s="181" t="b">
        <f t="shared" si="11"/>
        <v>1</v>
      </c>
      <c r="BF44" s="237"/>
      <c r="BG44" s="159"/>
      <c r="BH44" s="166">
        <f t="shared" ref="BH44:BH53" si="31">E44</f>
        <v>31</v>
      </c>
      <c r="BI44" s="166"/>
      <c r="BJ44" s="166"/>
      <c r="BK44" s="166"/>
      <c r="BL44" s="237"/>
      <c r="BM44" s="238"/>
      <c r="BN44" s="159"/>
      <c r="BO44" s="166"/>
      <c r="BP44" s="166"/>
      <c r="BQ44" s="166"/>
      <c r="BR44" s="166"/>
      <c r="BS44" s="239"/>
      <c r="BT44" s="239"/>
      <c r="BU44" s="192"/>
      <c r="BV44" s="192"/>
    </row>
    <row r="45">
      <c r="A45" s="183" t="str">
        <f>CONCATENATE("RUN-",'Process Ref'!$A$1,"_",TEXT(U45,"YYYY-MM-DD"),"_RFR-",TEXT(AR45,"000"),IF(EXACT(W45,"Initial"),"",CONCATENATE("_",W45)))</f>
        <v>RUN-BEND_2022-03-03_RFR-044</v>
      </c>
      <c r="B45" s="193">
        <v>44623.46493055556</v>
      </c>
      <c r="C45" s="194"/>
      <c r="D45" s="194" t="s">
        <v>169</v>
      </c>
      <c r="E45" s="195">
        <v>35.0</v>
      </c>
      <c r="F45" s="196" t="s">
        <v>327</v>
      </c>
      <c r="G45" s="221" t="s">
        <v>328</v>
      </c>
      <c r="H45" s="221"/>
      <c r="I45" s="221" t="s">
        <v>329</v>
      </c>
      <c r="J45" s="195">
        <v>0.0</v>
      </c>
      <c r="K45" s="222"/>
      <c r="L45" s="195"/>
      <c r="M45" s="200"/>
      <c r="N45" s="200"/>
      <c r="O45" s="200"/>
      <c r="P45" s="201" t="b">
        <v>0</v>
      </c>
      <c r="Q45" s="201" t="b">
        <v>0</v>
      </c>
      <c r="R45" s="202"/>
      <c r="S45" s="201" t="b">
        <v>0</v>
      </c>
      <c r="T45" s="203" t="b">
        <v>0</v>
      </c>
      <c r="U45" s="204">
        <v>44623.0</v>
      </c>
      <c r="V45" s="205">
        <v>0.375</v>
      </c>
      <c r="W45" s="194" t="s">
        <v>173</v>
      </c>
      <c r="X45" s="194" t="s">
        <v>195</v>
      </c>
      <c r="Y45" s="201" t="b">
        <v>1</v>
      </c>
      <c r="Z45" s="195"/>
      <c r="AA45" s="207" t="str">
        <f t="shared" si="1"/>
        <v/>
      </c>
      <c r="AB45" s="208" t="b">
        <f t="shared" si="2"/>
        <v>1</v>
      </c>
      <c r="AC45" s="195">
        <v>35.0</v>
      </c>
      <c r="AD45" s="195">
        <v>0.0</v>
      </c>
      <c r="AE45" s="195">
        <v>0.0</v>
      </c>
      <c r="AF45" s="209">
        <v>0.0</v>
      </c>
      <c r="AG45" s="195">
        <v>2.0</v>
      </c>
      <c r="AH45" s="210">
        <v>2.0</v>
      </c>
      <c r="AI45" s="211">
        <v>2.0</v>
      </c>
      <c r="AJ45" s="195" t="b">
        <v>0</v>
      </c>
      <c r="AK45" s="223">
        <v>35.0</v>
      </c>
      <c r="AL45" s="195">
        <v>2.0</v>
      </c>
      <c r="AM45" s="195">
        <v>2.0</v>
      </c>
      <c r="AN45" s="207" t="str">
        <f>IFNA(VLOOKUP($A45,'Tube Reactions'!$J$2:$K53,2,FALSE),"")</f>
        <v/>
      </c>
      <c r="AO45" s="213" t="str">
        <f t="shared" si="3"/>
        <v>NOT EQUAL</v>
      </c>
      <c r="AP45" s="214" t="str">
        <f t="shared" si="22"/>
        <v>Absent</v>
      </c>
      <c r="AQ45" s="184" t="b">
        <f t="shared" si="23"/>
        <v>0</v>
      </c>
      <c r="AR45" s="215">
        <v>44.0</v>
      </c>
      <c r="AS45" s="224"/>
      <c r="AT45" s="194"/>
      <c r="AU45" s="196" t="s">
        <v>168</v>
      </c>
      <c r="AV45" s="217">
        <v>37.0</v>
      </c>
      <c r="AW45" s="195" t="b">
        <v>0</v>
      </c>
      <c r="AX45" s="218" t="b">
        <f t="shared" si="6"/>
        <v>1</v>
      </c>
      <c r="AY45" s="206">
        <f t="shared" si="30"/>
        <v>2</v>
      </c>
      <c r="AZ45" s="219"/>
      <c r="BA45" s="220" t="b">
        <v>1</v>
      </c>
      <c r="BB45" s="213" t="b">
        <f t="shared" si="8"/>
        <v>1</v>
      </c>
      <c r="BC45" s="184">
        <f t="shared" si="9"/>
        <v>2</v>
      </c>
      <c r="BD45" s="184">
        <f t="shared" si="10"/>
        <v>35</v>
      </c>
      <c r="BE45" s="181" t="b">
        <f t="shared" si="11"/>
        <v>1</v>
      </c>
      <c r="BF45" s="237"/>
      <c r="BG45" s="159"/>
      <c r="BH45" s="166">
        <f t="shared" si="31"/>
        <v>35</v>
      </c>
      <c r="BI45" s="166"/>
      <c r="BJ45" s="166"/>
      <c r="BK45" s="166"/>
      <c r="BL45" s="237"/>
      <c r="BM45" s="238"/>
      <c r="BN45" s="159"/>
      <c r="BO45" s="166"/>
      <c r="BP45" s="166"/>
      <c r="BQ45" s="166"/>
      <c r="BR45" s="166"/>
      <c r="BS45" s="239"/>
      <c r="BT45" s="239"/>
      <c r="BU45" s="192"/>
      <c r="BV45" s="192"/>
    </row>
    <row r="46">
      <c r="A46" s="183" t="str">
        <f>CONCATENATE("RUN-",'Process Ref'!$A$1,"_",TEXT(U46,"YYYY-MM-DD"),"_RFR-",TEXT(AR46,"000"),IF(EXACT(W46,"Initial"),"",CONCATENATE("_",W46)))</f>
        <v>RUN-BEND_2022-03-05_RFR-045</v>
      </c>
      <c r="B46" s="193">
        <v>44625.49304398148</v>
      </c>
      <c r="C46" s="194"/>
      <c r="D46" s="194" t="s">
        <v>169</v>
      </c>
      <c r="E46" s="195">
        <v>33.0</v>
      </c>
      <c r="F46" s="196" t="s">
        <v>330</v>
      </c>
      <c r="G46" s="221" t="s">
        <v>331</v>
      </c>
      <c r="H46" s="221" t="s">
        <v>332</v>
      </c>
      <c r="I46" s="221" t="s">
        <v>333</v>
      </c>
      <c r="J46" s="195">
        <v>3.0</v>
      </c>
      <c r="K46" s="222" t="s">
        <v>334</v>
      </c>
      <c r="L46" s="195"/>
      <c r="M46" s="200"/>
      <c r="N46" s="200">
        <v>2.1</v>
      </c>
      <c r="O46" s="240" t="s">
        <v>335</v>
      </c>
      <c r="P46" s="201" t="b">
        <v>1</v>
      </c>
      <c r="Q46" s="201" t="b">
        <v>0</v>
      </c>
      <c r="R46" s="202"/>
      <c r="S46" s="201" t="b">
        <v>0</v>
      </c>
      <c r="T46" s="203" t="b">
        <v>1</v>
      </c>
      <c r="U46" s="231">
        <v>44625.0</v>
      </c>
      <c r="V46" s="205">
        <v>0.375</v>
      </c>
      <c r="W46" s="194" t="s">
        <v>173</v>
      </c>
      <c r="X46" s="194" t="s">
        <v>336</v>
      </c>
      <c r="Y46" s="201" t="b">
        <v>1</v>
      </c>
      <c r="Z46" s="195">
        <v>35.0</v>
      </c>
      <c r="AA46" s="207">
        <f t="shared" si="1"/>
        <v>2</v>
      </c>
      <c r="AB46" s="208" t="b">
        <f t="shared" si="2"/>
        <v>0</v>
      </c>
      <c r="AC46" s="195">
        <v>33.0</v>
      </c>
      <c r="AD46" s="195">
        <v>2.0</v>
      </c>
      <c r="AE46" s="195">
        <v>2.0</v>
      </c>
      <c r="AF46" s="209">
        <v>0.0</v>
      </c>
      <c r="AG46" s="195">
        <v>1.0</v>
      </c>
      <c r="AH46" s="210">
        <v>1.0</v>
      </c>
      <c r="AI46" s="241">
        <v>1.0</v>
      </c>
      <c r="AJ46" s="195" t="b">
        <v>0</v>
      </c>
      <c r="AK46" s="223">
        <v>33.0</v>
      </c>
      <c r="AL46" s="195">
        <v>4.0</v>
      </c>
      <c r="AM46" s="195">
        <v>5.0</v>
      </c>
      <c r="AN46" s="207">
        <v>5.0</v>
      </c>
      <c r="AO46" s="213" t="str">
        <f t="shared" si="3"/>
        <v/>
      </c>
      <c r="AP46" s="214" t="str">
        <f t="shared" si="22"/>
        <v/>
      </c>
      <c r="AQ46" s="184" t="b">
        <f t="shared" si="23"/>
        <v>1</v>
      </c>
      <c r="AR46" s="215">
        <v>45.0</v>
      </c>
      <c r="AS46" s="242" t="str">
        <f>O46</f>
        <v>RT 12-25-2025 conclude the initial positive was not rerun, only 3 inconclusives, which were all neg in rerun (PREV reconcile comment: the 3 may have been a typo, don't see the 3rd inconclusive)</v>
      </c>
      <c r="AT46" s="194"/>
      <c r="AU46" s="196" t="s">
        <v>168</v>
      </c>
      <c r="AV46" s="217">
        <v>35.0</v>
      </c>
      <c r="AW46" s="195" t="b">
        <v>0</v>
      </c>
      <c r="AX46" s="218" t="b">
        <f t="shared" si="6"/>
        <v>1</v>
      </c>
      <c r="AY46" s="206">
        <f t="shared" si="30"/>
        <v>2</v>
      </c>
      <c r="AZ46" s="219"/>
      <c r="BA46" s="220" t="b">
        <v>0</v>
      </c>
      <c r="BB46" s="213" t="str">
        <f t="shared" si="8"/>
        <v/>
      </c>
      <c r="BC46" s="184" t="str">
        <f t="shared" si="9"/>
        <v/>
      </c>
      <c r="BD46" s="184" t="str">
        <f t="shared" si="10"/>
        <v/>
      </c>
      <c r="BE46" s="181" t="b">
        <f t="shared" si="11"/>
        <v>1</v>
      </c>
      <c r="BF46" s="237"/>
      <c r="BG46" s="159"/>
      <c r="BH46" s="166">
        <f t="shared" si="31"/>
        <v>33</v>
      </c>
      <c r="BI46" s="166"/>
      <c r="BJ46" s="166"/>
      <c r="BK46" s="166"/>
      <c r="BL46" s="237"/>
      <c r="BM46" s="238"/>
      <c r="BN46" s="159"/>
      <c r="BO46" s="166"/>
      <c r="BP46" s="166"/>
      <c r="BQ46" s="166"/>
      <c r="BR46" s="166"/>
      <c r="BS46" s="239"/>
      <c r="BT46" s="239"/>
      <c r="BU46" s="192"/>
      <c r="BV46" s="192"/>
    </row>
    <row r="47">
      <c r="A47" s="183" t="str">
        <f>CONCATENATE("RUN-",'Process Ref'!$A$1,"_",TEXT(U47,"YYYY-MM-DD"),"_RFR-",TEXT(AR47,"000"),IF(EXACT(W47,"Initial"),"",CONCATENATE("_",W47)))</f>
        <v>RUN-BEND_2022-03-05_RFR-046_Re-run</v>
      </c>
      <c r="B47" s="193">
        <v>44625.49304398148</v>
      </c>
      <c r="C47" s="194"/>
      <c r="D47" s="194" t="s">
        <v>169</v>
      </c>
      <c r="E47" s="195"/>
      <c r="F47" s="196" t="s">
        <v>330</v>
      </c>
      <c r="G47" s="198"/>
      <c r="H47" s="198"/>
      <c r="I47" s="198" t="s">
        <v>337</v>
      </c>
      <c r="J47" s="195"/>
      <c r="K47" s="222"/>
      <c r="L47" s="195"/>
      <c r="M47" s="200"/>
      <c r="N47" s="200"/>
      <c r="O47" s="200"/>
      <c r="P47" s="201" t="b">
        <v>0</v>
      </c>
      <c r="Q47" s="201" t="b">
        <v>0</v>
      </c>
      <c r="R47" s="202"/>
      <c r="S47" s="201" t="b">
        <v>1</v>
      </c>
      <c r="T47" s="203" t="b">
        <v>1</v>
      </c>
      <c r="U47" s="231">
        <v>44625.0</v>
      </c>
      <c r="V47" s="205">
        <v>0.375</v>
      </c>
      <c r="W47" s="194" t="s">
        <v>200</v>
      </c>
      <c r="X47" s="194" t="s">
        <v>336</v>
      </c>
      <c r="Y47" s="201" t="b">
        <v>1</v>
      </c>
      <c r="Z47" s="195"/>
      <c r="AA47" s="207" t="str">
        <f t="shared" si="1"/>
        <v/>
      </c>
      <c r="AB47" s="208" t="b">
        <f t="shared" si="2"/>
        <v>1</v>
      </c>
      <c r="AC47" s="195">
        <v>4.0</v>
      </c>
      <c r="AD47" s="195">
        <v>0.0</v>
      </c>
      <c r="AE47" s="195">
        <v>0.0</v>
      </c>
      <c r="AF47" s="209">
        <v>0.0</v>
      </c>
      <c r="AG47" s="195">
        <v>0.0</v>
      </c>
      <c r="AH47" s="210">
        <v>0.0</v>
      </c>
      <c r="AI47" s="211">
        <v>0.0</v>
      </c>
      <c r="AJ47" s="195" t="b">
        <v>0</v>
      </c>
      <c r="AK47" s="223">
        <v>2.0</v>
      </c>
      <c r="AL47" s="195">
        <v>0.0</v>
      </c>
      <c r="AM47" s="195" t="str">
        <f>IF(EXACT(W47,"Initial"),"Audit","")</f>
        <v/>
      </c>
      <c r="AN47" s="207" t="str">
        <f>IFNA(VLOOKUP($A47,'Tube Reactions'!$J$2:$K53,2,FALSE),"")</f>
        <v/>
      </c>
      <c r="AO47" s="213" t="str">
        <f t="shared" si="3"/>
        <v/>
      </c>
      <c r="AP47" s="214" t="str">
        <f t="shared" si="22"/>
        <v>Absent</v>
      </c>
      <c r="AQ47" s="184" t="b">
        <f t="shared" si="23"/>
        <v>0</v>
      </c>
      <c r="AR47" s="215">
        <v>46.0</v>
      </c>
      <c r="AS47" s="224"/>
      <c r="AT47" s="194"/>
      <c r="AU47" s="196" t="s">
        <v>168</v>
      </c>
      <c r="AV47" s="217">
        <v>4.0</v>
      </c>
      <c r="AW47" s="195" t="b">
        <v>0</v>
      </c>
      <c r="AX47" s="218" t="b">
        <f t="shared" si="6"/>
        <v>0</v>
      </c>
      <c r="AY47" s="206">
        <f t="shared" si="30"/>
        <v>0</v>
      </c>
      <c r="AZ47" s="234" t="s">
        <v>253</v>
      </c>
      <c r="BA47" s="220" t="b">
        <v>0</v>
      </c>
      <c r="BB47" s="213" t="str">
        <f t="shared" si="8"/>
        <v/>
      </c>
      <c r="BC47" s="184" t="str">
        <f t="shared" si="9"/>
        <v/>
      </c>
      <c r="BD47" s="184" t="str">
        <f t="shared" si="10"/>
        <v/>
      </c>
      <c r="BE47" s="181" t="b">
        <f t="shared" si="11"/>
        <v>1</v>
      </c>
      <c r="BF47" s="237"/>
      <c r="BG47" s="159"/>
      <c r="BH47" s="166" t="str">
        <f t="shared" si="31"/>
        <v/>
      </c>
      <c r="BI47" s="166"/>
      <c r="BJ47" s="166"/>
      <c r="BK47" s="166"/>
      <c r="BL47" s="237"/>
      <c r="BM47" s="238"/>
      <c r="BN47" s="159"/>
      <c r="BO47" s="166"/>
      <c r="BP47" s="166"/>
      <c r="BQ47" s="166"/>
      <c r="BR47" s="166"/>
      <c r="BS47" s="239"/>
      <c r="BT47" s="239"/>
      <c r="BU47" s="192"/>
      <c r="BV47" s="192"/>
    </row>
    <row r="48">
      <c r="A48" s="183" t="str">
        <f>CONCATENATE("RUN-",'Process Ref'!$A$1,"_",TEXT(U48,"YYYY-MM-DD"),"_RFR-",TEXT(AR48,"000"),IF(EXACT(W48,"Initial"),"",CONCATENATE("_",W48)))</f>
        <v>RUN-BEND_2022-03-07_RFR-047</v>
      </c>
      <c r="B48" s="193">
        <v>44627.478321759256</v>
      </c>
      <c r="C48" s="194"/>
      <c r="D48" s="194" t="s">
        <v>169</v>
      </c>
      <c r="E48" s="195">
        <v>31.0</v>
      </c>
      <c r="F48" s="196" t="s">
        <v>338</v>
      </c>
      <c r="G48" s="198" t="s">
        <v>339</v>
      </c>
      <c r="H48" s="198" t="s">
        <v>340</v>
      </c>
      <c r="I48" s="198" t="s">
        <v>341</v>
      </c>
      <c r="J48" s="195">
        <v>3.0</v>
      </c>
      <c r="K48" s="222"/>
      <c r="L48" s="195"/>
      <c r="M48" s="200"/>
      <c r="N48" s="200">
        <v>2.2</v>
      </c>
      <c r="O48" s="200"/>
      <c r="P48" s="201" t="b">
        <v>1</v>
      </c>
      <c r="Q48" s="201" t="b">
        <v>0</v>
      </c>
      <c r="R48" s="202"/>
      <c r="S48" s="201" t="b">
        <v>0</v>
      </c>
      <c r="T48" s="203" t="b">
        <v>1</v>
      </c>
      <c r="U48" s="204">
        <v>44627.0</v>
      </c>
      <c r="V48" s="205">
        <v>0.4166666666666667</v>
      </c>
      <c r="W48" s="194" t="s">
        <v>173</v>
      </c>
      <c r="X48" s="202"/>
      <c r="Y48" s="201" t="b">
        <v>0</v>
      </c>
      <c r="Z48" s="195"/>
      <c r="AA48" s="207" t="str">
        <f t="shared" si="1"/>
        <v/>
      </c>
      <c r="AB48" s="208" t="b">
        <f t="shared" si="2"/>
        <v>1</v>
      </c>
      <c r="AC48" s="195">
        <v>32.0</v>
      </c>
      <c r="AD48" s="195">
        <v>1.0</v>
      </c>
      <c r="AE48" s="195">
        <v>1.0</v>
      </c>
      <c r="AF48" s="209">
        <v>0.0</v>
      </c>
      <c r="AG48" s="195">
        <v>2.0</v>
      </c>
      <c r="AH48" s="210">
        <v>2.0</v>
      </c>
      <c r="AI48" s="211">
        <v>0.0</v>
      </c>
      <c r="AJ48" s="195" t="b">
        <v>0</v>
      </c>
      <c r="AK48" s="223">
        <v>32.0</v>
      </c>
      <c r="AL48" s="195">
        <v>4.0</v>
      </c>
      <c r="AM48" s="195">
        <v>3.0</v>
      </c>
      <c r="AN48" s="207" t="str">
        <f>IFNA(VLOOKUP($A48,'Tube Reactions'!$J$2:$K53,2,FALSE),"")</f>
        <v/>
      </c>
      <c r="AO48" s="213" t="str">
        <f t="shared" si="3"/>
        <v>NOT EQUAL</v>
      </c>
      <c r="AP48" s="214" t="str">
        <f t="shared" si="22"/>
        <v/>
      </c>
      <c r="AQ48" s="184" t="b">
        <f t="shared" si="23"/>
        <v>1</v>
      </c>
      <c r="AR48" s="215">
        <v>47.0</v>
      </c>
      <c r="AS48" s="224"/>
      <c r="AT48" s="194"/>
      <c r="AU48" s="196" t="s">
        <v>168</v>
      </c>
      <c r="AV48" s="195">
        <v>37.0</v>
      </c>
      <c r="AW48" s="194" t="b">
        <v>0</v>
      </c>
      <c r="AX48" s="218" t="b">
        <f t="shared" si="6"/>
        <v>1</v>
      </c>
      <c r="AY48" s="206">
        <f t="shared" si="30"/>
        <v>5</v>
      </c>
      <c r="AZ48" s="234" t="s">
        <v>253</v>
      </c>
      <c r="BA48" s="220" t="b">
        <v>0</v>
      </c>
      <c r="BB48" s="213" t="str">
        <f t="shared" si="8"/>
        <v/>
      </c>
      <c r="BC48" s="184" t="str">
        <f t="shared" si="9"/>
        <v/>
      </c>
      <c r="BD48" s="184" t="str">
        <f t="shared" si="10"/>
        <v/>
      </c>
      <c r="BE48" s="181" t="b">
        <f t="shared" si="11"/>
        <v>1</v>
      </c>
      <c r="BF48" s="237"/>
      <c r="BG48" s="159"/>
      <c r="BH48" s="166">
        <f t="shared" si="31"/>
        <v>31</v>
      </c>
      <c r="BI48" s="166"/>
      <c r="BJ48" s="166"/>
      <c r="BK48" s="166"/>
      <c r="BL48" s="237"/>
      <c r="BM48" s="238"/>
      <c r="BN48" s="159"/>
      <c r="BO48" s="166"/>
      <c r="BP48" s="166"/>
      <c r="BQ48" s="166"/>
      <c r="BR48" s="166"/>
      <c r="BS48" s="239"/>
      <c r="BT48" s="239"/>
      <c r="BU48" s="192"/>
      <c r="BV48" s="192"/>
    </row>
    <row r="49">
      <c r="A49" s="183" t="str">
        <f>CONCATENATE("RUN-",'Process Ref'!$A$1,"_",TEXT(U49,"YYYY-MM-DD"),"_RFR-",TEXT(AR49,"000"),IF(EXACT(W49,"Initial"),"",CONCATENATE("_",W49)))</f>
        <v>RUN-BEND_2022-03-07_RFR-048_Re-run</v>
      </c>
      <c r="B49" s="193">
        <v>44627.478321759256</v>
      </c>
      <c r="C49" s="194"/>
      <c r="D49" s="194" t="s">
        <v>169</v>
      </c>
      <c r="E49" s="195"/>
      <c r="F49" s="196" t="s">
        <v>338</v>
      </c>
      <c r="G49" s="221"/>
      <c r="H49" s="221"/>
      <c r="I49" s="221" t="s">
        <v>254</v>
      </c>
      <c r="J49" s="195"/>
      <c r="K49" s="222"/>
      <c r="L49" s="195"/>
      <c r="M49" s="200"/>
      <c r="N49" s="200"/>
      <c r="O49" s="200"/>
      <c r="P49" s="201" t="b">
        <v>0</v>
      </c>
      <c r="Q49" s="201" t="b">
        <v>0</v>
      </c>
      <c r="R49" s="202"/>
      <c r="S49" s="201" t="b">
        <v>1</v>
      </c>
      <c r="T49" s="203" t="b">
        <v>1</v>
      </c>
      <c r="U49" s="204">
        <v>44627.0</v>
      </c>
      <c r="V49" s="205">
        <v>0.4583333333333333</v>
      </c>
      <c r="W49" s="194" t="s">
        <v>200</v>
      </c>
      <c r="X49" s="194" t="s">
        <v>342</v>
      </c>
      <c r="Y49" s="201" t="b">
        <v>0</v>
      </c>
      <c r="Z49" s="195"/>
      <c r="AA49" s="207" t="str">
        <f t="shared" si="1"/>
        <v/>
      </c>
      <c r="AB49" s="208" t="b">
        <f t="shared" si="2"/>
        <v>1</v>
      </c>
      <c r="AC49" s="195">
        <v>3.0</v>
      </c>
      <c r="AD49" s="195">
        <v>0.0</v>
      </c>
      <c r="AE49" s="195">
        <v>0.0</v>
      </c>
      <c r="AF49" s="209">
        <v>0.0</v>
      </c>
      <c r="AG49" s="195">
        <v>0.0</v>
      </c>
      <c r="AH49" s="210">
        <v>0.0</v>
      </c>
      <c r="AI49" s="211">
        <v>0.0</v>
      </c>
      <c r="AJ49" s="195" t="b">
        <v>1</v>
      </c>
      <c r="AK49" s="223">
        <v>3.0</v>
      </c>
      <c r="AL49" s="195">
        <v>0.0</v>
      </c>
      <c r="AM49" s="195" t="str">
        <f>IF(EXACT(W49,"Initial"),"Audit","")</f>
        <v/>
      </c>
      <c r="AN49" s="207" t="str">
        <f>IFNA(VLOOKUP($A49,'Tube Reactions'!$J$2:$K53,2,FALSE),"")</f>
        <v/>
      </c>
      <c r="AO49" s="213" t="str">
        <f t="shared" si="3"/>
        <v/>
      </c>
      <c r="AP49" s="214" t="str">
        <f t="shared" si="22"/>
        <v>Absent</v>
      </c>
      <c r="AQ49" s="184" t="b">
        <f t="shared" si="23"/>
        <v>0</v>
      </c>
      <c r="AR49" s="215">
        <v>48.0</v>
      </c>
      <c r="AS49" s="224"/>
      <c r="AT49" s="194"/>
      <c r="AU49" s="196" t="s">
        <v>168</v>
      </c>
      <c r="AV49" s="233"/>
      <c r="AW49" s="195" t="b">
        <v>0</v>
      </c>
      <c r="AX49" s="218" t="b">
        <f t="shared" si="6"/>
        <v>0</v>
      </c>
      <c r="AY49" s="206"/>
      <c r="AZ49" s="219"/>
      <c r="BA49" s="220" t="b">
        <v>0</v>
      </c>
      <c r="BB49" s="213" t="str">
        <f t="shared" si="8"/>
        <v/>
      </c>
      <c r="BC49" s="184" t="str">
        <f t="shared" si="9"/>
        <v/>
      </c>
      <c r="BD49" s="184" t="str">
        <f t="shared" si="10"/>
        <v/>
      </c>
      <c r="BE49" s="181" t="b">
        <f t="shared" si="11"/>
        <v>1</v>
      </c>
      <c r="BF49" s="237"/>
      <c r="BG49" s="159"/>
      <c r="BH49" s="166" t="str">
        <f t="shared" si="31"/>
        <v/>
      </c>
      <c r="BI49" s="166"/>
      <c r="BJ49" s="166"/>
      <c r="BK49" s="166"/>
      <c r="BL49" s="237"/>
      <c r="BM49" s="238"/>
      <c r="BN49" s="159"/>
      <c r="BO49" s="166"/>
      <c r="BP49" s="166"/>
      <c r="BQ49" s="166"/>
      <c r="BR49" s="166"/>
      <c r="BS49" s="239"/>
      <c r="BT49" s="239"/>
      <c r="BU49" s="192"/>
      <c r="BV49" s="192"/>
    </row>
    <row r="50" ht="16.5" customHeight="1">
      <c r="A50" s="183" t="str">
        <f>CONCATENATE("RUN-",'Process Ref'!$A$1,"_",TEXT(U50,"YYYY-MM-DD"),"_RFR-",TEXT(AR50,"000"),IF(EXACT(W50,"Initial"),"",CONCATENATE("_",W50)))</f>
        <v>RUN-BEND_2022-03-09_RFR-049</v>
      </c>
      <c r="B50" s="193">
        <v>44629.49726851852</v>
      </c>
      <c r="C50" s="194"/>
      <c r="D50" s="194" t="s">
        <v>169</v>
      </c>
      <c r="E50" s="195">
        <v>27.0</v>
      </c>
      <c r="F50" s="196" t="s">
        <v>343</v>
      </c>
      <c r="G50" s="221" t="s">
        <v>344</v>
      </c>
      <c r="H50" s="221" t="s">
        <v>345</v>
      </c>
      <c r="I50" s="221" t="s">
        <v>346</v>
      </c>
      <c r="J50" s="195">
        <v>0.0</v>
      </c>
      <c r="K50" s="222"/>
      <c r="L50" s="195"/>
      <c r="M50" s="200">
        <v>1.2</v>
      </c>
      <c r="N50" s="200"/>
      <c r="O50" s="200"/>
      <c r="P50" s="201" t="b">
        <v>0</v>
      </c>
      <c r="Q50" s="201" t="b">
        <v>0</v>
      </c>
      <c r="R50" s="202"/>
      <c r="S50" s="201" t="b">
        <v>0</v>
      </c>
      <c r="T50" s="203" t="b">
        <v>0</v>
      </c>
      <c r="U50" s="204">
        <v>44629.0</v>
      </c>
      <c r="V50" s="205">
        <v>0.4166666666666667</v>
      </c>
      <c r="W50" s="194" t="s">
        <v>173</v>
      </c>
      <c r="X50" s="202"/>
      <c r="Y50" s="201" t="b">
        <v>0</v>
      </c>
      <c r="Z50" s="195">
        <v>29.0</v>
      </c>
      <c r="AA50" s="207">
        <f t="shared" si="1"/>
        <v>2</v>
      </c>
      <c r="AB50" s="208" t="b">
        <f t="shared" si="2"/>
        <v>0</v>
      </c>
      <c r="AC50" s="195">
        <v>27.0</v>
      </c>
      <c r="AD50" s="195">
        <v>0.0</v>
      </c>
      <c r="AE50" s="195">
        <v>0.0</v>
      </c>
      <c r="AF50" s="209">
        <v>0.0</v>
      </c>
      <c r="AG50" s="195">
        <v>0.0</v>
      </c>
      <c r="AH50" s="210">
        <v>0.0</v>
      </c>
      <c r="AI50" s="211">
        <v>0.0</v>
      </c>
      <c r="AJ50" s="195" t="b">
        <v>0</v>
      </c>
      <c r="AK50" s="223">
        <v>27.0</v>
      </c>
      <c r="AL50" s="195">
        <v>0.0</v>
      </c>
      <c r="AM50" s="195">
        <v>0.0</v>
      </c>
      <c r="AN50" s="207" t="str">
        <f>IFNA(VLOOKUP($A50,'Tube Reactions'!$J$2:$K53,2,FALSE),"")</f>
        <v/>
      </c>
      <c r="AO50" s="213" t="str">
        <f t="shared" si="3"/>
        <v/>
      </c>
      <c r="AP50" s="214" t="str">
        <f t="shared" si="22"/>
        <v/>
      </c>
      <c r="AQ50" s="184" t="b">
        <f t="shared" si="23"/>
        <v>1</v>
      </c>
      <c r="AR50" s="215">
        <v>49.0</v>
      </c>
      <c r="AS50" s="224"/>
      <c r="AT50" s="194"/>
      <c r="AU50" s="196" t="s">
        <v>168</v>
      </c>
      <c r="AV50" s="217">
        <v>29.0</v>
      </c>
      <c r="AW50" s="195" t="b">
        <v>1</v>
      </c>
      <c r="AX50" s="218" t="b">
        <f t="shared" si="6"/>
        <v>1</v>
      </c>
      <c r="AY50" s="206">
        <f t="shared" ref="AY50:AY53" si="32">AV50-AC50</f>
        <v>2</v>
      </c>
      <c r="AZ50" s="219"/>
      <c r="BA50" s="220" t="b">
        <v>1</v>
      </c>
      <c r="BB50" s="213" t="b">
        <f t="shared" si="8"/>
        <v>1</v>
      </c>
      <c r="BC50" s="184" t="b">
        <f t="shared" si="9"/>
        <v>1</v>
      </c>
      <c r="BD50" s="184">
        <f t="shared" si="10"/>
        <v>27</v>
      </c>
      <c r="BE50" s="181" t="b">
        <f t="shared" si="11"/>
        <v>1</v>
      </c>
      <c r="BF50" s="237"/>
      <c r="BG50" s="159"/>
      <c r="BH50" s="166">
        <f t="shared" si="31"/>
        <v>27</v>
      </c>
      <c r="BI50" s="166"/>
      <c r="BJ50" s="166"/>
      <c r="BK50" s="166"/>
      <c r="BL50" s="237"/>
      <c r="BM50" s="238"/>
      <c r="BN50" s="159"/>
      <c r="BO50" s="166"/>
      <c r="BP50" s="166"/>
      <c r="BQ50" s="166"/>
      <c r="BR50" s="166"/>
      <c r="BS50" s="239"/>
      <c r="BT50" s="239"/>
      <c r="BU50" s="192"/>
      <c r="BV50" s="192"/>
    </row>
    <row r="51">
      <c r="A51" s="183" t="str">
        <f>CONCATENATE("RUN-",'Process Ref'!$A$1,"_",TEXT(U51,"YYYY-MM-DD"),"_RFR-",TEXT(AR51,"000"),IF(EXACT(W51,"Initial"),"",CONCATENATE("_",W51)))</f>
        <v>RUN-BEND_2022-03-11_RFR-050</v>
      </c>
      <c r="B51" s="193">
        <v>44631.4874537037</v>
      </c>
      <c r="C51" s="194"/>
      <c r="D51" s="194" t="s">
        <v>169</v>
      </c>
      <c r="E51" s="195">
        <v>28.0</v>
      </c>
      <c r="F51" s="196" t="s">
        <v>347</v>
      </c>
      <c r="G51" s="221" t="s">
        <v>348</v>
      </c>
      <c r="H51" s="221" t="s">
        <v>349</v>
      </c>
      <c r="I51" s="221" t="s">
        <v>350</v>
      </c>
      <c r="J51" s="195">
        <v>0.0</v>
      </c>
      <c r="K51" s="222"/>
      <c r="L51" s="195"/>
      <c r="M51" s="200"/>
      <c r="N51" s="200"/>
      <c r="O51" s="200"/>
      <c r="P51" s="201" t="b">
        <v>0</v>
      </c>
      <c r="Q51" s="201" t="b">
        <v>0</v>
      </c>
      <c r="R51" s="202"/>
      <c r="S51" s="201" t="b">
        <v>0</v>
      </c>
      <c r="T51" s="203" t="b">
        <v>0</v>
      </c>
      <c r="U51" s="204">
        <v>44631.0</v>
      </c>
      <c r="V51" s="205">
        <v>0.4166666666666667</v>
      </c>
      <c r="W51" s="194" t="s">
        <v>173</v>
      </c>
      <c r="X51" s="202"/>
      <c r="Y51" s="201" t="b">
        <v>0</v>
      </c>
      <c r="Z51" s="195"/>
      <c r="AA51" s="207" t="str">
        <f t="shared" si="1"/>
        <v/>
      </c>
      <c r="AB51" s="208" t="b">
        <f t="shared" si="2"/>
        <v>1</v>
      </c>
      <c r="AC51" s="195">
        <v>30.0</v>
      </c>
      <c r="AD51" s="195">
        <v>0.0</v>
      </c>
      <c r="AE51" s="195">
        <v>0.0</v>
      </c>
      <c r="AF51" s="209">
        <v>0.0</v>
      </c>
      <c r="AG51" s="195">
        <v>0.0</v>
      </c>
      <c r="AH51" s="210">
        <v>0.0</v>
      </c>
      <c r="AI51" s="211">
        <v>0.0</v>
      </c>
      <c r="AJ51" s="195" t="b">
        <v>0</v>
      </c>
      <c r="AK51" s="223">
        <v>30.0</v>
      </c>
      <c r="AL51" s="195">
        <v>0.0</v>
      </c>
      <c r="AM51" s="195">
        <v>0.0</v>
      </c>
      <c r="AN51" s="207" t="str">
        <f>IFNA(VLOOKUP($A51,'Tube Reactions'!$J$2:$K53,2,FALSE),"")</f>
        <v/>
      </c>
      <c r="AO51" s="213" t="str">
        <f t="shared" si="3"/>
        <v/>
      </c>
      <c r="AP51" s="214" t="str">
        <f t="shared" si="22"/>
        <v/>
      </c>
      <c r="AQ51" s="184" t="b">
        <f t="shared" si="23"/>
        <v>1</v>
      </c>
      <c r="AR51" s="215">
        <v>50.0</v>
      </c>
      <c r="AS51" s="224"/>
      <c r="AT51" s="194"/>
      <c r="AU51" s="196" t="s">
        <v>168</v>
      </c>
      <c r="AV51" s="217">
        <v>32.0</v>
      </c>
      <c r="AW51" s="195" t="b">
        <v>1</v>
      </c>
      <c r="AX51" s="218" t="b">
        <f t="shared" si="6"/>
        <v>1</v>
      </c>
      <c r="AY51" s="206">
        <f t="shared" si="32"/>
        <v>2</v>
      </c>
      <c r="AZ51" s="219"/>
      <c r="BA51" s="220" t="b">
        <v>1</v>
      </c>
      <c r="BB51" s="213" t="b">
        <f t="shared" si="8"/>
        <v>1</v>
      </c>
      <c r="BC51" s="184" t="b">
        <f t="shared" si="9"/>
        <v>1</v>
      </c>
      <c r="BD51" s="184">
        <f t="shared" si="10"/>
        <v>30</v>
      </c>
      <c r="BE51" s="181" t="b">
        <f t="shared" si="11"/>
        <v>1</v>
      </c>
      <c r="BF51" s="237"/>
      <c r="BG51" s="159"/>
      <c r="BH51" s="166">
        <f t="shared" si="31"/>
        <v>28</v>
      </c>
      <c r="BI51" s="166"/>
      <c r="BJ51" s="166"/>
      <c r="BK51" s="166"/>
      <c r="BL51" s="237"/>
      <c r="BM51" s="238"/>
      <c r="BN51" s="159"/>
      <c r="BO51" s="166"/>
      <c r="BP51" s="166"/>
      <c r="BQ51" s="166"/>
      <c r="BR51" s="166"/>
      <c r="BS51" s="239"/>
      <c r="BT51" s="239"/>
      <c r="BU51" s="192"/>
      <c r="BV51" s="192"/>
    </row>
    <row r="52">
      <c r="A52" s="183" t="str">
        <f>CONCATENATE("RUN-",'Process Ref'!$A$1,"_",TEXT(U52,"YYYY-MM-DD"),"_RFR-",TEXT(AR52,"000"),IF(EXACT(W52,"Initial"),"",CONCATENATE("_",W52)))</f>
        <v>RUN-BEND_2022-04-14_RFR-051</v>
      </c>
      <c r="B52" s="193">
        <v>44665.36619212963</v>
      </c>
      <c r="C52" s="194"/>
      <c r="D52" s="194" t="s">
        <v>169</v>
      </c>
      <c r="E52" s="195">
        <v>1.0</v>
      </c>
      <c r="F52" s="196" t="s">
        <v>351</v>
      </c>
      <c r="G52" s="221" t="s">
        <v>352</v>
      </c>
      <c r="H52" s="221" t="s">
        <v>353</v>
      </c>
      <c r="I52" s="221" t="s">
        <v>354</v>
      </c>
      <c r="J52" s="195">
        <v>0.0</v>
      </c>
      <c r="K52" s="222"/>
      <c r="L52" s="195"/>
      <c r="M52" s="200"/>
      <c r="N52" s="200"/>
      <c r="O52" s="200"/>
      <c r="P52" s="201" t="b">
        <v>0</v>
      </c>
      <c r="Q52" s="201" t="b">
        <v>0</v>
      </c>
      <c r="R52" s="202"/>
      <c r="S52" s="201" t="b">
        <v>0</v>
      </c>
      <c r="T52" s="203" t="b">
        <v>0</v>
      </c>
      <c r="U52" s="204">
        <v>44665.0</v>
      </c>
      <c r="V52" s="205">
        <v>0.375</v>
      </c>
      <c r="W52" s="194" t="s">
        <v>173</v>
      </c>
      <c r="X52" s="202"/>
      <c r="Y52" s="201" t="b">
        <v>0</v>
      </c>
      <c r="Z52" s="195">
        <v>3.0</v>
      </c>
      <c r="AA52" s="207">
        <f t="shared" si="1"/>
        <v>2</v>
      </c>
      <c r="AB52" s="208" t="b">
        <f t="shared" si="2"/>
        <v>0</v>
      </c>
      <c r="AC52" s="195">
        <v>1.0</v>
      </c>
      <c r="AD52" s="195">
        <v>0.0</v>
      </c>
      <c r="AE52" s="195">
        <v>0.0</v>
      </c>
      <c r="AF52" s="209">
        <v>0.0</v>
      </c>
      <c r="AG52" s="195">
        <v>0.0</v>
      </c>
      <c r="AH52" s="210">
        <v>0.0</v>
      </c>
      <c r="AI52" s="211">
        <v>0.0</v>
      </c>
      <c r="AJ52" s="195" t="b">
        <v>0</v>
      </c>
      <c r="AK52" s="223">
        <v>1.0</v>
      </c>
      <c r="AL52" s="195">
        <v>0.0</v>
      </c>
      <c r="AM52" s="195">
        <v>0.0</v>
      </c>
      <c r="AN52" s="207" t="str">
        <f>IFNA(VLOOKUP($A52,'Tube Reactions'!$J$2:$K53,2,FALSE),"")</f>
        <v/>
      </c>
      <c r="AO52" s="213" t="str">
        <f t="shared" si="3"/>
        <v/>
      </c>
      <c r="AP52" s="214" t="str">
        <f t="shared" si="22"/>
        <v/>
      </c>
      <c r="AQ52" s="184" t="b">
        <f t="shared" si="23"/>
        <v>1</v>
      </c>
      <c r="AR52" s="215">
        <v>51.0</v>
      </c>
      <c r="AS52" s="224"/>
      <c r="AT52" s="194"/>
      <c r="AU52" s="196" t="s">
        <v>168</v>
      </c>
      <c r="AV52" s="217">
        <v>3.0</v>
      </c>
      <c r="AW52" s="195" t="b">
        <v>1</v>
      </c>
      <c r="AX52" s="218" t="b">
        <f t="shared" si="6"/>
        <v>1</v>
      </c>
      <c r="AY52" s="206">
        <f t="shared" si="32"/>
        <v>2</v>
      </c>
      <c r="AZ52" s="219"/>
      <c r="BA52" s="220" t="b">
        <v>1</v>
      </c>
      <c r="BB52" s="213" t="b">
        <f t="shared" si="8"/>
        <v>1</v>
      </c>
      <c r="BC52" s="184" t="b">
        <f t="shared" si="9"/>
        <v>1</v>
      </c>
      <c r="BD52" s="184">
        <f t="shared" si="10"/>
        <v>1</v>
      </c>
      <c r="BE52" s="181" t="b">
        <f t="shared" si="11"/>
        <v>1</v>
      </c>
      <c r="BF52" s="237"/>
      <c r="BG52" s="159"/>
      <c r="BH52" s="166">
        <f t="shared" si="31"/>
        <v>1</v>
      </c>
      <c r="BI52" s="166"/>
      <c r="BJ52" s="166"/>
      <c r="BK52" s="166"/>
      <c r="BL52" s="237"/>
      <c r="BM52" s="238"/>
      <c r="BN52" s="159"/>
      <c r="BO52" s="166"/>
      <c r="BP52" s="166"/>
      <c r="BQ52" s="166"/>
      <c r="BR52" s="166"/>
      <c r="BS52" s="239"/>
      <c r="BT52" s="239"/>
      <c r="BU52" s="192"/>
      <c r="BV52" s="192"/>
    </row>
    <row r="53">
      <c r="A53" s="183" t="str">
        <f>CONCATENATE("RUN-",'Process Ref'!$A$1,"_",TEXT(U53,"YYYY-MM-DD"),"_RFR-",TEXT(AR53,"000"),IF(EXACT(W53,"Initial"),"",CONCATENATE("_",W53)))</f>
        <v>RUN-BEND_2022-05-11_RFR-052</v>
      </c>
      <c r="B53" s="193">
        <v>44692.501180555555</v>
      </c>
      <c r="C53" s="194"/>
      <c r="D53" s="194" t="s">
        <v>169</v>
      </c>
      <c r="E53" s="195">
        <v>11.0</v>
      </c>
      <c r="F53" s="196" t="s">
        <v>355</v>
      </c>
      <c r="G53" s="198" t="s">
        <v>356</v>
      </c>
      <c r="H53" s="198" t="s">
        <v>357</v>
      </c>
      <c r="I53" s="198" t="s">
        <v>358</v>
      </c>
      <c r="J53" s="195">
        <v>0.0</v>
      </c>
      <c r="K53" s="222"/>
      <c r="L53" s="195"/>
      <c r="M53" s="200"/>
      <c r="N53" s="200"/>
      <c r="O53" s="200"/>
      <c r="P53" s="201" t="b">
        <v>0</v>
      </c>
      <c r="Q53" s="201" t="b">
        <v>0</v>
      </c>
      <c r="R53" s="202"/>
      <c r="S53" s="201" t="b">
        <v>0</v>
      </c>
      <c r="T53" s="203" t="b">
        <v>0</v>
      </c>
      <c r="U53" s="204">
        <v>44692.0</v>
      </c>
      <c r="V53" s="205">
        <v>0.5</v>
      </c>
      <c r="W53" s="194" t="s">
        <v>173</v>
      </c>
      <c r="X53" s="202"/>
      <c r="Y53" s="201" t="b">
        <v>0</v>
      </c>
      <c r="Z53" s="195">
        <v>11.0</v>
      </c>
      <c r="AA53" s="207">
        <f t="shared" si="1"/>
        <v>0</v>
      </c>
      <c r="AB53" s="208" t="b">
        <f t="shared" si="2"/>
        <v>1</v>
      </c>
      <c r="AC53" s="195">
        <v>9.0</v>
      </c>
      <c r="AD53" s="195">
        <v>0.0</v>
      </c>
      <c r="AE53" s="195">
        <v>0.0</v>
      </c>
      <c r="AF53" s="209">
        <v>0.0</v>
      </c>
      <c r="AG53" s="195">
        <v>0.0</v>
      </c>
      <c r="AH53" s="210">
        <v>0.0</v>
      </c>
      <c r="AI53" s="211">
        <v>0.0</v>
      </c>
      <c r="AJ53" s="195" t="b">
        <v>0</v>
      </c>
      <c r="AK53" s="223">
        <v>9.0</v>
      </c>
      <c r="AL53" s="195">
        <v>0.0</v>
      </c>
      <c r="AM53" s="195">
        <v>0.0</v>
      </c>
      <c r="AN53" s="207" t="str">
        <f>IFNA(VLOOKUP($A53,'Tube Reactions'!$J$2:$K53,2,FALSE),"")</f>
        <v/>
      </c>
      <c r="AO53" s="213" t="str">
        <f t="shared" si="3"/>
        <v/>
      </c>
      <c r="AP53" s="214" t="str">
        <f t="shared" si="22"/>
        <v/>
      </c>
      <c r="AQ53" s="184" t="b">
        <f t="shared" si="23"/>
        <v>1</v>
      </c>
      <c r="AR53" s="215">
        <v>52.0</v>
      </c>
      <c r="AS53" s="224"/>
      <c r="AT53" s="194"/>
      <c r="AU53" s="196" t="s">
        <v>168</v>
      </c>
      <c r="AV53" s="217">
        <v>11.0</v>
      </c>
      <c r="AW53" s="195" t="b">
        <v>1</v>
      </c>
      <c r="AX53" s="218" t="b">
        <f t="shared" si="6"/>
        <v>1</v>
      </c>
      <c r="AY53" s="227">
        <f t="shared" si="32"/>
        <v>2</v>
      </c>
      <c r="AZ53" s="219"/>
      <c r="BA53" s="220" t="b">
        <v>1</v>
      </c>
      <c r="BB53" s="213" t="b">
        <f t="shared" si="8"/>
        <v>1</v>
      </c>
      <c r="BC53" s="184" t="b">
        <f t="shared" si="9"/>
        <v>1</v>
      </c>
      <c r="BD53" s="184">
        <f t="shared" si="10"/>
        <v>9</v>
      </c>
      <c r="BE53" s="173" t="b">
        <f t="shared" si="11"/>
        <v>1</v>
      </c>
      <c r="BF53" s="237"/>
      <c r="BG53" s="159"/>
      <c r="BH53" s="166">
        <f t="shared" si="31"/>
        <v>11</v>
      </c>
      <c r="BI53" s="166"/>
      <c r="BJ53" s="166"/>
      <c r="BK53" s="166"/>
      <c r="BL53" s="237"/>
      <c r="BM53" s="238"/>
      <c r="BN53" s="159"/>
      <c r="BO53" s="166"/>
      <c r="BP53" s="166"/>
      <c r="BQ53" s="166"/>
      <c r="BR53" s="166"/>
      <c r="BS53" s="239"/>
      <c r="BT53" s="239"/>
      <c r="BU53" s="192"/>
      <c r="BV53" s="192"/>
    </row>
  </sheetData>
  <customSheetViews>
    <customSheetView guid="{C63CB2F6-5844-4B26-B7E0-7F113F665B65}" filter="1" showAutoFilter="1">
      <autoFilter ref="$AL$2:$AL$53">
        <filterColumn colId="0">
          <filters>
            <filter val="1"/>
          </filters>
        </filterColumn>
      </autoFilter>
    </customSheetView>
    <customSheetView guid="{B6222228-69F0-46E0-8A0F-655A0CE0D24D}" filter="1" showAutoFilter="1">
      <autoFilter ref="$A$2:$AZ$53">
        <filterColumn colId="48">
          <filters>
            <filter val="TRUE"/>
          </filters>
        </filterColumn>
      </autoFilter>
    </customSheetView>
  </customSheetViews>
  <conditionalFormatting sqref="AX2:AX53">
    <cfRule type="cellIs" dxfId="4" priority="1" operator="equal">
      <formula>"FALSE"</formula>
    </cfRule>
  </conditionalFormatting>
  <conditionalFormatting sqref="AY2:AY53">
    <cfRule type="cellIs" dxfId="5" priority="2" operator="greaterThan">
      <formula>2</formula>
    </cfRule>
  </conditionalFormatting>
  <conditionalFormatting sqref="AY2:AY53">
    <cfRule type="cellIs" dxfId="4" priority="3" operator="lessThan">
      <formula>2</formula>
    </cfRule>
  </conditionalFormatting>
  <conditionalFormatting sqref="BB2:BB53">
    <cfRule type="cellIs" dxfId="0" priority="4" operator="equal">
      <formula>"FALSE"</formula>
    </cfRule>
  </conditionalFormatting>
  <conditionalFormatting sqref="AE2:AE53">
    <cfRule type="cellIs" dxfId="6" priority="5" operator="greaterThan">
      <formula>0</formula>
    </cfRule>
  </conditionalFormatting>
  <conditionalFormatting sqref="AF2:AF53">
    <cfRule type="cellIs" dxfId="7" priority="6" operator="greaterThan">
      <formula>0</formula>
    </cfRule>
  </conditionalFormatting>
  <conditionalFormatting sqref="AH2:AH53">
    <cfRule type="cellIs" dxfId="8" priority="7" operator="greaterThan">
      <formula>0</formula>
    </cfRule>
  </conditionalFormatting>
  <conditionalFormatting sqref="BQ2:BQ53">
    <cfRule type="colorScale" priority="8">
      <colorScale>
        <cfvo type="formula" val="-1"/>
        <cfvo type="formula" val="0"/>
        <cfvo type="formula" val="1"/>
        <color rgb="FFE06666"/>
        <color rgb="FF93C47D"/>
        <color rgb="FF6D9EEB"/>
      </colorScale>
    </cfRule>
  </conditionalFormatting>
  <conditionalFormatting sqref="B2:B53 BS2:BS53">
    <cfRule type="expression" dxfId="9" priority="9">
      <formula>$BR2&gt;=5</formula>
    </cfRule>
  </conditionalFormatting>
  <conditionalFormatting sqref="BO2:BO53">
    <cfRule type="cellIs" dxfId="10" priority="10" operator="greaterThan">
      <formula>0</formula>
    </cfRule>
  </conditionalFormatting>
  <conditionalFormatting sqref="BO1">
    <cfRule type="expression" dxfId="0" priority="11">
      <formula>SUM(BO2:BO53)&gt;0</formula>
    </cfRule>
  </conditionalFormatting>
  <conditionalFormatting sqref="BO1">
    <cfRule type="expression" dxfId="1" priority="12">
      <formula>SUM(BO2:BO53)=0</formula>
    </cfRule>
  </conditionalFormatting>
  <conditionalFormatting sqref="AW2:AW53">
    <cfRule type="cellIs" dxfId="9" priority="13" operator="equal">
      <formula>"TRUE"</formula>
    </cfRule>
  </conditionalFormatting>
  <conditionalFormatting sqref="P2:Q53">
    <cfRule type="cellIs" dxfId="11" priority="14" operator="equal">
      <formula>"TRUE"</formula>
    </cfRule>
  </conditionalFormatting>
  <conditionalFormatting sqref="S2:T53">
    <cfRule type="cellIs" dxfId="12" priority="15" operator="equal">
      <formula>"TRUE"</formula>
    </cfRule>
  </conditionalFormatting>
  <conditionalFormatting sqref="Y2:Y53">
    <cfRule type="cellIs" dxfId="6" priority="16" operator="equal">
      <formula>"TRUE"</formula>
    </cfRule>
  </conditionalFormatting>
  <conditionalFormatting sqref="AI2:AI53">
    <cfRule type="cellIs" dxfId="13" priority="17" operator="greaterThan">
      <formula>0</formula>
    </cfRule>
  </conditionalFormatting>
  <dataValidations>
    <dataValidation type="list" allowBlank="1" sqref="AP2:AP53">
      <formula1>'Process Ref'!$M$4:$M$9</formula1>
    </dataValidation>
  </dataValidations>
  <hyperlinks>
    <hyperlink r:id="rId2" ref="I3"/>
    <hyperlink r:id="rId3" ref="G4"/>
    <hyperlink r:id="rId4" ref="H4"/>
    <hyperlink r:id="rId5" ref="I4"/>
    <hyperlink r:id="rId6" ref="G5"/>
    <hyperlink r:id="rId7" ref="I5"/>
    <hyperlink r:id="rId8" ref="G6"/>
    <hyperlink r:id="rId9" ref="I6"/>
    <hyperlink r:id="rId10" ref="G7"/>
    <hyperlink r:id="rId11" ref="I7"/>
    <hyperlink r:id="rId12" ref="G8"/>
    <hyperlink r:id="rId13" ref="I8"/>
    <hyperlink r:id="rId14" ref="G9"/>
    <hyperlink r:id="rId15" ref="G10"/>
    <hyperlink r:id="rId16" ref="I10"/>
    <hyperlink r:id="rId17" ref="G11"/>
    <hyperlink r:id="rId18" ref="I11"/>
    <hyperlink r:id="rId19" ref="G12"/>
    <hyperlink r:id="rId20" ref="I12"/>
    <hyperlink r:id="rId21" ref="G13"/>
    <hyperlink r:id="rId22" ref="I13"/>
    <hyperlink r:id="rId23" ref="G14"/>
    <hyperlink r:id="rId24" ref="I14"/>
    <hyperlink r:id="rId25" ref="G15"/>
    <hyperlink r:id="rId26" ref="I15"/>
    <hyperlink r:id="rId27" ref="G16"/>
    <hyperlink r:id="rId28" ref="I16"/>
    <hyperlink r:id="rId29" ref="G17"/>
    <hyperlink r:id="rId30" ref="I17"/>
    <hyperlink r:id="rId31" ref="G18"/>
    <hyperlink r:id="rId32" ref="I18"/>
    <hyperlink r:id="rId33" ref="G20"/>
    <hyperlink r:id="rId34" ref="I20"/>
    <hyperlink r:id="rId35" ref="G21"/>
    <hyperlink r:id="rId36" ref="I21"/>
    <hyperlink r:id="rId37" ref="G23"/>
    <hyperlink r:id="rId38" ref="I23"/>
    <hyperlink r:id="rId39" ref="G25"/>
    <hyperlink r:id="rId40" ref="I25"/>
    <hyperlink r:id="rId41" ref="G26"/>
    <hyperlink r:id="rId42" ref="I26"/>
    <hyperlink r:id="rId43" ref="G27"/>
    <hyperlink r:id="rId44" ref="I27"/>
    <hyperlink r:id="rId45" ref="G28"/>
    <hyperlink r:id="rId46" ref="I28"/>
    <hyperlink r:id="rId47" ref="G29"/>
    <hyperlink r:id="rId48" ref="I29"/>
    <hyperlink r:id="rId49" ref="G31"/>
    <hyperlink r:id="rId50" ref="I31"/>
    <hyperlink r:id="rId51" ref="G32"/>
    <hyperlink r:id="rId52" ref="I32"/>
    <hyperlink r:id="rId53" ref="G33"/>
    <hyperlink r:id="rId54" ref="H33"/>
    <hyperlink r:id="rId55" ref="I33"/>
    <hyperlink r:id="rId56" ref="G36"/>
    <hyperlink r:id="rId57" ref="H36"/>
    <hyperlink r:id="rId58" ref="I36"/>
    <hyperlink r:id="rId59" ref="G37"/>
    <hyperlink r:id="rId60" ref="H37"/>
    <hyperlink r:id="rId61" ref="I37"/>
    <hyperlink r:id="rId62" ref="G38"/>
    <hyperlink r:id="rId63" ref="H38"/>
    <hyperlink r:id="rId64" ref="I38"/>
    <hyperlink r:id="rId65" ref="G39"/>
    <hyperlink r:id="rId66" ref="I39"/>
    <hyperlink r:id="rId67" ref="G40"/>
    <hyperlink r:id="rId68" ref="H40"/>
    <hyperlink r:id="rId69" ref="I40"/>
    <hyperlink r:id="rId70" ref="G41"/>
    <hyperlink r:id="rId71" ref="H41"/>
    <hyperlink r:id="rId72" ref="I41"/>
    <hyperlink r:id="rId73" ref="G43"/>
    <hyperlink r:id="rId74" ref="H43"/>
    <hyperlink r:id="rId75" ref="I43"/>
    <hyperlink r:id="rId76" ref="G44"/>
    <hyperlink r:id="rId77" ref="I44"/>
    <hyperlink r:id="rId78" ref="G45"/>
    <hyperlink r:id="rId79" ref="I45"/>
    <hyperlink r:id="rId80" ref="G46"/>
    <hyperlink r:id="rId81" ref="H46"/>
    <hyperlink r:id="rId82" ref="I46"/>
    <hyperlink r:id="rId83" ref="I47"/>
    <hyperlink r:id="rId84" ref="G48"/>
    <hyperlink r:id="rId85" ref="H48"/>
    <hyperlink r:id="rId86" ref="I48"/>
    <hyperlink r:id="rId87" ref="G50"/>
    <hyperlink r:id="rId88" ref="H50"/>
    <hyperlink r:id="rId89" ref="I50"/>
    <hyperlink r:id="rId90" ref="G51"/>
    <hyperlink r:id="rId91" ref="H51"/>
    <hyperlink r:id="rId92" ref="I51"/>
    <hyperlink r:id="rId93" ref="G52"/>
    <hyperlink r:id="rId94" ref="H52"/>
    <hyperlink r:id="rId95" ref="I52"/>
    <hyperlink r:id="rId96" ref="G53"/>
    <hyperlink r:id="rId97" ref="H53"/>
    <hyperlink r:id="rId98" ref="I53"/>
  </hyperlinks>
  <drawing r:id="rId99"/>
  <legacyDrawing r:id="rId10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2" max="2" width="13.13"/>
    <col customWidth="1" min="3" max="3" width="12.75" outlineLevel="1"/>
    <col customWidth="1" min="4" max="4" width="14.88" outlineLevel="1"/>
    <col customWidth="1" min="5" max="6" width="5.0" outlineLevel="1"/>
    <col customWidth="1" min="7" max="7" width="11.38" outlineLevel="1"/>
    <col customWidth="1" min="8" max="8" width="11.25" outlineLevel="1"/>
    <col customWidth="1" min="9" max="9" width="10.0" outlineLevel="1"/>
    <col customWidth="1" min="10" max="10" width="9.38" outlineLevel="1"/>
    <col customWidth="1" min="11" max="11" width="10.38" outlineLevel="1"/>
    <col customWidth="1" min="12" max="12" width="18.75" outlineLevel="1"/>
    <col customWidth="1" min="13" max="15" width="14.38"/>
    <col customWidth="1" min="18" max="18" width="28.13"/>
    <col customWidth="1" min="19" max="20" width="12.13"/>
    <col customWidth="1" min="21" max="21" width="28.88"/>
    <col customWidth="1" min="22" max="22" width="28.0"/>
    <col customWidth="1" min="29" max="29" width="20.88"/>
    <col customWidth="1" min="30" max="30" width="7.0"/>
    <col customWidth="1" min="31" max="31" width="3.13"/>
    <col customWidth="1" min="32" max="32" width="29.75"/>
    <col customWidth="1" min="33" max="33" width="7.5"/>
  </cols>
  <sheetData>
    <row r="1">
      <c r="A1" s="243" t="str">
        <f>IFERROR(__xludf.DUMMYFUNCTION("IMPORTRANGE('APS Tubes by Date Import'!$A$2,""APS Tubes!$A1:$D"")"),"TUBE ID")</f>
        <v>TUBE ID</v>
      </c>
      <c r="B1" s="39" t="str">
        <f>IFERROR(__xludf.DUMMYFUNCTION("""COMPUTED_VALUE"""),"COLLECTION DATE")</f>
        <v>COLLECTION DATE</v>
      </c>
      <c r="C1" s="39" t="str">
        <f>IFERROR(__xludf.DUMMYFUNCTION("""COMPUTED_VALUE"""),"COLLECTION TIME")</f>
        <v>COLLECTION TIME</v>
      </c>
      <c r="D1" s="39" t="str">
        <f>IFERROR(__xludf.DUMMYFUNCTION("""COMPUTED_VALUE"""),"SPONSOR PERSON ID")</f>
        <v>SPONSOR PERSON ID</v>
      </c>
      <c r="E1" s="39"/>
      <c r="F1" s="39"/>
      <c r="G1" s="244" t="str">
        <f>IFERROR(__xludf.DUMMYFUNCTION("IMPORTRANGE('APS Tubes by Date Import'!$A$2,""APS Tubes!$G1:$N"")"),"APP
RESULT")</f>
        <v>APP
RESULT</v>
      </c>
      <c r="H1" s="39" t="str">
        <f>IFERROR(__xludf.DUMMYFUNCTION("""COMPUTED_VALUE"""),"FINAL RESULT")</f>
        <v>FINAL RESULT</v>
      </c>
      <c r="I1" s="16" t="str">
        <f>IFERROR(__xludf.DUMMYFUNCTION("""COMPUTED_VALUE"""),"RESULT DATE")</f>
        <v>RESULT DATE</v>
      </c>
      <c r="J1" s="16" t="str">
        <f>IFERROR(__xludf.DUMMYFUNCTION("""COMPUTED_VALUE"""),"RESULT TIME")</f>
        <v>RESULT TIME</v>
      </c>
      <c r="K1" s="245" t="str">
        <f>IFERROR(__xludf.DUMMYFUNCTION("""COMPUTED_VALUE"""),"Result Correct Code")</f>
        <v>Result Correct Code</v>
      </c>
      <c r="L1" s="39" t="str">
        <f>IFERROR(__xludf.DUMMYFUNCTION("""COMPUTED_VALUE"""),"Correction Notes")</f>
        <v>Correction Notes</v>
      </c>
      <c r="M1" s="16" t="str">
        <f>IFERROR(__xludf.DUMMYFUNCTION("""COMPUTED_VALUE"""),"NOTE")</f>
        <v>NOTE</v>
      </c>
      <c r="N1" s="16" t="str">
        <f>IFERROR(__xludf.DUMMYFUNCTION("""COMPUTED_VALUE"""),"NUM SAMPLES (Pool Level)")</f>
        <v>NUM SAMPLES (Pool Level)</v>
      </c>
      <c r="O1" s="70" t="s">
        <v>359</v>
      </c>
      <c r="P1" s="246" t="str">
        <f>IFERROR(__xludf.DUMMYFUNCTION("IMPORTRANGE('APS Tubes by Date Import'!$A$2,""APS Tubes!$Q1:$Q"")"),"Result Date Minus Collect Date")</f>
        <v>Result Date Minus Collect Date</v>
      </c>
      <c r="Q1" s="2" t="s">
        <v>360</v>
      </c>
      <c r="R1" s="2" t="s">
        <v>361</v>
      </c>
      <c r="S1" s="70" t="s">
        <v>362</v>
      </c>
      <c r="T1" s="70" t="s">
        <v>363</v>
      </c>
      <c r="U1" s="2" t="s">
        <v>364</v>
      </c>
      <c r="V1" s="2" t="s">
        <v>365</v>
      </c>
      <c r="W1" s="39" t="s">
        <v>366</v>
      </c>
      <c r="X1" s="39" t="s">
        <v>367</v>
      </c>
      <c r="Y1" s="145" t="s">
        <v>368</v>
      </c>
      <c r="Z1" s="70" t="s">
        <v>369</v>
      </c>
      <c r="AA1" s="70" t="s">
        <v>370</v>
      </c>
      <c r="AB1" s="70" t="s">
        <v>371</v>
      </c>
      <c r="AC1" s="247" t="str">
        <f>IF(AD1=0,"IN SYNC!","NOT IN SYNC - VALUES IN BOOLEAN COLS (CYAN)")</f>
        <v>IN SYNC!</v>
      </c>
      <c r="AD1" s="49">
        <f>COUNTIF($AC$2:$AD799,TRUE)</f>
        <v>0</v>
      </c>
      <c r="AE1" s="43"/>
      <c r="AF1" s="2" t="s">
        <v>372</v>
      </c>
      <c r="AG1" s="248">
        <f>COUNTIF(AG2:AG799,FALSE)</f>
        <v>48</v>
      </c>
    </row>
    <row r="2">
      <c r="A2" s="249" t="str">
        <f>IFERROR(__xludf.DUMMYFUNCTION("""COMPUTED_VALUE"""),"MAX88")</f>
        <v>MAX88</v>
      </c>
      <c r="B2" s="204">
        <f>IFERROR(__xludf.DUMMYFUNCTION("""COMPUTED_VALUE"""),44540.0)</f>
        <v>44540</v>
      </c>
      <c r="C2" s="250">
        <f>IFERROR(__xludf.DUMMYFUNCTION("""COMPUTED_VALUE"""),0.2940162037037037)</f>
        <v>0.2940162037</v>
      </c>
      <c r="D2" s="56" t="str">
        <f>IFERROR(__xludf.DUMMYFUNCTION("""COMPUTED_VALUE"""),"SpBEND708976")</f>
        <v>SpBEND708976</v>
      </c>
      <c r="E2" s="251"/>
      <c r="F2" s="251"/>
      <c r="G2" s="251" t="str">
        <f>IFERROR(__xludf.DUMMYFUNCTION("""COMPUTED_VALUE"""),"Negative")</f>
        <v>Negative</v>
      </c>
      <c r="H2" s="204" t="str">
        <f>IFERROR(__xludf.DUMMYFUNCTION("""COMPUTED_VALUE"""),"Negative")</f>
        <v>Negative</v>
      </c>
      <c r="I2" s="204">
        <f>IFERROR(__xludf.DUMMYFUNCTION("""COMPUTED_VALUE"""),44543.0)</f>
        <v>44543</v>
      </c>
      <c r="J2" s="252">
        <f>IFERROR(__xludf.DUMMYFUNCTION("""COMPUTED_VALUE"""),0.7857175925925926)</f>
        <v>0.7857175926</v>
      </c>
      <c r="K2" s="56"/>
      <c r="L2" s="251"/>
      <c r="M2" s="61"/>
      <c r="N2" s="61">
        <f>IFERROR(__xludf.DUMMYFUNCTION("""COMPUTED_VALUE"""),1.0)</f>
        <v>1</v>
      </c>
      <c r="O2" s="61" t="b">
        <f t="shared" ref="O2:O641" si="3">IF(B2&lt;&gt;B1,TRUE,IFERROR(0/0,""))</f>
        <v>1</v>
      </c>
      <c r="P2" s="253">
        <f>IFERROR(__xludf.DUMMYFUNCTION("""COMPUTED_VALUE"""),3.0)</f>
        <v>3</v>
      </c>
      <c r="Q2" s="254" t="b">
        <f>VLOOKUP($B2,'Run Reconcile'!B$2:O799,14,FALSE)</f>
        <v>1</v>
      </c>
      <c r="R2" s="255" t="str">
        <f t="array" ref="R2">IF($Q2, INDEX('Run Reconcile'!A$2:A799,MATCH(B2,'Run Reconcile'!B$2:B799,0),1),IFERROR(0/0,""))</f>
        <v>RUN-BEND_2021-12-10_APS-001</v>
      </c>
      <c r="S2" s="256" t="str">
        <f t="shared" ref="S2:T2" si="1">IF(COUNTIF(W$2:W799, $A2) &gt; 0,TRUE,IFERROR(0/0,""))</f>
        <v/>
      </c>
      <c r="T2" s="256" t="str">
        <f t="shared" si="1"/>
        <v/>
      </c>
      <c r="U2" s="257" t="str">
        <f t="array" ref="U2">IF(ISBLANK($R2), INDEX('Run Reconcile'!A$2:A799, MATCH($B2, 'Run Reconcile'!B$2:B799, 0)+Z2, 1), IFERROR(0/0,""))
</f>
        <v/>
      </c>
      <c r="V2" s="258" t="str">
        <f t="shared" ref="V2:V187" si="5">CONCATENATE($R2,$U2)</f>
        <v>RUN-BEND_2021-12-10_APS-001</v>
      </c>
      <c r="Y2" s="259" t="str">
        <f t="shared" ref="Y2:Y187" si="6">IF(AND(ISBLANK(W2),ISBLANK(X2)),IFERROR(0/0,""),1)</f>
        <v/>
      </c>
      <c r="Z2" s="90" t="str">
        <f t="shared" ref="Z2:Z799" si="7">IF(NOT(ISBLANK(AA2)), AA2, IF(NOT(ISBLANK(AB2)),AB2,IFERROR(0/0,"")))</f>
        <v/>
      </c>
      <c r="AA2" s="90" t="str">
        <f t="shared" ref="AA2:AA799" si="8">IFERROR(VLOOKUP($A2, $W$2:$Y799, 3, FALSE),IFERROR(0/0,""))</f>
        <v/>
      </c>
      <c r="AB2" s="90" t="str">
        <f t="shared" ref="AB2:AB799" si="9">IFERROR(VLOOKUP($A2, $X$2:$Y799, 2, FALSE),IFERROR(0/0,""))</f>
        <v/>
      </c>
      <c r="AC2" s="20" t="str">
        <f t="shared" ref="AC2:AD2" si="2">IF(_xlfn.ISFORMULA(S2),IFERROR(0/0,""),TRUE)</f>
        <v/>
      </c>
      <c r="AD2" s="20" t="str">
        <f t="shared" si="2"/>
        <v/>
      </c>
      <c r="AE2" s="43"/>
      <c r="AF2" s="260" t="s">
        <v>373</v>
      </c>
      <c r="AG2" s="57" t="str">
        <f t="shared" ref="AG2:AG799" si="11">IF(EXACT(AF2,V2),IFERROR(0/0,""),FALSE)</f>
        <v/>
      </c>
    </row>
    <row r="3">
      <c r="A3" s="6" t="str">
        <f>IFERROR(__xludf.DUMMYFUNCTION("""COMPUTED_VALUE"""),"MAX136")</f>
        <v>MAX136</v>
      </c>
      <c r="B3" s="204">
        <f>IFERROR(__xludf.DUMMYFUNCTION("""COMPUTED_VALUE"""),44540.0)</f>
        <v>44540</v>
      </c>
      <c r="C3" s="250">
        <f>IFERROR(__xludf.DUMMYFUNCTION("""COMPUTED_VALUE"""),0.29800925925925925)</f>
        <v>0.2980092593</v>
      </c>
      <c r="D3" s="56" t="str">
        <f>IFERROR(__xludf.DUMMYFUNCTION("""COMPUTED_VALUE"""),"SpBEND394154")</f>
        <v>SpBEND394154</v>
      </c>
      <c r="E3" s="251"/>
      <c r="F3" s="251"/>
      <c r="G3" s="251" t="str">
        <f>IFERROR(__xludf.DUMMYFUNCTION("""COMPUTED_VALUE"""),"Negative")</f>
        <v>Negative</v>
      </c>
      <c r="H3" s="204" t="str">
        <f>IFERROR(__xludf.DUMMYFUNCTION("""COMPUTED_VALUE"""),"Negative")</f>
        <v>Negative</v>
      </c>
      <c r="I3" s="204">
        <f>IFERROR(__xludf.DUMMYFUNCTION("""COMPUTED_VALUE"""),44543.0)</f>
        <v>44543</v>
      </c>
      <c r="J3" s="252">
        <f>IFERROR(__xludf.DUMMYFUNCTION("""COMPUTED_VALUE"""),0.7857175925925926)</f>
        <v>0.7857175926</v>
      </c>
      <c r="K3" s="56"/>
      <c r="L3" s="6"/>
      <c r="M3" s="61"/>
      <c r="N3" s="61">
        <f>IFERROR(__xludf.DUMMYFUNCTION("""COMPUTED_VALUE"""),1.0)</f>
        <v>1</v>
      </c>
      <c r="O3" s="61" t="str">
        <f t="shared" si="3"/>
        <v/>
      </c>
      <c r="P3" s="253">
        <f>IFERROR(__xludf.DUMMYFUNCTION("""COMPUTED_VALUE"""),3.0)</f>
        <v>3</v>
      </c>
      <c r="Q3" s="254" t="b">
        <f>VLOOKUP($B3,'Run Reconcile'!B$2:O799,14,FALSE)</f>
        <v>1</v>
      </c>
      <c r="R3" s="255" t="str">
        <f t="array" ref="R3">IF($Q3, INDEX('Run Reconcile'!A$2:A799,MATCH(B3,'Run Reconcile'!B$2:B799,0),1),IFERROR(0/0,""))</f>
        <v>RUN-BEND_2021-12-10_APS-001</v>
      </c>
      <c r="S3" s="261" t="str">
        <f t="shared" ref="S3:T3" si="4">IF(COUNTIF(W$2:W799, $A3) &gt; 0,TRUE,IFERROR(0/0,""))</f>
        <v/>
      </c>
      <c r="T3" s="261" t="str">
        <f t="shared" si="4"/>
        <v/>
      </c>
      <c r="U3" s="257" t="str">
        <f t="array" ref="U3">IF(ISBLANK($R3), INDEX('Run Reconcile'!A$2:A799, MATCH($B3, 'Run Reconcile'!B$2:B799, 0)+Z3, 1), IFERROR(0/0,""))
</f>
        <v/>
      </c>
      <c r="V3" s="258" t="str">
        <f t="shared" si="5"/>
        <v>RUN-BEND_2021-12-10_APS-001</v>
      </c>
      <c r="Y3" s="130" t="str">
        <f t="shared" si="6"/>
        <v/>
      </c>
      <c r="Z3" s="49" t="str">
        <f t="shared" si="7"/>
        <v/>
      </c>
      <c r="AA3" s="49" t="str">
        <f t="shared" si="8"/>
        <v/>
      </c>
      <c r="AB3" s="49" t="str">
        <f t="shared" si="9"/>
        <v/>
      </c>
      <c r="AC3" s="20" t="str">
        <f t="shared" ref="AC3:AD3" si="10">IF(_xlfn.ISFORMULA(S3),IFERROR(0/0,""),TRUE)</f>
        <v/>
      </c>
      <c r="AD3" s="20" t="str">
        <f t="shared" si="10"/>
        <v/>
      </c>
      <c r="AE3" s="43"/>
      <c r="AF3" s="62" t="s">
        <v>373</v>
      </c>
      <c r="AG3" s="57" t="str">
        <f t="shared" si="11"/>
        <v/>
      </c>
    </row>
    <row r="4">
      <c r="A4" s="6" t="str">
        <f>IFERROR(__xludf.DUMMYFUNCTION("""COMPUTED_VALUE"""),"MAX79")</f>
        <v>MAX79</v>
      </c>
      <c r="B4" s="204">
        <f>IFERROR(__xludf.DUMMYFUNCTION("""COMPUTED_VALUE"""),44540.0)</f>
        <v>44540</v>
      </c>
      <c r="C4" s="250">
        <f>IFERROR(__xludf.DUMMYFUNCTION("""COMPUTED_VALUE"""),0.3005439814814815)</f>
        <v>0.3005439815</v>
      </c>
      <c r="D4" s="56" t="str">
        <f>IFERROR(__xludf.DUMMYFUNCTION("""COMPUTED_VALUE"""),"SpBEND394154")</f>
        <v>SpBEND394154</v>
      </c>
      <c r="E4" s="251"/>
      <c r="F4" s="251"/>
      <c r="G4" s="251" t="str">
        <f>IFERROR(__xludf.DUMMYFUNCTION("""COMPUTED_VALUE"""),"Negative")</f>
        <v>Negative</v>
      </c>
      <c r="H4" s="204" t="str">
        <f>IFERROR(__xludf.DUMMYFUNCTION("""COMPUTED_VALUE"""),"Negative")</f>
        <v>Negative</v>
      </c>
      <c r="I4" s="204">
        <f>IFERROR(__xludf.DUMMYFUNCTION("""COMPUTED_VALUE"""),44543.0)</f>
        <v>44543</v>
      </c>
      <c r="J4" s="252">
        <f>IFERROR(__xludf.DUMMYFUNCTION("""COMPUTED_VALUE"""),0.7857175925925926)</f>
        <v>0.7857175926</v>
      </c>
      <c r="K4" s="56"/>
      <c r="L4" s="6"/>
      <c r="M4" s="61"/>
      <c r="N4" s="61">
        <f>IFERROR(__xludf.DUMMYFUNCTION("""COMPUTED_VALUE"""),1.0)</f>
        <v>1</v>
      </c>
      <c r="O4" s="61" t="str">
        <f t="shared" si="3"/>
        <v/>
      </c>
      <c r="P4" s="253">
        <f>IFERROR(__xludf.DUMMYFUNCTION("""COMPUTED_VALUE"""),3.0)</f>
        <v>3</v>
      </c>
      <c r="Q4" s="254" t="b">
        <f>VLOOKUP($B4,'Run Reconcile'!B$2:O799,14,FALSE)</f>
        <v>1</v>
      </c>
      <c r="R4" s="255" t="str">
        <f t="array" ref="R4">IF($Q4, INDEX('Run Reconcile'!A$2:A799,MATCH(B4,'Run Reconcile'!B$2:B799,0),1),IFERROR(0/0,""))</f>
        <v>RUN-BEND_2021-12-10_APS-001</v>
      </c>
      <c r="S4" s="261" t="str">
        <f t="shared" ref="S4:T4" si="12">IF(COUNTIF(W$2:W799, $A4) &gt; 0,TRUE,IFERROR(0/0,""))</f>
        <v/>
      </c>
      <c r="T4" s="261" t="str">
        <f t="shared" si="12"/>
        <v/>
      </c>
      <c r="U4" s="257" t="str">
        <f t="array" ref="U4">IF(ISBLANK($R4), INDEX('Run Reconcile'!A$2:A799, MATCH($B4, 'Run Reconcile'!B$2:B799, 0)+Z4, 1), IFERROR(0/0,""))
</f>
        <v/>
      </c>
      <c r="V4" s="258" t="str">
        <f t="shared" si="5"/>
        <v>RUN-BEND_2021-12-10_APS-001</v>
      </c>
      <c r="Y4" s="130" t="str">
        <f t="shared" si="6"/>
        <v/>
      </c>
      <c r="Z4" s="49" t="str">
        <f t="shared" si="7"/>
        <v/>
      </c>
      <c r="AA4" s="49" t="str">
        <f t="shared" si="8"/>
        <v/>
      </c>
      <c r="AB4" s="49" t="str">
        <f t="shared" si="9"/>
        <v/>
      </c>
      <c r="AC4" s="20" t="str">
        <f t="shared" ref="AC4:AD4" si="13">IF(_xlfn.ISFORMULA(S4),IFERROR(0/0,""),TRUE)</f>
        <v/>
      </c>
      <c r="AD4" s="20" t="str">
        <f t="shared" si="13"/>
        <v/>
      </c>
      <c r="AE4" s="43"/>
      <c r="AF4" s="62" t="s">
        <v>373</v>
      </c>
      <c r="AG4" s="57" t="str">
        <f t="shared" si="11"/>
        <v/>
      </c>
    </row>
    <row r="5">
      <c r="A5" s="6" t="str">
        <f>IFERROR(__xludf.DUMMYFUNCTION("""COMPUTED_VALUE"""),"MAX64")</f>
        <v>MAX64</v>
      </c>
      <c r="B5" s="204">
        <f>IFERROR(__xludf.DUMMYFUNCTION("""COMPUTED_VALUE"""),44540.0)</f>
        <v>44540</v>
      </c>
      <c r="C5" s="250">
        <f>IFERROR(__xludf.DUMMYFUNCTION("""COMPUTED_VALUE"""),0.30105324074074075)</f>
        <v>0.3010532407</v>
      </c>
      <c r="D5" s="56" t="str">
        <f>IFERROR(__xludf.DUMMYFUNCTION("""COMPUTED_VALUE"""),"SpBEND350015")</f>
        <v>SpBEND350015</v>
      </c>
      <c r="E5" s="251"/>
      <c r="F5" s="251"/>
      <c r="G5" s="251" t="str">
        <f>IFERROR(__xludf.DUMMYFUNCTION("""COMPUTED_VALUE"""),"Negative")</f>
        <v>Negative</v>
      </c>
      <c r="H5" s="204" t="str">
        <f>IFERROR(__xludf.DUMMYFUNCTION("""COMPUTED_VALUE"""),"Negative")</f>
        <v>Negative</v>
      </c>
      <c r="I5" s="204">
        <f>IFERROR(__xludf.DUMMYFUNCTION("""COMPUTED_VALUE"""),44543.0)</f>
        <v>44543</v>
      </c>
      <c r="J5" s="252">
        <f>IFERROR(__xludf.DUMMYFUNCTION("""COMPUTED_VALUE"""),0.7857291666666667)</f>
        <v>0.7857291667</v>
      </c>
      <c r="K5" s="56"/>
      <c r="L5" s="6"/>
      <c r="M5" s="61"/>
      <c r="N5" s="61">
        <f>IFERROR(__xludf.DUMMYFUNCTION("""COMPUTED_VALUE"""),1.0)</f>
        <v>1</v>
      </c>
      <c r="O5" s="61" t="str">
        <f t="shared" si="3"/>
        <v/>
      </c>
      <c r="P5" s="253">
        <f>IFERROR(__xludf.DUMMYFUNCTION("""COMPUTED_VALUE"""),3.0)</f>
        <v>3</v>
      </c>
      <c r="Q5" s="254" t="b">
        <f>VLOOKUP($B5,'Run Reconcile'!B$2:O799,14,FALSE)</f>
        <v>1</v>
      </c>
      <c r="R5" s="255" t="str">
        <f t="array" ref="R5">IF($Q5, INDEX('Run Reconcile'!A$2:A799,MATCH(B5,'Run Reconcile'!B$2:B799,0),1),IFERROR(0/0,""))</f>
        <v>RUN-BEND_2021-12-10_APS-001</v>
      </c>
      <c r="S5" s="261" t="str">
        <f t="shared" ref="S5:T5" si="14">IF(COUNTIF(W$2:W799, $A5) &gt; 0,TRUE,IFERROR(0/0,""))</f>
        <v/>
      </c>
      <c r="T5" s="261" t="str">
        <f t="shared" si="14"/>
        <v/>
      </c>
      <c r="U5" s="257" t="str">
        <f t="array" ref="U5">IF(ISBLANK($R5), INDEX('Run Reconcile'!A$2:A799, MATCH($B5, 'Run Reconcile'!B$2:B799, 0)+Z5, 1), IFERROR(0/0,""))
</f>
        <v/>
      </c>
      <c r="V5" s="258" t="str">
        <f t="shared" si="5"/>
        <v>RUN-BEND_2021-12-10_APS-001</v>
      </c>
      <c r="Y5" s="130" t="str">
        <f t="shared" si="6"/>
        <v/>
      </c>
      <c r="Z5" s="49" t="str">
        <f t="shared" si="7"/>
        <v/>
      </c>
      <c r="AA5" s="49" t="str">
        <f t="shared" si="8"/>
        <v/>
      </c>
      <c r="AB5" s="49" t="str">
        <f t="shared" si="9"/>
        <v/>
      </c>
      <c r="AC5" s="20" t="str">
        <f t="shared" ref="AC5:AD5" si="15">IF(_xlfn.ISFORMULA(S5),IFERROR(0/0,""),TRUE)</f>
        <v/>
      </c>
      <c r="AD5" s="20" t="str">
        <f t="shared" si="15"/>
        <v/>
      </c>
      <c r="AE5" s="43"/>
      <c r="AF5" s="62" t="s">
        <v>373</v>
      </c>
      <c r="AG5" s="57" t="str">
        <f t="shared" si="11"/>
        <v/>
      </c>
    </row>
    <row r="6">
      <c r="A6" s="6" t="str">
        <f>IFERROR(__xludf.DUMMYFUNCTION("""COMPUTED_VALUE"""),"MA1025")</f>
        <v>MA1025</v>
      </c>
      <c r="B6" s="204">
        <f>IFERROR(__xludf.DUMMYFUNCTION("""COMPUTED_VALUE"""),44540.0)</f>
        <v>44540</v>
      </c>
      <c r="C6" s="250">
        <f>IFERROR(__xludf.DUMMYFUNCTION("""COMPUTED_VALUE"""),0.3112847222222222)</f>
        <v>0.3112847222</v>
      </c>
      <c r="D6" s="56" t="str">
        <f>IFERROR(__xludf.DUMMYFUNCTION("""COMPUTED_VALUE"""),"SpBEND110967")</f>
        <v>SpBEND110967</v>
      </c>
      <c r="E6" s="251"/>
      <c r="F6" s="251"/>
      <c r="G6" s="251" t="str">
        <f>IFERROR(__xludf.DUMMYFUNCTION("""COMPUTED_VALUE"""),"Negative")</f>
        <v>Negative</v>
      </c>
      <c r="H6" s="204" t="str">
        <f>IFERROR(__xludf.DUMMYFUNCTION("""COMPUTED_VALUE"""),"Negative")</f>
        <v>Negative</v>
      </c>
      <c r="I6" s="204">
        <f>IFERROR(__xludf.DUMMYFUNCTION("""COMPUTED_VALUE"""),44543.0)</f>
        <v>44543</v>
      </c>
      <c r="J6" s="252">
        <f>IFERROR(__xludf.DUMMYFUNCTION("""COMPUTED_VALUE"""),0.7857291666666667)</f>
        <v>0.7857291667</v>
      </c>
      <c r="K6" s="56"/>
      <c r="L6" s="6"/>
      <c r="M6" s="61"/>
      <c r="N6" s="61">
        <f>IFERROR(__xludf.DUMMYFUNCTION("""COMPUTED_VALUE"""),1.0)</f>
        <v>1</v>
      </c>
      <c r="O6" s="61" t="str">
        <f t="shared" si="3"/>
        <v/>
      </c>
      <c r="P6" s="253">
        <f>IFERROR(__xludf.DUMMYFUNCTION("""COMPUTED_VALUE"""),3.0)</f>
        <v>3</v>
      </c>
      <c r="Q6" s="254" t="b">
        <f>VLOOKUP($B6,'Run Reconcile'!B$2:O799,14,FALSE)</f>
        <v>1</v>
      </c>
      <c r="R6" s="255" t="str">
        <f t="array" ref="R6">IF($Q6, INDEX('Run Reconcile'!A$2:A799,MATCH(B6,'Run Reconcile'!B$2:B799,0),1),IFERROR(0/0,""))</f>
        <v>RUN-BEND_2021-12-10_APS-001</v>
      </c>
      <c r="S6" s="261" t="str">
        <f t="shared" ref="S6:T6" si="16">IF(COUNTIF(W$2:W799, $A6) &gt; 0,TRUE,IFERROR(0/0,""))</f>
        <v/>
      </c>
      <c r="T6" s="261" t="str">
        <f t="shared" si="16"/>
        <v/>
      </c>
      <c r="U6" s="257" t="str">
        <f t="array" ref="U6">IF(ISBLANK($R6), INDEX('Run Reconcile'!A$2:A799, MATCH($B6, 'Run Reconcile'!B$2:B799, 0)+Z6, 1), IFERROR(0/0,""))
</f>
        <v/>
      </c>
      <c r="V6" s="258" t="str">
        <f t="shared" si="5"/>
        <v>RUN-BEND_2021-12-10_APS-001</v>
      </c>
      <c r="Y6" s="130" t="str">
        <f t="shared" si="6"/>
        <v/>
      </c>
      <c r="Z6" s="49" t="str">
        <f t="shared" si="7"/>
        <v/>
      </c>
      <c r="AA6" s="49" t="str">
        <f t="shared" si="8"/>
        <v/>
      </c>
      <c r="AB6" s="49" t="str">
        <f t="shared" si="9"/>
        <v/>
      </c>
      <c r="AC6" s="20" t="str">
        <f t="shared" ref="AC6:AD6" si="17">IF(_xlfn.ISFORMULA(S6),IFERROR(0/0,""),TRUE)</f>
        <v/>
      </c>
      <c r="AD6" s="20" t="str">
        <f t="shared" si="17"/>
        <v/>
      </c>
      <c r="AE6" s="43"/>
      <c r="AF6" s="62" t="s">
        <v>373</v>
      </c>
      <c r="AG6" s="57" t="str">
        <f t="shared" si="11"/>
        <v/>
      </c>
    </row>
    <row r="7">
      <c r="A7" s="6" t="str">
        <f>IFERROR(__xludf.DUMMYFUNCTION("""COMPUTED_VALUE"""),"MAX70")</f>
        <v>MAX70</v>
      </c>
      <c r="B7" s="204">
        <f>IFERROR(__xludf.DUMMYFUNCTION("""COMPUTED_VALUE"""),44543.0)</f>
        <v>44543</v>
      </c>
      <c r="C7" s="250">
        <f>IFERROR(__xludf.DUMMYFUNCTION("""COMPUTED_VALUE"""),0.4924074074074074)</f>
        <v>0.4924074074</v>
      </c>
      <c r="D7" s="56" t="str">
        <f>IFERROR(__xludf.DUMMYFUNCTION("""COMPUTED_VALUE"""),"SpBEND825522")</f>
        <v>SpBEND825522</v>
      </c>
      <c r="E7" s="251"/>
      <c r="F7" s="251"/>
      <c r="G7" s="251" t="str">
        <f>IFERROR(__xludf.DUMMYFUNCTION("""COMPUTED_VALUE"""),"Negative")</f>
        <v>Negative</v>
      </c>
      <c r="H7" s="204" t="str">
        <f>IFERROR(__xludf.DUMMYFUNCTION("""COMPUTED_VALUE"""),"Negative")</f>
        <v>Negative</v>
      </c>
      <c r="I7" s="204">
        <f>IFERROR(__xludf.DUMMYFUNCTION("""COMPUTED_VALUE"""),44543.0)</f>
        <v>44543</v>
      </c>
      <c r="J7" s="252">
        <f>IFERROR(__xludf.DUMMYFUNCTION("""COMPUTED_VALUE"""),0.7849884259259259)</f>
        <v>0.7849884259</v>
      </c>
      <c r="K7" s="56"/>
      <c r="L7" s="6"/>
      <c r="M7" s="61"/>
      <c r="N7" s="61">
        <f>IFERROR(__xludf.DUMMYFUNCTION("""COMPUTED_VALUE"""),1.0)</f>
        <v>1</v>
      </c>
      <c r="O7" s="61" t="b">
        <f t="shared" si="3"/>
        <v>1</v>
      </c>
      <c r="P7" s="253">
        <f>IFERROR(__xludf.DUMMYFUNCTION("""COMPUTED_VALUE"""),0.0)</f>
        <v>0</v>
      </c>
      <c r="Q7" s="254" t="b">
        <f>VLOOKUP($B7,'Run Reconcile'!B$2:O799,14,FALSE)</f>
        <v>1</v>
      </c>
      <c r="R7" s="255" t="str">
        <f t="array" ref="R7">IF($Q7, INDEX('Run Reconcile'!A$2:A799,MATCH(B7,'Run Reconcile'!B$2:B799,0),1),IFERROR(0/0,""))</f>
        <v>RUN-BEND_2021-12-13_RFR-002</v>
      </c>
      <c r="S7" s="261" t="str">
        <f t="shared" ref="S7:T7" si="18">IF(COUNTIF(W$2:W799, $A7) &gt; 0,TRUE,IFERROR(0/0,""))</f>
        <v/>
      </c>
      <c r="T7" s="261" t="str">
        <f t="shared" si="18"/>
        <v/>
      </c>
      <c r="U7" s="257" t="str">
        <f t="array" ref="U7">IF(ISBLANK($R7), INDEX('Run Reconcile'!A$2:A799, MATCH($B7, 'Run Reconcile'!B$2:B799, 0)+Z7, 1), IFERROR(0/0,""))
</f>
        <v/>
      </c>
      <c r="V7" s="258" t="str">
        <f t="shared" si="5"/>
        <v>RUN-BEND_2021-12-13_RFR-002</v>
      </c>
      <c r="Y7" s="130" t="str">
        <f t="shared" si="6"/>
        <v/>
      </c>
      <c r="Z7" s="49" t="str">
        <f t="shared" si="7"/>
        <v/>
      </c>
      <c r="AA7" s="49" t="str">
        <f t="shared" si="8"/>
        <v/>
      </c>
      <c r="AB7" s="49" t="str">
        <f t="shared" si="9"/>
        <v/>
      </c>
      <c r="AC7" s="20" t="str">
        <f t="shared" ref="AC7:AD7" si="19">IF(_xlfn.ISFORMULA(S7),IFERROR(0/0,""),TRUE)</f>
        <v/>
      </c>
      <c r="AD7" s="20" t="str">
        <f t="shared" si="19"/>
        <v/>
      </c>
      <c r="AE7" s="43"/>
      <c r="AF7" s="62" t="s">
        <v>29</v>
      </c>
      <c r="AG7" s="57" t="str">
        <f t="shared" si="11"/>
        <v/>
      </c>
    </row>
    <row r="8">
      <c r="A8" s="6" t="str">
        <f>IFERROR(__xludf.DUMMYFUNCTION("""COMPUTED_VALUE"""),"MAX111")</f>
        <v>MAX111</v>
      </c>
      <c r="B8" s="204">
        <f>IFERROR(__xludf.DUMMYFUNCTION("""COMPUTED_VALUE"""),44543.0)</f>
        <v>44543</v>
      </c>
      <c r="C8" s="250">
        <f>IFERROR(__xludf.DUMMYFUNCTION("""COMPUTED_VALUE"""),0.5629166666666666)</f>
        <v>0.5629166667</v>
      </c>
      <c r="D8" s="56" t="str">
        <f>IFERROR(__xludf.DUMMYFUNCTION("""COMPUTED_VALUE"""),"SpBEND541174")</f>
        <v>SpBEND541174</v>
      </c>
      <c r="E8" s="251"/>
      <c r="F8" s="251"/>
      <c r="G8" s="251" t="str">
        <f>IFERROR(__xludf.DUMMYFUNCTION("""COMPUTED_VALUE"""),"Negative")</f>
        <v>Negative</v>
      </c>
      <c r="H8" s="204" t="str">
        <f>IFERROR(__xludf.DUMMYFUNCTION("""COMPUTED_VALUE"""),"Negative")</f>
        <v>Negative</v>
      </c>
      <c r="I8" s="204">
        <f>IFERROR(__xludf.DUMMYFUNCTION("""COMPUTED_VALUE"""),44543.0)</f>
        <v>44543</v>
      </c>
      <c r="J8" s="252">
        <f>IFERROR(__xludf.DUMMYFUNCTION("""COMPUTED_VALUE"""),0.7849884259259259)</f>
        <v>0.7849884259</v>
      </c>
      <c r="K8" s="56"/>
      <c r="L8" s="6"/>
      <c r="M8" s="61"/>
      <c r="N8" s="61">
        <f>IFERROR(__xludf.DUMMYFUNCTION("""COMPUTED_VALUE"""),1.0)</f>
        <v>1</v>
      </c>
      <c r="O8" s="61" t="str">
        <f t="shared" si="3"/>
        <v/>
      </c>
      <c r="P8" s="253">
        <f>IFERROR(__xludf.DUMMYFUNCTION("""COMPUTED_VALUE"""),0.0)</f>
        <v>0</v>
      </c>
      <c r="Q8" s="254" t="b">
        <f>VLOOKUP($B8,'Run Reconcile'!B$2:O799,14,FALSE)</f>
        <v>1</v>
      </c>
      <c r="R8" s="255" t="str">
        <f t="array" ref="R8">IF($Q8, INDEX('Run Reconcile'!A$2:A799,MATCH(B8,'Run Reconcile'!B$2:B799,0),1),IFERROR(0/0,""))</f>
        <v>RUN-BEND_2021-12-13_RFR-002</v>
      </c>
      <c r="S8" s="261" t="str">
        <f t="shared" ref="S8:T8" si="20">IF(COUNTIF(W$2:W799, $A8) &gt; 0,TRUE,IFERROR(0/0,""))</f>
        <v/>
      </c>
      <c r="T8" s="261" t="str">
        <f t="shared" si="20"/>
        <v/>
      </c>
      <c r="U8" s="257" t="str">
        <f t="array" ref="U8">IF(ISBLANK($R8), INDEX('Run Reconcile'!A$2:A799, MATCH($B8, 'Run Reconcile'!B$2:B799, 0)+Z8, 1), IFERROR(0/0,""))
</f>
        <v/>
      </c>
      <c r="V8" s="258" t="str">
        <f t="shared" si="5"/>
        <v>RUN-BEND_2021-12-13_RFR-002</v>
      </c>
      <c r="Y8" s="130" t="str">
        <f t="shared" si="6"/>
        <v/>
      </c>
      <c r="Z8" s="49" t="str">
        <f t="shared" si="7"/>
        <v/>
      </c>
      <c r="AA8" s="49" t="str">
        <f t="shared" si="8"/>
        <v/>
      </c>
      <c r="AB8" s="49" t="str">
        <f t="shared" si="9"/>
        <v/>
      </c>
      <c r="AC8" s="20" t="str">
        <f t="shared" ref="AC8:AD8" si="21">IF(_xlfn.ISFORMULA(S8),IFERROR(0/0,""),TRUE)</f>
        <v/>
      </c>
      <c r="AD8" s="20" t="str">
        <f t="shared" si="21"/>
        <v/>
      </c>
      <c r="AE8" s="43"/>
      <c r="AF8" s="62" t="s">
        <v>29</v>
      </c>
      <c r="AG8" s="57" t="str">
        <f t="shared" si="11"/>
        <v/>
      </c>
    </row>
    <row r="9">
      <c r="A9" s="6" t="str">
        <f>IFERROR(__xludf.DUMMYFUNCTION("""COMPUTED_VALUE"""),"MAX113")</f>
        <v>MAX113</v>
      </c>
      <c r="B9" s="204">
        <f>IFERROR(__xludf.DUMMYFUNCTION("""COMPUTED_VALUE"""),44543.0)</f>
        <v>44543</v>
      </c>
      <c r="C9" s="250">
        <f>IFERROR(__xludf.DUMMYFUNCTION("""COMPUTED_VALUE"""),0.5630208333333333)</f>
        <v>0.5630208333</v>
      </c>
      <c r="D9" s="56" t="str">
        <f>IFERROR(__xludf.DUMMYFUNCTION("""COMPUTED_VALUE"""),"SpBEND492052")</f>
        <v>SpBEND492052</v>
      </c>
      <c r="E9" s="251"/>
      <c r="F9" s="251"/>
      <c r="G9" s="251" t="str">
        <f>IFERROR(__xludf.DUMMYFUNCTION("""COMPUTED_VALUE"""),"Negative")</f>
        <v>Negative</v>
      </c>
      <c r="H9" s="204" t="str">
        <f>IFERROR(__xludf.DUMMYFUNCTION("""COMPUTED_VALUE"""),"Negative")</f>
        <v>Negative</v>
      </c>
      <c r="I9" s="204">
        <f>IFERROR(__xludf.DUMMYFUNCTION("""COMPUTED_VALUE"""),44543.0)</f>
        <v>44543</v>
      </c>
      <c r="J9" s="252">
        <f>IFERROR(__xludf.DUMMYFUNCTION("""COMPUTED_VALUE"""),0.7849884259259259)</f>
        <v>0.7849884259</v>
      </c>
      <c r="K9" s="56"/>
      <c r="L9" s="6"/>
      <c r="M9" s="61"/>
      <c r="N9" s="61">
        <f>IFERROR(__xludf.DUMMYFUNCTION("""COMPUTED_VALUE"""),1.0)</f>
        <v>1</v>
      </c>
      <c r="O9" s="61" t="str">
        <f t="shared" si="3"/>
        <v/>
      </c>
      <c r="P9" s="253">
        <f>IFERROR(__xludf.DUMMYFUNCTION("""COMPUTED_VALUE"""),0.0)</f>
        <v>0</v>
      </c>
      <c r="Q9" s="254" t="b">
        <f>VLOOKUP($B9,'Run Reconcile'!B$2:O799,14,FALSE)</f>
        <v>1</v>
      </c>
      <c r="R9" s="255" t="str">
        <f t="array" ref="R9">IF($Q9, INDEX('Run Reconcile'!A$2:A799,MATCH(B9,'Run Reconcile'!B$2:B799,0),1),IFERROR(0/0,""))</f>
        <v>RUN-BEND_2021-12-13_RFR-002</v>
      </c>
      <c r="S9" s="261" t="str">
        <f t="shared" ref="S9:T9" si="22">IF(COUNTIF(W$2:W799, $A9) &gt; 0,TRUE,IFERROR(0/0,""))</f>
        <v/>
      </c>
      <c r="T9" s="261" t="str">
        <f t="shared" si="22"/>
        <v/>
      </c>
      <c r="U9" s="257" t="str">
        <f t="array" ref="U9">IF(ISBLANK($R9), INDEX('Run Reconcile'!A$2:A799, MATCH($B9, 'Run Reconcile'!B$2:B799, 0)+Z9, 1), IFERROR(0/0,""))
</f>
        <v/>
      </c>
      <c r="V9" s="258" t="str">
        <f t="shared" si="5"/>
        <v>RUN-BEND_2021-12-13_RFR-002</v>
      </c>
      <c r="Y9" s="130" t="str">
        <f t="shared" si="6"/>
        <v/>
      </c>
      <c r="Z9" s="49" t="str">
        <f t="shared" si="7"/>
        <v/>
      </c>
      <c r="AA9" s="49" t="str">
        <f t="shared" si="8"/>
        <v/>
      </c>
      <c r="AB9" s="49" t="str">
        <f t="shared" si="9"/>
        <v/>
      </c>
      <c r="AC9" s="20" t="str">
        <f t="shared" ref="AC9:AD9" si="23">IF(_xlfn.ISFORMULA(S9),IFERROR(0/0,""),TRUE)</f>
        <v/>
      </c>
      <c r="AD9" s="20" t="str">
        <f t="shared" si="23"/>
        <v/>
      </c>
      <c r="AE9" s="43"/>
      <c r="AF9" s="62" t="s">
        <v>29</v>
      </c>
      <c r="AG9" s="57" t="str">
        <f t="shared" si="11"/>
        <v/>
      </c>
    </row>
    <row r="10">
      <c r="A10" s="6" t="str">
        <f>IFERROR(__xludf.DUMMYFUNCTION("""COMPUTED_VALUE"""),"MAX122")</f>
        <v>MAX122</v>
      </c>
      <c r="B10" s="204">
        <f>IFERROR(__xludf.DUMMYFUNCTION("""COMPUTED_VALUE"""),44543.0)</f>
        <v>44543</v>
      </c>
      <c r="C10" s="250">
        <f>IFERROR(__xludf.DUMMYFUNCTION("""COMPUTED_VALUE"""),0.5931712962962963)</f>
        <v>0.5931712963</v>
      </c>
      <c r="D10" s="56" t="str">
        <f>IFERROR(__xludf.DUMMYFUNCTION("""COMPUTED_VALUE"""),"SpBEND349435")</f>
        <v>SpBEND349435</v>
      </c>
      <c r="E10" s="251"/>
      <c r="F10" s="251"/>
      <c r="G10" s="251" t="str">
        <f>IFERROR(__xludf.DUMMYFUNCTION("""COMPUTED_VALUE"""),"Negative")</f>
        <v>Negative</v>
      </c>
      <c r="H10" s="204" t="str">
        <f>IFERROR(__xludf.DUMMYFUNCTION("""COMPUTED_VALUE"""),"Negative")</f>
        <v>Negative</v>
      </c>
      <c r="I10" s="204">
        <f>IFERROR(__xludf.DUMMYFUNCTION("""COMPUTED_VALUE"""),44543.0)</f>
        <v>44543</v>
      </c>
      <c r="J10" s="252">
        <f>IFERROR(__xludf.DUMMYFUNCTION("""COMPUTED_VALUE"""),0.7849884259259259)</f>
        <v>0.7849884259</v>
      </c>
      <c r="K10" s="56"/>
      <c r="L10" s="6"/>
      <c r="M10" s="61"/>
      <c r="N10" s="61">
        <f>IFERROR(__xludf.DUMMYFUNCTION("""COMPUTED_VALUE"""),1.0)</f>
        <v>1</v>
      </c>
      <c r="O10" s="61" t="str">
        <f t="shared" si="3"/>
        <v/>
      </c>
      <c r="P10" s="253">
        <f>IFERROR(__xludf.DUMMYFUNCTION("""COMPUTED_VALUE"""),0.0)</f>
        <v>0</v>
      </c>
      <c r="Q10" s="254" t="b">
        <f>VLOOKUP($B10,'Run Reconcile'!B$2:O799,14,FALSE)</f>
        <v>1</v>
      </c>
      <c r="R10" s="255" t="str">
        <f t="array" ref="R10">IF($Q10, INDEX('Run Reconcile'!A$2:A799,MATCH(B10,'Run Reconcile'!B$2:B799,0),1),IFERROR(0/0,""))</f>
        <v>RUN-BEND_2021-12-13_RFR-002</v>
      </c>
      <c r="S10" s="261" t="str">
        <f t="shared" ref="S10:T10" si="24">IF(COUNTIF(W$2:W799, $A10) &gt; 0,TRUE,IFERROR(0/0,""))</f>
        <v/>
      </c>
      <c r="T10" s="261" t="str">
        <f t="shared" si="24"/>
        <v/>
      </c>
      <c r="U10" s="257" t="str">
        <f t="array" ref="U10">IF(ISBLANK($R10), INDEX('Run Reconcile'!A$2:A799, MATCH($B10, 'Run Reconcile'!B$2:B799, 0)+Z10, 1), IFERROR(0/0,""))
</f>
        <v/>
      </c>
      <c r="V10" s="258" t="str">
        <f t="shared" si="5"/>
        <v>RUN-BEND_2021-12-13_RFR-002</v>
      </c>
      <c r="Y10" s="130" t="str">
        <f t="shared" si="6"/>
        <v/>
      </c>
      <c r="Z10" s="49" t="str">
        <f t="shared" si="7"/>
        <v/>
      </c>
      <c r="AA10" s="49" t="str">
        <f t="shared" si="8"/>
        <v/>
      </c>
      <c r="AB10" s="49" t="str">
        <f t="shared" si="9"/>
        <v/>
      </c>
      <c r="AC10" s="20" t="str">
        <f t="shared" ref="AC10:AD10" si="25">IF(_xlfn.ISFORMULA(S10),IFERROR(0/0,""),TRUE)</f>
        <v/>
      </c>
      <c r="AD10" s="20" t="str">
        <f t="shared" si="25"/>
        <v/>
      </c>
      <c r="AE10" s="43"/>
      <c r="AF10" s="62" t="s">
        <v>29</v>
      </c>
      <c r="AG10" s="57" t="str">
        <f t="shared" si="11"/>
        <v/>
      </c>
    </row>
    <row r="11">
      <c r="A11" s="6" t="str">
        <f>IFERROR(__xludf.DUMMYFUNCTION("""COMPUTED_VALUE"""),"MAX94")</f>
        <v>MAX94</v>
      </c>
      <c r="B11" s="204">
        <f>IFERROR(__xludf.DUMMYFUNCTION("""COMPUTED_VALUE"""),44543.0)</f>
        <v>44543</v>
      </c>
      <c r="C11" s="250">
        <f>IFERROR(__xludf.DUMMYFUNCTION("""COMPUTED_VALUE"""),0.5967476851851852)</f>
        <v>0.5967476852</v>
      </c>
      <c r="D11" s="56" t="str">
        <f>IFERROR(__xludf.DUMMYFUNCTION("""COMPUTED_VALUE"""),"SpBEND768497")</f>
        <v>SpBEND768497</v>
      </c>
      <c r="E11" s="251"/>
      <c r="F11" s="251"/>
      <c r="G11" s="251" t="str">
        <f>IFERROR(__xludf.DUMMYFUNCTION("""COMPUTED_VALUE"""),"Negative")</f>
        <v>Negative</v>
      </c>
      <c r="H11" s="204" t="str">
        <f>IFERROR(__xludf.DUMMYFUNCTION("""COMPUTED_VALUE"""),"Negative")</f>
        <v>Negative</v>
      </c>
      <c r="I11" s="204">
        <f>IFERROR(__xludf.DUMMYFUNCTION("""COMPUTED_VALUE"""),44543.0)</f>
        <v>44543</v>
      </c>
      <c r="J11" s="252">
        <f>IFERROR(__xludf.DUMMYFUNCTION("""COMPUTED_VALUE"""),0.7849884259259259)</f>
        <v>0.7849884259</v>
      </c>
      <c r="K11" s="56"/>
      <c r="L11" s="6"/>
      <c r="M11" s="61"/>
      <c r="N11" s="61">
        <f>IFERROR(__xludf.DUMMYFUNCTION("""COMPUTED_VALUE"""),1.0)</f>
        <v>1</v>
      </c>
      <c r="O11" s="61" t="str">
        <f t="shared" si="3"/>
        <v/>
      </c>
      <c r="P11" s="253">
        <f>IFERROR(__xludf.DUMMYFUNCTION("""COMPUTED_VALUE"""),0.0)</f>
        <v>0</v>
      </c>
      <c r="Q11" s="254" t="b">
        <f>VLOOKUP($B11,'Run Reconcile'!B$2:O799,14,FALSE)</f>
        <v>1</v>
      </c>
      <c r="R11" s="255" t="str">
        <f t="array" ref="R11">IF($Q11, INDEX('Run Reconcile'!A$2:A799,MATCH(B11,'Run Reconcile'!B$2:B799,0),1),IFERROR(0/0,""))</f>
        <v>RUN-BEND_2021-12-13_RFR-002</v>
      </c>
      <c r="S11" s="261" t="str">
        <f t="shared" ref="S11:T11" si="26">IF(COUNTIF(W$2:W799, $A11) &gt; 0,TRUE,IFERROR(0/0,""))</f>
        <v/>
      </c>
      <c r="T11" s="261" t="str">
        <f t="shared" si="26"/>
        <v/>
      </c>
      <c r="U11" s="257" t="str">
        <f t="array" ref="U11">IF(ISBLANK($R11), INDEX('Run Reconcile'!A$2:A799, MATCH($B11, 'Run Reconcile'!B$2:B799, 0)+Z11, 1), IFERROR(0/0,""))
</f>
        <v/>
      </c>
      <c r="V11" s="258" t="str">
        <f t="shared" si="5"/>
        <v>RUN-BEND_2021-12-13_RFR-002</v>
      </c>
      <c r="Y11" s="130" t="str">
        <f t="shared" si="6"/>
        <v/>
      </c>
      <c r="Z11" s="49" t="str">
        <f t="shared" si="7"/>
        <v/>
      </c>
      <c r="AA11" s="49" t="str">
        <f t="shared" si="8"/>
        <v/>
      </c>
      <c r="AB11" s="49" t="str">
        <f t="shared" si="9"/>
        <v/>
      </c>
      <c r="AC11" s="20" t="str">
        <f t="shared" ref="AC11:AD11" si="27">IF(_xlfn.ISFORMULA(S11),IFERROR(0/0,""),TRUE)</f>
        <v/>
      </c>
      <c r="AD11" s="20" t="str">
        <f t="shared" si="27"/>
        <v/>
      </c>
      <c r="AE11" s="43"/>
      <c r="AF11" s="62" t="s">
        <v>29</v>
      </c>
      <c r="AG11" s="57" t="str">
        <f t="shared" si="11"/>
        <v/>
      </c>
    </row>
    <row r="12">
      <c r="A12" s="6" t="str">
        <f>IFERROR(__xludf.DUMMYFUNCTION("""COMPUTED_VALUE"""),"MAX28")</f>
        <v>MAX28</v>
      </c>
      <c r="B12" s="204">
        <f>IFERROR(__xludf.DUMMYFUNCTION("""COMPUTED_VALUE"""),44543.0)</f>
        <v>44543</v>
      </c>
      <c r="C12" s="250">
        <f>IFERROR(__xludf.DUMMYFUNCTION("""COMPUTED_VALUE"""),0.5984027777777777)</f>
        <v>0.5984027778</v>
      </c>
      <c r="D12" s="56" t="str">
        <f>IFERROR(__xludf.DUMMYFUNCTION("""COMPUTED_VALUE"""),"SpBEND643855")</f>
        <v>SpBEND643855</v>
      </c>
      <c r="E12" s="251"/>
      <c r="F12" s="251"/>
      <c r="G12" s="251" t="str">
        <f>IFERROR(__xludf.DUMMYFUNCTION("""COMPUTED_VALUE"""),"Negative")</f>
        <v>Negative</v>
      </c>
      <c r="H12" s="204" t="str">
        <f>IFERROR(__xludf.DUMMYFUNCTION("""COMPUTED_VALUE"""),"Negative")</f>
        <v>Negative</v>
      </c>
      <c r="I12" s="204">
        <f>IFERROR(__xludf.DUMMYFUNCTION("""COMPUTED_VALUE"""),44543.0)</f>
        <v>44543</v>
      </c>
      <c r="J12" s="252">
        <f>IFERROR(__xludf.DUMMYFUNCTION("""COMPUTED_VALUE"""),0.7849884259259259)</f>
        <v>0.7849884259</v>
      </c>
      <c r="K12" s="56"/>
      <c r="L12" s="6"/>
      <c r="M12" s="61"/>
      <c r="N12" s="61">
        <f>IFERROR(__xludf.DUMMYFUNCTION("""COMPUTED_VALUE"""),1.0)</f>
        <v>1</v>
      </c>
      <c r="O12" s="61" t="str">
        <f t="shared" si="3"/>
        <v/>
      </c>
      <c r="P12" s="253">
        <f>IFERROR(__xludf.DUMMYFUNCTION("""COMPUTED_VALUE"""),0.0)</f>
        <v>0</v>
      </c>
      <c r="Q12" s="254" t="b">
        <f>VLOOKUP($B12,'Run Reconcile'!B$2:O799,14,FALSE)</f>
        <v>1</v>
      </c>
      <c r="R12" s="255" t="str">
        <f t="array" ref="R12">IF($Q12, INDEX('Run Reconcile'!A$2:A799,MATCH(B12,'Run Reconcile'!B$2:B799,0),1),IFERROR(0/0,""))</f>
        <v>RUN-BEND_2021-12-13_RFR-002</v>
      </c>
      <c r="S12" s="261" t="str">
        <f t="shared" ref="S12:T12" si="28">IF(COUNTIF(W$2:W799, $A12) &gt; 0,TRUE,IFERROR(0/0,""))</f>
        <v/>
      </c>
      <c r="T12" s="261" t="str">
        <f t="shared" si="28"/>
        <v/>
      </c>
      <c r="U12" s="257" t="str">
        <f t="array" ref="U12">IF(ISBLANK($R12), INDEX('Run Reconcile'!A$2:A799, MATCH($B12, 'Run Reconcile'!B$2:B799, 0)+Z12, 1), IFERROR(0/0,""))
</f>
        <v/>
      </c>
      <c r="V12" s="258" t="str">
        <f t="shared" si="5"/>
        <v>RUN-BEND_2021-12-13_RFR-002</v>
      </c>
      <c r="Y12" s="130" t="str">
        <f t="shared" si="6"/>
        <v/>
      </c>
      <c r="Z12" s="49" t="str">
        <f t="shared" si="7"/>
        <v/>
      </c>
      <c r="AA12" s="49" t="str">
        <f t="shared" si="8"/>
        <v/>
      </c>
      <c r="AB12" s="49" t="str">
        <f t="shared" si="9"/>
        <v/>
      </c>
      <c r="AC12" s="20" t="str">
        <f t="shared" ref="AC12:AD12" si="29">IF(_xlfn.ISFORMULA(S12),IFERROR(0/0,""),TRUE)</f>
        <v/>
      </c>
      <c r="AD12" s="20" t="str">
        <f t="shared" si="29"/>
        <v/>
      </c>
      <c r="AE12" s="43"/>
      <c r="AF12" s="62" t="s">
        <v>29</v>
      </c>
      <c r="AG12" s="57" t="str">
        <f t="shared" si="11"/>
        <v/>
      </c>
    </row>
    <row r="13">
      <c r="A13" s="6" t="str">
        <f>IFERROR(__xludf.DUMMYFUNCTION("""COMPUTED_VALUE"""),"MAX63")</f>
        <v>MAX63</v>
      </c>
      <c r="B13" s="204">
        <f>IFERROR(__xludf.DUMMYFUNCTION("""COMPUTED_VALUE"""),44543.0)</f>
        <v>44543</v>
      </c>
      <c r="C13" s="250">
        <f>IFERROR(__xludf.DUMMYFUNCTION("""COMPUTED_VALUE"""),0.6040740740740741)</f>
        <v>0.6040740741</v>
      </c>
      <c r="D13" s="56" t="str">
        <f>IFERROR(__xludf.DUMMYFUNCTION("""COMPUTED_VALUE"""),"SpBEND214692")</f>
        <v>SpBEND214692</v>
      </c>
      <c r="E13" s="251"/>
      <c r="F13" s="251"/>
      <c r="G13" s="251" t="str">
        <f>IFERROR(__xludf.DUMMYFUNCTION("""COMPUTED_VALUE"""),"Negative")</f>
        <v>Negative</v>
      </c>
      <c r="H13" s="204" t="str">
        <f>IFERROR(__xludf.DUMMYFUNCTION("""COMPUTED_VALUE"""),"Negative")</f>
        <v>Negative</v>
      </c>
      <c r="I13" s="204">
        <f>IFERROR(__xludf.DUMMYFUNCTION("""COMPUTED_VALUE"""),44543.0)</f>
        <v>44543</v>
      </c>
      <c r="J13" s="252">
        <f>IFERROR(__xludf.DUMMYFUNCTION("""COMPUTED_VALUE"""),0.7849884259259259)</f>
        <v>0.7849884259</v>
      </c>
      <c r="K13" s="56"/>
      <c r="L13" s="6"/>
      <c r="M13" s="61"/>
      <c r="N13" s="61">
        <f>IFERROR(__xludf.DUMMYFUNCTION("""COMPUTED_VALUE"""),1.0)</f>
        <v>1</v>
      </c>
      <c r="O13" s="61" t="str">
        <f t="shared" si="3"/>
        <v/>
      </c>
      <c r="P13" s="253">
        <f>IFERROR(__xludf.DUMMYFUNCTION("""COMPUTED_VALUE"""),0.0)</f>
        <v>0</v>
      </c>
      <c r="Q13" s="254" t="b">
        <f>VLOOKUP($B13,'Run Reconcile'!B$2:O799,14,FALSE)</f>
        <v>1</v>
      </c>
      <c r="R13" s="255" t="str">
        <f t="array" ref="R13">IF($Q13, INDEX('Run Reconcile'!A$2:A799,MATCH(B13,'Run Reconcile'!B$2:B799,0),1),IFERROR(0/0,""))</f>
        <v>RUN-BEND_2021-12-13_RFR-002</v>
      </c>
      <c r="S13" s="261" t="str">
        <f t="shared" ref="S13:T13" si="30">IF(COUNTIF(W$2:W799, $A13) &gt; 0,TRUE,IFERROR(0/0,""))</f>
        <v/>
      </c>
      <c r="T13" s="261" t="str">
        <f t="shared" si="30"/>
        <v/>
      </c>
      <c r="U13" s="257" t="str">
        <f t="array" ref="U13">IF(ISBLANK($R13), INDEX('Run Reconcile'!A$2:A799, MATCH($B13, 'Run Reconcile'!B$2:B799, 0)+Z13, 1), IFERROR(0/0,""))
</f>
        <v/>
      </c>
      <c r="V13" s="258" t="str">
        <f t="shared" si="5"/>
        <v>RUN-BEND_2021-12-13_RFR-002</v>
      </c>
      <c r="Y13" s="130" t="str">
        <f t="shared" si="6"/>
        <v/>
      </c>
      <c r="Z13" s="49" t="str">
        <f t="shared" si="7"/>
        <v/>
      </c>
      <c r="AA13" s="49" t="str">
        <f t="shared" si="8"/>
        <v/>
      </c>
      <c r="AB13" s="49" t="str">
        <f t="shared" si="9"/>
        <v/>
      </c>
      <c r="AC13" s="20" t="str">
        <f t="shared" ref="AC13:AD13" si="31">IF(_xlfn.ISFORMULA(S13),IFERROR(0/0,""),TRUE)</f>
        <v/>
      </c>
      <c r="AD13" s="20" t="str">
        <f t="shared" si="31"/>
        <v/>
      </c>
      <c r="AE13" s="43"/>
      <c r="AF13" s="62" t="s">
        <v>29</v>
      </c>
      <c r="AG13" s="57" t="str">
        <f t="shared" si="11"/>
        <v/>
      </c>
    </row>
    <row r="14">
      <c r="A14" s="6" t="str">
        <f>IFERROR(__xludf.DUMMYFUNCTION("""COMPUTED_VALUE"""),"MA1255")</f>
        <v>MA1255</v>
      </c>
      <c r="B14" s="204">
        <f>IFERROR(__xludf.DUMMYFUNCTION("""COMPUTED_VALUE"""),44545.0)</f>
        <v>44545</v>
      </c>
      <c r="C14" s="250">
        <f>IFERROR(__xludf.DUMMYFUNCTION("""COMPUTED_VALUE"""),0.5749768518518519)</f>
        <v>0.5749768519</v>
      </c>
      <c r="D14" s="56" t="str">
        <f>IFERROR(__xludf.DUMMYFUNCTION("""COMPUTED_VALUE"""),"SpBEND767550")</f>
        <v>SpBEND767550</v>
      </c>
      <c r="E14" s="251"/>
      <c r="F14" s="251"/>
      <c r="G14" s="251" t="str">
        <f>IFERROR(__xludf.DUMMYFUNCTION("""COMPUTED_VALUE"""),"Negative")</f>
        <v>Negative</v>
      </c>
      <c r="H14" s="204" t="str">
        <f>IFERROR(__xludf.DUMMYFUNCTION("""COMPUTED_VALUE"""),"Negative")</f>
        <v>Negative</v>
      </c>
      <c r="I14" s="204">
        <f>IFERROR(__xludf.DUMMYFUNCTION("""COMPUTED_VALUE"""),44545.0)</f>
        <v>44545</v>
      </c>
      <c r="J14" s="252">
        <f>IFERROR(__xludf.DUMMYFUNCTION("""COMPUTED_VALUE"""),0.7641550925925926)</f>
        <v>0.7641550926</v>
      </c>
      <c r="K14" s="56"/>
      <c r="L14" s="6"/>
      <c r="M14" s="61"/>
      <c r="N14" s="61">
        <f>IFERROR(__xludf.DUMMYFUNCTION("""COMPUTED_VALUE"""),1.0)</f>
        <v>1</v>
      </c>
      <c r="O14" s="61" t="b">
        <f t="shared" si="3"/>
        <v>1</v>
      </c>
      <c r="P14" s="253">
        <f>IFERROR(__xludf.DUMMYFUNCTION("""COMPUTED_VALUE"""),0.0)</f>
        <v>0</v>
      </c>
      <c r="Q14" s="254" t="b">
        <f>VLOOKUP($B14,'Run Reconcile'!B$2:O799,14,FALSE)</f>
        <v>1</v>
      </c>
      <c r="R14" s="255" t="str">
        <f t="array" ref="R14">IF($Q14, INDEX('Run Reconcile'!A$2:A799,MATCH(B14,'Run Reconcile'!B$2:B799,0),1),IFERROR(0/0,""))</f>
        <v>RUN-BEND_2021-12-15_APS-002</v>
      </c>
      <c r="S14" s="261" t="str">
        <f t="shared" ref="S14:T14" si="32">IF(COUNTIF(W$2:W799, $A14) &gt; 0,TRUE,IFERROR(0/0,""))</f>
        <v/>
      </c>
      <c r="T14" s="261" t="str">
        <f t="shared" si="32"/>
        <v/>
      </c>
      <c r="U14" s="257" t="str">
        <f t="array" ref="U14">IF(ISBLANK($R14), INDEX('Run Reconcile'!A$2:A799, MATCH($B14, 'Run Reconcile'!B$2:B799, 0)+Z14, 1), IFERROR(0/0,""))
</f>
        <v/>
      </c>
      <c r="V14" s="258" t="str">
        <f t="shared" si="5"/>
        <v>RUN-BEND_2021-12-15_APS-002</v>
      </c>
      <c r="Y14" s="130" t="str">
        <f t="shared" si="6"/>
        <v/>
      </c>
      <c r="Z14" s="49" t="str">
        <f t="shared" si="7"/>
        <v/>
      </c>
      <c r="AA14" s="49" t="str">
        <f t="shared" si="8"/>
        <v/>
      </c>
      <c r="AB14" s="49" t="str">
        <f t="shared" si="9"/>
        <v/>
      </c>
      <c r="AC14" s="20" t="str">
        <f t="shared" ref="AC14:AD14" si="33">IF(_xlfn.ISFORMULA(S14),IFERROR(0/0,""),TRUE)</f>
        <v/>
      </c>
      <c r="AD14" s="20" t="str">
        <f t="shared" si="33"/>
        <v/>
      </c>
      <c r="AE14" s="43"/>
      <c r="AF14" s="62" t="s">
        <v>30</v>
      </c>
      <c r="AG14" s="57" t="str">
        <f t="shared" si="11"/>
        <v/>
      </c>
    </row>
    <row r="15">
      <c r="A15" s="6" t="str">
        <f>IFERROR(__xludf.DUMMYFUNCTION("""COMPUTED_VALUE"""),"MA327")</f>
        <v>MA327</v>
      </c>
      <c r="B15" s="204">
        <f>IFERROR(__xludf.DUMMYFUNCTION("""COMPUTED_VALUE"""),44545.0)</f>
        <v>44545</v>
      </c>
      <c r="C15" s="250">
        <f>IFERROR(__xludf.DUMMYFUNCTION("""COMPUTED_VALUE"""),0.5862152777777778)</f>
        <v>0.5862152778</v>
      </c>
      <c r="D15" s="56" t="str">
        <f>IFERROR(__xludf.DUMMYFUNCTION("""COMPUTED_VALUE"""),"SpBEND721986")</f>
        <v>SpBEND721986</v>
      </c>
      <c r="E15" s="251"/>
      <c r="F15" s="251"/>
      <c r="G15" s="251" t="str">
        <f>IFERROR(__xludf.DUMMYFUNCTION("""COMPUTED_VALUE"""),"Negative")</f>
        <v>Negative</v>
      </c>
      <c r="H15" s="204" t="str">
        <f>IFERROR(__xludf.DUMMYFUNCTION("""COMPUTED_VALUE"""),"Negative")</f>
        <v>Negative</v>
      </c>
      <c r="I15" s="204">
        <f>IFERROR(__xludf.DUMMYFUNCTION("""COMPUTED_VALUE"""),44545.0)</f>
        <v>44545</v>
      </c>
      <c r="J15" s="252">
        <f>IFERROR(__xludf.DUMMYFUNCTION("""COMPUTED_VALUE"""),0.7641550925925926)</f>
        <v>0.7641550926</v>
      </c>
      <c r="K15" s="56"/>
      <c r="L15" s="6"/>
      <c r="M15" s="61"/>
      <c r="N15" s="61">
        <f>IFERROR(__xludf.DUMMYFUNCTION("""COMPUTED_VALUE"""),1.0)</f>
        <v>1</v>
      </c>
      <c r="O15" s="61" t="str">
        <f t="shared" si="3"/>
        <v/>
      </c>
      <c r="P15" s="253">
        <f>IFERROR(__xludf.DUMMYFUNCTION("""COMPUTED_VALUE"""),0.0)</f>
        <v>0</v>
      </c>
      <c r="Q15" s="254" t="b">
        <f>VLOOKUP($B15,'Run Reconcile'!B$2:O799,14,FALSE)</f>
        <v>1</v>
      </c>
      <c r="R15" s="255" t="str">
        <f t="array" ref="R15">IF($Q15, INDEX('Run Reconcile'!A$2:A799,MATCH(B15,'Run Reconcile'!B$2:B799,0),1),IFERROR(0/0,""))</f>
        <v>RUN-BEND_2021-12-15_APS-002</v>
      </c>
      <c r="S15" s="261" t="str">
        <f t="shared" ref="S15:T15" si="34">IF(COUNTIF(W$2:W799, $A15) &gt; 0,TRUE,IFERROR(0/0,""))</f>
        <v/>
      </c>
      <c r="T15" s="261" t="str">
        <f t="shared" si="34"/>
        <v/>
      </c>
      <c r="U15" s="257" t="str">
        <f t="array" ref="U15">IF(ISBLANK($R15), INDEX('Run Reconcile'!A$2:A799, MATCH($B15, 'Run Reconcile'!B$2:B799, 0)+Z15, 1), IFERROR(0/0,""))
</f>
        <v/>
      </c>
      <c r="V15" s="258" t="str">
        <f t="shared" si="5"/>
        <v>RUN-BEND_2021-12-15_APS-002</v>
      </c>
      <c r="Y15" s="130" t="str">
        <f t="shared" si="6"/>
        <v/>
      </c>
      <c r="Z15" s="49" t="str">
        <f t="shared" si="7"/>
        <v/>
      </c>
      <c r="AA15" s="49" t="str">
        <f t="shared" si="8"/>
        <v/>
      </c>
      <c r="AB15" s="49" t="str">
        <f t="shared" si="9"/>
        <v/>
      </c>
      <c r="AC15" s="20" t="str">
        <f t="shared" ref="AC15:AD15" si="35">IF(_xlfn.ISFORMULA(S15),IFERROR(0/0,""),TRUE)</f>
        <v/>
      </c>
      <c r="AD15" s="20" t="str">
        <f t="shared" si="35"/>
        <v/>
      </c>
      <c r="AE15" s="43"/>
      <c r="AF15" s="62" t="s">
        <v>30</v>
      </c>
      <c r="AG15" s="57" t="str">
        <f t="shared" si="11"/>
        <v/>
      </c>
    </row>
    <row r="16">
      <c r="A16" s="6" t="str">
        <f>IFERROR(__xludf.DUMMYFUNCTION("""COMPUTED_VALUE"""),"MA460")</f>
        <v>MA460</v>
      </c>
      <c r="B16" s="204">
        <f>IFERROR(__xludf.DUMMYFUNCTION("""COMPUTED_VALUE"""),44545.0)</f>
        <v>44545</v>
      </c>
      <c r="C16" s="250">
        <f>IFERROR(__xludf.DUMMYFUNCTION("""COMPUTED_VALUE"""),0.6131944444444445)</f>
        <v>0.6131944444</v>
      </c>
      <c r="D16" s="56" t="str">
        <f>IFERROR(__xludf.DUMMYFUNCTION("""COMPUTED_VALUE"""),"SpBEND139600")</f>
        <v>SpBEND139600</v>
      </c>
      <c r="E16" s="251"/>
      <c r="F16" s="251"/>
      <c r="G16" s="251" t="str">
        <f>IFERROR(__xludf.DUMMYFUNCTION("""COMPUTED_VALUE"""),"Negative")</f>
        <v>Negative</v>
      </c>
      <c r="H16" s="204" t="str">
        <f>IFERROR(__xludf.DUMMYFUNCTION("""COMPUTED_VALUE"""),"Negative")</f>
        <v>Negative</v>
      </c>
      <c r="I16" s="204">
        <f>IFERROR(__xludf.DUMMYFUNCTION("""COMPUTED_VALUE"""),44545.0)</f>
        <v>44545</v>
      </c>
      <c r="J16" s="252">
        <f>IFERROR(__xludf.DUMMYFUNCTION("""COMPUTED_VALUE"""),0.7641550925925926)</f>
        <v>0.7641550926</v>
      </c>
      <c r="K16" s="56"/>
      <c r="L16" s="6"/>
      <c r="M16" s="61"/>
      <c r="N16" s="61">
        <f>IFERROR(__xludf.DUMMYFUNCTION("""COMPUTED_VALUE"""),1.0)</f>
        <v>1</v>
      </c>
      <c r="O16" s="61" t="str">
        <f t="shared" si="3"/>
        <v/>
      </c>
      <c r="P16" s="253">
        <f>IFERROR(__xludf.DUMMYFUNCTION("""COMPUTED_VALUE"""),0.0)</f>
        <v>0</v>
      </c>
      <c r="Q16" s="254" t="b">
        <f>VLOOKUP($B16,'Run Reconcile'!B$2:O799,14,FALSE)</f>
        <v>1</v>
      </c>
      <c r="R16" s="255" t="str">
        <f t="array" ref="R16">IF($Q16, INDEX('Run Reconcile'!A$2:A799,MATCH(B16,'Run Reconcile'!B$2:B799,0),1),IFERROR(0/0,""))</f>
        <v>RUN-BEND_2021-12-15_APS-002</v>
      </c>
      <c r="S16" s="261" t="str">
        <f t="shared" ref="S16:T16" si="36">IF(COUNTIF(W$2:W799, $A16) &gt; 0,TRUE,IFERROR(0/0,""))</f>
        <v/>
      </c>
      <c r="T16" s="261" t="str">
        <f t="shared" si="36"/>
        <v/>
      </c>
      <c r="U16" s="257" t="str">
        <f t="array" ref="U16">IF(ISBLANK($R16), INDEX('Run Reconcile'!A$2:A799, MATCH($B16, 'Run Reconcile'!B$2:B799, 0)+Z16, 1), IFERROR(0/0,""))
</f>
        <v/>
      </c>
      <c r="V16" s="258" t="str">
        <f t="shared" si="5"/>
        <v>RUN-BEND_2021-12-15_APS-002</v>
      </c>
      <c r="Y16" s="130" t="str">
        <f t="shared" si="6"/>
        <v/>
      </c>
      <c r="Z16" s="49" t="str">
        <f t="shared" si="7"/>
        <v/>
      </c>
      <c r="AA16" s="49" t="str">
        <f t="shared" si="8"/>
        <v/>
      </c>
      <c r="AB16" s="49" t="str">
        <f t="shared" si="9"/>
        <v/>
      </c>
      <c r="AC16" s="20" t="str">
        <f t="shared" ref="AC16:AD16" si="37">IF(_xlfn.ISFORMULA(S16),IFERROR(0/0,""),TRUE)</f>
        <v/>
      </c>
      <c r="AD16" s="20" t="str">
        <f t="shared" si="37"/>
        <v/>
      </c>
      <c r="AE16" s="43"/>
      <c r="AF16" s="62" t="s">
        <v>30</v>
      </c>
      <c r="AG16" s="57" t="str">
        <f t="shared" si="11"/>
        <v/>
      </c>
    </row>
    <row r="17">
      <c r="A17" s="6" t="str">
        <f>IFERROR(__xludf.DUMMYFUNCTION("""COMPUTED_VALUE"""),"MA1155")</f>
        <v>MA1155</v>
      </c>
      <c r="B17" s="204">
        <f>IFERROR(__xludf.DUMMYFUNCTION("""COMPUTED_VALUE"""),44545.0)</f>
        <v>44545</v>
      </c>
      <c r="C17" s="250">
        <f>IFERROR(__xludf.DUMMYFUNCTION("""COMPUTED_VALUE"""),0.6686805555555555)</f>
        <v>0.6686805556</v>
      </c>
      <c r="D17" s="56" t="str">
        <f>IFERROR(__xludf.DUMMYFUNCTION("""COMPUTED_VALUE"""),"SpBEND548976")</f>
        <v>SpBEND548976</v>
      </c>
      <c r="E17" s="251"/>
      <c r="F17" s="251"/>
      <c r="G17" s="251" t="str">
        <f>IFERROR(__xludf.DUMMYFUNCTION("""COMPUTED_VALUE"""),"Negative")</f>
        <v>Negative</v>
      </c>
      <c r="H17" s="204" t="str">
        <f>IFERROR(__xludf.DUMMYFUNCTION("""COMPUTED_VALUE"""),"Negative")</f>
        <v>Negative</v>
      </c>
      <c r="I17" s="204">
        <f>IFERROR(__xludf.DUMMYFUNCTION("""COMPUTED_VALUE"""),44550.0)</f>
        <v>44550</v>
      </c>
      <c r="J17" s="252">
        <f>IFERROR(__xludf.DUMMYFUNCTION("""COMPUTED_VALUE"""),0.4883449074074074)</f>
        <v>0.4883449074</v>
      </c>
      <c r="K17" s="56"/>
      <c r="L17" s="6"/>
      <c r="M17" s="61"/>
      <c r="N17" s="61">
        <f>IFERROR(__xludf.DUMMYFUNCTION("""COMPUTED_VALUE"""),1.0)</f>
        <v>1</v>
      </c>
      <c r="O17" s="61" t="str">
        <f t="shared" si="3"/>
        <v/>
      </c>
      <c r="P17" s="253">
        <f>IFERROR(__xludf.DUMMYFUNCTION("""COMPUTED_VALUE"""),5.0)</f>
        <v>5</v>
      </c>
      <c r="Q17" s="254" t="b">
        <f>VLOOKUP($B17,'Run Reconcile'!B$2:O799,14,FALSE)</f>
        <v>1</v>
      </c>
      <c r="R17" s="255" t="str">
        <f t="array" ref="R17">IF($Q17, INDEX('Run Reconcile'!A$2:A799,MATCH(B17,'Run Reconcile'!B$2:B799,0),1),IFERROR(0/0,""))</f>
        <v>RUN-BEND_2021-12-15_APS-002</v>
      </c>
      <c r="S17" s="261" t="str">
        <f t="shared" ref="S17:T17" si="38">IF(COUNTIF(W$2:W799, $A17) &gt; 0,TRUE,IFERROR(0/0,""))</f>
        <v/>
      </c>
      <c r="T17" s="261" t="str">
        <f t="shared" si="38"/>
        <v/>
      </c>
      <c r="U17" s="257" t="str">
        <f t="array" ref="U17">IF(ISBLANK($R17), INDEX('Run Reconcile'!A$2:A799, MATCH($B17, 'Run Reconcile'!B$2:B799, 0)+Z17, 1), IFERROR(0/0,""))
</f>
        <v/>
      </c>
      <c r="V17" s="258" t="str">
        <f t="shared" si="5"/>
        <v>RUN-BEND_2021-12-15_APS-002</v>
      </c>
      <c r="Y17" s="130" t="str">
        <f t="shared" si="6"/>
        <v/>
      </c>
      <c r="Z17" s="49" t="str">
        <f t="shared" si="7"/>
        <v/>
      </c>
      <c r="AA17" s="49" t="str">
        <f t="shared" si="8"/>
        <v/>
      </c>
      <c r="AB17" s="49" t="str">
        <f t="shared" si="9"/>
        <v/>
      </c>
      <c r="AC17" s="20" t="str">
        <f t="shared" ref="AC17:AD17" si="39">IF(_xlfn.ISFORMULA(S17),IFERROR(0/0,""),TRUE)</f>
        <v/>
      </c>
      <c r="AD17" s="20" t="str">
        <f t="shared" si="39"/>
        <v/>
      </c>
      <c r="AE17" s="43"/>
      <c r="AF17" s="62" t="s">
        <v>30</v>
      </c>
      <c r="AG17" s="57" t="str">
        <f t="shared" si="11"/>
        <v/>
      </c>
    </row>
    <row r="18">
      <c r="A18" s="6" t="str">
        <f>IFERROR(__xludf.DUMMYFUNCTION("""COMPUTED_VALUE"""),"MA1043")</f>
        <v>MA1043</v>
      </c>
      <c r="B18" s="204">
        <f>IFERROR(__xludf.DUMMYFUNCTION("""COMPUTED_VALUE"""),44547.0)</f>
        <v>44547</v>
      </c>
      <c r="C18" s="250">
        <f>IFERROR(__xludf.DUMMYFUNCTION("""COMPUTED_VALUE"""),0.3417824074074074)</f>
        <v>0.3417824074</v>
      </c>
      <c r="D18" s="56" t="str">
        <f>IFERROR(__xludf.DUMMYFUNCTION("""COMPUTED_VALUE"""),"SpBEND548976")</f>
        <v>SpBEND548976</v>
      </c>
      <c r="E18" s="251"/>
      <c r="F18" s="251"/>
      <c r="G18" s="251" t="str">
        <f>IFERROR(__xludf.DUMMYFUNCTION("""COMPUTED_VALUE"""),"Positive")</f>
        <v>Positive</v>
      </c>
      <c r="H18" s="204" t="str">
        <f>IFERROR(__xludf.DUMMYFUNCTION("""COMPUTED_VALUE"""),"Positive")</f>
        <v>Positive</v>
      </c>
      <c r="I18" s="204">
        <f>IFERROR(__xludf.DUMMYFUNCTION("""COMPUTED_VALUE"""),44547.0)</f>
        <v>44547</v>
      </c>
      <c r="J18" s="252">
        <f>IFERROR(__xludf.DUMMYFUNCTION("""COMPUTED_VALUE"""),0.5028472222222222)</f>
        <v>0.5028472222</v>
      </c>
      <c r="K18" s="56"/>
      <c r="L18" s="6"/>
      <c r="M18" s="61"/>
      <c r="N18" s="61">
        <f>IFERROR(__xludf.DUMMYFUNCTION("""COMPUTED_VALUE"""),1.0)</f>
        <v>1</v>
      </c>
      <c r="O18" s="61" t="b">
        <f t="shared" si="3"/>
        <v>1</v>
      </c>
      <c r="P18" s="253">
        <f>IFERROR(__xludf.DUMMYFUNCTION("""COMPUTED_VALUE"""),0.0)</f>
        <v>0</v>
      </c>
      <c r="Q18" s="254" t="b">
        <f>VLOOKUP($B18,'Run Reconcile'!B$2:O799,14,FALSE)</f>
        <v>1</v>
      </c>
      <c r="R18" s="255" t="str">
        <f t="array" ref="R18">IF($Q18, INDEX('Run Reconcile'!A$2:A799,MATCH(B18,'Run Reconcile'!B$2:B799,0),1),IFERROR(0/0,""))</f>
        <v>RUN-BEND_2021-12-17_APS-003</v>
      </c>
      <c r="S18" s="261" t="str">
        <f t="shared" ref="S18:T18" si="40">IF(COUNTIF(W$2:W799, $A18) &gt; 0,TRUE,IFERROR(0/0,""))</f>
        <v/>
      </c>
      <c r="T18" s="261" t="str">
        <f t="shared" si="40"/>
        <v/>
      </c>
      <c r="U18" s="257" t="str">
        <f t="array" ref="U18">IF(ISBLANK($R18), INDEX('Run Reconcile'!A$2:A799, MATCH($B18, 'Run Reconcile'!B$2:B799, 0)+Z18, 1), IFERROR(0/0,""))
</f>
        <v/>
      </c>
      <c r="V18" s="258" t="str">
        <f t="shared" si="5"/>
        <v>RUN-BEND_2021-12-17_APS-003</v>
      </c>
      <c r="Y18" s="130" t="str">
        <f t="shared" si="6"/>
        <v/>
      </c>
      <c r="Z18" s="49" t="str">
        <f t="shared" si="7"/>
        <v/>
      </c>
      <c r="AA18" s="49" t="str">
        <f t="shared" si="8"/>
        <v/>
      </c>
      <c r="AB18" s="49" t="str">
        <f t="shared" si="9"/>
        <v/>
      </c>
      <c r="AC18" s="20" t="str">
        <f t="shared" ref="AC18:AD18" si="41">IF(_xlfn.ISFORMULA(S18),IFERROR(0/0,""),TRUE)</f>
        <v/>
      </c>
      <c r="AD18" s="20" t="str">
        <f t="shared" si="41"/>
        <v/>
      </c>
      <c r="AE18" s="43"/>
      <c r="AF18" s="62" t="s">
        <v>31</v>
      </c>
      <c r="AG18" s="57" t="str">
        <f t="shared" si="11"/>
        <v/>
      </c>
    </row>
    <row r="19">
      <c r="A19" s="6" t="str">
        <f>IFERROR(__xludf.DUMMYFUNCTION("""COMPUTED_VALUE"""),"MA1036")</f>
        <v>MA1036</v>
      </c>
      <c r="B19" s="204">
        <f>IFERROR(__xludf.DUMMYFUNCTION("""COMPUTED_VALUE"""),44547.0)</f>
        <v>44547</v>
      </c>
      <c r="C19" s="250">
        <f>IFERROR(__xludf.DUMMYFUNCTION("""COMPUTED_VALUE"""),0.37118055555555557)</f>
        <v>0.3711805556</v>
      </c>
      <c r="D19" s="56" t="str">
        <f>IFERROR(__xludf.DUMMYFUNCTION("""COMPUTED_VALUE"""),"SpBEND394154")</f>
        <v>SpBEND394154</v>
      </c>
      <c r="E19" s="251"/>
      <c r="F19" s="251"/>
      <c r="G19" s="251" t="str">
        <f>IFERROR(__xludf.DUMMYFUNCTION("""COMPUTED_VALUE"""),"Negative")</f>
        <v>Negative</v>
      </c>
      <c r="H19" s="204" t="str">
        <f>IFERROR(__xludf.DUMMYFUNCTION("""COMPUTED_VALUE"""),"Negative")</f>
        <v>Negative</v>
      </c>
      <c r="I19" s="204">
        <f>IFERROR(__xludf.DUMMYFUNCTION("""COMPUTED_VALUE"""),44547.0)</f>
        <v>44547</v>
      </c>
      <c r="J19" s="252">
        <f>IFERROR(__xludf.DUMMYFUNCTION("""COMPUTED_VALUE"""),0.41434027777777777)</f>
        <v>0.4143402778</v>
      </c>
      <c r="K19" s="56"/>
      <c r="L19" s="6"/>
      <c r="M19" s="61"/>
      <c r="N19" s="61">
        <f>IFERROR(__xludf.DUMMYFUNCTION("""COMPUTED_VALUE"""),1.0)</f>
        <v>1</v>
      </c>
      <c r="O19" s="61" t="str">
        <f t="shared" si="3"/>
        <v/>
      </c>
      <c r="P19" s="253">
        <f>IFERROR(__xludf.DUMMYFUNCTION("""COMPUTED_VALUE"""),0.0)</f>
        <v>0</v>
      </c>
      <c r="Q19" s="254" t="b">
        <f>VLOOKUP($B19,'Run Reconcile'!B$2:O799,14,FALSE)</f>
        <v>1</v>
      </c>
      <c r="R19" s="255" t="str">
        <f t="array" ref="R19">IF($Q19, INDEX('Run Reconcile'!A$2:A799,MATCH(B19,'Run Reconcile'!B$2:B799,0),1),IFERROR(0/0,""))</f>
        <v>RUN-BEND_2021-12-17_APS-003</v>
      </c>
      <c r="S19" s="261" t="str">
        <f t="shared" ref="S19:T19" si="42">IF(COUNTIF(W$2:W799, $A19) &gt; 0,TRUE,IFERROR(0/0,""))</f>
        <v/>
      </c>
      <c r="T19" s="261" t="str">
        <f t="shared" si="42"/>
        <v/>
      </c>
      <c r="U19" s="257" t="str">
        <f t="array" ref="U19">IF(ISBLANK($R19), INDEX('Run Reconcile'!A$2:A799, MATCH($B19, 'Run Reconcile'!B$2:B799, 0)+Z19, 1), IFERROR(0/0,""))
</f>
        <v/>
      </c>
      <c r="V19" s="258" t="str">
        <f t="shared" si="5"/>
        <v>RUN-BEND_2021-12-17_APS-003</v>
      </c>
      <c r="Y19" s="130" t="str">
        <f t="shared" si="6"/>
        <v/>
      </c>
      <c r="Z19" s="49" t="str">
        <f t="shared" si="7"/>
        <v/>
      </c>
      <c r="AA19" s="49" t="str">
        <f t="shared" si="8"/>
        <v/>
      </c>
      <c r="AB19" s="49" t="str">
        <f t="shared" si="9"/>
        <v/>
      </c>
      <c r="AC19" s="20" t="str">
        <f t="shared" ref="AC19:AD19" si="43">IF(_xlfn.ISFORMULA(S19),IFERROR(0/0,""),TRUE)</f>
        <v/>
      </c>
      <c r="AD19" s="20" t="str">
        <f t="shared" si="43"/>
        <v/>
      </c>
      <c r="AE19" s="43"/>
      <c r="AF19" s="62" t="s">
        <v>31</v>
      </c>
      <c r="AG19" s="57" t="str">
        <f t="shared" si="11"/>
        <v/>
      </c>
    </row>
    <row r="20">
      <c r="A20" s="6" t="str">
        <f>IFERROR(__xludf.DUMMYFUNCTION("""COMPUTED_VALUE"""),"MA705")</f>
        <v>MA705</v>
      </c>
      <c r="B20" s="204">
        <f>IFERROR(__xludf.DUMMYFUNCTION("""COMPUTED_VALUE"""),44549.0)</f>
        <v>44549</v>
      </c>
      <c r="C20" s="250">
        <f>IFERROR(__xludf.DUMMYFUNCTION("""COMPUTED_VALUE"""),0.8899537037037037)</f>
        <v>0.8899537037</v>
      </c>
      <c r="D20" s="56" t="str">
        <f>IFERROR(__xludf.DUMMYFUNCTION("""COMPUTED_VALUE"""),"SpBEND541174")</f>
        <v>SpBEND541174</v>
      </c>
      <c r="E20" s="251"/>
      <c r="F20" s="251"/>
      <c r="G20" s="251" t="str">
        <f>IFERROR(__xludf.DUMMYFUNCTION("""COMPUTED_VALUE"""),"Negative")</f>
        <v>Negative</v>
      </c>
      <c r="H20" s="204" t="str">
        <f>IFERROR(__xludf.DUMMYFUNCTION("""COMPUTED_VALUE"""),"Negative")</f>
        <v>Negative</v>
      </c>
      <c r="I20" s="204">
        <f>IFERROR(__xludf.DUMMYFUNCTION("""COMPUTED_VALUE"""),44550.0)</f>
        <v>44550</v>
      </c>
      <c r="J20" s="252">
        <f>IFERROR(__xludf.DUMMYFUNCTION("""COMPUTED_VALUE"""),0.4883449074074074)</f>
        <v>0.4883449074</v>
      </c>
      <c r="K20" s="56"/>
      <c r="L20" s="6"/>
      <c r="M20" s="61"/>
      <c r="N20" s="61">
        <f>IFERROR(__xludf.DUMMYFUNCTION("""COMPUTED_VALUE"""),1.0)</f>
        <v>1</v>
      </c>
      <c r="O20" s="61" t="b">
        <f t="shared" si="3"/>
        <v>1</v>
      </c>
      <c r="P20" s="253">
        <f>IFERROR(__xludf.DUMMYFUNCTION("""COMPUTED_VALUE"""),1.0)</f>
        <v>1</v>
      </c>
      <c r="Q20" s="254" t="str">
        <f>VLOOKUP($B20,'Run Reconcile'!B$2:O799,14,FALSE)</f>
        <v/>
      </c>
      <c r="R20" s="255" t="str">
        <f t="array" ref="R20">IF($Q20, INDEX('Run Reconcile'!A$2:A799,MATCH(B20,'Run Reconcile'!B$2:B799,0),1),IFERROR(0/0,""))</f>
        <v/>
      </c>
      <c r="S20" s="261" t="b">
        <f t="shared" ref="S20:T20" si="44">IF(COUNTIF(W$2:W799, $A20) &gt; 0,TRUE,IFERROR(0/0,""))</f>
        <v>1</v>
      </c>
      <c r="T20" s="261" t="str">
        <f t="shared" si="44"/>
        <v/>
      </c>
      <c r="U20" s="257" t="str">
        <f t="array" ref="U20">IF(ISBLANK($R20), INDEX('Run Reconcile'!A$2:A799, MATCH($B20, 'Run Reconcile'!B$2:B799, 0)+Z20, 1), IFERROR(0/0,""))
</f>
        <v>RUN-BEND_2021-12-20_RFR-003</v>
      </c>
      <c r="V20" s="258" t="str">
        <f t="shared" si="5"/>
        <v>RUN-BEND_2021-12-20_RFR-003</v>
      </c>
      <c r="W20" s="6" t="s">
        <v>374</v>
      </c>
      <c r="Y20" s="130">
        <f t="shared" si="6"/>
        <v>1</v>
      </c>
      <c r="Z20" s="49">
        <f t="shared" si="7"/>
        <v>1</v>
      </c>
      <c r="AA20" s="49">
        <f t="shared" si="8"/>
        <v>1</v>
      </c>
      <c r="AB20" s="49" t="str">
        <f t="shared" si="9"/>
        <v/>
      </c>
      <c r="AC20" s="20" t="str">
        <f t="shared" ref="AC20:AD20" si="45">IF(_xlfn.ISFORMULA(S20),IFERROR(0/0,""),TRUE)</f>
        <v/>
      </c>
      <c r="AD20" s="20" t="str">
        <f t="shared" si="45"/>
        <v/>
      </c>
      <c r="AE20" s="43"/>
      <c r="AF20" s="62" t="s">
        <v>32</v>
      </c>
      <c r="AG20" s="57" t="str">
        <f t="shared" si="11"/>
        <v/>
      </c>
    </row>
    <row r="21">
      <c r="A21" s="6" t="str">
        <f>IFERROR(__xludf.DUMMYFUNCTION("""COMPUTED_VALUE"""),"MA1091")</f>
        <v>MA1091</v>
      </c>
      <c r="B21" s="204">
        <f>IFERROR(__xludf.DUMMYFUNCTION("""COMPUTED_VALUE"""),44550.0)</f>
        <v>44550</v>
      </c>
      <c r="C21" s="250">
        <f>IFERROR(__xludf.DUMMYFUNCTION("""COMPUTED_VALUE"""),0.31734953703703705)</f>
        <v>0.317349537</v>
      </c>
      <c r="D21" s="56" t="str">
        <f>IFERROR(__xludf.DUMMYFUNCTION("""COMPUTED_VALUE"""),"SpBEND825522")</f>
        <v>SpBEND825522</v>
      </c>
      <c r="E21" s="251"/>
      <c r="F21" s="251"/>
      <c r="G21" s="251" t="str">
        <f>IFERROR(__xludf.DUMMYFUNCTION("""COMPUTED_VALUE"""),"Negative")</f>
        <v>Negative</v>
      </c>
      <c r="H21" s="204" t="str">
        <f>IFERROR(__xludf.DUMMYFUNCTION("""COMPUTED_VALUE"""),"Negative")</f>
        <v>Negative</v>
      </c>
      <c r="I21" s="204">
        <f>IFERROR(__xludf.DUMMYFUNCTION("""COMPUTED_VALUE"""),44550.0)</f>
        <v>44550</v>
      </c>
      <c r="J21" s="252">
        <f>IFERROR(__xludf.DUMMYFUNCTION("""COMPUTED_VALUE"""),0.4883449074074074)</f>
        <v>0.4883449074</v>
      </c>
      <c r="K21" s="56"/>
      <c r="L21" s="6"/>
      <c r="M21" s="61"/>
      <c r="N21" s="61">
        <f>IFERROR(__xludf.DUMMYFUNCTION("""COMPUTED_VALUE"""),1.0)</f>
        <v>1</v>
      </c>
      <c r="O21" s="61" t="b">
        <f t="shared" si="3"/>
        <v>1</v>
      </c>
      <c r="P21" s="253">
        <f>IFERROR(__xludf.DUMMYFUNCTION("""COMPUTED_VALUE"""),0.0)</f>
        <v>0</v>
      </c>
      <c r="Q21" s="254" t="b">
        <f>VLOOKUP($B21,'Run Reconcile'!B$2:O799,14,FALSE)</f>
        <v>1</v>
      </c>
      <c r="R21" s="255" t="str">
        <f t="array" ref="R21">IF($Q21, INDEX('Run Reconcile'!A$2:A799,MATCH(B21,'Run Reconcile'!B$2:B799,0),1),IFERROR(0/0,""))</f>
        <v>RUN-BEND_2021-12-20_RFR-003</v>
      </c>
      <c r="S21" s="261" t="str">
        <f t="shared" ref="S21:T21" si="46">IF(COUNTIF(W$2:W799, $A21) &gt; 0,TRUE,IFERROR(0/0,""))</f>
        <v/>
      </c>
      <c r="T21" s="261" t="str">
        <f t="shared" si="46"/>
        <v/>
      </c>
      <c r="U21" s="257" t="str">
        <f t="array" ref="U21">IF(ISBLANK($R21), INDEX('Run Reconcile'!A$2:A799, MATCH($B21, 'Run Reconcile'!B$2:B799, 0)+Z21, 1), IFERROR(0/0,""))
</f>
        <v/>
      </c>
      <c r="V21" s="258" t="str">
        <f t="shared" si="5"/>
        <v>RUN-BEND_2021-12-20_RFR-003</v>
      </c>
      <c r="Y21" s="130" t="str">
        <f t="shared" si="6"/>
        <v/>
      </c>
      <c r="Z21" s="49" t="str">
        <f t="shared" si="7"/>
        <v/>
      </c>
      <c r="AA21" s="49" t="str">
        <f t="shared" si="8"/>
        <v/>
      </c>
      <c r="AB21" s="49" t="str">
        <f t="shared" si="9"/>
        <v/>
      </c>
      <c r="AC21" s="20" t="str">
        <f t="shared" ref="AC21:AD21" si="47">IF(_xlfn.ISFORMULA(S21),IFERROR(0/0,""),TRUE)</f>
        <v/>
      </c>
      <c r="AD21" s="20" t="str">
        <f t="shared" si="47"/>
        <v/>
      </c>
      <c r="AE21" s="43"/>
      <c r="AF21" s="62" t="s">
        <v>32</v>
      </c>
      <c r="AG21" s="57" t="str">
        <f t="shared" si="11"/>
        <v/>
      </c>
    </row>
    <row r="22">
      <c r="A22" s="6" t="str">
        <f>IFERROR(__xludf.DUMMYFUNCTION("""COMPUTED_VALUE"""),"MA1160")</f>
        <v>MA1160</v>
      </c>
      <c r="B22" s="204">
        <f>IFERROR(__xludf.DUMMYFUNCTION("""COMPUTED_VALUE"""),44550.0)</f>
        <v>44550</v>
      </c>
      <c r="C22" s="250">
        <f>IFERROR(__xludf.DUMMYFUNCTION("""COMPUTED_VALUE"""),0.33541666666666664)</f>
        <v>0.3354166667</v>
      </c>
      <c r="D22" s="56" t="str">
        <f>IFERROR(__xludf.DUMMYFUNCTION("""COMPUTED_VALUE"""),"SpBEND492052")</f>
        <v>SpBEND492052</v>
      </c>
      <c r="E22" s="251"/>
      <c r="F22" s="251"/>
      <c r="G22" s="251" t="str">
        <f>IFERROR(__xludf.DUMMYFUNCTION("""COMPUTED_VALUE"""),"Negative")</f>
        <v>Negative</v>
      </c>
      <c r="H22" s="204" t="str">
        <f>IFERROR(__xludf.DUMMYFUNCTION("""COMPUTED_VALUE"""),"Negative")</f>
        <v>Negative</v>
      </c>
      <c r="I22" s="204">
        <f>IFERROR(__xludf.DUMMYFUNCTION("""COMPUTED_VALUE"""),44550.0)</f>
        <v>44550</v>
      </c>
      <c r="J22" s="252">
        <f>IFERROR(__xludf.DUMMYFUNCTION("""COMPUTED_VALUE"""),0.4883449074074074)</f>
        <v>0.4883449074</v>
      </c>
      <c r="K22" s="56"/>
      <c r="L22" s="6"/>
      <c r="M22" s="61"/>
      <c r="N22" s="61">
        <f>IFERROR(__xludf.DUMMYFUNCTION("""COMPUTED_VALUE"""),1.0)</f>
        <v>1</v>
      </c>
      <c r="O22" s="61" t="str">
        <f t="shared" si="3"/>
        <v/>
      </c>
      <c r="P22" s="253">
        <f>IFERROR(__xludf.DUMMYFUNCTION("""COMPUTED_VALUE"""),0.0)</f>
        <v>0</v>
      </c>
      <c r="Q22" s="254" t="b">
        <f>VLOOKUP($B22,'Run Reconcile'!B$2:O799,14,FALSE)</f>
        <v>1</v>
      </c>
      <c r="R22" s="255" t="str">
        <f t="array" ref="R22">IF($Q22, INDEX('Run Reconcile'!A$2:A799,MATCH(B22,'Run Reconcile'!B$2:B799,0),1),IFERROR(0/0,""))</f>
        <v>RUN-BEND_2021-12-20_RFR-003</v>
      </c>
      <c r="S22" s="261" t="str">
        <f t="shared" ref="S22:T22" si="48">IF(COUNTIF(W$2:W799, $A22) &gt; 0,TRUE,IFERROR(0/0,""))</f>
        <v/>
      </c>
      <c r="T22" s="261" t="str">
        <f t="shared" si="48"/>
        <v/>
      </c>
      <c r="U22" s="257" t="str">
        <f t="array" ref="U22">IF(ISBLANK($R22), INDEX('Run Reconcile'!A$2:A799, MATCH($B22, 'Run Reconcile'!B$2:B799, 0)+Z22, 1), IFERROR(0/0,""))
</f>
        <v/>
      </c>
      <c r="V22" s="258" t="str">
        <f t="shared" si="5"/>
        <v>RUN-BEND_2021-12-20_RFR-003</v>
      </c>
      <c r="Y22" s="130" t="str">
        <f t="shared" si="6"/>
        <v/>
      </c>
      <c r="Z22" s="49" t="str">
        <f t="shared" si="7"/>
        <v/>
      </c>
      <c r="AA22" s="49" t="str">
        <f t="shared" si="8"/>
        <v/>
      </c>
      <c r="AB22" s="49" t="str">
        <f t="shared" si="9"/>
        <v/>
      </c>
      <c r="AC22" s="20" t="str">
        <f t="shared" ref="AC22:AD22" si="49">IF(_xlfn.ISFORMULA(S22),IFERROR(0/0,""),TRUE)</f>
        <v/>
      </c>
      <c r="AD22" s="20" t="str">
        <f t="shared" si="49"/>
        <v/>
      </c>
      <c r="AE22" s="43"/>
      <c r="AF22" s="62" t="s">
        <v>32</v>
      </c>
      <c r="AG22" s="57" t="str">
        <f t="shared" si="11"/>
        <v/>
      </c>
    </row>
    <row r="23">
      <c r="A23" s="6" t="str">
        <f>IFERROR(__xludf.DUMMYFUNCTION("""COMPUTED_VALUE"""),"MA542")</f>
        <v>MA542</v>
      </c>
      <c r="B23" s="204">
        <f>IFERROR(__xludf.DUMMYFUNCTION("""COMPUTED_VALUE"""),44550.0)</f>
        <v>44550</v>
      </c>
      <c r="C23" s="250">
        <f>IFERROR(__xludf.DUMMYFUNCTION("""COMPUTED_VALUE"""),0.3432986111111111)</f>
        <v>0.3432986111</v>
      </c>
      <c r="D23" s="56" t="str">
        <f>IFERROR(__xludf.DUMMYFUNCTION("""COMPUTED_VALUE"""),"SpBEND214692")</f>
        <v>SpBEND214692</v>
      </c>
      <c r="E23" s="251"/>
      <c r="F23" s="251"/>
      <c r="G23" s="251" t="str">
        <f>IFERROR(__xludf.DUMMYFUNCTION("""COMPUTED_VALUE"""),"Negative")</f>
        <v>Negative</v>
      </c>
      <c r="H23" s="204" t="str">
        <f>IFERROR(__xludf.DUMMYFUNCTION("""COMPUTED_VALUE"""),"Negative")</f>
        <v>Negative</v>
      </c>
      <c r="I23" s="204">
        <f>IFERROR(__xludf.DUMMYFUNCTION("""COMPUTED_VALUE"""),44550.0)</f>
        <v>44550</v>
      </c>
      <c r="J23" s="252">
        <f>IFERROR(__xludf.DUMMYFUNCTION("""COMPUTED_VALUE"""),0.4883449074074074)</f>
        <v>0.4883449074</v>
      </c>
      <c r="K23" s="56"/>
      <c r="L23" s="6"/>
      <c r="M23" s="61"/>
      <c r="N23" s="61">
        <f>IFERROR(__xludf.DUMMYFUNCTION("""COMPUTED_VALUE"""),1.0)</f>
        <v>1</v>
      </c>
      <c r="O23" s="61" t="str">
        <f t="shared" si="3"/>
        <v/>
      </c>
      <c r="P23" s="253">
        <f>IFERROR(__xludf.DUMMYFUNCTION("""COMPUTED_VALUE"""),0.0)</f>
        <v>0</v>
      </c>
      <c r="Q23" s="254" t="b">
        <f>VLOOKUP($B23,'Run Reconcile'!B$2:O799,14,FALSE)</f>
        <v>1</v>
      </c>
      <c r="R23" s="255" t="str">
        <f t="array" ref="R23">IF($Q23, INDEX('Run Reconcile'!A$2:A799,MATCH(B23,'Run Reconcile'!B$2:B799,0),1),IFERROR(0/0,""))</f>
        <v>RUN-BEND_2021-12-20_RFR-003</v>
      </c>
      <c r="S23" s="261" t="str">
        <f t="shared" ref="S23:T23" si="50">IF(COUNTIF(W$2:W799, $A23) &gt; 0,TRUE,IFERROR(0/0,""))</f>
        <v/>
      </c>
      <c r="T23" s="261" t="str">
        <f t="shared" si="50"/>
        <v/>
      </c>
      <c r="U23" s="257" t="str">
        <f t="array" ref="U23">IF(ISBLANK($R23), INDEX('Run Reconcile'!A$2:A799, MATCH($B23, 'Run Reconcile'!B$2:B799, 0)+Z23, 1), IFERROR(0/0,""))
</f>
        <v/>
      </c>
      <c r="V23" s="258" t="str">
        <f t="shared" si="5"/>
        <v>RUN-BEND_2021-12-20_RFR-003</v>
      </c>
      <c r="Y23" s="130" t="str">
        <f t="shared" si="6"/>
        <v/>
      </c>
      <c r="Z23" s="49" t="str">
        <f t="shared" si="7"/>
        <v/>
      </c>
      <c r="AA23" s="49" t="str">
        <f t="shared" si="8"/>
        <v/>
      </c>
      <c r="AB23" s="49" t="str">
        <f t="shared" si="9"/>
        <v/>
      </c>
      <c r="AC23" s="20" t="str">
        <f t="shared" ref="AC23:AD23" si="51">IF(_xlfn.ISFORMULA(S23),IFERROR(0/0,""),TRUE)</f>
        <v/>
      </c>
      <c r="AD23" s="20" t="str">
        <f t="shared" si="51"/>
        <v/>
      </c>
      <c r="AE23" s="43"/>
      <c r="AF23" s="62" t="s">
        <v>32</v>
      </c>
      <c r="AG23" s="57" t="str">
        <f t="shared" si="11"/>
        <v/>
      </c>
    </row>
    <row r="24">
      <c r="A24" s="6" t="str">
        <f>IFERROR(__xludf.DUMMYFUNCTION("""COMPUTED_VALUE"""),"MA197")</f>
        <v>MA197</v>
      </c>
      <c r="B24" s="204">
        <f>IFERROR(__xludf.DUMMYFUNCTION("""COMPUTED_VALUE"""),44550.0)</f>
        <v>44550</v>
      </c>
      <c r="C24" s="250">
        <f>IFERROR(__xludf.DUMMYFUNCTION("""COMPUTED_VALUE"""),0.4013541666666667)</f>
        <v>0.4013541667</v>
      </c>
      <c r="D24" s="56" t="str">
        <f>IFERROR(__xludf.DUMMYFUNCTION("""COMPUTED_VALUE"""),"SpBEND953422")</f>
        <v>SpBEND953422</v>
      </c>
      <c r="E24" s="251"/>
      <c r="F24" s="251"/>
      <c r="G24" s="251" t="str">
        <f>IFERROR(__xludf.DUMMYFUNCTION("""COMPUTED_VALUE"""),"Negative")</f>
        <v>Negative</v>
      </c>
      <c r="H24" s="204" t="str">
        <f>IFERROR(__xludf.DUMMYFUNCTION("""COMPUTED_VALUE"""),"Negative")</f>
        <v>Negative</v>
      </c>
      <c r="I24" s="204">
        <f>IFERROR(__xludf.DUMMYFUNCTION("""COMPUTED_VALUE"""),44550.0)</f>
        <v>44550</v>
      </c>
      <c r="J24" s="252">
        <f>IFERROR(__xludf.DUMMYFUNCTION("""COMPUTED_VALUE"""),0.4883449074074074)</f>
        <v>0.4883449074</v>
      </c>
      <c r="K24" s="56"/>
      <c r="L24" s="6"/>
      <c r="M24" s="61"/>
      <c r="N24" s="61">
        <f>IFERROR(__xludf.DUMMYFUNCTION("""COMPUTED_VALUE"""),1.0)</f>
        <v>1</v>
      </c>
      <c r="O24" s="61" t="str">
        <f t="shared" si="3"/>
        <v/>
      </c>
      <c r="P24" s="253">
        <f>IFERROR(__xludf.DUMMYFUNCTION("""COMPUTED_VALUE"""),0.0)</f>
        <v>0</v>
      </c>
      <c r="Q24" s="254" t="b">
        <f>VLOOKUP($B24,'Run Reconcile'!B$2:O799,14,FALSE)</f>
        <v>1</v>
      </c>
      <c r="R24" s="255" t="str">
        <f t="array" ref="R24">IF($Q24, INDEX('Run Reconcile'!A$2:A799,MATCH(B24,'Run Reconcile'!B$2:B799,0),1),IFERROR(0/0,""))</f>
        <v>RUN-BEND_2021-12-20_RFR-003</v>
      </c>
      <c r="S24" s="261" t="str">
        <f t="shared" ref="S24:T24" si="52">IF(COUNTIF(W$2:W799, $A24) &gt; 0,TRUE,IFERROR(0/0,""))</f>
        <v/>
      </c>
      <c r="T24" s="261" t="str">
        <f t="shared" si="52"/>
        <v/>
      </c>
      <c r="U24" s="257" t="str">
        <f t="array" ref="U24">IF(ISBLANK($R24), INDEX('Run Reconcile'!A$2:A799, MATCH($B24, 'Run Reconcile'!B$2:B799, 0)+Z24, 1), IFERROR(0/0,""))
</f>
        <v/>
      </c>
      <c r="V24" s="258" t="str">
        <f t="shared" si="5"/>
        <v>RUN-BEND_2021-12-20_RFR-003</v>
      </c>
      <c r="Y24" s="130" t="str">
        <f t="shared" si="6"/>
        <v/>
      </c>
      <c r="Z24" s="49" t="str">
        <f t="shared" si="7"/>
        <v/>
      </c>
      <c r="AA24" s="49" t="str">
        <f t="shared" si="8"/>
        <v/>
      </c>
      <c r="AB24" s="49" t="str">
        <f t="shared" si="9"/>
        <v/>
      </c>
      <c r="AC24" s="20" t="str">
        <f t="shared" ref="AC24:AD24" si="53">IF(_xlfn.ISFORMULA(S24),IFERROR(0/0,""),TRUE)</f>
        <v/>
      </c>
      <c r="AD24" s="20" t="str">
        <f t="shared" si="53"/>
        <v/>
      </c>
      <c r="AE24" s="43"/>
      <c r="AF24" s="62" t="s">
        <v>32</v>
      </c>
      <c r="AG24" s="57" t="str">
        <f t="shared" si="11"/>
        <v/>
      </c>
    </row>
    <row r="25">
      <c r="A25" s="6" t="str">
        <f>IFERROR(__xludf.DUMMYFUNCTION("""COMPUTED_VALUE"""),"MA269")</f>
        <v>MA269</v>
      </c>
      <c r="B25" s="204">
        <f>IFERROR(__xludf.DUMMYFUNCTION("""COMPUTED_VALUE"""),44550.0)</f>
        <v>44550</v>
      </c>
      <c r="C25" s="250">
        <f>IFERROR(__xludf.DUMMYFUNCTION("""COMPUTED_VALUE"""),0.401875)</f>
        <v>0.401875</v>
      </c>
      <c r="D25" s="56" t="str">
        <f>IFERROR(__xludf.DUMMYFUNCTION("""COMPUTED_VALUE"""),"SpBEND305944")</f>
        <v>SpBEND305944</v>
      </c>
      <c r="E25" s="251"/>
      <c r="F25" s="251"/>
      <c r="G25" s="251" t="str">
        <f>IFERROR(__xludf.DUMMYFUNCTION("""COMPUTED_VALUE"""),"Negative")</f>
        <v>Negative</v>
      </c>
      <c r="H25" s="204" t="str">
        <f>IFERROR(__xludf.DUMMYFUNCTION("""COMPUTED_VALUE"""),"Negative")</f>
        <v>Negative</v>
      </c>
      <c r="I25" s="204">
        <f>IFERROR(__xludf.DUMMYFUNCTION("""COMPUTED_VALUE"""),44550.0)</f>
        <v>44550</v>
      </c>
      <c r="J25" s="252">
        <f>IFERROR(__xludf.DUMMYFUNCTION("""COMPUTED_VALUE"""),0.4883449074074074)</f>
        <v>0.4883449074</v>
      </c>
      <c r="K25" s="56"/>
      <c r="L25" s="6"/>
      <c r="M25" s="61"/>
      <c r="N25" s="61">
        <f>IFERROR(__xludf.DUMMYFUNCTION("""COMPUTED_VALUE"""),1.0)</f>
        <v>1</v>
      </c>
      <c r="O25" s="61" t="str">
        <f t="shared" si="3"/>
        <v/>
      </c>
      <c r="P25" s="253">
        <f>IFERROR(__xludf.DUMMYFUNCTION("""COMPUTED_VALUE"""),0.0)</f>
        <v>0</v>
      </c>
      <c r="Q25" s="254" t="b">
        <f>VLOOKUP($B25,'Run Reconcile'!B$2:O799,14,FALSE)</f>
        <v>1</v>
      </c>
      <c r="R25" s="255" t="str">
        <f t="array" ref="R25">IF($Q25, INDEX('Run Reconcile'!A$2:A799,MATCH(B25,'Run Reconcile'!B$2:B799,0),1),IFERROR(0/0,""))</f>
        <v>RUN-BEND_2021-12-20_RFR-003</v>
      </c>
      <c r="S25" s="261" t="str">
        <f t="shared" ref="S25:T25" si="54">IF(COUNTIF(W$2:W799, $A25) &gt; 0,TRUE,IFERROR(0/0,""))</f>
        <v/>
      </c>
      <c r="T25" s="261" t="str">
        <f t="shared" si="54"/>
        <v/>
      </c>
      <c r="U25" s="257" t="str">
        <f t="array" ref="U25">IF(ISBLANK($R25), INDEX('Run Reconcile'!A$2:A799, MATCH($B25, 'Run Reconcile'!B$2:B799, 0)+Z25, 1), IFERROR(0/0,""))
</f>
        <v/>
      </c>
      <c r="V25" s="258" t="str">
        <f t="shared" si="5"/>
        <v>RUN-BEND_2021-12-20_RFR-003</v>
      </c>
      <c r="Y25" s="130" t="str">
        <f t="shared" si="6"/>
        <v/>
      </c>
      <c r="Z25" s="49" t="str">
        <f t="shared" si="7"/>
        <v/>
      </c>
      <c r="AA25" s="49" t="str">
        <f t="shared" si="8"/>
        <v/>
      </c>
      <c r="AB25" s="49" t="str">
        <f t="shared" si="9"/>
        <v/>
      </c>
      <c r="AC25" s="20" t="str">
        <f t="shared" ref="AC25:AD25" si="55">IF(_xlfn.ISFORMULA(S25),IFERROR(0/0,""),TRUE)</f>
        <v/>
      </c>
      <c r="AD25" s="20" t="str">
        <f t="shared" si="55"/>
        <v/>
      </c>
      <c r="AE25" s="43"/>
      <c r="AF25" s="62" t="s">
        <v>32</v>
      </c>
      <c r="AG25" s="57" t="str">
        <f t="shared" si="11"/>
        <v/>
      </c>
    </row>
    <row r="26">
      <c r="A26" s="6" t="str">
        <f>IFERROR(__xludf.DUMMYFUNCTION("""COMPUTED_VALUE"""),"MA1080")</f>
        <v>MA1080</v>
      </c>
      <c r="B26" s="204">
        <f>IFERROR(__xludf.DUMMYFUNCTION("""COMPUTED_VALUE"""),44550.0)</f>
        <v>44550</v>
      </c>
      <c r="C26" s="250">
        <f>IFERROR(__xludf.DUMMYFUNCTION("""COMPUTED_VALUE"""),0.4363425925925926)</f>
        <v>0.4363425926</v>
      </c>
      <c r="D26" s="56" t="str">
        <f>IFERROR(__xludf.DUMMYFUNCTION("""COMPUTED_VALUE"""),"SpBEND548976")</f>
        <v>SpBEND548976</v>
      </c>
      <c r="E26" s="251"/>
      <c r="F26" s="251"/>
      <c r="G26" s="251" t="str">
        <f>IFERROR(__xludf.DUMMYFUNCTION("""COMPUTED_VALUE"""),"Negative")</f>
        <v>Negative</v>
      </c>
      <c r="H26" s="262" t="str">
        <f>IFERROR(__xludf.DUMMYFUNCTION("""COMPUTED_VALUE"""),"Negative")</f>
        <v>Negative</v>
      </c>
      <c r="I26" s="204">
        <f>IFERROR(__xludf.DUMMYFUNCTION("""COMPUTED_VALUE"""),44550.0)</f>
        <v>44550</v>
      </c>
      <c r="J26" s="252">
        <f>IFERROR(__xludf.DUMMYFUNCTION("""COMPUTED_VALUE"""),0.4883449074074074)</f>
        <v>0.4883449074</v>
      </c>
      <c r="K26" s="56"/>
      <c r="L26" s="6"/>
      <c r="M26" s="61"/>
      <c r="N26" s="61">
        <f>IFERROR(__xludf.DUMMYFUNCTION("""COMPUTED_VALUE"""),1.0)</f>
        <v>1</v>
      </c>
      <c r="O26" s="61" t="str">
        <f t="shared" si="3"/>
        <v/>
      </c>
      <c r="P26" s="253">
        <f>IFERROR(__xludf.DUMMYFUNCTION("""COMPUTED_VALUE"""),0.0)</f>
        <v>0</v>
      </c>
      <c r="Q26" s="254" t="b">
        <f>VLOOKUP($B26,'Run Reconcile'!B$2:O799,14,FALSE)</f>
        <v>1</v>
      </c>
      <c r="R26" s="255" t="str">
        <f t="array" ref="R26">IF($Q26, INDEX('Run Reconcile'!A$2:A799,MATCH(B26,'Run Reconcile'!B$2:B799,0),1),IFERROR(0/0,""))</f>
        <v>RUN-BEND_2021-12-20_RFR-003</v>
      </c>
      <c r="S26" s="261" t="str">
        <f t="shared" ref="S26:T26" si="56">IF(COUNTIF(W$2:W799, $A26) &gt; 0,TRUE,IFERROR(0/0,""))</f>
        <v/>
      </c>
      <c r="T26" s="261" t="str">
        <f t="shared" si="56"/>
        <v/>
      </c>
      <c r="U26" s="257" t="str">
        <f t="array" ref="U26">IF(ISBLANK($R26), INDEX('Run Reconcile'!A$2:A799, MATCH($B26, 'Run Reconcile'!B$2:B799, 0)+Z26, 1), IFERROR(0/0,""))
</f>
        <v/>
      </c>
      <c r="V26" s="258" t="str">
        <f t="shared" si="5"/>
        <v>RUN-BEND_2021-12-20_RFR-003</v>
      </c>
      <c r="Y26" s="130" t="str">
        <f t="shared" si="6"/>
        <v/>
      </c>
      <c r="Z26" s="49" t="str">
        <f t="shared" si="7"/>
        <v/>
      </c>
      <c r="AA26" s="49" t="str">
        <f t="shared" si="8"/>
        <v/>
      </c>
      <c r="AB26" s="49" t="str">
        <f t="shared" si="9"/>
        <v/>
      </c>
      <c r="AC26" s="20" t="str">
        <f t="shared" ref="AC26:AD26" si="57">IF(_xlfn.ISFORMULA(S26),IFERROR(0/0,""),TRUE)</f>
        <v/>
      </c>
      <c r="AD26" s="20" t="str">
        <f t="shared" si="57"/>
        <v/>
      </c>
      <c r="AE26" s="43"/>
      <c r="AF26" s="62" t="s">
        <v>32</v>
      </c>
      <c r="AG26" s="57" t="str">
        <f t="shared" si="11"/>
        <v/>
      </c>
    </row>
    <row r="27">
      <c r="A27" s="6" t="str">
        <f>IFERROR(__xludf.DUMMYFUNCTION("""COMPUTED_VALUE"""),"MA1030")</f>
        <v>MA1030</v>
      </c>
      <c r="B27" s="204">
        <f>IFERROR(__xludf.DUMMYFUNCTION("""COMPUTED_VALUE"""),44551.0)</f>
        <v>44551</v>
      </c>
      <c r="C27" s="250">
        <f>IFERROR(__xludf.DUMMYFUNCTION("""COMPUTED_VALUE"""),0.18810185185185185)</f>
        <v>0.1881018519</v>
      </c>
      <c r="D27" s="56" t="str">
        <f>IFERROR(__xludf.DUMMYFUNCTION("""COMPUTED_VALUE"""),"SpBEND825522")</f>
        <v>SpBEND825522</v>
      </c>
      <c r="E27" s="251"/>
      <c r="F27" s="251"/>
      <c r="G27" s="251" t="str">
        <f>IFERROR(__xludf.DUMMYFUNCTION("""COMPUTED_VALUE"""),"Negative")</f>
        <v>Negative</v>
      </c>
      <c r="H27" s="262" t="str">
        <f>IFERROR(__xludf.DUMMYFUNCTION("""COMPUTED_VALUE"""),"Negative")</f>
        <v>Negative</v>
      </c>
      <c r="I27" s="204">
        <f>IFERROR(__xludf.DUMMYFUNCTION("""COMPUTED_VALUE"""),44552.0)</f>
        <v>44552</v>
      </c>
      <c r="J27" s="252">
        <f>IFERROR(__xludf.DUMMYFUNCTION("""COMPUTED_VALUE"""),0.4200462962962963)</f>
        <v>0.4200462963</v>
      </c>
      <c r="K27" s="56"/>
      <c r="L27" s="6"/>
      <c r="M27" s="61"/>
      <c r="N27" s="61">
        <f>IFERROR(__xludf.DUMMYFUNCTION("""COMPUTED_VALUE"""),1.0)</f>
        <v>1</v>
      </c>
      <c r="O27" s="61" t="b">
        <f t="shared" si="3"/>
        <v>1</v>
      </c>
      <c r="P27" s="253">
        <f>IFERROR(__xludf.DUMMYFUNCTION("""COMPUTED_VALUE"""),1.0)</f>
        <v>1</v>
      </c>
      <c r="Q27" s="254" t="str">
        <f>VLOOKUP($B27,'Run Reconcile'!B$2:O799,14,FALSE)</f>
        <v/>
      </c>
      <c r="R27" s="255" t="str">
        <f t="array" ref="R27">IF($Q27, INDEX('Run Reconcile'!A$2:A799,MATCH(B27,'Run Reconcile'!B$2:B799,0),1),IFERROR(0/0,""))</f>
        <v/>
      </c>
      <c r="S27" s="261" t="b">
        <f t="shared" ref="S27:T27" si="58">IF(COUNTIF(W$2:W799, $A27) &gt; 0,TRUE,IFERROR(0/0,""))</f>
        <v>1</v>
      </c>
      <c r="T27" s="261" t="str">
        <f t="shared" si="58"/>
        <v/>
      </c>
      <c r="U27" s="257" t="str">
        <f t="array" ref="U27">IF(ISBLANK($R27), INDEX('Run Reconcile'!A$2:A799, MATCH($B27, 'Run Reconcile'!B$2:B799, 0)+Z27, 1), IFERROR(0/0,""))
</f>
        <v>RUN-BEND_2021-12-22_RFR-004</v>
      </c>
      <c r="V27" s="258" t="str">
        <f t="shared" si="5"/>
        <v>RUN-BEND_2021-12-22_RFR-004</v>
      </c>
      <c r="W27" s="6" t="s">
        <v>375</v>
      </c>
      <c r="Y27" s="130">
        <f t="shared" si="6"/>
        <v>1</v>
      </c>
      <c r="Z27" s="49">
        <f t="shared" si="7"/>
        <v>1</v>
      </c>
      <c r="AA27" s="49">
        <f t="shared" si="8"/>
        <v>1</v>
      </c>
      <c r="AB27" s="49" t="str">
        <f t="shared" si="9"/>
        <v/>
      </c>
      <c r="AC27" s="20" t="str">
        <f t="shared" ref="AC27:AD27" si="59">IF(_xlfn.ISFORMULA(S27),IFERROR(0/0,""),TRUE)</f>
        <v/>
      </c>
      <c r="AD27" s="20" t="str">
        <f t="shared" si="59"/>
        <v/>
      </c>
      <c r="AE27" s="43"/>
      <c r="AF27" s="62" t="s">
        <v>33</v>
      </c>
      <c r="AG27" s="57" t="str">
        <f t="shared" si="11"/>
        <v/>
      </c>
    </row>
    <row r="28">
      <c r="A28" s="6" t="str">
        <f>IFERROR(__xludf.DUMMYFUNCTION("""COMPUTED_VALUE"""),"MA1315")</f>
        <v>MA1315</v>
      </c>
      <c r="B28" s="204">
        <f>IFERROR(__xludf.DUMMYFUNCTION("""COMPUTED_VALUE"""),44551.0)</f>
        <v>44551</v>
      </c>
      <c r="C28" s="250">
        <f>IFERROR(__xludf.DUMMYFUNCTION("""COMPUTED_VALUE"""),0.47054398148148147)</f>
        <v>0.4705439815</v>
      </c>
      <c r="D28" s="56" t="str">
        <f>IFERROR(__xludf.DUMMYFUNCTION("""COMPUTED_VALUE"""),"SpBEND767550")</f>
        <v>SpBEND767550</v>
      </c>
      <c r="E28" s="251"/>
      <c r="F28" s="251"/>
      <c r="G28" s="251" t="str">
        <f>IFERROR(__xludf.DUMMYFUNCTION("""COMPUTED_VALUE"""),"Negative")</f>
        <v>Negative</v>
      </c>
      <c r="H28" s="262" t="str">
        <f>IFERROR(__xludf.DUMMYFUNCTION("""COMPUTED_VALUE"""),"Negative")</f>
        <v>Negative</v>
      </c>
      <c r="I28" s="204">
        <f>IFERROR(__xludf.DUMMYFUNCTION("""COMPUTED_VALUE"""),44552.0)</f>
        <v>44552</v>
      </c>
      <c r="J28" s="252">
        <f>IFERROR(__xludf.DUMMYFUNCTION("""COMPUTED_VALUE"""),0.4200462962962963)</f>
        <v>0.4200462963</v>
      </c>
      <c r="K28" s="56"/>
      <c r="L28" s="6"/>
      <c r="M28" s="61"/>
      <c r="N28" s="61">
        <f>IFERROR(__xludf.DUMMYFUNCTION("""COMPUTED_VALUE"""),1.0)</f>
        <v>1</v>
      </c>
      <c r="O28" s="61" t="str">
        <f t="shared" si="3"/>
        <v/>
      </c>
      <c r="P28" s="253">
        <f>IFERROR(__xludf.DUMMYFUNCTION("""COMPUTED_VALUE"""),1.0)</f>
        <v>1</v>
      </c>
      <c r="Q28" s="254" t="str">
        <f>VLOOKUP($B28,'Run Reconcile'!B$2:O799,14,FALSE)</f>
        <v/>
      </c>
      <c r="R28" s="255" t="str">
        <f t="array" ref="R28">IF($Q28, INDEX('Run Reconcile'!A$2:A799,MATCH(B28,'Run Reconcile'!B$2:B799,0),1),IFERROR(0/0,""))</f>
        <v/>
      </c>
      <c r="S28" s="261" t="b">
        <f t="shared" ref="S28:T28" si="60">IF(COUNTIF(W$2:W799, $A28) &gt; 0,TRUE,IFERROR(0/0,""))</f>
        <v>1</v>
      </c>
      <c r="T28" s="261" t="str">
        <f t="shared" si="60"/>
        <v/>
      </c>
      <c r="U28" s="257" t="str">
        <f t="array" ref="U28">IF(ISBLANK($R28), INDEX('Run Reconcile'!A$2:A799, MATCH($B28, 'Run Reconcile'!B$2:B799, 0)+Z28, 1), IFERROR(0/0,""))
</f>
        <v>RUN-BEND_2021-12-22_RFR-004</v>
      </c>
      <c r="V28" s="258" t="str">
        <f t="shared" si="5"/>
        <v>RUN-BEND_2021-12-22_RFR-004</v>
      </c>
      <c r="W28" s="6" t="s">
        <v>376</v>
      </c>
      <c r="Y28" s="130">
        <f t="shared" si="6"/>
        <v>1</v>
      </c>
      <c r="Z28" s="49">
        <f t="shared" si="7"/>
        <v>1</v>
      </c>
      <c r="AA28" s="49">
        <f t="shared" si="8"/>
        <v>1</v>
      </c>
      <c r="AB28" s="49" t="str">
        <f t="shared" si="9"/>
        <v/>
      </c>
      <c r="AC28" s="20" t="str">
        <f t="shared" ref="AC28:AD28" si="61">IF(_xlfn.ISFORMULA(S28),IFERROR(0/0,""),TRUE)</f>
        <v/>
      </c>
      <c r="AD28" s="20" t="str">
        <f t="shared" si="61"/>
        <v/>
      </c>
      <c r="AE28" s="43"/>
      <c r="AF28" s="62" t="s">
        <v>33</v>
      </c>
      <c r="AG28" s="57" t="str">
        <f t="shared" si="11"/>
        <v/>
      </c>
    </row>
    <row r="29">
      <c r="A29" s="6" t="str">
        <f>IFERROR(__xludf.DUMMYFUNCTION("""COMPUTED_VALUE"""),"MA1203")</f>
        <v>MA1203</v>
      </c>
      <c r="B29" s="204">
        <f>IFERROR(__xludf.DUMMYFUNCTION("""COMPUTED_VALUE"""),44552.0)</f>
        <v>44552</v>
      </c>
      <c r="C29" s="250">
        <f>IFERROR(__xludf.DUMMYFUNCTION("""COMPUTED_VALUE"""),0.34879629629629627)</f>
        <v>0.3487962963</v>
      </c>
      <c r="D29" s="56" t="str">
        <f>IFERROR(__xludf.DUMMYFUNCTION("""COMPUTED_VALUE"""),"SpBEND394154")</f>
        <v>SpBEND394154</v>
      </c>
      <c r="E29" s="251"/>
      <c r="F29" s="251"/>
      <c r="G29" s="251" t="str">
        <f>IFERROR(__xludf.DUMMYFUNCTION("""COMPUTED_VALUE"""),"Null")</f>
        <v>Null</v>
      </c>
      <c r="H29" s="262" t="str">
        <f>IFERROR(__xludf.DUMMYFUNCTION("""COMPUTED_VALUE"""),"Negative")</f>
        <v>Negative</v>
      </c>
      <c r="I29" s="262"/>
      <c r="J29" s="56"/>
      <c r="K29" s="56">
        <f>IFERROR(__xludf.DUMMYFUNCTION("""COMPUTED_VALUE"""),2.0)</f>
        <v>2</v>
      </c>
      <c r="L29" s="6"/>
      <c r="M29" s="61"/>
      <c r="N29" s="61">
        <f>IFERROR(__xludf.DUMMYFUNCTION("""COMPUTED_VALUE"""),1.0)</f>
        <v>1</v>
      </c>
      <c r="O29" s="61" t="b">
        <f t="shared" si="3"/>
        <v>1</v>
      </c>
      <c r="P29" s="253">
        <f>IFERROR(__xludf.DUMMYFUNCTION("""COMPUTED_VALUE"""),-1.0)</f>
        <v>-1</v>
      </c>
      <c r="Q29" s="254" t="b">
        <f>VLOOKUP($B29,'Run Reconcile'!B$2:O799,14,FALSE)</f>
        <v>1</v>
      </c>
      <c r="R29" s="255" t="str">
        <f t="array" ref="R29">IF($Q29, INDEX('Run Reconcile'!A$2:A799,MATCH(B29,'Run Reconcile'!B$2:B799,0),1),IFERROR(0/0,""))</f>
        <v>RUN-BEND_2021-12-22_RFR-004</v>
      </c>
      <c r="S29" s="261" t="str">
        <f t="shared" ref="S29:T29" si="62">IF(COUNTIF(W$2:W799, $A29) &gt; 0,TRUE,IFERROR(0/0,""))</f>
        <v/>
      </c>
      <c r="T29" s="261" t="str">
        <f t="shared" si="62"/>
        <v/>
      </c>
      <c r="U29" s="257" t="str">
        <f t="array" ref="U29">IF(ISBLANK($R29), INDEX('Run Reconcile'!A$2:A799, MATCH($B29, 'Run Reconcile'!B$2:B799, 0)+Z29, 1), IFERROR(0/0,""))
</f>
        <v/>
      </c>
      <c r="V29" s="258" t="str">
        <f t="shared" si="5"/>
        <v>RUN-BEND_2021-12-22_RFR-004</v>
      </c>
      <c r="Y29" s="130" t="str">
        <f t="shared" si="6"/>
        <v/>
      </c>
      <c r="Z29" s="49" t="str">
        <f t="shared" si="7"/>
        <v/>
      </c>
      <c r="AA29" s="49" t="str">
        <f t="shared" si="8"/>
        <v/>
      </c>
      <c r="AB29" s="49" t="str">
        <f t="shared" si="9"/>
        <v/>
      </c>
      <c r="AC29" s="20" t="str">
        <f t="shared" ref="AC29:AD29" si="63">IF(_xlfn.ISFORMULA(S29),IFERROR(0/0,""),TRUE)</f>
        <v/>
      </c>
      <c r="AD29" s="20" t="str">
        <f t="shared" si="63"/>
        <v/>
      </c>
      <c r="AE29" s="43"/>
      <c r="AF29" s="62" t="s">
        <v>33</v>
      </c>
      <c r="AG29" s="57" t="str">
        <f t="shared" si="11"/>
        <v/>
      </c>
    </row>
    <row r="30">
      <c r="A30" s="6" t="str">
        <f>IFERROR(__xludf.DUMMYFUNCTION("""COMPUTED_VALUE"""),"MA1088")</f>
        <v>MA1088</v>
      </c>
      <c r="B30" s="204">
        <f>IFERROR(__xludf.DUMMYFUNCTION("""COMPUTED_VALUE"""),44552.0)</f>
        <v>44552</v>
      </c>
      <c r="C30" s="250">
        <f>IFERROR(__xludf.DUMMYFUNCTION("""COMPUTED_VALUE"""),0.35877314814814815)</f>
        <v>0.3587731481</v>
      </c>
      <c r="D30" s="56" t="str">
        <f>IFERROR(__xludf.DUMMYFUNCTION("""COMPUTED_VALUE"""),"SpBEND394154")</f>
        <v>SpBEND394154</v>
      </c>
      <c r="E30" s="251"/>
      <c r="F30" s="251"/>
      <c r="G30" s="251" t="str">
        <f>IFERROR(__xludf.DUMMYFUNCTION("""COMPUTED_VALUE"""),"Negative")</f>
        <v>Negative</v>
      </c>
      <c r="H30" s="262" t="str">
        <f>IFERROR(__xludf.DUMMYFUNCTION("""COMPUTED_VALUE"""),"Negative")</f>
        <v>Negative</v>
      </c>
      <c r="I30" s="204">
        <f>IFERROR(__xludf.DUMMYFUNCTION("""COMPUTED_VALUE"""),44552.0)</f>
        <v>44552</v>
      </c>
      <c r="J30" s="252">
        <f>IFERROR(__xludf.DUMMYFUNCTION("""COMPUTED_VALUE"""),0.4200462962962963)</f>
        <v>0.4200462963</v>
      </c>
      <c r="K30" s="56"/>
      <c r="L30" s="6"/>
      <c r="M30" s="61"/>
      <c r="N30" s="61">
        <f>IFERROR(__xludf.DUMMYFUNCTION("""COMPUTED_VALUE"""),1.0)</f>
        <v>1</v>
      </c>
      <c r="O30" s="61" t="str">
        <f t="shared" si="3"/>
        <v/>
      </c>
      <c r="P30" s="253">
        <f>IFERROR(__xludf.DUMMYFUNCTION("""COMPUTED_VALUE"""),0.0)</f>
        <v>0</v>
      </c>
      <c r="Q30" s="254" t="b">
        <f>VLOOKUP($B30,'Run Reconcile'!B$2:O799,14,FALSE)</f>
        <v>1</v>
      </c>
      <c r="R30" s="255" t="str">
        <f t="array" ref="R30">IF($Q30, INDEX('Run Reconcile'!A$2:A799,MATCH(B30,'Run Reconcile'!B$2:B799,0),1),IFERROR(0/0,""))</f>
        <v>RUN-BEND_2021-12-22_RFR-004</v>
      </c>
      <c r="S30" s="261" t="str">
        <f t="shared" ref="S30:T30" si="64">IF(COUNTIF(W$2:W799, $A30) &gt; 0,TRUE,IFERROR(0/0,""))</f>
        <v/>
      </c>
      <c r="T30" s="261" t="str">
        <f t="shared" si="64"/>
        <v/>
      </c>
      <c r="U30" s="257" t="str">
        <f t="array" ref="U30">IF(ISBLANK($R30), INDEX('Run Reconcile'!A$2:A799, MATCH($B30, 'Run Reconcile'!B$2:B799, 0)+Z30, 1), IFERROR(0/0,""))
</f>
        <v/>
      </c>
      <c r="V30" s="258" t="str">
        <f t="shared" si="5"/>
        <v>RUN-BEND_2021-12-22_RFR-004</v>
      </c>
      <c r="Y30" s="130" t="str">
        <f t="shared" si="6"/>
        <v/>
      </c>
      <c r="Z30" s="49" t="str">
        <f t="shared" si="7"/>
        <v/>
      </c>
      <c r="AA30" s="49" t="str">
        <f t="shared" si="8"/>
        <v/>
      </c>
      <c r="AB30" s="49" t="str">
        <f t="shared" si="9"/>
        <v/>
      </c>
      <c r="AC30" s="20" t="str">
        <f t="shared" ref="AC30:AD30" si="65">IF(_xlfn.ISFORMULA(S30),IFERROR(0/0,""),TRUE)</f>
        <v/>
      </c>
      <c r="AD30" s="20" t="str">
        <f t="shared" si="65"/>
        <v/>
      </c>
      <c r="AE30" s="43"/>
      <c r="AF30" s="62" t="s">
        <v>33</v>
      </c>
      <c r="AG30" s="57" t="str">
        <f t="shared" si="11"/>
        <v/>
      </c>
    </row>
    <row r="31">
      <c r="A31" s="6" t="str">
        <f>IFERROR(__xludf.DUMMYFUNCTION("""COMPUTED_VALUE"""),"MA1057")</f>
        <v>MA1057</v>
      </c>
      <c r="B31" s="204">
        <f>IFERROR(__xludf.DUMMYFUNCTION("""COMPUTED_VALUE"""),44552.0)</f>
        <v>44552</v>
      </c>
      <c r="C31" s="250">
        <f>IFERROR(__xludf.DUMMYFUNCTION("""COMPUTED_VALUE"""),0.3660185185185185)</f>
        <v>0.3660185185</v>
      </c>
      <c r="D31" s="56" t="str">
        <f>IFERROR(__xludf.DUMMYFUNCTION("""COMPUTED_VALUE"""),"SpBEND394154")</f>
        <v>SpBEND394154</v>
      </c>
      <c r="E31" s="251"/>
      <c r="F31" s="251"/>
      <c r="G31" s="251" t="str">
        <f>IFERROR(__xludf.DUMMYFUNCTION("""COMPUTED_VALUE"""),"Negative")</f>
        <v>Negative</v>
      </c>
      <c r="H31" s="262" t="str">
        <f>IFERROR(__xludf.DUMMYFUNCTION("""COMPUTED_VALUE"""),"Negative")</f>
        <v>Negative</v>
      </c>
      <c r="I31" s="204">
        <f>IFERROR(__xludf.DUMMYFUNCTION("""COMPUTED_VALUE"""),44552.0)</f>
        <v>44552</v>
      </c>
      <c r="J31" s="252">
        <f>IFERROR(__xludf.DUMMYFUNCTION("""COMPUTED_VALUE"""),0.4200462962962963)</f>
        <v>0.4200462963</v>
      </c>
      <c r="K31" s="56"/>
      <c r="L31" s="6"/>
      <c r="M31" s="61"/>
      <c r="N31" s="61">
        <f>IFERROR(__xludf.DUMMYFUNCTION("""COMPUTED_VALUE"""),1.0)</f>
        <v>1</v>
      </c>
      <c r="O31" s="61" t="str">
        <f t="shared" si="3"/>
        <v/>
      </c>
      <c r="P31" s="253">
        <f>IFERROR(__xludf.DUMMYFUNCTION("""COMPUTED_VALUE"""),0.0)</f>
        <v>0</v>
      </c>
      <c r="Q31" s="254" t="b">
        <f>VLOOKUP($B31,'Run Reconcile'!B$2:O799,14,FALSE)</f>
        <v>1</v>
      </c>
      <c r="R31" s="255" t="str">
        <f t="array" ref="R31">IF($Q31, INDEX('Run Reconcile'!A$2:A799,MATCH(B31,'Run Reconcile'!B$2:B799,0),1),IFERROR(0/0,""))</f>
        <v>RUN-BEND_2021-12-22_RFR-004</v>
      </c>
      <c r="S31" s="261" t="str">
        <f t="shared" ref="S31:T31" si="66">IF(COUNTIF(W$2:W799, $A31) &gt; 0,TRUE,IFERROR(0/0,""))</f>
        <v/>
      </c>
      <c r="T31" s="261" t="str">
        <f t="shared" si="66"/>
        <v/>
      </c>
      <c r="U31" s="257" t="str">
        <f t="array" ref="U31">IF(ISBLANK($R31), INDEX('Run Reconcile'!A$2:A799, MATCH($B31, 'Run Reconcile'!B$2:B799, 0)+Z31, 1), IFERROR(0/0,""))
</f>
        <v/>
      </c>
      <c r="V31" s="258" t="str">
        <f t="shared" si="5"/>
        <v>RUN-BEND_2021-12-22_RFR-004</v>
      </c>
      <c r="Y31" s="130" t="str">
        <f t="shared" si="6"/>
        <v/>
      </c>
      <c r="Z31" s="49" t="str">
        <f t="shared" si="7"/>
        <v/>
      </c>
      <c r="AA31" s="49" t="str">
        <f t="shared" si="8"/>
        <v/>
      </c>
      <c r="AB31" s="49" t="str">
        <f t="shared" si="9"/>
        <v/>
      </c>
      <c r="AC31" s="20" t="str">
        <f t="shared" ref="AC31:AD31" si="67">IF(_xlfn.ISFORMULA(S31),IFERROR(0/0,""),TRUE)</f>
        <v/>
      </c>
      <c r="AD31" s="20" t="str">
        <f t="shared" si="67"/>
        <v/>
      </c>
      <c r="AE31" s="43"/>
      <c r="AF31" s="62" t="s">
        <v>33</v>
      </c>
      <c r="AG31" s="57" t="str">
        <f t="shared" si="11"/>
        <v/>
      </c>
    </row>
    <row r="32">
      <c r="A32" s="6" t="str">
        <f>IFERROR(__xludf.DUMMYFUNCTION("""COMPUTED_VALUE"""),"MA447")</f>
        <v>MA447</v>
      </c>
      <c r="B32" s="204">
        <f>IFERROR(__xludf.DUMMYFUNCTION("""COMPUTED_VALUE"""),44556.0)</f>
        <v>44556</v>
      </c>
      <c r="C32" s="250">
        <f>IFERROR(__xludf.DUMMYFUNCTION("""COMPUTED_VALUE"""),0.6234837962962962)</f>
        <v>0.6234837963</v>
      </c>
      <c r="D32" s="56" t="str">
        <f>IFERROR(__xludf.DUMMYFUNCTION("""COMPUTED_VALUE"""),"SpBEND768497")</f>
        <v>SpBEND768497</v>
      </c>
      <c r="E32" s="251"/>
      <c r="F32" s="251"/>
      <c r="G32" s="251" t="str">
        <f>IFERROR(__xludf.DUMMYFUNCTION("""COMPUTED_VALUE"""),"Negative")</f>
        <v>Negative</v>
      </c>
      <c r="H32" s="262" t="str">
        <f>IFERROR(__xludf.DUMMYFUNCTION("""COMPUTED_VALUE"""),"Negative")</f>
        <v>Negative</v>
      </c>
      <c r="I32" s="204">
        <f>IFERROR(__xludf.DUMMYFUNCTION("""COMPUTED_VALUE"""),44557.0)</f>
        <v>44557</v>
      </c>
      <c r="J32" s="252">
        <f>IFERROR(__xludf.DUMMYFUNCTION("""COMPUTED_VALUE"""),0.4870949074074074)</f>
        <v>0.4870949074</v>
      </c>
      <c r="K32" s="56"/>
      <c r="L32" s="6"/>
      <c r="M32" s="61"/>
      <c r="N32" s="61">
        <f>IFERROR(__xludf.DUMMYFUNCTION("""COMPUTED_VALUE"""),1.0)</f>
        <v>1</v>
      </c>
      <c r="O32" s="61" t="b">
        <f t="shared" si="3"/>
        <v>1</v>
      </c>
      <c r="P32" s="253">
        <f>IFERROR(__xludf.DUMMYFUNCTION("""COMPUTED_VALUE"""),1.0)</f>
        <v>1</v>
      </c>
      <c r="Q32" s="254" t="str">
        <f>VLOOKUP($B32,'Run Reconcile'!B$2:O799,14,FALSE)</f>
        <v/>
      </c>
      <c r="R32" s="255" t="str">
        <f t="array" ref="R32">IF($Q32, INDEX('Run Reconcile'!A$2:A799,MATCH(B32,'Run Reconcile'!B$2:B799,0),1),IFERROR(0/0,""))</f>
        <v/>
      </c>
      <c r="S32" s="261" t="b">
        <f t="shared" ref="S32:T32" si="68">IF(COUNTIF(W$2:W799, $A32) &gt; 0,TRUE,IFERROR(0/0,""))</f>
        <v>1</v>
      </c>
      <c r="T32" s="261" t="str">
        <f t="shared" si="68"/>
        <v/>
      </c>
      <c r="U32" s="185" t="str">
        <f t="array" ref="U32">IF(ISBLANK($R32), INDEX('Run Reconcile'!A$2:A799, MATCH($B32, 'Run Reconcile'!B$2:B799, 0)+Z32, 1), IFERROR(0/0,""))
</f>
        <v>RUN-BEND_2021-12-27_RFR-005</v>
      </c>
      <c r="V32" s="258" t="str">
        <f t="shared" si="5"/>
        <v>RUN-BEND_2021-12-27_RFR-005</v>
      </c>
      <c r="W32" s="6" t="s">
        <v>377</v>
      </c>
      <c r="Y32" s="130">
        <f t="shared" si="6"/>
        <v>1</v>
      </c>
      <c r="Z32" s="49">
        <f t="shared" si="7"/>
        <v>1</v>
      </c>
      <c r="AA32" s="49">
        <f t="shared" si="8"/>
        <v>1</v>
      </c>
      <c r="AB32" s="49" t="str">
        <f t="shared" si="9"/>
        <v/>
      </c>
      <c r="AC32" s="20" t="str">
        <f t="shared" ref="AC32:AD32" si="69">IF(_xlfn.ISFORMULA(S32),IFERROR(0/0,""),TRUE)</f>
        <v/>
      </c>
      <c r="AD32" s="20" t="str">
        <f t="shared" si="69"/>
        <v/>
      </c>
      <c r="AE32" s="43"/>
      <c r="AF32" s="62" t="s">
        <v>34</v>
      </c>
      <c r="AG32" s="57" t="str">
        <f t="shared" si="11"/>
        <v/>
      </c>
    </row>
    <row r="33">
      <c r="A33" s="6" t="str">
        <f>IFERROR(__xludf.DUMMYFUNCTION("""COMPUTED_VALUE"""),"MA1179")</f>
        <v>MA1179</v>
      </c>
      <c r="B33" s="204">
        <f>IFERROR(__xludf.DUMMYFUNCTION("""COMPUTED_VALUE"""),44557.0)</f>
        <v>44557</v>
      </c>
      <c r="C33" s="250">
        <f>IFERROR(__xludf.DUMMYFUNCTION("""COMPUTED_VALUE"""),0.3123148148148148)</f>
        <v>0.3123148148</v>
      </c>
      <c r="D33" s="56" t="str">
        <f>IFERROR(__xludf.DUMMYFUNCTION("""COMPUTED_VALUE"""),"SpBEND541174")</f>
        <v>SpBEND541174</v>
      </c>
      <c r="E33" s="251"/>
      <c r="F33" s="251"/>
      <c r="G33" s="251" t="str">
        <f>IFERROR(__xludf.DUMMYFUNCTION("""COMPUTED_VALUE"""),"Negative")</f>
        <v>Negative</v>
      </c>
      <c r="H33" s="262" t="str">
        <f>IFERROR(__xludf.DUMMYFUNCTION("""COMPUTED_VALUE"""),"Negative")</f>
        <v>Negative</v>
      </c>
      <c r="I33" s="204">
        <f>IFERROR(__xludf.DUMMYFUNCTION("""COMPUTED_VALUE"""),44557.0)</f>
        <v>44557</v>
      </c>
      <c r="J33" s="252">
        <f>IFERROR(__xludf.DUMMYFUNCTION("""COMPUTED_VALUE"""),0.4870949074074074)</f>
        <v>0.4870949074</v>
      </c>
      <c r="K33" s="56"/>
      <c r="L33" s="6"/>
      <c r="M33" s="61"/>
      <c r="N33" s="61">
        <f>IFERROR(__xludf.DUMMYFUNCTION("""COMPUTED_VALUE"""),1.0)</f>
        <v>1</v>
      </c>
      <c r="O33" s="61" t="b">
        <f t="shared" si="3"/>
        <v>1</v>
      </c>
      <c r="P33" s="253">
        <f>IFERROR(__xludf.DUMMYFUNCTION("""COMPUTED_VALUE"""),0.0)</f>
        <v>0</v>
      </c>
      <c r="Q33" s="254" t="b">
        <f>VLOOKUP($B33,'Run Reconcile'!B$2:O799,14,FALSE)</f>
        <v>1</v>
      </c>
      <c r="R33" s="255" t="str">
        <f t="array" ref="R33">IF($Q33, INDEX('Run Reconcile'!A$2:A799,MATCH(B33,'Run Reconcile'!B$2:B799,0),1),IFERROR(0/0,""))</f>
        <v>RUN-BEND_2021-12-27_RFR-005</v>
      </c>
      <c r="S33" s="261" t="str">
        <f t="shared" ref="S33:T33" si="70">IF(COUNTIF(W$2:W799, $A33) &gt; 0,TRUE,IFERROR(0/0,""))</f>
        <v/>
      </c>
      <c r="T33" s="261" t="str">
        <f t="shared" si="70"/>
        <v/>
      </c>
      <c r="U33" s="257" t="str">
        <f t="array" ref="U33">IF(ISBLANK($R33), INDEX('Run Reconcile'!A$2:A799, MATCH($B33, 'Run Reconcile'!B$2:B799, 0)+Z33, 1), IFERROR(0/0,""))
</f>
        <v/>
      </c>
      <c r="V33" s="258" t="str">
        <f t="shared" si="5"/>
        <v>RUN-BEND_2021-12-27_RFR-005</v>
      </c>
      <c r="Y33" s="130" t="str">
        <f t="shared" si="6"/>
        <v/>
      </c>
      <c r="Z33" s="49" t="str">
        <f t="shared" si="7"/>
        <v/>
      </c>
      <c r="AA33" s="49" t="str">
        <f t="shared" si="8"/>
        <v/>
      </c>
      <c r="AB33" s="49" t="str">
        <f t="shared" si="9"/>
        <v/>
      </c>
      <c r="AC33" s="20" t="str">
        <f t="shared" ref="AC33:AD33" si="71">IF(_xlfn.ISFORMULA(S33),IFERROR(0/0,""),TRUE)</f>
        <v/>
      </c>
      <c r="AD33" s="20" t="str">
        <f t="shared" si="71"/>
        <v/>
      </c>
      <c r="AE33" s="43"/>
      <c r="AF33" s="62" t="s">
        <v>34</v>
      </c>
      <c r="AG33" s="57" t="str">
        <f t="shared" si="11"/>
        <v/>
      </c>
    </row>
    <row r="34">
      <c r="A34" s="6" t="str">
        <f>IFERROR(__xludf.DUMMYFUNCTION("""COMPUTED_VALUE"""),"MA690")</f>
        <v>MA690</v>
      </c>
      <c r="B34" s="204">
        <f>IFERROR(__xludf.DUMMYFUNCTION("""COMPUTED_VALUE"""),44557.0)</f>
        <v>44557</v>
      </c>
      <c r="C34" s="250">
        <f>IFERROR(__xludf.DUMMYFUNCTION("""COMPUTED_VALUE"""),0.31266203703703704)</f>
        <v>0.312662037</v>
      </c>
      <c r="D34" s="56" t="str">
        <f>IFERROR(__xludf.DUMMYFUNCTION("""COMPUTED_VALUE"""),"SpBEND214692")</f>
        <v>SpBEND214692</v>
      </c>
      <c r="E34" s="251"/>
      <c r="F34" s="251"/>
      <c r="G34" s="251" t="str">
        <f>IFERROR(__xludf.DUMMYFUNCTION("""COMPUTED_VALUE"""),"Negative")</f>
        <v>Negative</v>
      </c>
      <c r="H34" s="262" t="str">
        <f>IFERROR(__xludf.DUMMYFUNCTION("""COMPUTED_VALUE"""),"Negative")</f>
        <v>Negative</v>
      </c>
      <c r="I34" s="204">
        <f>IFERROR(__xludf.DUMMYFUNCTION("""COMPUTED_VALUE"""),44557.0)</f>
        <v>44557</v>
      </c>
      <c r="J34" s="252">
        <f>IFERROR(__xludf.DUMMYFUNCTION("""COMPUTED_VALUE"""),0.4870949074074074)</f>
        <v>0.4870949074</v>
      </c>
      <c r="K34" s="56"/>
      <c r="L34" s="6"/>
      <c r="M34" s="61"/>
      <c r="N34" s="61">
        <f>IFERROR(__xludf.DUMMYFUNCTION("""COMPUTED_VALUE"""),1.0)</f>
        <v>1</v>
      </c>
      <c r="O34" s="61" t="str">
        <f t="shared" si="3"/>
        <v/>
      </c>
      <c r="P34" s="253">
        <f>IFERROR(__xludf.DUMMYFUNCTION("""COMPUTED_VALUE"""),0.0)</f>
        <v>0</v>
      </c>
      <c r="Q34" s="254" t="b">
        <f>VLOOKUP($B34,'Run Reconcile'!B$2:O799,14,FALSE)</f>
        <v>1</v>
      </c>
      <c r="R34" s="255" t="str">
        <f t="array" ref="R34">IF($Q34, INDEX('Run Reconcile'!A$2:A799,MATCH(B34,'Run Reconcile'!B$2:B799,0),1),IFERROR(0/0,""))</f>
        <v>RUN-BEND_2021-12-27_RFR-005</v>
      </c>
      <c r="S34" s="261" t="str">
        <f t="shared" ref="S34:T34" si="72">IF(COUNTIF(W$2:W799, $A34) &gt; 0,TRUE,IFERROR(0/0,""))</f>
        <v/>
      </c>
      <c r="T34" s="261" t="str">
        <f t="shared" si="72"/>
        <v/>
      </c>
      <c r="U34" s="257" t="str">
        <f t="array" ref="U34">IF(ISBLANK($R34), INDEX('Run Reconcile'!A$2:A799, MATCH($B34, 'Run Reconcile'!B$2:B799, 0)+Z34, 1), IFERROR(0/0,""))
</f>
        <v/>
      </c>
      <c r="V34" s="258" t="str">
        <f t="shared" si="5"/>
        <v>RUN-BEND_2021-12-27_RFR-005</v>
      </c>
      <c r="Y34" s="130" t="str">
        <f t="shared" si="6"/>
        <v/>
      </c>
      <c r="Z34" s="49" t="str">
        <f t="shared" si="7"/>
        <v/>
      </c>
      <c r="AA34" s="49" t="str">
        <f t="shared" si="8"/>
        <v/>
      </c>
      <c r="AB34" s="49" t="str">
        <f t="shared" si="9"/>
        <v/>
      </c>
      <c r="AC34" s="20" t="str">
        <f t="shared" ref="AC34:AD34" si="73">IF(_xlfn.ISFORMULA(S34),IFERROR(0/0,""),TRUE)</f>
        <v/>
      </c>
      <c r="AD34" s="20" t="str">
        <f t="shared" si="73"/>
        <v/>
      </c>
      <c r="AE34" s="43"/>
      <c r="AF34" s="62" t="s">
        <v>34</v>
      </c>
      <c r="AG34" s="57" t="str">
        <f t="shared" si="11"/>
        <v/>
      </c>
    </row>
    <row r="35">
      <c r="A35" s="6" t="str">
        <f>IFERROR(__xludf.DUMMYFUNCTION("""COMPUTED_VALUE"""),"MA707")</f>
        <v>MA707</v>
      </c>
      <c r="B35" s="204">
        <f>IFERROR(__xludf.DUMMYFUNCTION("""COMPUTED_VALUE"""),44557.0)</f>
        <v>44557</v>
      </c>
      <c r="C35" s="250">
        <f>IFERROR(__xludf.DUMMYFUNCTION("""COMPUTED_VALUE"""),0.3275462962962963)</f>
        <v>0.3275462963</v>
      </c>
      <c r="D35" s="56" t="str">
        <f>IFERROR(__xludf.DUMMYFUNCTION("""COMPUTED_VALUE"""),"SpBEND767550")</f>
        <v>SpBEND767550</v>
      </c>
      <c r="E35" s="251"/>
      <c r="F35" s="251"/>
      <c r="G35" s="251" t="str">
        <f>IFERROR(__xludf.DUMMYFUNCTION("""COMPUTED_VALUE"""),"Negative")</f>
        <v>Negative</v>
      </c>
      <c r="H35" s="262" t="str">
        <f>IFERROR(__xludf.DUMMYFUNCTION("""COMPUTED_VALUE"""),"Negative")</f>
        <v>Negative</v>
      </c>
      <c r="I35" s="204">
        <f>IFERROR(__xludf.DUMMYFUNCTION("""COMPUTED_VALUE"""),44557.0)</f>
        <v>44557</v>
      </c>
      <c r="J35" s="252">
        <f>IFERROR(__xludf.DUMMYFUNCTION("""COMPUTED_VALUE"""),0.4870949074074074)</f>
        <v>0.4870949074</v>
      </c>
      <c r="K35" s="56"/>
      <c r="L35" s="6"/>
      <c r="M35" s="61"/>
      <c r="N35" s="61">
        <f>IFERROR(__xludf.DUMMYFUNCTION("""COMPUTED_VALUE"""),1.0)</f>
        <v>1</v>
      </c>
      <c r="O35" s="61" t="str">
        <f t="shared" si="3"/>
        <v/>
      </c>
      <c r="P35" s="253">
        <f>IFERROR(__xludf.DUMMYFUNCTION("""COMPUTED_VALUE"""),0.0)</f>
        <v>0</v>
      </c>
      <c r="Q35" s="254" t="b">
        <f>VLOOKUP($B35,'Run Reconcile'!B$2:O799,14,FALSE)</f>
        <v>1</v>
      </c>
      <c r="R35" s="255" t="str">
        <f t="array" ref="R35">IF($Q35, INDEX('Run Reconcile'!A$2:A799,MATCH(B35,'Run Reconcile'!B$2:B799,0),1),IFERROR(0/0,""))</f>
        <v>RUN-BEND_2021-12-27_RFR-005</v>
      </c>
      <c r="S35" s="261" t="str">
        <f t="shared" ref="S35:T35" si="74">IF(COUNTIF(W$2:W799, $A35) &gt; 0,TRUE,IFERROR(0/0,""))</f>
        <v/>
      </c>
      <c r="T35" s="261" t="str">
        <f t="shared" si="74"/>
        <v/>
      </c>
      <c r="U35" s="257" t="str">
        <f t="array" ref="U35">IF(ISBLANK($R35), INDEX('Run Reconcile'!A$2:A799, MATCH($B35, 'Run Reconcile'!B$2:B799, 0)+Z35, 1), IFERROR(0/0,""))
</f>
        <v/>
      </c>
      <c r="V35" s="258" t="str">
        <f t="shared" si="5"/>
        <v>RUN-BEND_2021-12-27_RFR-005</v>
      </c>
      <c r="Y35" s="130" t="str">
        <f t="shared" si="6"/>
        <v/>
      </c>
      <c r="Z35" s="49" t="str">
        <f t="shared" si="7"/>
        <v/>
      </c>
      <c r="AA35" s="49" t="str">
        <f t="shared" si="8"/>
        <v/>
      </c>
      <c r="AB35" s="49" t="str">
        <f t="shared" si="9"/>
        <v/>
      </c>
      <c r="AC35" s="20" t="str">
        <f t="shared" ref="AC35:AD35" si="75">IF(_xlfn.ISFORMULA(S35),IFERROR(0/0,""),TRUE)</f>
        <v/>
      </c>
      <c r="AD35" s="20" t="str">
        <f t="shared" si="75"/>
        <v/>
      </c>
      <c r="AE35" s="43"/>
      <c r="AF35" s="62" t="s">
        <v>34</v>
      </c>
      <c r="AG35" s="57" t="str">
        <f t="shared" si="11"/>
        <v/>
      </c>
    </row>
    <row r="36">
      <c r="A36" s="6" t="str">
        <f>IFERROR(__xludf.DUMMYFUNCTION("""COMPUTED_VALUE"""),"MA307")</f>
        <v>MA307</v>
      </c>
      <c r="B36" s="204">
        <f>IFERROR(__xludf.DUMMYFUNCTION("""COMPUTED_VALUE"""),44557.0)</f>
        <v>44557</v>
      </c>
      <c r="C36" s="250">
        <f>IFERROR(__xludf.DUMMYFUNCTION("""COMPUTED_VALUE"""),0.32893518518518516)</f>
        <v>0.3289351852</v>
      </c>
      <c r="D36" s="56" t="str">
        <f>IFERROR(__xludf.DUMMYFUNCTION("""COMPUTED_VALUE"""),"SpBEND982195")</f>
        <v>SpBEND982195</v>
      </c>
      <c r="E36" s="251"/>
      <c r="F36" s="251"/>
      <c r="G36" s="251" t="str">
        <f>IFERROR(__xludf.DUMMYFUNCTION("""COMPUTED_VALUE"""),"Negative")</f>
        <v>Negative</v>
      </c>
      <c r="H36" s="262" t="str">
        <f>IFERROR(__xludf.DUMMYFUNCTION("""COMPUTED_VALUE"""),"Negative")</f>
        <v>Negative</v>
      </c>
      <c r="I36" s="204">
        <f>IFERROR(__xludf.DUMMYFUNCTION("""COMPUTED_VALUE"""),44557.0)</f>
        <v>44557</v>
      </c>
      <c r="J36" s="252">
        <f>IFERROR(__xludf.DUMMYFUNCTION("""COMPUTED_VALUE"""),0.4870949074074074)</f>
        <v>0.4870949074</v>
      </c>
      <c r="K36" s="56"/>
      <c r="L36" s="6"/>
      <c r="M36" s="61"/>
      <c r="N36" s="61">
        <f>IFERROR(__xludf.DUMMYFUNCTION("""COMPUTED_VALUE"""),1.0)</f>
        <v>1</v>
      </c>
      <c r="O36" s="61" t="str">
        <f t="shared" si="3"/>
        <v/>
      </c>
      <c r="P36" s="253">
        <f>IFERROR(__xludf.DUMMYFUNCTION("""COMPUTED_VALUE"""),0.0)</f>
        <v>0</v>
      </c>
      <c r="Q36" s="254" t="b">
        <f>VLOOKUP($B36,'Run Reconcile'!B$2:O799,14,FALSE)</f>
        <v>1</v>
      </c>
      <c r="R36" s="255" t="str">
        <f t="array" ref="R36">IF($Q36, INDEX('Run Reconcile'!A$2:A799,MATCH(B36,'Run Reconcile'!B$2:B799,0),1),IFERROR(0/0,""))</f>
        <v>RUN-BEND_2021-12-27_RFR-005</v>
      </c>
      <c r="S36" s="261" t="str">
        <f t="shared" ref="S36:T36" si="76">IF(COUNTIF(W$2:W799, $A36) &gt; 0,TRUE,IFERROR(0/0,""))</f>
        <v/>
      </c>
      <c r="T36" s="261" t="str">
        <f t="shared" si="76"/>
        <v/>
      </c>
      <c r="U36" s="257" t="str">
        <f t="array" ref="U36">IF(ISBLANK($R36), INDEX('Run Reconcile'!A$2:A799, MATCH($B36, 'Run Reconcile'!B$2:B799, 0)+Z36, 1), IFERROR(0/0,""))
</f>
        <v/>
      </c>
      <c r="V36" s="258" t="str">
        <f t="shared" si="5"/>
        <v>RUN-BEND_2021-12-27_RFR-005</v>
      </c>
      <c r="Y36" s="130" t="str">
        <f t="shared" si="6"/>
        <v/>
      </c>
      <c r="Z36" s="49" t="str">
        <f t="shared" si="7"/>
        <v/>
      </c>
      <c r="AA36" s="49" t="str">
        <f t="shared" si="8"/>
        <v/>
      </c>
      <c r="AB36" s="49" t="str">
        <f t="shared" si="9"/>
        <v/>
      </c>
      <c r="AC36" s="20" t="str">
        <f t="shared" ref="AC36:AD36" si="77">IF(_xlfn.ISFORMULA(S36),IFERROR(0/0,""),TRUE)</f>
        <v/>
      </c>
      <c r="AD36" s="20" t="str">
        <f t="shared" si="77"/>
        <v/>
      </c>
      <c r="AE36" s="43"/>
      <c r="AF36" s="62" t="s">
        <v>34</v>
      </c>
      <c r="AG36" s="57" t="str">
        <f t="shared" si="11"/>
        <v/>
      </c>
    </row>
    <row r="37">
      <c r="A37" s="6" t="str">
        <f>IFERROR(__xludf.DUMMYFUNCTION("""COMPUTED_VALUE"""),"MA609")</f>
        <v>MA609</v>
      </c>
      <c r="B37" s="204">
        <f>IFERROR(__xludf.DUMMYFUNCTION("""COMPUTED_VALUE"""),44557.0)</f>
        <v>44557</v>
      </c>
      <c r="C37" s="250">
        <f>IFERROR(__xludf.DUMMYFUNCTION("""COMPUTED_VALUE"""),0.3337037037037037)</f>
        <v>0.3337037037</v>
      </c>
      <c r="D37" s="56" t="str">
        <f>IFERROR(__xludf.DUMMYFUNCTION("""COMPUTED_VALUE"""),"SpBEND643855")</f>
        <v>SpBEND643855</v>
      </c>
      <c r="E37" s="251"/>
      <c r="F37" s="251"/>
      <c r="G37" s="251" t="str">
        <f>IFERROR(__xludf.DUMMYFUNCTION("""COMPUTED_VALUE"""),"Negative")</f>
        <v>Negative</v>
      </c>
      <c r="H37" s="262" t="str">
        <f>IFERROR(__xludf.DUMMYFUNCTION("""COMPUTED_VALUE"""),"Negative")</f>
        <v>Negative</v>
      </c>
      <c r="I37" s="204">
        <f>IFERROR(__xludf.DUMMYFUNCTION("""COMPUTED_VALUE"""),44557.0)</f>
        <v>44557</v>
      </c>
      <c r="J37" s="252">
        <f>IFERROR(__xludf.DUMMYFUNCTION("""COMPUTED_VALUE"""),0.4870949074074074)</f>
        <v>0.4870949074</v>
      </c>
      <c r="K37" s="56"/>
      <c r="L37" s="6"/>
      <c r="M37" s="61"/>
      <c r="N37" s="61">
        <f>IFERROR(__xludf.DUMMYFUNCTION("""COMPUTED_VALUE"""),1.0)</f>
        <v>1</v>
      </c>
      <c r="O37" s="61" t="str">
        <f t="shared" si="3"/>
        <v/>
      </c>
      <c r="P37" s="253">
        <f>IFERROR(__xludf.DUMMYFUNCTION("""COMPUTED_VALUE"""),0.0)</f>
        <v>0</v>
      </c>
      <c r="Q37" s="254" t="b">
        <f>VLOOKUP($B37,'Run Reconcile'!B$2:O799,14,FALSE)</f>
        <v>1</v>
      </c>
      <c r="R37" s="255" t="str">
        <f t="array" ref="R37">IF($Q37, INDEX('Run Reconcile'!A$2:A799,MATCH(B37,'Run Reconcile'!B$2:B799,0),1),IFERROR(0/0,""))</f>
        <v>RUN-BEND_2021-12-27_RFR-005</v>
      </c>
      <c r="S37" s="261" t="str">
        <f t="shared" ref="S37:T37" si="78">IF(COUNTIF(W$2:W799, $A37) &gt; 0,TRUE,IFERROR(0/0,""))</f>
        <v/>
      </c>
      <c r="T37" s="261" t="str">
        <f t="shared" si="78"/>
        <v/>
      </c>
      <c r="U37" s="257" t="str">
        <f t="array" ref="U37">IF(ISBLANK($R37), INDEX('Run Reconcile'!A$2:A799, MATCH($B37, 'Run Reconcile'!B$2:B799, 0)+Z37, 1), IFERROR(0/0,""))
</f>
        <v/>
      </c>
      <c r="V37" s="258" t="str">
        <f t="shared" si="5"/>
        <v>RUN-BEND_2021-12-27_RFR-005</v>
      </c>
      <c r="Y37" s="130" t="str">
        <f t="shared" si="6"/>
        <v/>
      </c>
      <c r="Z37" s="49" t="str">
        <f t="shared" si="7"/>
        <v/>
      </c>
      <c r="AA37" s="49" t="str">
        <f t="shared" si="8"/>
        <v/>
      </c>
      <c r="AB37" s="49" t="str">
        <f t="shared" si="9"/>
        <v/>
      </c>
      <c r="AC37" s="20" t="str">
        <f t="shared" ref="AC37:AD37" si="79">IF(_xlfn.ISFORMULA(S37),IFERROR(0/0,""),TRUE)</f>
        <v/>
      </c>
      <c r="AD37" s="20" t="str">
        <f t="shared" si="79"/>
        <v/>
      </c>
      <c r="AE37" s="43"/>
      <c r="AF37" s="62" t="s">
        <v>34</v>
      </c>
      <c r="AG37" s="57" t="str">
        <f t="shared" si="11"/>
        <v/>
      </c>
    </row>
    <row r="38">
      <c r="A38" s="6" t="str">
        <f>IFERROR(__xludf.DUMMYFUNCTION("""COMPUTED_VALUE"""),"MA603")</f>
        <v>MA603</v>
      </c>
      <c r="B38" s="204">
        <f>IFERROR(__xludf.DUMMYFUNCTION("""COMPUTED_VALUE"""),44557.0)</f>
        <v>44557</v>
      </c>
      <c r="C38" s="250">
        <f>IFERROR(__xludf.DUMMYFUNCTION("""COMPUTED_VALUE"""),0.3368865740740741)</f>
        <v>0.3368865741</v>
      </c>
      <c r="D38" s="56" t="str">
        <f>IFERROR(__xludf.DUMMYFUNCTION("""COMPUTED_VALUE"""),"SpBEND139600")</f>
        <v>SpBEND139600</v>
      </c>
      <c r="E38" s="251"/>
      <c r="F38" s="251"/>
      <c r="G38" s="251" t="str">
        <f>IFERROR(__xludf.DUMMYFUNCTION("""COMPUTED_VALUE"""),"Negative")</f>
        <v>Negative</v>
      </c>
      <c r="H38" s="262" t="str">
        <f>IFERROR(__xludf.DUMMYFUNCTION("""COMPUTED_VALUE"""),"Negative")</f>
        <v>Negative</v>
      </c>
      <c r="I38" s="204">
        <f>IFERROR(__xludf.DUMMYFUNCTION("""COMPUTED_VALUE"""),44557.0)</f>
        <v>44557</v>
      </c>
      <c r="J38" s="252">
        <f>IFERROR(__xludf.DUMMYFUNCTION("""COMPUTED_VALUE"""),0.4870949074074074)</f>
        <v>0.4870949074</v>
      </c>
      <c r="K38" s="56"/>
      <c r="L38" s="6"/>
      <c r="M38" s="61"/>
      <c r="N38" s="61">
        <f>IFERROR(__xludf.DUMMYFUNCTION("""COMPUTED_VALUE"""),1.0)</f>
        <v>1</v>
      </c>
      <c r="O38" s="61" t="str">
        <f t="shared" si="3"/>
        <v/>
      </c>
      <c r="P38" s="253">
        <f>IFERROR(__xludf.DUMMYFUNCTION("""COMPUTED_VALUE"""),0.0)</f>
        <v>0</v>
      </c>
      <c r="Q38" s="254" t="b">
        <f>VLOOKUP($B38,'Run Reconcile'!B$2:O799,14,FALSE)</f>
        <v>1</v>
      </c>
      <c r="R38" s="255" t="str">
        <f t="array" ref="R38">IF($Q38, INDEX('Run Reconcile'!A$2:A799,MATCH(B38,'Run Reconcile'!B$2:B799,0),1),IFERROR(0/0,""))</f>
        <v>RUN-BEND_2021-12-27_RFR-005</v>
      </c>
      <c r="S38" s="261" t="str">
        <f t="shared" ref="S38:T38" si="80">IF(COUNTIF(W$2:W799, $A38) &gt; 0,TRUE,IFERROR(0/0,""))</f>
        <v/>
      </c>
      <c r="T38" s="261" t="str">
        <f t="shared" si="80"/>
        <v/>
      </c>
      <c r="U38" s="257" t="str">
        <f t="array" ref="U38">IF(ISBLANK($R38), INDEX('Run Reconcile'!A$2:A799, MATCH($B38, 'Run Reconcile'!B$2:B799, 0)+Z38, 1), IFERROR(0/0,""))
</f>
        <v/>
      </c>
      <c r="V38" s="258" t="str">
        <f t="shared" si="5"/>
        <v>RUN-BEND_2021-12-27_RFR-005</v>
      </c>
      <c r="Y38" s="130" t="str">
        <f t="shared" si="6"/>
        <v/>
      </c>
      <c r="Z38" s="49" t="str">
        <f t="shared" si="7"/>
        <v/>
      </c>
      <c r="AA38" s="49" t="str">
        <f t="shared" si="8"/>
        <v/>
      </c>
      <c r="AB38" s="49" t="str">
        <f t="shared" si="9"/>
        <v/>
      </c>
      <c r="AC38" s="20" t="str">
        <f t="shared" ref="AC38:AD38" si="81">IF(_xlfn.ISFORMULA(S38),IFERROR(0/0,""),TRUE)</f>
        <v/>
      </c>
      <c r="AD38" s="20" t="str">
        <f t="shared" si="81"/>
        <v/>
      </c>
      <c r="AE38" s="43"/>
      <c r="AF38" s="62" t="s">
        <v>34</v>
      </c>
      <c r="AG38" s="57" t="str">
        <f t="shared" si="11"/>
        <v/>
      </c>
    </row>
    <row r="39">
      <c r="A39" s="6" t="str">
        <f>IFERROR(__xludf.DUMMYFUNCTION("""COMPUTED_VALUE"""),"MAX55")</f>
        <v>MAX55</v>
      </c>
      <c r="B39" s="204">
        <f>IFERROR(__xludf.DUMMYFUNCTION("""COMPUTED_VALUE"""),44557.0)</f>
        <v>44557</v>
      </c>
      <c r="C39" s="250">
        <f>IFERROR(__xludf.DUMMYFUNCTION("""COMPUTED_VALUE"""),0.34068287037037037)</f>
        <v>0.3406828704</v>
      </c>
      <c r="D39" s="56" t="str">
        <f>IFERROR(__xludf.DUMMYFUNCTION("""COMPUTED_VALUE"""),"SpBEND642175")</f>
        <v>SpBEND642175</v>
      </c>
      <c r="E39" s="251"/>
      <c r="F39" s="251"/>
      <c r="G39" s="251" t="str">
        <f>IFERROR(__xludf.DUMMYFUNCTION("""COMPUTED_VALUE"""),"Negative")</f>
        <v>Negative</v>
      </c>
      <c r="H39" s="262" t="str">
        <f>IFERROR(__xludf.DUMMYFUNCTION("""COMPUTED_VALUE"""),"Negative")</f>
        <v>Negative</v>
      </c>
      <c r="I39" s="204">
        <f>IFERROR(__xludf.DUMMYFUNCTION("""COMPUTED_VALUE"""),44557.0)</f>
        <v>44557</v>
      </c>
      <c r="J39" s="252">
        <f>IFERROR(__xludf.DUMMYFUNCTION("""COMPUTED_VALUE"""),0.4870949074074074)</f>
        <v>0.4870949074</v>
      </c>
      <c r="K39" s="56"/>
      <c r="L39" s="6"/>
      <c r="M39" s="61"/>
      <c r="N39" s="61">
        <f>IFERROR(__xludf.DUMMYFUNCTION("""COMPUTED_VALUE"""),1.0)</f>
        <v>1</v>
      </c>
      <c r="O39" s="61" t="str">
        <f t="shared" si="3"/>
        <v/>
      </c>
      <c r="P39" s="253">
        <f>IFERROR(__xludf.DUMMYFUNCTION("""COMPUTED_VALUE"""),0.0)</f>
        <v>0</v>
      </c>
      <c r="Q39" s="254" t="b">
        <f>VLOOKUP($B39,'Run Reconcile'!B$2:O799,14,FALSE)</f>
        <v>1</v>
      </c>
      <c r="R39" s="255" t="str">
        <f t="array" ref="R39">IF($Q39, INDEX('Run Reconcile'!A$2:A799,MATCH(B39,'Run Reconcile'!B$2:B799,0),1),IFERROR(0/0,""))</f>
        <v>RUN-BEND_2021-12-27_RFR-005</v>
      </c>
      <c r="S39" s="261" t="str">
        <f t="shared" ref="S39:T39" si="82">IF(COUNTIF(W$2:W799, $A39) &gt; 0,TRUE,IFERROR(0/0,""))</f>
        <v/>
      </c>
      <c r="T39" s="261" t="str">
        <f t="shared" si="82"/>
        <v/>
      </c>
      <c r="U39" s="257" t="str">
        <f t="array" ref="U39">IF(ISBLANK($R39), INDEX('Run Reconcile'!A$2:A799, MATCH($B39, 'Run Reconcile'!B$2:B799, 0)+Z39, 1), IFERROR(0/0,""))
</f>
        <v/>
      </c>
      <c r="V39" s="258" t="str">
        <f t="shared" si="5"/>
        <v>RUN-BEND_2021-12-27_RFR-005</v>
      </c>
      <c r="Y39" s="130" t="str">
        <f t="shared" si="6"/>
        <v/>
      </c>
      <c r="Z39" s="49" t="str">
        <f t="shared" si="7"/>
        <v/>
      </c>
      <c r="AA39" s="49" t="str">
        <f t="shared" si="8"/>
        <v/>
      </c>
      <c r="AB39" s="49" t="str">
        <f t="shared" si="9"/>
        <v/>
      </c>
      <c r="AC39" s="20" t="str">
        <f t="shared" ref="AC39:AD39" si="83">IF(_xlfn.ISFORMULA(S39),IFERROR(0/0,""),TRUE)</f>
        <v/>
      </c>
      <c r="AD39" s="20" t="str">
        <f t="shared" si="83"/>
        <v/>
      </c>
      <c r="AE39" s="43"/>
      <c r="AF39" s="62" t="s">
        <v>34</v>
      </c>
      <c r="AG39" s="57" t="str">
        <f t="shared" si="11"/>
        <v/>
      </c>
    </row>
    <row r="40">
      <c r="A40" s="6" t="str">
        <f>IFERROR(__xludf.DUMMYFUNCTION("""COMPUTED_VALUE"""),"MA343")</f>
        <v>MA343</v>
      </c>
      <c r="B40" s="204">
        <f>IFERROR(__xludf.DUMMYFUNCTION("""COMPUTED_VALUE"""),44557.0)</f>
        <v>44557</v>
      </c>
      <c r="C40" s="250">
        <f>IFERROR(__xludf.DUMMYFUNCTION("""COMPUTED_VALUE"""),0.34118055555555554)</f>
        <v>0.3411805556</v>
      </c>
      <c r="D40" s="56" t="str">
        <f>IFERROR(__xludf.DUMMYFUNCTION("""COMPUTED_VALUE"""),"SpBEND721986")</f>
        <v>SpBEND721986</v>
      </c>
      <c r="E40" s="251"/>
      <c r="F40" s="251"/>
      <c r="G40" s="251" t="str">
        <f>IFERROR(__xludf.DUMMYFUNCTION("""COMPUTED_VALUE"""),"Negative")</f>
        <v>Negative</v>
      </c>
      <c r="H40" s="262" t="str">
        <f>IFERROR(__xludf.DUMMYFUNCTION("""COMPUTED_VALUE"""),"Negative")</f>
        <v>Negative</v>
      </c>
      <c r="I40" s="204">
        <f>IFERROR(__xludf.DUMMYFUNCTION("""COMPUTED_VALUE"""),44557.0)</f>
        <v>44557</v>
      </c>
      <c r="J40" s="252">
        <f>IFERROR(__xludf.DUMMYFUNCTION("""COMPUTED_VALUE"""),0.4870949074074074)</f>
        <v>0.4870949074</v>
      </c>
      <c r="K40" s="56"/>
      <c r="L40" s="6"/>
      <c r="M40" s="61"/>
      <c r="N40" s="61">
        <f>IFERROR(__xludf.DUMMYFUNCTION("""COMPUTED_VALUE"""),1.0)</f>
        <v>1</v>
      </c>
      <c r="O40" s="61" t="str">
        <f t="shared" si="3"/>
        <v/>
      </c>
      <c r="P40" s="253">
        <f>IFERROR(__xludf.DUMMYFUNCTION("""COMPUTED_VALUE"""),0.0)</f>
        <v>0</v>
      </c>
      <c r="Q40" s="254" t="b">
        <f>VLOOKUP($B40,'Run Reconcile'!B$2:O799,14,FALSE)</f>
        <v>1</v>
      </c>
      <c r="R40" s="255" t="str">
        <f t="array" ref="R40">IF($Q40, INDEX('Run Reconcile'!A$2:A799,MATCH(B40,'Run Reconcile'!B$2:B799,0),1),IFERROR(0/0,""))</f>
        <v>RUN-BEND_2021-12-27_RFR-005</v>
      </c>
      <c r="S40" s="261" t="str">
        <f t="shared" ref="S40:T40" si="84">IF(COUNTIF(W$2:W799, $A40) &gt; 0,TRUE,IFERROR(0/0,""))</f>
        <v/>
      </c>
      <c r="T40" s="261" t="str">
        <f t="shared" si="84"/>
        <v/>
      </c>
      <c r="U40" s="257" t="str">
        <f t="array" ref="U40">IF(ISBLANK($R40), INDEX('Run Reconcile'!A$2:A799, MATCH($B40, 'Run Reconcile'!B$2:B799, 0)+Z40, 1), IFERROR(0/0,""))
</f>
        <v/>
      </c>
      <c r="V40" s="258" t="str">
        <f t="shared" si="5"/>
        <v>RUN-BEND_2021-12-27_RFR-005</v>
      </c>
      <c r="Y40" s="130" t="str">
        <f t="shared" si="6"/>
        <v/>
      </c>
      <c r="Z40" s="49" t="str">
        <f t="shared" si="7"/>
        <v/>
      </c>
      <c r="AA40" s="49" t="str">
        <f t="shared" si="8"/>
        <v/>
      </c>
      <c r="AB40" s="49" t="str">
        <f t="shared" si="9"/>
        <v/>
      </c>
      <c r="AC40" s="20" t="str">
        <f t="shared" ref="AC40:AD40" si="85">IF(_xlfn.ISFORMULA(S40),IFERROR(0/0,""),TRUE)</f>
        <v/>
      </c>
      <c r="AD40" s="20" t="str">
        <f t="shared" si="85"/>
        <v/>
      </c>
      <c r="AE40" s="43"/>
      <c r="AF40" s="62" t="s">
        <v>34</v>
      </c>
      <c r="AG40" s="57" t="str">
        <f t="shared" si="11"/>
        <v/>
      </c>
    </row>
    <row r="41">
      <c r="A41" s="6" t="str">
        <f>IFERROR(__xludf.DUMMYFUNCTION("""COMPUTED_VALUE"""),"MA371")</f>
        <v>MA371</v>
      </c>
      <c r="B41" s="204">
        <f>IFERROR(__xludf.DUMMYFUNCTION("""COMPUTED_VALUE"""),44557.0)</f>
        <v>44557</v>
      </c>
      <c r="C41" s="250">
        <f>IFERROR(__xludf.DUMMYFUNCTION("""COMPUTED_VALUE"""),0.35445601851851855)</f>
        <v>0.3544560185</v>
      </c>
      <c r="D41" s="56" t="str">
        <f>IFERROR(__xludf.DUMMYFUNCTION("""COMPUTED_VALUE"""),"SpBEND953422")</f>
        <v>SpBEND953422</v>
      </c>
      <c r="E41" s="251"/>
      <c r="F41" s="251"/>
      <c r="G41" s="251" t="str">
        <f>IFERROR(__xludf.DUMMYFUNCTION("""COMPUTED_VALUE"""),"Negative")</f>
        <v>Negative</v>
      </c>
      <c r="H41" s="262" t="str">
        <f>IFERROR(__xludf.DUMMYFUNCTION("""COMPUTED_VALUE"""),"Negative")</f>
        <v>Negative</v>
      </c>
      <c r="I41" s="204">
        <f>IFERROR(__xludf.DUMMYFUNCTION("""COMPUTED_VALUE"""),44557.0)</f>
        <v>44557</v>
      </c>
      <c r="J41" s="252">
        <f>IFERROR(__xludf.DUMMYFUNCTION("""COMPUTED_VALUE"""),0.4870949074074074)</f>
        <v>0.4870949074</v>
      </c>
      <c r="K41" s="56"/>
      <c r="L41" s="6"/>
      <c r="M41" s="61"/>
      <c r="N41" s="61">
        <f>IFERROR(__xludf.DUMMYFUNCTION("""COMPUTED_VALUE"""),1.0)</f>
        <v>1</v>
      </c>
      <c r="O41" s="61" t="str">
        <f t="shared" si="3"/>
        <v/>
      </c>
      <c r="P41" s="253">
        <f>IFERROR(__xludf.DUMMYFUNCTION("""COMPUTED_VALUE"""),0.0)</f>
        <v>0</v>
      </c>
      <c r="Q41" s="254" t="b">
        <f>VLOOKUP($B41,'Run Reconcile'!B$2:O799,14,FALSE)</f>
        <v>1</v>
      </c>
      <c r="R41" s="255" t="str">
        <f t="array" ref="R41">IF($Q41, INDEX('Run Reconcile'!A$2:A799,MATCH(B41,'Run Reconcile'!B$2:B799,0),1),IFERROR(0/0,""))</f>
        <v>RUN-BEND_2021-12-27_RFR-005</v>
      </c>
      <c r="S41" s="261" t="str">
        <f t="shared" ref="S41:T41" si="86">IF(COUNTIF(W$2:W799, $A41) &gt; 0,TRUE,IFERROR(0/0,""))</f>
        <v/>
      </c>
      <c r="T41" s="261" t="str">
        <f t="shared" si="86"/>
        <v/>
      </c>
      <c r="U41" s="257" t="str">
        <f t="array" ref="U41">IF(ISBLANK($R41), INDEX('Run Reconcile'!A$2:A799, MATCH($B41, 'Run Reconcile'!B$2:B799, 0)+Z41, 1), IFERROR(0/0,""))
</f>
        <v/>
      </c>
      <c r="V41" s="258" t="str">
        <f t="shared" si="5"/>
        <v>RUN-BEND_2021-12-27_RFR-005</v>
      </c>
      <c r="Y41" s="130" t="str">
        <f t="shared" si="6"/>
        <v/>
      </c>
      <c r="Z41" s="49" t="str">
        <f t="shared" si="7"/>
        <v/>
      </c>
      <c r="AA41" s="49" t="str">
        <f t="shared" si="8"/>
        <v/>
      </c>
      <c r="AB41" s="49" t="str">
        <f t="shared" si="9"/>
        <v/>
      </c>
      <c r="AC41" s="20" t="str">
        <f t="shared" ref="AC41:AD41" si="87">IF(_xlfn.ISFORMULA(S41),IFERROR(0/0,""),TRUE)</f>
        <v/>
      </c>
      <c r="AD41" s="20" t="str">
        <f t="shared" si="87"/>
        <v/>
      </c>
      <c r="AE41" s="43"/>
      <c r="AF41" s="62" t="s">
        <v>34</v>
      </c>
      <c r="AG41" s="57" t="str">
        <f t="shared" si="11"/>
        <v/>
      </c>
    </row>
    <row r="42">
      <c r="A42" s="6" t="str">
        <f>IFERROR(__xludf.DUMMYFUNCTION("""COMPUTED_VALUE"""),"MA1099")</f>
        <v>MA1099</v>
      </c>
      <c r="B42" s="204">
        <f>IFERROR(__xludf.DUMMYFUNCTION("""COMPUTED_VALUE"""),44557.0)</f>
        <v>44557</v>
      </c>
      <c r="C42" s="250">
        <f>IFERROR(__xludf.DUMMYFUNCTION("""COMPUTED_VALUE"""),0.36072916666666666)</f>
        <v>0.3607291667</v>
      </c>
      <c r="D42" s="56" t="str">
        <f>IFERROR(__xludf.DUMMYFUNCTION("""COMPUTED_VALUE"""),"SpBEND708976")</f>
        <v>SpBEND708976</v>
      </c>
      <c r="E42" s="251"/>
      <c r="F42" s="251"/>
      <c r="G42" s="251" t="str">
        <f>IFERROR(__xludf.DUMMYFUNCTION("""COMPUTED_VALUE"""),"Negative")</f>
        <v>Negative</v>
      </c>
      <c r="H42" s="262" t="str">
        <f>IFERROR(__xludf.DUMMYFUNCTION("""COMPUTED_VALUE"""),"Negative")</f>
        <v>Negative</v>
      </c>
      <c r="I42" s="204">
        <f>IFERROR(__xludf.DUMMYFUNCTION("""COMPUTED_VALUE"""),44557.0)</f>
        <v>44557</v>
      </c>
      <c r="J42" s="252">
        <f>IFERROR(__xludf.DUMMYFUNCTION("""COMPUTED_VALUE"""),0.4870949074074074)</f>
        <v>0.4870949074</v>
      </c>
      <c r="K42" s="56"/>
      <c r="L42" s="6"/>
      <c r="M42" s="61"/>
      <c r="N42" s="61">
        <f>IFERROR(__xludf.DUMMYFUNCTION("""COMPUTED_VALUE"""),1.0)</f>
        <v>1</v>
      </c>
      <c r="O42" s="61" t="str">
        <f t="shared" si="3"/>
        <v/>
      </c>
      <c r="P42" s="253">
        <f>IFERROR(__xludf.DUMMYFUNCTION("""COMPUTED_VALUE"""),0.0)</f>
        <v>0</v>
      </c>
      <c r="Q42" s="254" t="b">
        <f>VLOOKUP($B42,'Run Reconcile'!B$2:O799,14,FALSE)</f>
        <v>1</v>
      </c>
      <c r="R42" s="255" t="str">
        <f t="array" ref="R42">IF($Q42, INDEX('Run Reconcile'!A$2:A799,MATCH(B42,'Run Reconcile'!B$2:B799,0),1),IFERROR(0/0,""))</f>
        <v>RUN-BEND_2021-12-27_RFR-005</v>
      </c>
      <c r="S42" s="261" t="str">
        <f t="shared" ref="S42:T42" si="88">IF(COUNTIF(W$2:W799, $A42) &gt; 0,TRUE,IFERROR(0/0,""))</f>
        <v/>
      </c>
      <c r="T42" s="261" t="str">
        <f t="shared" si="88"/>
        <v/>
      </c>
      <c r="U42" s="257" t="str">
        <f t="array" ref="U42">IF(ISBLANK($R42), INDEX('Run Reconcile'!A$2:A799, MATCH($B42, 'Run Reconcile'!B$2:B799, 0)+Z42, 1), IFERROR(0/0,""))
</f>
        <v/>
      </c>
      <c r="V42" s="258" t="str">
        <f t="shared" si="5"/>
        <v>RUN-BEND_2021-12-27_RFR-005</v>
      </c>
      <c r="Y42" s="130" t="str">
        <f t="shared" si="6"/>
        <v/>
      </c>
      <c r="Z42" s="49" t="str">
        <f t="shared" si="7"/>
        <v/>
      </c>
      <c r="AA42" s="49" t="str">
        <f t="shared" si="8"/>
        <v/>
      </c>
      <c r="AB42" s="49" t="str">
        <f t="shared" si="9"/>
        <v/>
      </c>
      <c r="AC42" s="20" t="str">
        <f t="shared" ref="AC42:AD42" si="89">IF(_xlfn.ISFORMULA(S42),IFERROR(0/0,""),TRUE)</f>
        <v/>
      </c>
      <c r="AD42" s="20" t="str">
        <f t="shared" si="89"/>
        <v/>
      </c>
      <c r="AE42" s="43"/>
      <c r="AF42" s="62" t="s">
        <v>34</v>
      </c>
      <c r="AG42" s="57" t="str">
        <f t="shared" si="11"/>
        <v/>
      </c>
    </row>
    <row r="43">
      <c r="A43" s="6" t="str">
        <f>IFERROR(__xludf.DUMMYFUNCTION("""COMPUTED_VALUE"""),"MA257")</f>
        <v>MA257</v>
      </c>
      <c r="B43" s="204">
        <f>IFERROR(__xludf.DUMMYFUNCTION("""COMPUTED_VALUE"""),44557.0)</f>
        <v>44557</v>
      </c>
      <c r="C43" s="250">
        <f>IFERROR(__xludf.DUMMYFUNCTION("""COMPUTED_VALUE"""),0.37775462962962963)</f>
        <v>0.3777546296</v>
      </c>
      <c r="D43" s="56" t="str">
        <f>IFERROR(__xludf.DUMMYFUNCTION("""COMPUTED_VALUE"""),"SpBEND319298")</f>
        <v>SpBEND319298</v>
      </c>
      <c r="E43" s="251"/>
      <c r="F43" s="251"/>
      <c r="G43" s="251" t="str">
        <f>IFERROR(__xludf.DUMMYFUNCTION("""COMPUTED_VALUE"""),"Negative")</f>
        <v>Negative</v>
      </c>
      <c r="H43" s="262" t="str">
        <f>IFERROR(__xludf.DUMMYFUNCTION("""COMPUTED_VALUE"""),"Negative")</f>
        <v>Negative</v>
      </c>
      <c r="I43" s="204">
        <f>IFERROR(__xludf.DUMMYFUNCTION("""COMPUTED_VALUE"""),44557.0)</f>
        <v>44557</v>
      </c>
      <c r="J43" s="252">
        <f>IFERROR(__xludf.DUMMYFUNCTION("""COMPUTED_VALUE"""),0.4870949074074074)</f>
        <v>0.4870949074</v>
      </c>
      <c r="K43" s="56"/>
      <c r="L43" s="6"/>
      <c r="M43" s="61"/>
      <c r="N43" s="61">
        <f>IFERROR(__xludf.DUMMYFUNCTION("""COMPUTED_VALUE"""),1.0)</f>
        <v>1</v>
      </c>
      <c r="O43" s="61" t="str">
        <f t="shared" si="3"/>
        <v/>
      </c>
      <c r="P43" s="253">
        <f>IFERROR(__xludf.DUMMYFUNCTION("""COMPUTED_VALUE"""),0.0)</f>
        <v>0</v>
      </c>
      <c r="Q43" s="254" t="b">
        <f>VLOOKUP($B43,'Run Reconcile'!B$2:O799,14,FALSE)</f>
        <v>1</v>
      </c>
      <c r="R43" s="255" t="str">
        <f t="array" ref="R43">IF($Q43, INDEX('Run Reconcile'!A$2:A799,MATCH(B43,'Run Reconcile'!B$2:B799,0),1),IFERROR(0/0,""))</f>
        <v>RUN-BEND_2021-12-27_RFR-005</v>
      </c>
      <c r="S43" s="261" t="str">
        <f t="shared" ref="S43:T43" si="90">IF(COUNTIF(W$2:W799, $A43) &gt; 0,TRUE,IFERROR(0/0,""))</f>
        <v/>
      </c>
      <c r="T43" s="261" t="str">
        <f t="shared" si="90"/>
        <v/>
      </c>
      <c r="U43" s="257" t="str">
        <f t="array" ref="U43">IF(ISBLANK($R43), INDEX('Run Reconcile'!A$2:A799, MATCH($B43, 'Run Reconcile'!B$2:B799, 0)+Z43, 1), IFERROR(0/0,""))
</f>
        <v/>
      </c>
      <c r="V43" s="258" t="str">
        <f t="shared" si="5"/>
        <v>RUN-BEND_2021-12-27_RFR-005</v>
      </c>
      <c r="Y43" s="130" t="str">
        <f t="shared" si="6"/>
        <v/>
      </c>
      <c r="Z43" s="49" t="str">
        <f t="shared" si="7"/>
        <v/>
      </c>
      <c r="AA43" s="49" t="str">
        <f t="shared" si="8"/>
        <v/>
      </c>
      <c r="AB43" s="49" t="str">
        <f t="shared" si="9"/>
        <v/>
      </c>
      <c r="AC43" s="20" t="str">
        <f t="shared" ref="AC43:AD43" si="91">IF(_xlfn.ISFORMULA(S43),IFERROR(0/0,""),TRUE)</f>
        <v/>
      </c>
      <c r="AD43" s="20" t="str">
        <f t="shared" si="91"/>
        <v/>
      </c>
      <c r="AE43" s="43"/>
      <c r="AF43" s="62" t="s">
        <v>34</v>
      </c>
      <c r="AG43" s="57" t="str">
        <f t="shared" si="11"/>
        <v/>
      </c>
    </row>
    <row r="44">
      <c r="A44" s="6" t="str">
        <f>IFERROR(__xludf.DUMMYFUNCTION("""COMPUTED_VALUE"""),"MA624")</f>
        <v>MA624</v>
      </c>
      <c r="B44" s="204">
        <f>IFERROR(__xludf.DUMMYFUNCTION("""COMPUTED_VALUE"""),44557.0)</f>
        <v>44557</v>
      </c>
      <c r="C44" s="250">
        <f>IFERROR(__xludf.DUMMYFUNCTION("""COMPUTED_VALUE"""),0.3893287037037037)</f>
        <v>0.3893287037</v>
      </c>
      <c r="D44" s="56" t="str">
        <f>IFERROR(__xludf.DUMMYFUNCTION("""COMPUTED_VALUE"""),"SpBEND548976")</f>
        <v>SpBEND548976</v>
      </c>
      <c r="E44" s="251"/>
      <c r="F44" s="251"/>
      <c r="G44" s="251" t="str">
        <f>IFERROR(__xludf.DUMMYFUNCTION("""COMPUTED_VALUE"""),"Negative")</f>
        <v>Negative</v>
      </c>
      <c r="H44" s="262" t="str">
        <f>IFERROR(__xludf.DUMMYFUNCTION("""COMPUTED_VALUE"""),"Negative")</f>
        <v>Negative</v>
      </c>
      <c r="I44" s="204">
        <f>IFERROR(__xludf.DUMMYFUNCTION("""COMPUTED_VALUE"""),44557.0)</f>
        <v>44557</v>
      </c>
      <c r="J44" s="252">
        <f>IFERROR(__xludf.DUMMYFUNCTION("""COMPUTED_VALUE"""),0.4870949074074074)</f>
        <v>0.4870949074</v>
      </c>
      <c r="K44" s="56"/>
      <c r="L44" s="6"/>
      <c r="M44" s="61"/>
      <c r="N44" s="61">
        <f>IFERROR(__xludf.DUMMYFUNCTION("""COMPUTED_VALUE"""),1.0)</f>
        <v>1</v>
      </c>
      <c r="O44" s="61" t="str">
        <f t="shared" si="3"/>
        <v/>
      </c>
      <c r="P44" s="253">
        <f>IFERROR(__xludf.DUMMYFUNCTION("""COMPUTED_VALUE"""),0.0)</f>
        <v>0</v>
      </c>
      <c r="Q44" s="254" t="b">
        <f>VLOOKUP($B44,'Run Reconcile'!B$2:O799,14,FALSE)</f>
        <v>1</v>
      </c>
      <c r="R44" s="255" t="str">
        <f t="array" ref="R44">IF($Q44, INDEX('Run Reconcile'!A$2:A799,MATCH(B44,'Run Reconcile'!B$2:B799,0),1),IFERROR(0/0,""))</f>
        <v>RUN-BEND_2021-12-27_RFR-005</v>
      </c>
      <c r="S44" s="261" t="str">
        <f t="shared" ref="S44:T44" si="92">IF(COUNTIF(W$2:W799, $A44) &gt; 0,TRUE,IFERROR(0/0,""))</f>
        <v/>
      </c>
      <c r="T44" s="261" t="str">
        <f t="shared" si="92"/>
        <v/>
      </c>
      <c r="U44" s="257" t="str">
        <f t="array" ref="U44">IF(ISBLANK($R44), INDEX('Run Reconcile'!A$2:A799, MATCH($B44, 'Run Reconcile'!B$2:B799, 0)+Z44, 1), IFERROR(0/0,""))
</f>
        <v/>
      </c>
      <c r="V44" s="258" t="str">
        <f t="shared" si="5"/>
        <v>RUN-BEND_2021-12-27_RFR-005</v>
      </c>
      <c r="Y44" s="130" t="str">
        <f t="shared" si="6"/>
        <v/>
      </c>
      <c r="Z44" s="49" t="str">
        <f t="shared" si="7"/>
        <v/>
      </c>
      <c r="AA44" s="49" t="str">
        <f t="shared" si="8"/>
        <v/>
      </c>
      <c r="AB44" s="49" t="str">
        <f t="shared" si="9"/>
        <v/>
      </c>
      <c r="AC44" s="20" t="str">
        <f t="shared" ref="AC44:AD44" si="93">IF(_xlfn.ISFORMULA(S44),IFERROR(0/0,""),TRUE)</f>
        <v/>
      </c>
      <c r="AD44" s="20" t="str">
        <f t="shared" si="93"/>
        <v/>
      </c>
      <c r="AE44" s="43"/>
      <c r="AF44" s="62" t="s">
        <v>34</v>
      </c>
      <c r="AG44" s="57" t="str">
        <f t="shared" si="11"/>
        <v/>
      </c>
    </row>
    <row r="45">
      <c r="A45" s="6" t="str">
        <f>IFERROR(__xludf.DUMMYFUNCTION("""COMPUTED_VALUE"""),"MAX139")</f>
        <v>MAX139</v>
      </c>
      <c r="B45" s="204">
        <f>IFERROR(__xludf.DUMMYFUNCTION("""COMPUTED_VALUE"""),44557.0)</f>
        <v>44557</v>
      </c>
      <c r="C45" s="250">
        <f>IFERROR(__xludf.DUMMYFUNCTION("""COMPUTED_VALUE"""),0.4255902777777778)</f>
        <v>0.4255902778</v>
      </c>
      <c r="D45" s="56" t="str">
        <f>IFERROR(__xludf.DUMMYFUNCTION("""COMPUTED_VALUE"""),"SpBEND350015")</f>
        <v>SpBEND350015</v>
      </c>
      <c r="E45" s="251"/>
      <c r="F45" s="251"/>
      <c r="G45" s="251" t="str">
        <f>IFERROR(__xludf.DUMMYFUNCTION("""COMPUTED_VALUE"""),"Negative")</f>
        <v>Negative</v>
      </c>
      <c r="H45" s="262" t="str">
        <f>IFERROR(__xludf.DUMMYFUNCTION("""COMPUTED_VALUE"""),"Negative")</f>
        <v>Negative</v>
      </c>
      <c r="I45" s="204">
        <f>IFERROR(__xludf.DUMMYFUNCTION("""COMPUTED_VALUE"""),44557.0)</f>
        <v>44557</v>
      </c>
      <c r="J45" s="252">
        <f>IFERROR(__xludf.DUMMYFUNCTION("""COMPUTED_VALUE"""),0.4871064814814815)</f>
        <v>0.4871064815</v>
      </c>
      <c r="K45" s="56"/>
      <c r="L45" s="6"/>
      <c r="M45" s="61"/>
      <c r="N45" s="61">
        <f>IFERROR(__xludf.DUMMYFUNCTION("""COMPUTED_VALUE"""),1.0)</f>
        <v>1</v>
      </c>
      <c r="O45" s="61" t="str">
        <f t="shared" si="3"/>
        <v/>
      </c>
      <c r="P45" s="253">
        <f>IFERROR(__xludf.DUMMYFUNCTION("""COMPUTED_VALUE"""),0.0)</f>
        <v>0</v>
      </c>
      <c r="Q45" s="254" t="b">
        <f>VLOOKUP($B45,'Run Reconcile'!B$2:O799,14,FALSE)</f>
        <v>1</v>
      </c>
      <c r="R45" s="255" t="str">
        <f t="array" ref="R45">IF($Q45, INDEX('Run Reconcile'!A$2:A799,MATCH(B45,'Run Reconcile'!B$2:B799,0),1),IFERROR(0/0,""))</f>
        <v>RUN-BEND_2021-12-27_RFR-005</v>
      </c>
      <c r="S45" s="261" t="str">
        <f t="shared" ref="S45:T45" si="94">IF(COUNTIF(W$2:W799, $A45) &gt; 0,TRUE,IFERROR(0/0,""))</f>
        <v/>
      </c>
      <c r="T45" s="261" t="str">
        <f t="shared" si="94"/>
        <v/>
      </c>
      <c r="U45" s="257" t="str">
        <f t="array" ref="U45">IF(ISBLANK($R45), INDEX('Run Reconcile'!A$2:A799, MATCH($B45, 'Run Reconcile'!B$2:B799, 0)+Z45, 1), IFERROR(0/0,""))
</f>
        <v/>
      </c>
      <c r="V45" s="258" t="str">
        <f t="shared" si="5"/>
        <v>RUN-BEND_2021-12-27_RFR-005</v>
      </c>
      <c r="Y45" s="130" t="str">
        <f t="shared" si="6"/>
        <v/>
      </c>
      <c r="Z45" s="49" t="str">
        <f t="shared" si="7"/>
        <v/>
      </c>
      <c r="AA45" s="49" t="str">
        <f t="shared" si="8"/>
        <v/>
      </c>
      <c r="AB45" s="49" t="str">
        <f t="shared" si="9"/>
        <v/>
      </c>
      <c r="AC45" s="20" t="str">
        <f t="shared" ref="AC45:AD45" si="95">IF(_xlfn.ISFORMULA(S45),IFERROR(0/0,""),TRUE)</f>
        <v/>
      </c>
      <c r="AD45" s="20" t="str">
        <f t="shared" si="95"/>
        <v/>
      </c>
      <c r="AE45" s="43"/>
      <c r="AF45" s="62" t="s">
        <v>34</v>
      </c>
      <c r="AG45" s="57" t="str">
        <f t="shared" si="11"/>
        <v/>
      </c>
    </row>
    <row r="46">
      <c r="A46" s="6" t="str">
        <f>IFERROR(__xludf.DUMMYFUNCTION("""COMPUTED_VALUE"""),"MA1183")</f>
        <v>MA1183</v>
      </c>
      <c r="B46" s="204">
        <f>IFERROR(__xludf.DUMMYFUNCTION("""COMPUTED_VALUE"""),44557.0)</f>
        <v>44557</v>
      </c>
      <c r="C46" s="250">
        <f>IFERROR(__xludf.DUMMYFUNCTION("""COMPUTED_VALUE"""),0.4258796296296296)</f>
        <v>0.4258796296</v>
      </c>
      <c r="D46" s="56" t="str">
        <f>IFERROR(__xludf.DUMMYFUNCTION("""COMPUTED_VALUE"""),"SpBEND394154")</f>
        <v>SpBEND394154</v>
      </c>
      <c r="E46" s="251"/>
      <c r="F46" s="251"/>
      <c r="G46" s="251" t="str">
        <f>IFERROR(__xludf.DUMMYFUNCTION("""COMPUTED_VALUE"""),"Negative")</f>
        <v>Negative</v>
      </c>
      <c r="H46" s="262" t="str">
        <f>IFERROR(__xludf.DUMMYFUNCTION("""COMPUTED_VALUE"""),"Negative")</f>
        <v>Negative</v>
      </c>
      <c r="I46" s="204">
        <f>IFERROR(__xludf.DUMMYFUNCTION("""COMPUTED_VALUE"""),44557.0)</f>
        <v>44557</v>
      </c>
      <c r="J46" s="252">
        <f>IFERROR(__xludf.DUMMYFUNCTION("""COMPUTED_VALUE"""),0.4871064814814815)</f>
        <v>0.4871064815</v>
      </c>
      <c r="K46" s="56"/>
      <c r="L46" s="6"/>
      <c r="M46" s="61"/>
      <c r="N46" s="61">
        <f>IFERROR(__xludf.DUMMYFUNCTION("""COMPUTED_VALUE"""),1.0)</f>
        <v>1</v>
      </c>
      <c r="O46" s="61" t="str">
        <f t="shared" si="3"/>
        <v/>
      </c>
      <c r="P46" s="253">
        <f>IFERROR(__xludf.DUMMYFUNCTION("""COMPUTED_VALUE"""),0.0)</f>
        <v>0</v>
      </c>
      <c r="Q46" s="254" t="b">
        <f>VLOOKUP($B46,'Run Reconcile'!B$2:O799,14,FALSE)</f>
        <v>1</v>
      </c>
      <c r="R46" s="255" t="str">
        <f t="array" ref="R46">IF($Q46, INDEX('Run Reconcile'!A$2:A799,MATCH(B46,'Run Reconcile'!B$2:B799,0),1),IFERROR(0/0,""))</f>
        <v>RUN-BEND_2021-12-27_RFR-005</v>
      </c>
      <c r="S46" s="261" t="str">
        <f t="shared" ref="S46:T46" si="96">IF(COUNTIF(W$2:W799, $A46) &gt; 0,TRUE,IFERROR(0/0,""))</f>
        <v/>
      </c>
      <c r="T46" s="261" t="str">
        <f t="shared" si="96"/>
        <v/>
      </c>
      <c r="U46" s="257" t="str">
        <f t="array" ref="U46">IF(ISBLANK($R46), INDEX('Run Reconcile'!A$2:A799, MATCH($B46, 'Run Reconcile'!B$2:B799, 0)+Z46, 1), IFERROR(0/0,""))
</f>
        <v/>
      </c>
      <c r="V46" s="258" t="str">
        <f t="shared" si="5"/>
        <v>RUN-BEND_2021-12-27_RFR-005</v>
      </c>
      <c r="Y46" s="130" t="str">
        <f t="shared" si="6"/>
        <v/>
      </c>
      <c r="Z46" s="49" t="str">
        <f t="shared" si="7"/>
        <v/>
      </c>
      <c r="AA46" s="49" t="str">
        <f t="shared" si="8"/>
        <v/>
      </c>
      <c r="AB46" s="49" t="str">
        <f t="shared" si="9"/>
        <v/>
      </c>
      <c r="AC46" s="20" t="str">
        <f t="shared" ref="AC46:AD46" si="97">IF(_xlfn.ISFORMULA(S46),IFERROR(0/0,""),TRUE)</f>
        <v/>
      </c>
      <c r="AD46" s="20" t="str">
        <f t="shared" si="97"/>
        <v/>
      </c>
      <c r="AE46" s="43"/>
      <c r="AF46" s="62" t="s">
        <v>34</v>
      </c>
      <c r="AG46" s="57" t="str">
        <f t="shared" si="11"/>
        <v/>
      </c>
    </row>
    <row r="47">
      <c r="A47" s="6" t="str">
        <f>IFERROR(__xludf.DUMMYFUNCTION("""COMPUTED_VALUE"""),"MA479")</f>
        <v>MA479</v>
      </c>
      <c r="B47" s="204">
        <f>IFERROR(__xludf.DUMMYFUNCTION("""COMPUTED_VALUE"""),44559.0)</f>
        <v>44559</v>
      </c>
      <c r="C47" s="250">
        <f>IFERROR(__xludf.DUMMYFUNCTION("""COMPUTED_VALUE"""),0.2964467592592593)</f>
        <v>0.2964467593</v>
      </c>
      <c r="D47" s="56" t="str">
        <f>IFERROR(__xludf.DUMMYFUNCTION("""COMPUTED_VALUE"""),"SpBEND610784")</f>
        <v>SpBEND610784</v>
      </c>
      <c r="E47" s="251"/>
      <c r="F47" s="251"/>
      <c r="G47" s="251" t="str">
        <f>IFERROR(__xludf.DUMMYFUNCTION("""COMPUTED_VALUE"""),"Negative")</f>
        <v>Negative</v>
      </c>
      <c r="H47" s="262" t="str">
        <f>IFERROR(__xludf.DUMMYFUNCTION("""COMPUTED_VALUE"""),"Negative")</f>
        <v>Negative</v>
      </c>
      <c r="I47" s="204">
        <f>IFERROR(__xludf.DUMMYFUNCTION("""COMPUTED_VALUE"""),44559.0)</f>
        <v>44559</v>
      </c>
      <c r="J47" s="252">
        <f>IFERROR(__xludf.DUMMYFUNCTION("""COMPUTED_VALUE"""),0.4366319444444444)</f>
        <v>0.4366319444</v>
      </c>
      <c r="K47" s="56"/>
      <c r="L47" s="6"/>
      <c r="M47" s="61"/>
      <c r="N47" s="61">
        <f>IFERROR(__xludf.DUMMYFUNCTION("""COMPUTED_VALUE"""),1.0)</f>
        <v>1</v>
      </c>
      <c r="O47" s="61" t="b">
        <f t="shared" si="3"/>
        <v>1</v>
      </c>
      <c r="P47" s="253">
        <f>IFERROR(__xludf.DUMMYFUNCTION("""COMPUTED_VALUE"""),0.0)</f>
        <v>0</v>
      </c>
      <c r="Q47" s="254" t="b">
        <f>VLOOKUP($B47,'Run Reconcile'!B$2:O799,14,FALSE)</f>
        <v>1</v>
      </c>
      <c r="R47" s="255" t="str">
        <f t="array" ref="R47">IF($Q47, INDEX('Run Reconcile'!A$2:A799,MATCH(B47,'Run Reconcile'!B$2:B799,0),1),IFERROR(0/0,""))</f>
        <v>RUN-BEND_2021-12-29_RFR-006</v>
      </c>
      <c r="S47" s="261" t="str">
        <f t="shared" ref="S47:T47" si="98">IF(COUNTIF(W$2:W799, $A47) &gt; 0,TRUE,IFERROR(0/0,""))</f>
        <v/>
      </c>
      <c r="T47" s="261" t="str">
        <f t="shared" si="98"/>
        <v/>
      </c>
      <c r="U47" s="257" t="str">
        <f t="array" ref="U47">IF(ISBLANK($R47), INDEX('Run Reconcile'!A$2:A799, MATCH($B47, 'Run Reconcile'!B$2:B799, 0)+Z47, 1), IFERROR(0/0,""))
</f>
        <v/>
      </c>
      <c r="V47" s="258" t="str">
        <f t="shared" si="5"/>
        <v>RUN-BEND_2021-12-29_RFR-006</v>
      </c>
      <c r="Y47" s="130" t="str">
        <f t="shared" si="6"/>
        <v/>
      </c>
      <c r="Z47" s="49" t="str">
        <f t="shared" si="7"/>
        <v/>
      </c>
      <c r="AA47" s="49" t="str">
        <f t="shared" si="8"/>
        <v/>
      </c>
      <c r="AB47" s="49" t="str">
        <f t="shared" si="9"/>
        <v/>
      </c>
      <c r="AC47" s="20" t="str">
        <f t="shared" ref="AC47:AD47" si="99">IF(_xlfn.ISFORMULA(S47),IFERROR(0/0,""),TRUE)</f>
        <v/>
      </c>
      <c r="AD47" s="20" t="str">
        <f t="shared" si="99"/>
        <v/>
      </c>
      <c r="AE47" s="43"/>
      <c r="AF47" s="62" t="s">
        <v>35</v>
      </c>
      <c r="AG47" s="57" t="str">
        <f t="shared" si="11"/>
        <v/>
      </c>
    </row>
    <row r="48">
      <c r="A48" s="6" t="str">
        <f>IFERROR(__xludf.DUMMYFUNCTION("""COMPUTED_VALUE"""),"MA1299")</f>
        <v>MA1299</v>
      </c>
      <c r="B48" s="204">
        <f>IFERROR(__xludf.DUMMYFUNCTION("""COMPUTED_VALUE"""),44559.0)</f>
        <v>44559</v>
      </c>
      <c r="C48" s="250">
        <f>IFERROR(__xludf.DUMMYFUNCTION("""COMPUTED_VALUE"""),0.35658564814814814)</f>
        <v>0.3565856481</v>
      </c>
      <c r="D48" s="56" t="str">
        <f>IFERROR(__xludf.DUMMYFUNCTION("""COMPUTED_VALUE"""),"SpBEND708976")</f>
        <v>SpBEND708976</v>
      </c>
      <c r="E48" s="251"/>
      <c r="F48" s="251"/>
      <c r="G48" s="251" t="str">
        <f>IFERROR(__xludf.DUMMYFUNCTION("""COMPUTED_VALUE"""),"Negative")</f>
        <v>Negative</v>
      </c>
      <c r="H48" s="262" t="str">
        <f>IFERROR(__xludf.DUMMYFUNCTION("""COMPUTED_VALUE"""),"Negative")</f>
        <v>Negative</v>
      </c>
      <c r="I48" s="204">
        <f>IFERROR(__xludf.DUMMYFUNCTION("""COMPUTED_VALUE"""),44559.0)</f>
        <v>44559</v>
      </c>
      <c r="J48" s="252">
        <f>IFERROR(__xludf.DUMMYFUNCTION("""COMPUTED_VALUE"""),0.4366319444444444)</f>
        <v>0.4366319444</v>
      </c>
      <c r="K48" s="56"/>
      <c r="L48" s="6"/>
      <c r="M48" s="61"/>
      <c r="N48" s="61">
        <f>IFERROR(__xludf.DUMMYFUNCTION("""COMPUTED_VALUE"""),1.0)</f>
        <v>1</v>
      </c>
      <c r="O48" s="61" t="str">
        <f t="shared" si="3"/>
        <v/>
      </c>
      <c r="P48" s="253">
        <f>IFERROR(__xludf.DUMMYFUNCTION("""COMPUTED_VALUE"""),0.0)</f>
        <v>0</v>
      </c>
      <c r="Q48" s="254" t="b">
        <f>VLOOKUP($B48,'Run Reconcile'!B$2:O799,14,FALSE)</f>
        <v>1</v>
      </c>
      <c r="R48" s="255" t="str">
        <f t="array" ref="R48">IF($Q48, INDEX('Run Reconcile'!A$2:A799,MATCH(B48,'Run Reconcile'!B$2:B799,0),1),IFERROR(0/0,""))</f>
        <v>RUN-BEND_2021-12-29_RFR-006</v>
      </c>
      <c r="S48" s="261" t="str">
        <f t="shared" ref="S48:T48" si="100">IF(COUNTIF(W$2:W799, $A48) &gt; 0,TRUE,IFERROR(0/0,""))</f>
        <v/>
      </c>
      <c r="T48" s="261" t="str">
        <f t="shared" si="100"/>
        <v/>
      </c>
      <c r="U48" s="257" t="str">
        <f t="array" ref="U48">IF(ISBLANK($R48), INDEX('Run Reconcile'!A$2:A799, MATCH($B48, 'Run Reconcile'!B$2:B799, 0)+Z48, 1), IFERROR(0/0,""))
</f>
        <v/>
      </c>
      <c r="V48" s="258" t="str">
        <f t="shared" si="5"/>
        <v>RUN-BEND_2021-12-29_RFR-006</v>
      </c>
      <c r="Y48" s="130" t="str">
        <f t="shared" si="6"/>
        <v/>
      </c>
      <c r="Z48" s="49" t="str">
        <f t="shared" si="7"/>
        <v/>
      </c>
      <c r="AA48" s="49" t="str">
        <f t="shared" si="8"/>
        <v/>
      </c>
      <c r="AB48" s="49" t="str">
        <f t="shared" si="9"/>
        <v/>
      </c>
      <c r="AC48" s="20" t="str">
        <f t="shared" ref="AC48:AD48" si="101">IF(_xlfn.ISFORMULA(S48),IFERROR(0/0,""),TRUE)</f>
        <v/>
      </c>
      <c r="AD48" s="20" t="str">
        <f t="shared" si="101"/>
        <v/>
      </c>
      <c r="AE48" s="43"/>
      <c r="AF48" s="62" t="s">
        <v>35</v>
      </c>
      <c r="AG48" s="57" t="str">
        <f t="shared" si="11"/>
        <v/>
      </c>
    </row>
    <row r="49">
      <c r="A49" s="6" t="str">
        <f>IFERROR(__xludf.DUMMYFUNCTION("""COMPUTED_VALUE"""),"MA404")</f>
        <v>MA404</v>
      </c>
      <c r="B49" s="204">
        <f>IFERROR(__xludf.DUMMYFUNCTION("""COMPUTED_VALUE"""),44559.0)</f>
        <v>44559</v>
      </c>
      <c r="C49" s="250">
        <f>IFERROR(__xludf.DUMMYFUNCTION("""COMPUTED_VALUE"""),0.3973263888888889)</f>
        <v>0.3973263889</v>
      </c>
      <c r="D49" s="56" t="str">
        <f>IFERROR(__xludf.DUMMYFUNCTION("""COMPUTED_VALUE"""),"SpBEND110967")</f>
        <v>SpBEND110967</v>
      </c>
      <c r="E49" s="251"/>
      <c r="F49" s="251"/>
      <c r="G49" s="251" t="str">
        <f>IFERROR(__xludf.DUMMYFUNCTION("""COMPUTED_VALUE"""),"Negative")</f>
        <v>Negative</v>
      </c>
      <c r="H49" s="262" t="str">
        <f>IFERROR(__xludf.DUMMYFUNCTION("""COMPUTED_VALUE"""),"Negative")</f>
        <v>Negative</v>
      </c>
      <c r="I49" s="204">
        <f>IFERROR(__xludf.DUMMYFUNCTION("""COMPUTED_VALUE"""),44559.0)</f>
        <v>44559</v>
      </c>
      <c r="J49" s="252">
        <f>IFERROR(__xludf.DUMMYFUNCTION("""COMPUTED_VALUE"""),0.4366319444444444)</f>
        <v>0.4366319444</v>
      </c>
      <c r="K49" s="56"/>
      <c r="L49" s="6"/>
      <c r="M49" s="61"/>
      <c r="N49" s="61">
        <f>IFERROR(__xludf.DUMMYFUNCTION("""COMPUTED_VALUE"""),1.0)</f>
        <v>1</v>
      </c>
      <c r="O49" s="61" t="str">
        <f t="shared" si="3"/>
        <v/>
      </c>
      <c r="P49" s="253">
        <f>IFERROR(__xludf.DUMMYFUNCTION("""COMPUTED_VALUE"""),0.0)</f>
        <v>0</v>
      </c>
      <c r="Q49" s="254" t="b">
        <f>VLOOKUP($B49,'Run Reconcile'!B$2:O799,14,FALSE)</f>
        <v>1</v>
      </c>
      <c r="R49" s="255" t="str">
        <f t="array" ref="R49">IF($Q49, INDEX('Run Reconcile'!A$2:A799,MATCH(B49,'Run Reconcile'!B$2:B799,0),1),IFERROR(0/0,""))</f>
        <v>RUN-BEND_2021-12-29_RFR-006</v>
      </c>
      <c r="S49" s="261" t="str">
        <f t="shared" ref="S49:T49" si="102">IF(COUNTIF(W$2:W799, $A49) &gt; 0,TRUE,IFERROR(0/0,""))</f>
        <v/>
      </c>
      <c r="T49" s="261" t="str">
        <f t="shared" si="102"/>
        <v/>
      </c>
      <c r="U49" s="257" t="str">
        <f t="array" ref="U49">IF(ISBLANK($R49), INDEX('Run Reconcile'!A$2:A799, MATCH($B49, 'Run Reconcile'!B$2:B799, 0)+Z49, 1), IFERROR(0/0,""))
</f>
        <v/>
      </c>
      <c r="V49" s="258" t="str">
        <f t="shared" si="5"/>
        <v>RUN-BEND_2021-12-29_RFR-006</v>
      </c>
      <c r="Y49" s="130" t="str">
        <f t="shared" si="6"/>
        <v/>
      </c>
      <c r="Z49" s="49" t="str">
        <f t="shared" si="7"/>
        <v/>
      </c>
      <c r="AA49" s="49" t="str">
        <f t="shared" si="8"/>
        <v/>
      </c>
      <c r="AB49" s="49" t="str">
        <f t="shared" si="9"/>
        <v/>
      </c>
      <c r="AC49" s="20" t="str">
        <f t="shared" ref="AC49:AD49" si="103">IF(_xlfn.ISFORMULA(S49),IFERROR(0/0,""),TRUE)</f>
        <v/>
      </c>
      <c r="AD49" s="20" t="str">
        <f t="shared" si="103"/>
        <v/>
      </c>
      <c r="AE49" s="43"/>
      <c r="AF49" s="62" t="s">
        <v>35</v>
      </c>
      <c r="AG49" s="57" t="str">
        <f t="shared" si="11"/>
        <v/>
      </c>
    </row>
    <row r="50">
      <c r="A50" s="6" t="str">
        <f>IFERROR(__xludf.DUMMYFUNCTION("""COMPUTED_VALUE"""),"MA1073")</f>
        <v>MA1073</v>
      </c>
      <c r="B50" s="204">
        <f>IFERROR(__xludf.DUMMYFUNCTION("""COMPUTED_VALUE"""),44559.0)</f>
        <v>44559</v>
      </c>
      <c r="C50" s="250">
        <f>IFERROR(__xludf.DUMMYFUNCTION("""COMPUTED_VALUE"""),0.3974421296296296)</f>
        <v>0.3974421296</v>
      </c>
      <c r="D50" s="56" t="str">
        <f>IFERROR(__xludf.DUMMYFUNCTION("""COMPUTED_VALUE"""),"SpBEND350015")</f>
        <v>SpBEND350015</v>
      </c>
      <c r="E50" s="251"/>
      <c r="F50" s="251"/>
      <c r="G50" s="251" t="str">
        <f>IFERROR(__xludf.DUMMYFUNCTION("""COMPUTED_VALUE"""),"Negative")</f>
        <v>Negative</v>
      </c>
      <c r="H50" s="262" t="str">
        <f>IFERROR(__xludf.DUMMYFUNCTION("""COMPUTED_VALUE"""),"Negative")</f>
        <v>Negative</v>
      </c>
      <c r="I50" s="204">
        <f>IFERROR(__xludf.DUMMYFUNCTION("""COMPUTED_VALUE"""),44559.0)</f>
        <v>44559</v>
      </c>
      <c r="J50" s="252">
        <f>IFERROR(__xludf.DUMMYFUNCTION("""COMPUTED_VALUE"""),0.4366319444444444)</f>
        <v>0.4366319444</v>
      </c>
      <c r="K50" s="56"/>
      <c r="L50" s="6"/>
      <c r="M50" s="61"/>
      <c r="N50" s="61">
        <f>IFERROR(__xludf.DUMMYFUNCTION("""COMPUTED_VALUE"""),1.0)</f>
        <v>1</v>
      </c>
      <c r="O50" s="61" t="str">
        <f t="shared" si="3"/>
        <v/>
      </c>
      <c r="P50" s="253">
        <f>IFERROR(__xludf.DUMMYFUNCTION("""COMPUTED_VALUE"""),0.0)</f>
        <v>0</v>
      </c>
      <c r="Q50" s="254" t="b">
        <f>VLOOKUP($B50,'Run Reconcile'!B$2:O799,14,FALSE)</f>
        <v>1</v>
      </c>
      <c r="R50" s="255" t="str">
        <f t="array" ref="R50">IF($Q50, INDEX('Run Reconcile'!A$2:A799,MATCH(B50,'Run Reconcile'!B$2:B799,0),1),IFERROR(0/0,""))</f>
        <v>RUN-BEND_2021-12-29_RFR-006</v>
      </c>
      <c r="S50" s="261" t="str">
        <f t="shared" ref="S50:T50" si="104">IF(COUNTIF(W$2:W799, $A50) &gt; 0,TRUE,IFERROR(0/0,""))</f>
        <v/>
      </c>
      <c r="T50" s="261" t="str">
        <f t="shared" si="104"/>
        <v/>
      </c>
      <c r="U50" s="257" t="str">
        <f t="array" ref="U50">IF(ISBLANK($R50), INDEX('Run Reconcile'!A$2:A799, MATCH($B50, 'Run Reconcile'!B$2:B799, 0)+Z50, 1), IFERROR(0/0,""))
</f>
        <v/>
      </c>
      <c r="V50" s="258" t="str">
        <f t="shared" si="5"/>
        <v>RUN-BEND_2021-12-29_RFR-006</v>
      </c>
      <c r="Y50" s="130" t="str">
        <f t="shared" si="6"/>
        <v/>
      </c>
      <c r="Z50" s="49" t="str">
        <f t="shared" si="7"/>
        <v/>
      </c>
      <c r="AA50" s="49" t="str">
        <f t="shared" si="8"/>
        <v/>
      </c>
      <c r="AB50" s="49" t="str">
        <f t="shared" si="9"/>
        <v/>
      </c>
      <c r="AC50" s="20" t="str">
        <f t="shared" ref="AC50:AD50" si="105">IF(_xlfn.ISFORMULA(S50),IFERROR(0/0,""),TRUE)</f>
        <v/>
      </c>
      <c r="AD50" s="20" t="str">
        <f t="shared" si="105"/>
        <v/>
      </c>
      <c r="AE50" s="43"/>
      <c r="AF50" s="62" t="s">
        <v>35</v>
      </c>
      <c r="AG50" s="57" t="str">
        <f t="shared" si="11"/>
        <v/>
      </c>
    </row>
    <row r="51">
      <c r="A51" s="6" t="str">
        <f>IFERROR(__xludf.DUMMYFUNCTION("""COMPUTED_VALUE"""),"MA1081")</f>
        <v>MA1081</v>
      </c>
      <c r="B51" s="204">
        <f>IFERROR(__xludf.DUMMYFUNCTION("""COMPUTED_VALUE"""),44561.0)</f>
        <v>44561</v>
      </c>
      <c r="C51" s="250">
        <f>IFERROR(__xludf.DUMMYFUNCTION("""COMPUTED_VALUE"""),0.3053240740740741)</f>
        <v>0.3053240741</v>
      </c>
      <c r="D51" s="56" t="str">
        <f>IFERROR(__xludf.DUMMYFUNCTION("""COMPUTED_VALUE"""),"SpBEND734943")</f>
        <v>SpBEND734943</v>
      </c>
      <c r="E51" s="251"/>
      <c r="F51" s="251"/>
      <c r="G51" s="251" t="str">
        <f>IFERROR(__xludf.DUMMYFUNCTION("""COMPUTED_VALUE"""),"Positive")</f>
        <v>Positive</v>
      </c>
      <c r="H51" s="262" t="str">
        <f>IFERROR(__xludf.DUMMYFUNCTION("""COMPUTED_VALUE"""),"Positive")</f>
        <v>Positive</v>
      </c>
      <c r="I51" s="204">
        <f>IFERROR(__xludf.DUMMYFUNCTION("""COMPUTED_VALUE"""),44561.0)</f>
        <v>44561</v>
      </c>
      <c r="J51" s="252">
        <f>IFERROR(__xludf.DUMMYFUNCTION("""COMPUTED_VALUE"""),0.44559027777777777)</f>
        <v>0.4455902778</v>
      </c>
      <c r="K51" s="56"/>
      <c r="L51" s="6"/>
      <c r="M51" s="61"/>
      <c r="N51" s="61">
        <f>IFERROR(__xludf.DUMMYFUNCTION("""COMPUTED_VALUE"""),1.0)</f>
        <v>1</v>
      </c>
      <c r="O51" s="61" t="b">
        <f t="shared" si="3"/>
        <v>1</v>
      </c>
      <c r="P51" s="253">
        <f>IFERROR(__xludf.DUMMYFUNCTION("""COMPUTED_VALUE"""),0.0)</f>
        <v>0</v>
      </c>
      <c r="Q51" s="254" t="b">
        <f>VLOOKUP($B51,'Run Reconcile'!B$2:O799,14,FALSE)</f>
        <v>1</v>
      </c>
      <c r="R51" s="255" t="str">
        <f t="array" ref="R51">IF($Q51, INDEX('Run Reconcile'!A$2:A799,MATCH(B51,'Run Reconcile'!B$2:B799,0),1),IFERROR(0/0,""))</f>
        <v>RUN-BEND_2021-12-31_RFR-007</v>
      </c>
      <c r="S51" s="261" t="str">
        <f t="shared" ref="S51:T51" si="106">IF(COUNTIF(W$2:W799, $A51) &gt; 0,TRUE,IFERROR(0/0,""))</f>
        <v/>
      </c>
      <c r="T51" s="261" t="str">
        <f t="shared" si="106"/>
        <v/>
      </c>
      <c r="U51" s="257" t="str">
        <f t="array" ref="U51">IF(ISBLANK($R51), INDEX('Run Reconcile'!A$2:A799, MATCH($B51, 'Run Reconcile'!B$2:B799, 0)+Z51, 1), IFERROR(0/0,""))
</f>
        <v/>
      </c>
      <c r="V51" s="258" t="str">
        <f t="shared" si="5"/>
        <v>RUN-BEND_2021-12-31_RFR-007</v>
      </c>
      <c r="Y51" s="130" t="str">
        <f t="shared" si="6"/>
        <v/>
      </c>
      <c r="Z51" s="49" t="str">
        <f t="shared" si="7"/>
        <v/>
      </c>
      <c r="AA51" s="49" t="str">
        <f t="shared" si="8"/>
        <v/>
      </c>
      <c r="AB51" s="49" t="str">
        <f t="shared" si="9"/>
        <v/>
      </c>
      <c r="AC51" s="20" t="str">
        <f t="shared" ref="AC51:AD51" si="107">IF(_xlfn.ISFORMULA(S51),IFERROR(0/0,""),TRUE)</f>
        <v/>
      </c>
      <c r="AD51" s="20" t="str">
        <f t="shared" si="107"/>
        <v/>
      </c>
      <c r="AE51" s="43"/>
      <c r="AF51" s="62" t="s">
        <v>36</v>
      </c>
      <c r="AG51" s="57" t="str">
        <f t="shared" si="11"/>
        <v/>
      </c>
    </row>
    <row r="52">
      <c r="A52" s="6" t="str">
        <f>IFERROR(__xludf.DUMMYFUNCTION("""COMPUTED_VALUE"""),"MA606")</f>
        <v>MA606</v>
      </c>
      <c r="B52" s="204">
        <f>IFERROR(__xludf.DUMMYFUNCTION("""COMPUTED_VALUE"""),44561.0)</f>
        <v>44561</v>
      </c>
      <c r="C52" s="250">
        <f>IFERROR(__xludf.DUMMYFUNCTION("""COMPUTED_VALUE"""),0.3167361111111111)</f>
        <v>0.3167361111</v>
      </c>
      <c r="D52" s="56" t="str">
        <f>IFERROR(__xludf.DUMMYFUNCTION("""COMPUTED_VALUE"""),"SpBEND768497")</f>
        <v>SpBEND768497</v>
      </c>
      <c r="E52" s="251"/>
      <c r="F52" s="251"/>
      <c r="G52" s="251" t="str">
        <f>IFERROR(__xludf.DUMMYFUNCTION("""COMPUTED_VALUE"""),"Negative")</f>
        <v>Negative</v>
      </c>
      <c r="H52" s="262" t="str">
        <f>IFERROR(__xludf.DUMMYFUNCTION("""COMPUTED_VALUE"""),"Negative")</f>
        <v>Negative</v>
      </c>
      <c r="I52" s="204">
        <f>IFERROR(__xludf.DUMMYFUNCTION("""COMPUTED_VALUE"""),44561.0)</f>
        <v>44561</v>
      </c>
      <c r="J52" s="252">
        <f>IFERROR(__xludf.DUMMYFUNCTION("""COMPUTED_VALUE"""),0.44493055555555555)</f>
        <v>0.4449305556</v>
      </c>
      <c r="K52" s="56"/>
      <c r="L52" s="6"/>
      <c r="M52" s="61"/>
      <c r="N52" s="61">
        <f>IFERROR(__xludf.DUMMYFUNCTION("""COMPUTED_VALUE"""),1.0)</f>
        <v>1</v>
      </c>
      <c r="O52" s="61" t="str">
        <f t="shared" si="3"/>
        <v/>
      </c>
      <c r="P52" s="253">
        <f>IFERROR(__xludf.DUMMYFUNCTION("""COMPUTED_VALUE"""),0.0)</f>
        <v>0</v>
      </c>
      <c r="Q52" s="254" t="b">
        <f>VLOOKUP($B52,'Run Reconcile'!B$2:O799,14,FALSE)</f>
        <v>1</v>
      </c>
      <c r="R52" s="255" t="str">
        <f t="array" ref="R52">IF($Q52, INDEX('Run Reconcile'!A$2:A799,MATCH(B52,'Run Reconcile'!B$2:B799,0),1),IFERROR(0/0,""))</f>
        <v>RUN-BEND_2021-12-31_RFR-007</v>
      </c>
      <c r="S52" s="261" t="str">
        <f t="shared" ref="S52:T52" si="108">IF(COUNTIF(W$2:W799, $A52) &gt; 0,TRUE,IFERROR(0/0,""))</f>
        <v/>
      </c>
      <c r="T52" s="261" t="str">
        <f t="shared" si="108"/>
        <v/>
      </c>
      <c r="U52" s="257" t="str">
        <f t="array" ref="U52">IF(ISBLANK($R52), INDEX('Run Reconcile'!A$2:A799, MATCH($B52, 'Run Reconcile'!B$2:B799, 0)+Z52, 1), IFERROR(0/0,""))
</f>
        <v/>
      </c>
      <c r="V52" s="258" t="str">
        <f t="shared" si="5"/>
        <v>RUN-BEND_2021-12-31_RFR-007</v>
      </c>
      <c r="Y52" s="130" t="str">
        <f t="shared" si="6"/>
        <v/>
      </c>
      <c r="Z52" s="49" t="str">
        <f t="shared" si="7"/>
        <v/>
      </c>
      <c r="AA52" s="49" t="str">
        <f t="shared" si="8"/>
        <v/>
      </c>
      <c r="AB52" s="49" t="str">
        <f t="shared" si="9"/>
        <v/>
      </c>
      <c r="AC52" s="20" t="str">
        <f t="shared" ref="AC52:AD52" si="109">IF(_xlfn.ISFORMULA(S52),IFERROR(0/0,""),TRUE)</f>
        <v/>
      </c>
      <c r="AD52" s="20" t="str">
        <f t="shared" si="109"/>
        <v/>
      </c>
      <c r="AE52" s="43"/>
      <c r="AF52" s="62" t="s">
        <v>36</v>
      </c>
      <c r="AG52" s="57" t="str">
        <f t="shared" si="11"/>
        <v/>
      </c>
    </row>
    <row r="53">
      <c r="A53" s="6" t="str">
        <f>IFERROR(__xludf.DUMMYFUNCTION("""COMPUTED_VALUE"""),"MA1236")</f>
        <v>MA1236</v>
      </c>
      <c r="B53" s="204">
        <f>IFERROR(__xludf.DUMMYFUNCTION("""COMPUTED_VALUE"""),44561.0)</f>
        <v>44561</v>
      </c>
      <c r="C53" s="250">
        <f>IFERROR(__xludf.DUMMYFUNCTION("""COMPUTED_VALUE"""),0.32125)</f>
        <v>0.32125</v>
      </c>
      <c r="D53" s="56" t="str">
        <f>IFERROR(__xludf.DUMMYFUNCTION("""COMPUTED_VALUE"""),"SpBEND372845")</f>
        <v>SpBEND372845</v>
      </c>
      <c r="E53" s="251"/>
      <c r="F53" s="251"/>
      <c r="G53" s="251" t="str">
        <f>IFERROR(__xludf.DUMMYFUNCTION("""COMPUTED_VALUE"""),"Negative")</f>
        <v>Negative</v>
      </c>
      <c r="H53" s="262" t="str">
        <f>IFERROR(__xludf.DUMMYFUNCTION("""COMPUTED_VALUE"""),"Negative")</f>
        <v>Negative</v>
      </c>
      <c r="I53" s="204">
        <f>IFERROR(__xludf.DUMMYFUNCTION("""COMPUTED_VALUE"""),44561.0)</f>
        <v>44561</v>
      </c>
      <c r="J53" s="252">
        <f>IFERROR(__xludf.DUMMYFUNCTION("""COMPUTED_VALUE"""),0.44493055555555555)</f>
        <v>0.4449305556</v>
      </c>
      <c r="K53" s="56"/>
      <c r="L53" s="6"/>
      <c r="M53" s="61"/>
      <c r="N53" s="61">
        <f>IFERROR(__xludf.DUMMYFUNCTION("""COMPUTED_VALUE"""),1.0)</f>
        <v>1</v>
      </c>
      <c r="O53" s="61" t="str">
        <f t="shared" si="3"/>
        <v/>
      </c>
      <c r="P53" s="253">
        <f>IFERROR(__xludf.DUMMYFUNCTION("""COMPUTED_VALUE"""),0.0)</f>
        <v>0</v>
      </c>
      <c r="Q53" s="254" t="b">
        <f>VLOOKUP($B53,'Run Reconcile'!B$2:O799,14,FALSE)</f>
        <v>1</v>
      </c>
      <c r="R53" s="255" t="str">
        <f t="array" ref="R53">IF($Q53, INDEX('Run Reconcile'!A$2:A799,MATCH(B53,'Run Reconcile'!B$2:B799,0),1),IFERROR(0/0,""))</f>
        <v>RUN-BEND_2021-12-31_RFR-007</v>
      </c>
      <c r="S53" s="261" t="str">
        <f t="shared" ref="S53:T53" si="110">IF(COUNTIF(W$2:W799, $A53) &gt; 0,TRUE,IFERROR(0/0,""))</f>
        <v/>
      </c>
      <c r="T53" s="261" t="str">
        <f t="shared" si="110"/>
        <v/>
      </c>
      <c r="U53" s="257" t="str">
        <f t="array" ref="U53">IF(ISBLANK($R53), INDEX('Run Reconcile'!A$2:A799, MATCH($B53, 'Run Reconcile'!B$2:B799, 0)+Z53, 1), IFERROR(0/0,""))
</f>
        <v/>
      </c>
      <c r="V53" s="258" t="str">
        <f t="shared" si="5"/>
        <v>RUN-BEND_2021-12-31_RFR-007</v>
      </c>
      <c r="Y53" s="130" t="str">
        <f t="shared" si="6"/>
        <v/>
      </c>
      <c r="Z53" s="49" t="str">
        <f t="shared" si="7"/>
        <v/>
      </c>
      <c r="AA53" s="49" t="str">
        <f t="shared" si="8"/>
        <v/>
      </c>
      <c r="AB53" s="49" t="str">
        <f t="shared" si="9"/>
        <v/>
      </c>
      <c r="AC53" s="20" t="str">
        <f t="shared" ref="AC53:AD53" si="111">IF(_xlfn.ISFORMULA(S53),IFERROR(0/0,""),TRUE)</f>
        <v/>
      </c>
      <c r="AD53" s="20" t="str">
        <f t="shared" si="111"/>
        <v/>
      </c>
      <c r="AE53" s="43"/>
      <c r="AF53" s="62" t="s">
        <v>36</v>
      </c>
      <c r="AG53" s="57" t="str">
        <f t="shared" si="11"/>
        <v/>
      </c>
    </row>
    <row r="54">
      <c r="A54" s="6" t="str">
        <f>IFERROR(__xludf.DUMMYFUNCTION("""COMPUTED_VALUE"""),"MA1153")</f>
        <v>MA1153</v>
      </c>
      <c r="B54" s="204">
        <f>IFERROR(__xludf.DUMMYFUNCTION("""COMPUTED_VALUE"""),44561.0)</f>
        <v>44561</v>
      </c>
      <c r="C54" s="250">
        <f>IFERROR(__xludf.DUMMYFUNCTION("""COMPUTED_VALUE"""),0.32719907407407406)</f>
        <v>0.3271990741</v>
      </c>
      <c r="D54" s="56" t="str">
        <f>IFERROR(__xludf.DUMMYFUNCTION("""COMPUTED_VALUE"""),"SpBEND214692")</f>
        <v>SpBEND214692</v>
      </c>
      <c r="E54" s="251"/>
      <c r="F54" s="251"/>
      <c r="G54" s="251" t="str">
        <f>IFERROR(__xludf.DUMMYFUNCTION("""COMPUTED_VALUE"""),"Negative")</f>
        <v>Negative</v>
      </c>
      <c r="H54" s="262" t="str">
        <f>IFERROR(__xludf.DUMMYFUNCTION("""COMPUTED_VALUE"""),"Negative")</f>
        <v>Negative</v>
      </c>
      <c r="I54" s="204">
        <f>IFERROR(__xludf.DUMMYFUNCTION("""COMPUTED_VALUE"""),44561.0)</f>
        <v>44561</v>
      </c>
      <c r="J54" s="252">
        <f>IFERROR(__xludf.DUMMYFUNCTION("""COMPUTED_VALUE"""),0.44493055555555555)</f>
        <v>0.4449305556</v>
      </c>
      <c r="K54" s="56"/>
      <c r="L54" s="6"/>
      <c r="M54" s="61"/>
      <c r="N54" s="61">
        <f>IFERROR(__xludf.DUMMYFUNCTION("""COMPUTED_VALUE"""),1.0)</f>
        <v>1</v>
      </c>
      <c r="O54" s="61" t="str">
        <f t="shared" si="3"/>
        <v/>
      </c>
      <c r="P54" s="253">
        <f>IFERROR(__xludf.DUMMYFUNCTION("""COMPUTED_VALUE"""),0.0)</f>
        <v>0</v>
      </c>
      <c r="Q54" s="254" t="b">
        <f>VLOOKUP($B54,'Run Reconcile'!B$2:O799,14,FALSE)</f>
        <v>1</v>
      </c>
      <c r="R54" s="255" t="str">
        <f t="array" ref="R54">IF($Q54, INDEX('Run Reconcile'!A$2:A799,MATCH(B54,'Run Reconcile'!B$2:B799,0),1),IFERROR(0/0,""))</f>
        <v>RUN-BEND_2021-12-31_RFR-007</v>
      </c>
      <c r="S54" s="261" t="str">
        <f t="shared" ref="S54:T54" si="112">IF(COUNTIF(W$2:W799, $A54) &gt; 0,TRUE,IFERROR(0/0,""))</f>
        <v/>
      </c>
      <c r="T54" s="261" t="str">
        <f t="shared" si="112"/>
        <v/>
      </c>
      <c r="U54" s="257" t="str">
        <f t="array" ref="U54">IF(ISBLANK($R54), INDEX('Run Reconcile'!A$2:A799, MATCH($B54, 'Run Reconcile'!B$2:B799, 0)+Z54, 1), IFERROR(0/0,""))
</f>
        <v/>
      </c>
      <c r="V54" s="258" t="str">
        <f t="shared" si="5"/>
        <v>RUN-BEND_2021-12-31_RFR-007</v>
      </c>
      <c r="Y54" s="130" t="str">
        <f t="shared" si="6"/>
        <v/>
      </c>
      <c r="Z54" s="49" t="str">
        <f t="shared" si="7"/>
        <v/>
      </c>
      <c r="AA54" s="49" t="str">
        <f t="shared" si="8"/>
        <v/>
      </c>
      <c r="AB54" s="49" t="str">
        <f t="shared" si="9"/>
        <v/>
      </c>
      <c r="AC54" s="20" t="str">
        <f t="shared" ref="AC54:AD54" si="113">IF(_xlfn.ISFORMULA(S54),IFERROR(0/0,""),TRUE)</f>
        <v/>
      </c>
      <c r="AD54" s="20" t="str">
        <f t="shared" si="113"/>
        <v/>
      </c>
      <c r="AE54" s="43"/>
      <c r="AF54" s="62" t="s">
        <v>36</v>
      </c>
      <c r="AG54" s="57" t="str">
        <f t="shared" si="11"/>
        <v/>
      </c>
    </row>
    <row r="55">
      <c r="A55" s="6" t="str">
        <f>IFERROR(__xludf.DUMMYFUNCTION("""COMPUTED_VALUE"""),"MA1131")</f>
        <v>MA1131</v>
      </c>
      <c r="B55" s="204">
        <f>IFERROR(__xludf.DUMMYFUNCTION("""COMPUTED_VALUE"""),44561.0)</f>
        <v>44561</v>
      </c>
      <c r="C55" s="250">
        <f>IFERROR(__xludf.DUMMYFUNCTION("""COMPUTED_VALUE"""),0.33644675925925926)</f>
        <v>0.3364467593</v>
      </c>
      <c r="D55" s="56" t="str">
        <f>IFERROR(__xludf.DUMMYFUNCTION("""COMPUTED_VALUE"""),"SpBEND825522")</f>
        <v>SpBEND825522</v>
      </c>
      <c r="E55" s="251"/>
      <c r="F55" s="251"/>
      <c r="G55" s="251" t="str">
        <f>IFERROR(__xludf.DUMMYFUNCTION("""COMPUTED_VALUE"""),"Negative")</f>
        <v>Negative</v>
      </c>
      <c r="H55" s="262" t="str">
        <f>IFERROR(__xludf.DUMMYFUNCTION("""COMPUTED_VALUE"""),"Negative")</f>
        <v>Negative</v>
      </c>
      <c r="I55" s="204">
        <f>IFERROR(__xludf.DUMMYFUNCTION("""COMPUTED_VALUE"""),44561.0)</f>
        <v>44561</v>
      </c>
      <c r="J55" s="252">
        <f>IFERROR(__xludf.DUMMYFUNCTION("""COMPUTED_VALUE"""),0.44493055555555555)</f>
        <v>0.4449305556</v>
      </c>
      <c r="K55" s="56"/>
      <c r="L55" s="6"/>
      <c r="M55" s="61"/>
      <c r="N55" s="61">
        <f>IFERROR(__xludf.DUMMYFUNCTION("""COMPUTED_VALUE"""),1.0)</f>
        <v>1</v>
      </c>
      <c r="O55" s="61" t="str">
        <f t="shared" si="3"/>
        <v/>
      </c>
      <c r="P55" s="253">
        <f>IFERROR(__xludf.DUMMYFUNCTION("""COMPUTED_VALUE"""),0.0)</f>
        <v>0</v>
      </c>
      <c r="Q55" s="254" t="b">
        <f>VLOOKUP($B55,'Run Reconcile'!B$2:O799,14,FALSE)</f>
        <v>1</v>
      </c>
      <c r="R55" s="255" t="str">
        <f t="array" ref="R55">IF($Q55, INDEX('Run Reconcile'!A$2:A799,MATCH(B55,'Run Reconcile'!B$2:B799,0),1),IFERROR(0/0,""))</f>
        <v>RUN-BEND_2021-12-31_RFR-007</v>
      </c>
      <c r="S55" s="261" t="str">
        <f t="shared" ref="S55:T55" si="114">IF(COUNTIF(W$2:W799, $A55) &gt; 0,TRUE,IFERROR(0/0,""))</f>
        <v/>
      </c>
      <c r="T55" s="261" t="str">
        <f t="shared" si="114"/>
        <v/>
      </c>
      <c r="U55" s="257" t="str">
        <f t="array" ref="U55">IF(ISBLANK($R55), INDEX('Run Reconcile'!A$2:A799, MATCH($B55, 'Run Reconcile'!B$2:B799, 0)+Z55, 1), IFERROR(0/0,""))
</f>
        <v/>
      </c>
      <c r="V55" s="258" t="str">
        <f t="shared" si="5"/>
        <v>RUN-BEND_2021-12-31_RFR-007</v>
      </c>
      <c r="Y55" s="130" t="str">
        <f t="shared" si="6"/>
        <v/>
      </c>
      <c r="Z55" s="49" t="str">
        <f t="shared" si="7"/>
        <v/>
      </c>
      <c r="AA55" s="49" t="str">
        <f t="shared" si="8"/>
        <v/>
      </c>
      <c r="AB55" s="49" t="str">
        <f t="shared" si="9"/>
        <v/>
      </c>
      <c r="AC55" s="20" t="str">
        <f t="shared" ref="AC55:AD55" si="115">IF(_xlfn.ISFORMULA(S55),IFERROR(0/0,""),TRUE)</f>
        <v/>
      </c>
      <c r="AD55" s="20" t="str">
        <f t="shared" si="115"/>
        <v/>
      </c>
      <c r="AE55" s="43"/>
      <c r="AF55" s="62" t="s">
        <v>36</v>
      </c>
      <c r="AG55" s="57" t="str">
        <f t="shared" si="11"/>
        <v/>
      </c>
    </row>
    <row r="56">
      <c r="A56" s="6" t="str">
        <f>IFERROR(__xludf.DUMMYFUNCTION("""COMPUTED_VALUE"""),"MA1084")</f>
        <v>MA1084</v>
      </c>
      <c r="B56" s="204">
        <f>IFERROR(__xludf.DUMMYFUNCTION("""COMPUTED_VALUE"""),44561.0)</f>
        <v>44561</v>
      </c>
      <c r="C56" s="250">
        <f>IFERROR(__xludf.DUMMYFUNCTION("""COMPUTED_VALUE"""),0.3366898148148148)</f>
        <v>0.3366898148</v>
      </c>
      <c r="D56" s="56" t="str">
        <f>IFERROR(__xludf.DUMMYFUNCTION("""COMPUTED_VALUE"""),"SpBEND953422")</f>
        <v>SpBEND953422</v>
      </c>
      <c r="E56" s="251"/>
      <c r="F56" s="251"/>
      <c r="G56" s="251" t="str">
        <f>IFERROR(__xludf.DUMMYFUNCTION("""COMPUTED_VALUE"""),"Negative")</f>
        <v>Negative</v>
      </c>
      <c r="H56" s="262" t="str">
        <f>IFERROR(__xludf.DUMMYFUNCTION("""COMPUTED_VALUE"""),"Negative")</f>
        <v>Negative</v>
      </c>
      <c r="I56" s="204">
        <f>IFERROR(__xludf.DUMMYFUNCTION("""COMPUTED_VALUE"""),44561.0)</f>
        <v>44561</v>
      </c>
      <c r="J56" s="252">
        <f>IFERROR(__xludf.DUMMYFUNCTION("""COMPUTED_VALUE"""),0.44493055555555555)</f>
        <v>0.4449305556</v>
      </c>
      <c r="K56" s="56"/>
      <c r="L56" s="6"/>
      <c r="M56" s="61"/>
      <c r="N56" s="61">
        <f>IFERROR(__xludf.DUMMYFUNCTION("""COMPUTED_VALUE"""),1.0)</f>
        <v>1</v>
      </c>
      <c r="O56" s="61" t="str">
        <f t="shared" si="3"/>
        <v/>
      </c>
      <c r="P56" s="253">
        <f>IFERROR(__xludf.DUMMYFUNCTION("""COMPUTED_VALUE"""),0.0)</f>
        <v>0</v>
      </c>
      <c r="Q56" s="254" t="b">
        <f>VLOOKUP($B56,'Run Reconcile'!B$2:O799,14,FALSE)</f>
        <v>1</v>
      </c>
      <c r="R56" s="255" t="str">
        <f t="array" ref="R56">IF($Q56, INDEX('Run Reconcile'!A$2:A799,MATCH(B56,'Run Reconcile'!B$2:B799,0),1),IFERROR(0/0,""))</f>
        <v>RUN-BEND_2021-12-31_RFR-007</v>
      </c>
      <c r="S56" s="261" t="str">
        <f t="shared" ref="S56:T56" si="116">IF(COUNTIF(W$2:W799, $A56) &gt; 0,TRUE,IFERROR(0/0,""))</f>
        <v/>
      </c>
      <c r="T56" s="261" t="str">
        <f t="shared" si="116"/>
        <v/>
      </c>
      <c r="U56" s="257" t="str">
        <f t="array" ref="U56">IF(ISBLANK($R56), INDEX('Run Reconcile'!A$2:A799, MATCH($B56, 'Run Reconcile'!B$2:B799, 0)+Z56, 1), IFERROR(0/0,""))
</f>
        <v/>
      </c>
      <c r="V56" s="258" t="str">
        <f t="shared" si="5"/>
        <v>RUN-BEND_2021-12-31_RFR-007</v>
      </c>
      <c r="Y56" s="130" t="str">
        <f t="shared" si="6"/>
        <v/>
      </c>
      <c r="Z56" s="49" t="str">
        <f t="shared" si="7"/>
        <v/>
      </c>
      <c r="AA56" s="49" t="str">
        <f t="shared" si="8"/>
        <v/>
      </c>
      <c r="AB56" s="49" t="str">
        <f t="shared" si="9"/>
        <v/>
      </c>
      <c r="AC56" s="20" t="str">
        <f t="shared" ref="AC56:AD56" si="117">IF(_xlfn.ISFORMULA(S56),IFERROR(0/0,""),TRUE)</f>
        <v/>
      </c>
      <c r="AD56" s="20" t="str">
        <f t="shared" si="117"/>
        <v/>
      </c>
      <c r="AE56" s="43"/>
      <c r="AF56" s="62" t="s">
        <v>36</v>
      </c>
      <c r="AG56" s="57" t="str">
        <f t="shared" si="11"/>
        <v/>
      </c>
    </row>
    <row r="57">
      <c r="A57" s="6" t="str">
        <f>IFERROR(__xludf.DUMMYFUNCTION("""COMPUTED_VALUE"""),"MA1280")</f>
        <v>MA1280</v>
      </c>
      <c r="B57" s="204">
        <f>IFERROR(__xludf.DUMMYFUNCTION("""COMPUTED_VALUE"""),44561.0)</f>
        <v>44561</v>
      </c>
      <c r="C57" s="250">
        <f>IFERROR(__xludf.DUMMYFUNCTION("""COMPUTED_VALUE"""),0.3527777777777778)</f>
        <v>0.3527777778</v>
      </c>
      <c r="D57" s="56" t="str">
        <f>IFERROR(__xludf.DUMMYFUNCTION("""COMPUTED_VALUE"""),"SpBEND708976")</f>
        <v>SpBEND708976</v>
      </c>
      <c r="E57" s="251"/>
      <c r="F57" s="251"/>
      <c r="G57" s="251" t="str">
        <f>IFERROR(__xludf.DUMMYFUNCTION("""COMPUTED_VALUE"""),"Negative")</f>
        <v>Negative</v>
      </c>
      <c r="H57" s="262" t="str">
        <f>IFERROR(__xludf.DUMMYFUNCTION("""COMPUTED_VALUE"""),"Negative")</f>
        <v>Negative</v>
      </c>
      <c r="I57" s="204">
        <f>IFERROR(__xludf.DUMMYFUNCTION("""COMPUTED_VALUE"""),44561.0)</f>
        <v>44561</v>
      </c>
      <c r="J57" s="252">
        <f>IFERROR(__xludf.DUMMYFUNCTION("""COMPUTED_VALUE"""),0.44493055555555555)</f>
        <v>0.4449305556</v>
      </c>
      <c r="K57" s="56"/>
      <c r="L57" s="6"/>
      <c r="M57" s="61"/>
      <c r="N57" s="61">
        <f>IFERROR(__xludf.DUMMYFUNCTION("""COMPUTED_VALUE"""),1.0)</f>
        <v>1</v>
      </c>
      <c r="O57" s="61" t="str">
        <f t="shared" si="3"/>
        <v/>
      </c>
      <c r="P57" s="253">
        <f>IFERROR(__xludf.DUMMYFUNCTION("""COMPUTED_VALUE"""),0.0)</f>
        <v>0</v>
      </c>
      <c r="Q57" s="254" t="b">
        <f>VLOOKUP($B57,'Run Reconcile'!B$2:O799,14,FALSE)</f>
        <v>1</v>
      </c>
      <c r="R57" s="255" t="str">
        <f t="array" ref="R57">IF($Q57, INDEX('Run Reconcile'!A$2:A799,MATCH(B57,'Run Reconcile'!B$2:B799,0),1),IFERROR(0/0,""))</f>
        <v>RUN-BEND_2021-12-31_RFR-007</v>
      </c>
      <c r="S57" s="261" t="str">
        <f t="shared" ref="S57:T57" si="118">IF(COUNTIF(W$2:W799, $A57) &gt; 0,TRUE,IFERROR(0/0,""))</f>
        <v/>
      </c>
      <c r="T57" s="261" t="str">
        <f t="shared" si="118"/>
        <v/>
      </c>
      <c r="U57" s="257" t="str">
        <f t="array" ref="U57">IF(ISBLANK($R57), INDEX('Run Reconcile'!A$2:A799, MATCH($B57, 'Run Reconcile'!B$2:B799, 0)+Z57, 1), IFERROR(0/0,""))
</f>
        <v/>
      </c>
      <c r="V57" s="258" t="str">
        <f t="shared" si="5"/>
        <v>RUN-BEND_2021-12-31_RFR-007</v>
      </c>
      <c r="Y57" s="130" t="str">
        <f t="shared" si="6"/>
        <v/>
      </c>
      <c r="Z57" s="49" t="str">
        <f t="shared" si="7"/>
        <v/>
      </c>
      <c r="AA57" s="49" t="str">
        <f t="shared" si="8"/>
        <v/>
      </c>
      <c r="AB57" s="49" t="str">
        <f t="shared" si="9"/>
        <v/>
      </c>
      <c r="AC57" s="20" t="str">
        <f t="shared" ref="AC57:AD57" si="119">IF(_xlfn.ISFORMULA(S57),IFERROR(0/0,""),TRUE)</f>
        <v/>
      </c>
      <c r="AD57" s="20" t="str">
        <f t="shared" si="119"/>
        <v/>
      </c>
      <c r="AE57" s="43"/>
      <c r="AF57" s="62" t="s">
        <v>36</v>
      </c>
      <c r="AG57" s="57" t="str">
        <f t="shared" si="11"/>
        <v/>
      </c>
    </row>
    <row r="58">
      <c r="A58" s="6" t="str">
        <f>IFERROR(__xludf.DUMMYFUNCTION("""COMPUTED_VALUE"""),"MA316")</f>
        <v>MA316</v>
      </c>
      <c r="B58" s="204">
        <f>IFERROR(__xludf.DUMMYFUNCTION("""COMPUTED_VALUE"""),44561.0)</f>
        <v>44561</v>
      </c>
      <c r="C58" s="250">
        <f>IFERROR(__xludf.DUMMYFUNCTION("""COMPUTED_VALUE"""),0.40042824074074074)</f>
        <v>0.4004282407</v>
      </c>
      <c r="D58" s="56" t="str">
        <f>IFERROR(__xludf.DUMMYFUNCTION("""COMPUTED_VALUE"""),"SpBEND394154")</f>
        <v>SpBEND394154</v>
      </c>
      <c r="E58" s="251"/>
      <c r="F58" s="251"/>
      <c r="G58" s="251" t="str">
        <f>IFERROR(__xludf.DUMMYFUNCTION("""COMPUTED_VALUE"""),"Positive")</f>
        <v>Positive</v>
      </c>
      <c r="H58" s="262" t="str">
        <f>IFERROR(__xludf.DUMMYFUNCTION("""COMPUTED_VALUE"""),"Positive")</f>
        <v>Positive</v>
      </c>
      <c r="I58" s="204">
        <f>IFERROR(__xludf.DUMMYFUNCTION("""COMPUTED_VALUE"""),44561.0)</f>
        <v>44561</v>
      </c>
      <c r="J58" s="252">
        <f>IFERROR(__xludf.DUMMYFUNCTION("""COMPUTED_VALUE"""),0.44559027777777777)</f>
        <v>0.4455902778</v>
      </c>
      <c r="K58" s="56"/>
      <c r="L58" s="6"/>
      <c r="M58" s="61"/>
      <c r="N58" s="61">
        <f>IFERROR(__xludf.DUMMYFUNCTION("""COMPUTED_VALUE"""),1.0)</f>
        <v>1</v>
      </c>
      <c r="O58" s="61" t="str">
        <f t="shared" si="3"/>
        <v/>
      </c>
      <c r="P58" s="253">
        <f>IFERROR(__xludf.DUMMYFUNCTION("""COMPUTED_VALUE"""),0.0)</f>
        <v>0</v>
      </c>
      <c r="Q58" s="254" t="b">
        <f>VLOOKUP($B58,'Run Reconcile'!B$2:O799,14,FALSE)</f>
        <v>1</v>
      </c>
      <c r="R58" s="255" t="str">
        <f t="array" ref="R58">IF($Q58, INDEX('Run Reconcile'!A$2:A799,MATCH(B58,'Run Reconcile'!B$2:B799,0),1),IFERROR(0/0,""))</f>
        <v>RUN-BEND_2021-12-31_RFR-007</v>
      </c>
      <c r="S58" s="261" t="str">
        <f t="shared" ref="S58:T58" si="120">IF(COUNTIF(W$2:W799, $A58) &gt; 0,TRUE,IFERROR(0/0,""))</f>
        <v/>
      </c>
      <c r="T58" s="261" t="str">
        <f t="shared" si="120"/>
        <v/>
      </c>
      <c r="U58" s="257" t="str">
        <f t="array" ref="U58">IF(ISBLANK($R58), INDEX('Run Reconcile'!A$2:A799, MATCH($B58, 'Run Reconcile'!B$2:B799, 0)+Z58, 1), IFERROR(0/0,""))
</f>
        <v/>
      </c>
      <c r="V58" s="258" t="str">
        <f t="shared" si="5"/>
        <v>RUN-BEND_2021-12-31_RFR-007</v>
      </c>
      <c r="Y58" s="130" t="str">
        <f t="shared" si="6"/>
        <v/>
      </c>
      <c r="Z58" s="49" t="str">
        <f t="shared" si="7"/>
        <v/>
      </c>
      <c r="AA58" s="49" t="str">
        <f t="shared" si="8"/>
        <v/>
      </c>
      <c r="AB58" s="49" t="str">
        <f t="shared" si="9"/>
        <v/>
      </c>
      <c r="AC58" s="20" t="str">
        <f t="shared" ref="AC58:AD58" si="121">IF(_xlfn.ISFORMULA(S58),IFERROR(0/0,""),TRUE)</f>
        <v/>
      </c>
      <c r="AD58" s="20" t="str">
        <f t="shared" si="121"/>
        <v/>
      </c>
      <c r="AE58" s="43"/>
      <c r="AF58" s="62" t="s">
        <v>36</v>
      </c>
      <c r="AG58" s="57" t="str">
        <f t="shared" si="11"/>
        <v/>
      </c>
    </row>
    <row r="59">
      <c r="A59" s="6" t="str">
        <f>IFERROR(__xludf.DUMMYFUNCTION("""COMPUTED_VALUE"""),"MA207")</f>
        <v>MA207</v>
      </c>
      <c r="B59" s="204">
        <f>IFERROR(__xludf.DUMMYFUNCTION("""COMPUTED_VALUE"""),44564.0)</f>
        <v>44564</v>
      </c>
      <c r="C59" s="250">
        <f>IFERROR(__xludf.DUMMYFUNCTION("""COMPUTED_VALUE"""),0.2034837962962963)</f>
        <v>0.2034837963</v>
      </c>
      <c r="D59" s="56" t="str">
        <f>IFERROR(__xludf.DUMMYFUNCTION("""COMPUTED_VALUE"""),"SpBEND767550")</f>
        <v>SpBEND767550</v>
      </c>
      <c r="E59" s="251"/>
      <c r="F59" s="251"/>
      <c r="G59" s="251" t="str">
        <f>IFERROR(__xludf.DUMMYFUNCTION("""COMPUTED_VALUE"""),"Negative")</f>
        <v>Negative</v>
      </c>
      <c r="H59" s="262" t="str">
        <f>IFERROR(__xludf.DUMMYFUNCTION("""COMPUTED_VALUE"""),"Negative")</f>
        <v>Negative</v>
      </c>
      <c r="I59" s="204">
        <f>IFERROR(__xludf.DUMMYFUNCTION("""COMPUTED_VALUE"""),44564.0)</f>
        <v>44564</v>
      </c>
      <c r="J59" s="252">
        <f>IFERROR(__xludf.DUMMYFUNCTION("""COMPUTED_VALUE"""),0.5280439814814815)</f>
        <v>0.5280439815</v>
      </c>
      <c r="K59" s="56"/>
      <c r="L59" s="6"/>
      <c r="M59" s="61"/>
      <c r="N59" s="61">
        <f>IFERROR(__xludf.DUMMYFUNCTION("""COMPUTED_VALUE"""),1.0)</f>
        <v>1</v>
      </c>
      <c r="O59" s="61" t="b">
        <f t="shared" si="3"/>
        <v>1</v>
      </c>
      <c r="P59" s="253">
        <f>IFERROR(__xludf.DUMMYFUNCTION("""COMPUTED_VALUE"""),0.0)</f>
        <v>0</v>
      </c>
      <c r="Q59" s="254" t="b">
        <f>VLOOKUP($B59,'Run Reconcile'!B$2:O799,14,FALSE)</f>
        <v>1</v>
      </c>
      <c r="R59" s="255" t="str">
        <f t="array" ref="R59">IF($Q59, INDEX('Run Reconcile'!A$2:A799,MATCH(B59,'Run Reconcile'!B$2:B799,0),1),IFERROR(0/0,""))</f>
        <v>RUN-BEND_2022-01-03_RFR-009</v>
      </c>
      <c r="S59" s="261" t="str">
        <f t="shared" ref="S59:T59" si="122">IF(COUNTIF(W$2:W799, $A59) &gt; 0,TRUE,IFERROR(0/0,""))</f>
        <v/>
      </c>
      <c r="T59" s="261" t="str">
        <f t="shared" si="122"/>
        <v/>
      </c>
      <c r="U59" s="257" t="str">
        <f t="array" ref="U59">IF(ISBLANK($R59), INDEX('Run Reconcile'!A$2:A799, MATCH($B59, 'Run Reconcile'!B$2:B799, 0)+Z59, 1), IFERROR(0/0,""))
</f>
        <v/>
      </c>
      <c r="V59" s="258" t="str">
        <f t="shared" si="5"/>
        <v>RUN-BEND_2022-01-03_RFR-009</v>
      </c>
      <c r="Y59" s="130" t="str">
        <f t="shared" si="6"/>
        <v/>
      </c>
      <c r="Z59" s="49" t="str">
        <f t="shared" si="7"/>
        <v/>
      </c>
      <c r="AA59" s="49" t="str">
        <f t="shared" si="8"/>
        <v/>
      </c>
      <c r="AB59" s="49" t="str">
        <f t="shared" si="9"/>
        <v/>
      </c>
      <c r="AC59" s="20" t="str">
        <f t="shared" ref="AC59:AD59" si="123">IF(_xlfn.ISFORMULA(S59),IFERROR(0/0,""),TRUE)</f>
        <v/>
      </c>
      <c r="AD59" s="20" t="str">
        <f t="shared" si="123"/>
        <v/>
      </c>
      <c r="AE59" s="43"/>
      <c r="AF59" s="62" t="s">
        <v>37</v>
      </c>
      <c r="AG59" s="57" t="str">
        <f t="shared" si="11"/>
        <v/>
      </c>
    </row>
    <row r="60">
      <c r="A60" s="6" t="str">
        <f>IFERROR(__xludf.DUMMYFUNCTION("""COMPUTED_VALUE"""),"MA639")</f>
        <v>MA639</v>
      </c>
      <c r="B60" s="204">
        <f>IFERROR(__xludf.DUMMYFUNCTION("""COMPUTED_VALUE"""),44564.0)</f>
        <v>44564</v>
      </c>
      <c r="C60" s="250">
        <f>IFERROR(__xludf.DUMMYFUNCTION("""COMPUTED_VALUE"""),0.3048032407407407)</f>
        <v>0.3048032407</v>
      </c>
      <c r="D60" s="56" t="str">
        <f>IFERROR(__xludf.DUMMYFUNCTION("""COMPUTED_VALUE"""),"SpBEND899578")</f>
        <v>SpBEND899578</v>
      </c>
      <c r="E60" s="251"/>
      <c r="F60" s="251"/>
      <c r="G60" s="251" t="str">
        <f>IFERROR(__xludf.DUMMYFUNCTION("""COMPUTED_VALUE"""),"Positive")</f>
        <v>Positive</v>
      </c>
      <c r="H60" s="262" t="str">
        <f>IFERROR(__xludf.DUMMYFUNCTION("""COMPUTED_VALUE"""),"Positive")</f>
        <v>Positive</v>
      </c>
      <c r="I60" s="204">
        <f>IFERROR(__xludf.DUMMYFUNCTION("""COMPUTED_VALUE"""),44564.0)</f>
        <v>44564</v>
      </c>
      <c r="J60" s="252">
        <f>IFERROR(__xludf.DUMMYFUNCTION("""COMPUTED_VALUE"""),0.5280439814814815)</f>
        <v>0.5280439815</v>
      </c>
      <c r="K60" s="56"/>
      <c r="L60" s="6"/>
      <c r="M60" s="61"/>
      <c r="N60" s="61">
        <f>IFERROR(__xludf.DUMMYFUNCTION("""COMPUTED_VALUE"""),1.0)</f>
        <v>1</v>
      </c>
      <c r="O60" s="61" t="str">
        <f t="shared" si="3"/>
        <v/>
      </c>
      <c r="P60" s="253">
        <f>IFERROR(__xludf.DUMMYFUNCTION("""COMPUTED_VALUE"""),0.0)</f>
        <v>0</v>
      </c>
      <c r="Q60" s="254" t="b">
        <f>VLOOKUP($B60,'Run Reconcile'!B$2:O799,14,FALSE)</f>
        <v>1</v>
      </c>
      <c r="R60" s="255" t="str">
        <f t="array" ref="R60">IF($Q60, INDEX('Run Reconcile'!A$2:A799,MATCH(B60,'Run Reconcile'!B$2:B799,0),1),IFERROR(0/0,""))</f>
        <v>RUN-BEND_2022-01-03_RFR-009</v>
      </c>
      <c r="S60" s="261" t="str">
        <f t="shared" ref="S60:T60" si="124">IF(COUNTIF(W$2:W799, $A60) &gt; 0,TRUE,IFERROR(0/0,""))</f>
        <v/>
      </c>
      <c r="T60" s="261" t="str">
        <f t="shared" si="124"/>
        <v/>
      </c>
      <c r="U60" s="257" t="str">
        <f t="array" ref="U60">IF(ISBLANK($R60), INDEX('Run Reconcile'!A$2:A799, MATCH($B60, 'Run Reconcile'!B$2:B799, 0)+Z60, 1), IFERROR(0/0,""))
</f>
        <v/>
      </c>
      <c r="V60" s="258" t="str">
        <f t="shared" si="5"/>
        <v>RUN-BEND_2022-01-03_RFR-009</v>
      </c>
      <c r="Y60" s="130" t="str">
        <f t="shared" si="6"/>
        <v/>
      </c>
      <c r="Z60" s="49" t="str">
        <f t="shared" si="7"/>
        <v/>
      </c>
      <c r="AA60" s="49" t="str">
        <f t="shared" si="8"/>
        <v/>
      </c>
      <c r="AB60" s="49" t="str">
        <f t="shared" si="9"/>
        <v/>
      </c>
      <c r="AC60" s="20" t="str">
        <f t="shared" ref="AC60:AD60" si="125">IF(_xlfn.ISFORMULA(S60),IFERROR(0/0,""),TRUE)</f>
        <v/>
      </c>
      <c r="AD60" s="20" t="str">
        <f t="shared" si="125"/>
        <v/>
      </c>
      <c r="AE60" s="43"/>
      <c r="AF60" s="62" t="s">
        <v>37</v>
      </c>
      <c r="AG60" s="57" t="str">
        <f t="shared" si="11"/>
        <v/>
      </c>
    </row>
    <row r="61">
      <c r="A61" s="6" t="str">
        <f>IFERROR(__xludf.DUMMYFUNCTION("""COMPUTED_VALUE"""),"MA1052")</f>
        <v>MA1052</v>
      </c>
      <c r="B61" s="204">
        <f>IFERROR(__xludf.DUMMYFUNCTION("""COMPUTED_VALUE"""),44564.0)</f>
        <v>44564</v>
      </c>
      <c r="C61" s="250">
        <f>IFERROR(__xludf.DUMMYFUNCTION("""COMPUTED_VALUE"""),0.31754629629629627)</f>
        <v>0.3175462963</v>
      </c>
      <c r="D61" s="56" t="str">
        <f>IFERROR(__xludf.DUMMYFUNCTION("""COMPUTED_VALUE"""),"SpBEND548976")</f>
        <v>SpBEND548976</v>
      </c>
      <c r="E61" s="251"/>
      <c r="F61" s="251"/>
      <c r="G61" s="251" t="str">
        <f>IFERROR(__xludf.DUMMYFUNCTION("""COMPUTED_VALUE"""),"Negative")</f>
        <v>Negative</v>
      </c>
      <c r="H61" s="262" t="str">
        <f>IFERROR(__xludf.DUMMYFUNCTION("""COMPUTED_VALUE"""),"Negative")</f>
        <v>Negative</v>
      </c>
      <c r="I61" s="204">
        <f>IFERROR(__xludf.DUMMYFUNCTION("""COMPUTED_VALUE"""),44564.0)</f>
        <v>44564</v>
      </c>
      <c r="J61" s="252">
        <f>IFERROR(__xludf.DUMMYFUNCTION("""COMPUTED_VALUE"""),0.5280439814814815)</f>
        <v>0.5280439815</v>
      </c>
      <c r="K61" s="56"/>
      <c r="L61" s="6"/>
      <c r="M61" s="61"/>
      <c r="N61" s="61">
        <f>IFERROR(__xludf.DUMMYFUNCTION("""COMPUTED_VALUE"""),1.0)</f>
        <v>1</v>
      </c>
      <c r="O61" s="61" t="str">
        <f t="shared" si="3"/>
        <v/>
      </c>
      <c r="P61" s="253">
        <f>IFERROR(__xludf.DUMMYFUNCTION("""COMPUTED_VALUE"""),0.0)</f>
        <v>0</v>
      </c>
      <c r="Q61" s="254" t="b">
        <f>VLOOKUP($B61,'Run Reconcile'!B$2:O799,14,FALSE)</f>
        <v>1</v>
      </c>
      <c r="R61" s="255" t="str">
        <f t="array" ref="R61">IF($Q61, INDEX('Run Reconcile'!A$2:A799,MATCH(B61,'Run Reconcile'!B$2:B799,0),1),IFERROR(0/0,""))</f>
        <v>RUN-BEND_2022-01-03_RFR-009</v>
      </c>
      <c r="S61" s="261" t="str">
        <f t="shared" ref="S61:T61" si="126">IF(COUNTIF(W$2:W799, $A61) &gt; 0,TRUE,IFERROR(0/0,""))</f>
        <v/>
      </c>
      <c r="T61" s="261" t="str">
        <f t="shared" si="126"/>
        <v/>
      </c>
      <c r="U61" s="257" t="str">
        <f t="array" ref="U61">IF(ISBLANK($R61), INDEX('Run Reconcile'!A$2:A799, MATCH($B61, 'Run Reconcile'!B$2:B799, 0)+Z61, 1), IFERROR(0/0,""))
</f>
        <v/>
      </c>
      <c r="V61" s="258" t="str">
        <f t="shared" si="5"/>
        <v>RUN-BEND_2022-01-03_RFR-009</v>
      </c>
      <c r="Y61" s="130" t="str">
        <f t="shared" si="6"/>
        <v/>
      </c>
      <c r="Z61" s="49" t="str">
        <f t="shared" si="7"/>
        <v/>
      </c>
      <c r="AA61" s="49" t="str">
        <f t="shared" si="8"/>
        <v/>
      </c>
      <c r="AB61" s="49" t="str">
        <f t="shared" si="9"/>
        <v/>
      </c>
      <c r="AC61" s="20" t="str">
        <f t="shared" ref="AC61:AD61" si="127">IF(_xlfn.ISFORMULA(S61),IFERROR(0/0,""),TRUE)</f>
        <v/>
      </c>
      <c r="AD61" s="20" t="str">
        <f t="shared" si="127"/>
        <v/>
      </c>
      <c r="AE61" s="43"/>
      <c r="AF61" s="62" t="s">
        <v>37</v>
      </c>
      <c r="AG61" s="57" t="str">
        <f t="shared" si="11"/>
        <v/>
      </c>
    </row>
    <row r="62">
      <c r="A62" s="6" t="str">
        <f>IFERROR(__xludf.DUMMYFUNCTION("""COMPUTED_VALUE"""),"MA326")</f>
        <v>MA326</v>
      </c>
      <c r="B62" s="204">
        <f>IFERROR(__xludf.DUMMYFUNCTION("""COMPUTED_VALUE"""),44564.0)</f>
        <v>44564</v>
      </c>
      <c r="C62" s="250">
        <f>IFERROR(__xludf.DUMMYFUNCTION("""COMPUTED_VALUE"""),0.32538194444444446)</f>
        <v>0.3253819444</v>
      </c>
      <c r="D62" s="56" t="str">
        <f>IFERROR(__xludf.DUMMYFUNCTION("""COMPUTED_VALUE"""),"SpBEND721986")</f>
        <v>SpBEND721986</v>
      </c>
      <c r="E62" s="251"/>
      <c r="F62" s="251"/>
      <c r="G62" s="251" t="str">
        <f>IFERROR(__xludf.DUMMYFUNCTION("""COMPUTED_VALUE"""),"Negative")</f>
        <v>Negative</v>
      </c>
      <c r="H62" s="262" t="str">
        <f>IFERROR(__xludf.DUMMYFUNCTION("""COMPUTED_VALUE"""),"Negative")</f>
        <v>Negative</v>
      </c>
      <c r="I62" s="204">
        <f>IFERROR(__xludf.DUMMYFUNCTION("""COMPUTED_VALUE"""),44564.0)</f>
        <v>44564</v>
      </c>
      <c r="J62" s="252">
        <f>IFERROR(__xludf.DUMMYFUNCTION("""COMPUTED_VALUE"""),0.5280439814814815)</f>
        <v>0.5280439815</v>
      </c>
      <c r="K62" s="56"/>
      <c r="L62" s="6"/>
      <c r="M62" s="61"/>
      <c r="N62" s="61">
        <f>IFERROR(__xludf.DUMMYFUNCTION("""COMPUTED_VALUE"""),1.0)</f>
        <v>1</v>
      </c>
      <c r="O62" s="61" t="str">
        <f t="shared" si="3"/>
        <v/>
      </c>
      <c r="P62" s="253">
        <f>IFERROR(__xludf.DUMMYFUNCTION("""COMPUTED_VALUE"""),0.0)</f>
        <v>0</v>
      </c>
      <c r="Q62" s="254" t="b">
        <f>VLOOKUP($B62,'Run Reconcile'!B$2:O799,14,FALSE)</f>
        <v>1</v>
      </c>
      <c r="R62" s="255" t="str">
        <f t="array" ref="R62">IF($Q62, INDEX('Run Reconcile'!A$2:A799,MATCH(B62,'Run Reconcile'!B$2:B799,0),1),IFERROR(0/0,""))</f>
        <v>RUN-BEND_2022-01-03_RFR-009</v>
      </c>
      <c r="S62" s="261" t="str">
        <f t="shared" ref="S62:T62" si="128">IF(COUNTIF(W$2:W799, $A62) &gt; 0,TRUE,IFERROR(0/0,""))</f>
        <v/>
      </c>
      <c r="T62" s="261" t="str">
        <f t="shared" si="128"/>
        <v/>
      </c>
      <c r="U62" s="257" t="str">
        <f t="array" ref="U62">IF(ISBLANK($R62), INDEX('Run Reconcile'!A$2:A799, MATCH($B62, 'Run Reconcile'!B$2:B799, 0)+Z62, 1), IFERROR(0/0,""))
</f>
        <v/>
      </c>
      <c r="V62" s="258" t="str">
        <f t="shared" si="5"/>
        <v>RUN-BEND_2022-01-03_RFR-009</v>
      </c>
      <c r="Y62" s="130" t="str">
        <f t="shared" si="6"/>
        <v/>
      </c>
      <c r="Z62" s="49" t="str">
        <f t="shared" si="7"/>
        <v/>
      </c>
      <c r="AA62" s="49" t="str">
        <f t="shared" si="8"/>
        <v/>
      </c>
      <c r="AB62" s="49" t="str">
        <f t="shared" si="9"/>
        <v/>
      </c>
      <c r="AC62" s="20" t="str">
        <f t="shared" ref="AC62:AD62" si="129">IF(_xlfn.ISFORMULA(S62),IFERROR(0/0,""),TRUE)</f>
        <v/>
      </c>
      <c r="AD62" s="20" t="str">
        <f t="shared" si="129"/>
        <v/>
      </c>
      <c r="AE62" s="43"/>
      <c r="AF62" s="62" t="s">
        <v>37</v>
      </c>
      <c r="AG62" s="57" t="str">
        <f t="shared" si="11"/>
        <v/>
      </c>
    </row>
    <row r="63">
      <c r="A63" s="6" t="str">
        <f>IFERROR(__xludf.DUMMYFUNCTION("""COMPUTED_VALUE"""),"MA323")</f>
        <v>MA323</v>
      </c>
      <c r="B63" s="204">
        <f>IFERROR(__xludf.DUMMYFUNCTION("""COMPUTED_VALUE"""),44564.0)</f>
        <v>44564</v>
      </c>
      <c r="C63" s="250">
        <f>IFERROR(__xludf.DUMMYFUNCTION("""COMPUTED_VALUE"""),0.3261574074074074)</f>
        <v>0.3261574074</v>
      </c>
      <c r="D63" s="56" t="str">
        <f>IFERROR(__xludf.DUMMYFUNCTION("""COMPUTED_VALUE"""),"SpBEND672680")</f>
        <v>SpBEND672680</v>
      </c>
      <c r="E63" s="251"/>
      <c r="F63" s="251"/>
      <c r="G63" s="251" t="str">
        <f>IFERROR(__xludf.DUMMYFUNCTION("""COMPUTED_VALUE"""),"Negative")</f>
        <v>Negative</v>
      </c>
      <c r="H63" s="262" t="str">
        <f>IFERROR(__xludf.DUMMYFUNCTION("""COMPUTED_VALUE"""),"Negative")</f>
        <v>Negative</v>
      </c>
      <c r="I63" s="204">
        <f>IFERROR(__xludf.DUMMYFUNCTION("""COMPUTED_VALUE"""),44564.0)</f>
        <v>44564</v>
      </c>
      <c r="J63" s="252">
        <f>IFERROR(__xludf.DUMMYFUNCTION("""COMPUTED_VALUE"""),0.5280439814814815)</f>
        <v>0.5280439815</v>
      </c>
      <c r="K63" s="56"/>
      <c r="L63" s="6"/>
      <c r="M63" s="61"/>
      <c r="N63" s="61">
        <f>IFERROR(__xludf.DUMMYFUNCTION("""COMPUTED_VALUE"""),1.0)</f>
        <v>1</v>
      </c>
      <c r="O63" s="61" t="str">
        <f t="shared" si="3"/>
        <v/>
      </c>
      <c r="P63" s="253">
        <f>IFERROR(__xludf.DUMMYFUNCTION("""COMPUTED_VALUE"""),0.0)</f>
        <v>0</v>
      </c>
      <c r="Q63" s="254" t="b">
        <f>VLOOKUP($B63,'Run Reconcile'!B$2:O799,14,FALSE)</f>
        <v>1</v>
      </c>
      <c r="R63" s="255" t="str">
        <f t="array" ref="R63">IF($Q63, INDEX('Run Reconcile'!A$2:A799,MATCH(B63,'Run Reconcile'!B$2:B799,0),1),IFERROR(0/0,""))</f>
        <v>RUN-BEND_2022-01-03_RFR-009</v>
      </c>
      <c r="S63" s="261" t="str">
        <f t="shared" ref="S63:T63" si="130">IF(COUNTIF(W$2:W799, $A63) &gt; 0,TRUE,IFERROR(0/0,""))</f>
        <v/>
      </c>
      <c r="T63" s="261" t="str">
        <f t="shared" si="130"/>
        <v/>
      </c>
      <c r="U63" s="257" t="str">
        <f t="array" ref="U63">IF(ISBLANK($R63), INDEX('Run Reconcile'!A$2:A799, MATCH($B63, 'Run Reconcile'!B$2:B799, 0)+Z63, 1), IFERROR(0/0,""))
</f>
        <v/>
      </c>
      <c r="V63" s="258" t="str">
        <f t="shared" si="5"/>
        <v>RUN-BEND_2022-01-03_RFR-009</v>
      </c>
      <c r="Y63" s="130" t="str">
        <f t="shared" si="6"/>
        <v/>
      </c>
      <c r="Z63" s="49" t="str">
        <f t="shared" si="7"/>
        <v/>
      </c>
      <c r="AA63" s="49" t="str">
        <f t="shared" si="8"/>
        <v/>
      </c>
      <c r="AB63" s="49" t="str">
        <f t="shared" si="9"/>
        <v/>
      </c>
      <c r="AC63" s="20" t="str">
        <f t="shared" ref="AC63:AD63" si="131">IF(_xlfn.ISFORMULA(S63),IFERROR(0/0,""),TRUE)</f>
        <v/>
      </c>
      <c r="AD63" s="20" t="str">
        <f t="shared" si="131"/>
        <v/>
      </c>
      <c r="AE63" s="43"/>
      <c r="AF63" s="62" t="s">
        <v>37</v>
      </c>
      <c r="AG63" s="57" t="str">
        <f t="shared" si="11"/>
        <v/>
      </c>
    </row>
    <row r="64">
      <c r="A64" s="6" t="str">
        <f>IFERROR(__xludf.DUMMYFUNCTION("""COMPUTED_VALUE"""),"MA448")</f>
        <v>MA448</v>
      </c>
      <c r="B64" s="204">
        <f>IFERROR(__xludf.DUMMYFUNCTION("""COMPUTED_VALUE"""),44564.0)</f>
        <v>44564</v>
      </c>
      <c r="C64" s="250">
        <f>IFERROR(__xludf.DUMMYFUNCTION("""COMPUTED_VALUE"""),0.33775462962962965)</f>
        <v>0.3377546296</v>
      </c>
      <c r="D64" s="56" t="str">
        <f>IFERROR(__xludf.DUMMYFUNCTION("""COMPUTED_VALUE"""),"SpBEND139600")</f>
        <v>SpBEND139600</v>
      </c>
      <c r="E64" s="251"/>
      <c r="F64" s="251"/>
      <c r="G64" s="251" t="str">
        <f>IFERROR(__xludf.DUMMYFUNCTION("""COMPUTED_VALUE"""),"Positive")</f>
        <v>Positive</v>
      </c>
      <c r="H64" s="262" t="str">
        <f>IFERROR(__xludf.DUMMYFUNCTION("""COMPUTED_VALUE"""),"Positive")</f>
        <v>Positive</v>
      </c>
      <c r="I64" s="204">
        <f>IFERROR(__xludf.DUMMYFUNCTION("""COMPUTED_VALUE"""),44564.0)</f>
        <v>44564</v>
      </c>
      <c r="J64" s="252">
        <f>IFERROR(__xludf.DUMMYFUNCTION("""COMPUTED_VALUE"""),0.5280439814814815)</f>
        <v>0.5280439815</v>
      </c>
      <c r="K64" s="56"/>
      <c r="L64" s="6"/>
      <c r="M64" s="61"/>
      <c r="N64" s="61">
        <f>IFERROR(__xludf.DUMMYFUNCTION("""COMPUTED_VALUE"""),1.0)</f>
        <v>1</v>
      </c>
      <c r="O64" s="61" t="str">
        <f t="shared" si="3"/>
        <v/>
      </c>
      <c r="P64" s="253">
        <f>IFERROR(__xludf.DUMMYFUNCTION("""COMPUTED_VALUE"""),0.0)</f>
        <v>0</v>
      </c>
      <c r="Q64" s="254" t="b">
        <f>VLOOKUP($B64,'Run Reconcile'!B$2:O799,14,FALSE)</f>
        <v>1</v>
      </c>
      <c r="R64" s="255" t="str">
        <f t="array" ref="R64">IF($Q64, INDEX('Run Reconcile'!A$2:A799,MATCH(B64,'Run Reconcile'!B$2:B799,0),1),IFERROR(0/0,""))</f>
        <v>RUN-BEND_2022-01-03_RFR-009</v>
      </c>
      <c r="S64" s="261" t="str">
        <f t="shared" ref="S64:T64" si="132">IF(COUNTIF(W$2:W799, $A64) &gt; 0,TRUE,IFERROR(0/0,""))</f>
        <v/>
      </c>
      <c r="T64" s="261" t="str">
        <f t="shared" si="132"/>
        <v/>
      </c>
      <c r="U64" s="257" t="str">
        <f t="array" ref="U64">IF(ISBLANK($R64), INDEX('Run Reconcile'!A$2:A799, MATCH($B64, 'Run Reconcile'!B$2:B799, 0)+Z64, 1), IFERROR(0/0,""))
</f>
        <v/>
      </c>
      <c r="V64" s="258" t="str">
        <f t="shared" si="5"/>
        <v>RUN-BEND_2022-01-03_RFR-009</v>
      </c>
      <c r="Y64" s="130" t="str">
        <f t="shared" si="6"/>
        <v/>
      </c>
      <c r="Z64" s="49" t="str">
        <f t="shared" si="7"/>
        <v/>
      </c>
      <c r="AA64" s="49" t="str">
        <f t="shared" si="8"/>
        <v/>
      </c>
      <c r="AB64" s="49" t="str">
        <f t="shared" si="9"/>
        <v/>
      </c>
      <c r="AC64" s="20" t="str">
        <f t="shared" ref="AC64:AD64" si="133">IF(_xlfn.ISFORMULA(S64),IFERROR(0/0,""),TRUE)</f>
        <v/>
      </c>
      <c r="AD64" s="20" t="str">
        <f t="shared" si="133"/>
        <v/>
      </c>
      <c r="AE64" s="43"/>
      <c r="AF64" s="62" t="s">
        <v>37</v>
      </c>
      <c r="AG64" s="57" t="str">
        <f t="shared" si="11"/>
        <v/>
      </c>
    </row>
    <row r="65">
      <c r="A65" s="6" t="str">
        <f>IFERROR(__xludf.DUMMYFUNCTION("""COMPUTED_VALUE"""),"MA1049")</f>
        <v>MA1049</v>
      </c>
      <c r="B65" s="204">
        <f>IFERROR(__xludf.DUMMYFUNCTION("""COMPUTED_VALUE"""),44564.0)</f>
        <v>44564</v>
      </c>
      <c r="C65" s="250">
        <f>IFERROR(__xludf.DUMMYFUNCTION("""COMPUTED_VALUE"""),0.3424074074074074)</f>
        <v>0.3424074074</v>
      </c>
      <c r="D65" s="56" t="str">
        <f>IFERROR(__xludf.DUMMYFUNCTION("""COMPUTED_VALUE"""),"SpBEND139816")</f>
        <v>SpBEND139816</v>
      </c>
      <c r="E65" s="251"/>
      <c r="F65" s="251"/>
      <c r="G65" s="251" t="str">
        <f>IFERROR(__xludf.DUMMYFUNCTION("""COMPUTED_VALUE"""),"Negative")</f>
        <v>Negative</v>
      </c>
      <c r="H65" s="262" t="str">
        <f>IFERROR(__xludf.DUMMYFUNCTION("""COMPUTED_VALUE"""),"Negative")</f>
        <v>Negative</v>
      </c>
      <c r="I65" s="204">
        <f>IFERROR(__xludf.DUMMYFUNCTION("""COMPUTED_VALUE"""),44564.0)</f>
        <v>44564</v>
      </c>
      <c r="J65" s="252">
        <f>IFERROR(__xludf.DUMMYFUNCTION("""COMPUTED_VALUE"""),0.5280439814814815)</f>
        <v>0.5280439815</v>
      </c>
      <c r="K65" s="56"/>
      <c r="L65" s="6"/>
      <c r="M65" s="61"/>
      <c r="N65" s="61">
        <f>IFERROR(__xludf.DUMMYFUNCTION("""COMPUTED_VALUE"""),1.0)</f>
        <v>1</v>
      </c>
      <c r="O65" s="61" t="str">
        <f t="shared" si="3"/>
        <v/>
      </c>
      <c r="P65" s="253">
        <f>IFERROR(__xludf.DUMMYFUNCTION("""COMPUTED_VALUE"""),0.0)</f>
        <v>0</v>
      </c>
      <c r="Q65" s="254" t="b">
        <f>VLOOKUP($B65,'Run Reconcile'!B$2:O799,14,FALSE)</f>
        <v>1</v>
      </c>
      <c r="R65" s="255" t="str">
        <f t="array" ref="R65">IF($Q65, INDEX('Run Reconcile'!A$2:A799,MATCH(B65,'Run Reconcile'!B$2:B799,0),1),IFERROR(0/0,""))</f>
        <v>RUN-BEND_2022-01-03_RFR-009</v>
      </c>
      <c r="S65" s="261" t="str">
        <f t="shared" ref="S65:T65" si="134">IF(COUNTIF(W$2:W799, $A65) &gt; 0,TRUE,IFERROR(0/0,""))</f>
        <v/>
      </c>
      <c r="T65" s="261" t="str">
        <f t="shared" si="134"/>
        <v/>
      </c>
      <c r="U65" s="257" t="str">
        <f t="array" ref="U65">IF(ISBLANK($R65), INDEX('Run Reconcile'!A$2:A799, MATCH($B65, 'Run Reconcile'!B$2:B799, 0)+Z65, 1), IFERROR(0/0,""))
</f>
        <v/>
      </c>
      <c r="V65" s="258" t="str">
        <f t="shared" si="5"/>
        <v>RUN-BEND_2022-01-03_RFR-009</v>
      </c>
      <c r="Y65" s="130" t="str">
        <f t="shared" si="6"/>
        <v/>
      </c>
      <c r="Z65" s="49" t="str">
        <f t="shared" si="7"/>
        <v/>
      </c>
      <c r="AA65" s="49" t="str">
        <f t="shared" si="8"/>
        <v/>
      </c>
      <c r="AB65" s="49" t="str">
        <f t="shared" si="9"/>
        <v/>
      </c>
      <c r="AC65" s="20" t="str">
        <f t="shared" ref="AC65:AD65" si="135">IF(_xlfn.ISFORMULA(S65),IFERROR(0/0,""),TRUE)</f>
        <v/>
      </c>
      <c r="AD65" s="20" t="str">
        <f t="shared" si="135"/>
        <v/>
      </c>
      <c r="AE65" s="43"/>
      <c r="AF65" s="62" t="s">
        <v>37</v>
      </c>
      <c r="AG65" s="57" t="str">
        <f t="shared" si="11"/>
        <v/>
      </c>
    </row>
    <row r="66">
      <c r="A66" s="6" t="str">
        <f>IFERROR(__xludf.DUMMYFUNCTION("""COMPUTED_VALUE"""),"MA1082")</f>
        <v>MA1082</v>
      </c>
      <c r="B66" s="204">
        <f>IFERROR(__xludf.DUMMYFUNCTION("""COMPUTED_VALUE"""),44564.0)</f>
        <v>44564</v>
      </c>
      <c r="C66" s="250">
        <f>IFERROR(__xludf.DUMMYFUNCTION("""COMPUTED_VALUE"""),0.3515509259259259)</f>
        <v>0.3515509259</v>
      </c>
      <c r="D66" s="56" t="str">
        <f>IFERROR(__xludf.DUMMYFUNCTION("""COMPUTED_VALUE"""),"SpBEND642175")</f>
        <v>SpBEND642175</v>
      </c>
      <c r="E66" s="251"/>
      <c r="F66" s="251"/>
      <c r="G66" s="251" t="str">
        <f>IFERROR(__xludf.DUMMYFUNCTION("""COMPUTED_VALUE"""),"Negative")</f>
        <v>Negative</v>
      </c>
      <c r="H66" s="262" t="str">
        <f>IFERROR(__xludf.DUMMYFUNCTION("""COMPUTED_VALUE"""),"Negative")</f>
        <v>Negative</v>
      </c>
      <c r="I66" s="204">
        <f>IFERROR(__xludf.DUMMYFUNCTION("""COMPUTED_VALUE"""),44564.0)</f>
        <v>44564</v>
      </c>
      <c r="J66" s="252">
        <f>IFERROR(__xludf.DUMMYFUNCTION("""COMPUTED_VALUE"""),0.5280439814814815)</f>
        <v>0.5280439815</v>
      </c>
      <c r="K66" s="56"/>
      <c r="L66" s="6"/>
      <c r="M66" s="61"/>
      <c r="N66" s="61">
        <f>IFERROR(__xludf.DUMMYFUNCTION("""COMPUTED_VALUE"""),1.0)</f>
        <v>1</v>
      </c>
      <c r="O66" s="61" t="str">
        <f t="shared" si="3"/>
        <v/>
      </c>
      <c r="P66" s="253">
        <f>IFERROR(__xludf.DUMMYFUNCTION("""COMPUTED_VALUE"""),0.0)</f>
        <v>0</v>
      </c>
      <c r="Q66" s="254" t="b">
        <f>VLOOKUP($B66,'Run Reconcile'!B$2:O799,14,FALSE)</f>
        <v>1</v>
      </c>
      <c r="R66" s="255" t="str">
        <f t="array" ref="R66">IF($Q66, INDEX('Run Reconcile'!A$2:A799,MATCH(B66,'Run Reconcile'!B$2:B799,0),1),IFERROR(0/0,""))</f>
        <v>RUN-BEND_2022-01-03_RFR-009</v>
      </c>
      <c r="S66" s="261" t="str">
        <f t="shared" ref="S66:T66" si="136">IF(COUNTIF(W$2:W799, $A66) &gt; 0,TRUE,IFERROR(0/0,""))</f>
        <v/>
      </c>
      <c r="T66" s="261" t="str">
        <f t="shared" si="136"/>
        <v/>
      </c>
      <c r="U66" s="257" t="str">
        <f t="array" ref="U66">IF(ISBLANK($R66), INDEX('Run Reconcile'!A$2:A799, MATCH($B66, 'Run Reconcile'!B$2:B799, 0)+Z66, 1), IFERROR(0/0,""))
</f>
        <v/>
      </c>
      <c r="V66" s="258" t="str">
        <f t="shared" si="5"/>
        <v>RUN-BEND_2022-01-03_RFR-009</v>
      </c>
      <c r="Y66" s="130" t="str">
        <f t="shared" si="6"/>
        <v/>
      </c>
      <c r="Z66" s="49" t="str">
        <f t="shared" si="7"/>
        <v/>
      </c>
      <c r="AA66" s="49" t="str">
        <f t="shared" si="8"/>
        <v/>
      </c>
      <c r="AB66" s="49" t="str">
        <f t="shared" si="9"/>
        <v/>
      </c>
      <c r="AC66" s="20" t="str">
        <f t="shared" ref="AC66:AD66" si="137">IF(_xlfn.ISFORMULA(S66),IFERROR(0/0,""),TRUE)</f>
        <v/>
      </c>
      <c r="AD66" s="20" t="str">
        <f t="shared" si="137"/>
        <v/>
      </c>
      <c r="AE66" s="43"/>
      <c r="AF66" s="62" t="s">
        <v>37</v>
      </c>
      <c r="AG66" s="57" t="str">
        <f t="shared" si="11"/>
        <v/>
      </c>
    </row>
    <row r="67">
      <c r="A67" s="6" t="str">
        <f>IFERROR(__xludf.DUMMYFUNCTION("""COMPUTED_VALUE"""),"MA287")</f>
        <v>MA287</v>
      </c>
      <c r="B67" s="204">
        <f>IFERROR(__xludf.DUMMYFUNCTION("""COMPUTED_VALUE"""),44564.0)</f>
        <v>44564</v>
      </c>
      <c r="C67" s="250">
        <f>IFERROR(__xludf.DUMMYFUNCTION("""COMPUTED_VALUE"""),0.35965277777777777)</f>
        <v>0.3596527778</v>
      </c>
      <c r="D67" s="56" t="str">
        <f>IFERROR(__xludf.DUMMYFUNCTION("""COMPUTED_VALUE"""),"SpBEND387532")</f>
        <v>SpBEND387532</v>
      </c>
      <c r="E67" s="251"/>
      <c r="F67" s="251"/>
      <c r="G67" s="251" t="str">
        <f>IFERROR(__xludf.DUMMYFUNCTION("""COMPUTED_VALUE"""),"Positive")</f>
        <v>Positive</v>
      </c>
      <c r="H67" s="262" t="str">
        <f>IFERROR(__xludf.DUMMYFUNCTION("""COMPUTED_VALUE"""),"Positive")</f>
        <v>Positive</v>
      </c>
      <c r="I67" s="204">
        <f>IFERROR(__xludf.DUMMYFUNCTION("""COMPUTED_VALUE"""),44564.0)</f>
        <v>44564</v>
      </c>
      <c r="J67" s="252">
        <f>IFERROR(__xludf.DUMMYFUNCTION("""COMPUTED_VALUE"""),0.5280439814814815)</f>
        <v>0.5280439815</v>
      </c>
      <c r="K67" s="56"/>
      <c r="L67" s="6"/>
      <c r="M67" s="61"/>
      <c r="N67" s="61">
        <f>IFERROR(__xludf.DUMMYFUNCTION("""COMPUTED_VALUE"""),1.0)</f>
        <v>1</v>
      </c>
      <c r="O67" s="61" t="str">
        <f t="shared" si="3"/>
        <v/>
      </c>
      <c r="P67" s="253">
        <f>IFERROR(__xludf.DUMMYFUNCTION("""COMPUTED_VALUE"""),0.0)</f>
        <v>0</v>
      </c>
      <c r="Q67" s="254" t="b">
        <f>VLOOKUP($B67,'Run Reconcile'!B$2:O799,14,FALSE)</f>
        <v>1</v>
      </c>
      <c r="R67" s="255" t="str">
        <f t="array" ref="R67">IF($Q67, INDEX('Run Reconcile'!A$2:A799,MATCH(B67,'Run Reconcile'!B$2:B799,0),1),IFERROR(0/0,""))</f>
        <v>RUN-BEND_2022-01-03_RFR-009</v>
      </c>
      <c r="S67" s="261" t="str">
        <f t="shared" ref="S67:T67" si="138">IF(COUNTIF(W$2:W799, $A67) &gt; 0,TRUE,IFERROR(0/0,""))</f>
        <v/>
      </c>
      <c r="T67" s="261" t="str">
        <f t="shared" si="138"/>
        <v/>
      </c>
      <c r="U67" s="257" t="str">
        <f t="array" ref="U67">IF(ISBLANK($R67), INDEX('Run Reconcile'!A$2:A799, MATCH($B67, 'Run Reconcile'!B$2:B799, 0)+Z67, 1), IFERROR(0/0,""))
</f>
        <v/>
      </c>
      <c r="V67" s="258" t="str">
        <f t="shared" si="5"/>
        <v>RUN-BEND_2022-01-03_RFR-009</v>
      </c>
      <c r="Y67" s="130" t="str">
        <f t="shared" si="6"/>
        <v/>
      </c>
      <c r="Z67" s="49" t="str">
        <f t="shared" si="7"/>
        <v/>
      </c>
      <c r="AA67" s="49" t="str">
        <f t="shared" si="8"/>
        <v/>
      </c>
      <c r="AB67" s="49" t="str">
        <f t="shared" si="9"/>
        <v/>
      </c>
      <c r="AC67" s="20" t="str">
        <f t="shared" ref="AC67:AD67" si="139">IF(_xlfn.ISFORMULA(S67),IFERROR(0/0,""),TRUE)</f>
        <v/>
      </c>
      <c r="AD67" s="20" t="str">
        <f t="shared" si="139"/>
        <v/>
      </c>
      <c r="AE67" s="43"/>
      <c r="AF67" s="62" t="s">
        <v>37</v>
      </c>
      <c r="AG67" s="57" t="str">
        <f t="shared" si="11"/>
        <v/>
      </c>
    </row>
    <row r="68">
      <c r="A68" s="6" t="str">
        <f>IFERROR(__xludf.DUMMYFUNCTION("""COMPUTED_VALUE"""),"MA473")</f>
        <v>MA473</v>
      </c>
      <c r="B68" s="204">
        <f>IFERROR(__xludf.DUMMYFUNCTION("""COMPUTED_VALUE"""),44564.0)</f>
        <v>44564</v>
      </c>
      <c r="C68" s="250">
        <f>IFERROR(__xludf.DUMMYFUNCTION("""COMPUTED_VALUE"""),0.3654513888888889)</f>
        <v>0.3654513889</v>
      </c>
      <c r="D68" s="56" t="str">
        <f>IFERROR(__xludf.DUMMYFUNCTION("""COMPUTED_VALUE"""),"SpBEND394154")</f>
        <v>SpBEND394154</v>
      </c>
      <c r="E68" s="251"/>
      <c r="F68" s="251"/>
      <c r="G68" s="251" t="str">
        <f>IFERROR(__xludf.DUMMYFUNCTION("""COMPUTED_VALUE"""),"Positive")</f>
        <v>Positive</v>
      </c>
      <c r="H68" s="262" t="str">
        <f>IFERROR(__xludf.DUMMYFUNCTION("""COMPUTED_VALUE"""),"Positive")</f>
        <v>Positive</v>
      </c>
      <c r="I68" s="204">
        <f>IFERROR(__xludf.DUMMYFUNCTION("""COMPUTED_VALUE"""),44564.0)</f>
        <v>44564</v>
      </c>
      <c r="J68" s="252">
        <f>IFERROR(__xludf.DUMMYFUNCTION("""COMPUTED_VALUE"""),0.5280439814814815)</f>
        <v>0.5280439815</v>
      </c>
      <c r="K68" s="56"/>
      <c r="L68" s="6"/>
      <c r="M68" s="61"/>
      <c r="N68" s="61">
        <f>IFERROR(__xludf.DUMMYFUNCTION("""COMPUTED_VALUE"""),1.0)</f>
        <v>1</v>
      </c>
      <c r="O68" s="61" t="str">
        <f t="shared" si="3"/>
        <v/>
      </c>
      <c r="P68" s="253">
        <f>IFERROR(__xludf.DUMMYFUNCTION("""COMPUTED_VALUE"""),0.0)</f>
        <v>0</v>
      </c>
      <c r="Q68" s="254" t="b">
        <f>VLOOKUP($B68,'Run Reconcile'!B$2:O799,14,FALSE)</f>
        <v>1</v>
      </c>
      <c r="R68" s="255" t="str">
        <f t="array" ref="R68">IF($Q68, INDEX('Run Reconcile'!A$2:A799,MATCH(B68,'Run Reconcile'!B$2:B799,0),1),IFERROR(0/0,""))</f>
        <v>RUN-BEND_2022-01-03_RFR-009</v>
      </c>
      <c r="S68" s="261" t="str">
        <f t="shared" ref="S68:T68" si="140">IF(COUNTIF(W$2:W799, $A68) &gt; 0,TRUE,IFERROR(0/0,""))</f>
        <v/>
      </c>
      <c r="T68" s="261" t="str">
        <f t="shared" si="140"/>
        <v/>
      </c>
      <c r="U68" s="257" t="str">
        <f t="array" ref="U68">IF(ISBLANK($R68), INDEX('Run Reconcile'!A$2:A799, MATCH($B68, 'Run Reconcile'!B$2:B799, 0)+Z68, 1), IFERROR(0/0,""))
</f>
        <v/>
      </c>
      <c r="V68" s="258" t="str">
        <f t="shared" si="5"/>
        <v>RUN-BEND_2022-01-03_RFR-009</v>
      </c>
      <c r="Y68" s="130" t="str">
        <f t="shared" si="6"/>
        <v/>
      </c>
      <c r="Z68" s="49" t="str">
        <f t="shared" si="7"/>
        <v/>
      </c>
      <c r="AA68" s="49" t="str">
        <f t="shared" si="8"/>
        <v/>
      </c>
      <c r="AB68" s="49" t="str">
        <f t="shared" si="9"/>
        <v/>
      </c>
      <c r="AC68" s="20" t="str">
        <f t="shared" ref="AC68:AD68" si="141">IF(_xlfn.ISFORMULA(S68),IFERROR(0/0,""),TRUE)</f>
        <v/>
      </c>
      <c r="AD68" s="20" t="str">
        <f t="shared" si="141"/>
        <v/>
      </c>
      <c r="AE68" s="43"/>
      <c r="AF68" s="62" t="s">
        <v>37</v>
      </c>
      <c r="AG68" s="57" t="str">
        <f t="shared" si="11"/>
        <v/>
      </c>
    </row>
    <row r="69">
      <c r="A69" s="6" t="str">
        <f>IFERROR(__xludf.DUMMYFUNCTION("""COMPUTED_VALUE"""),"MA1022")</f>
        <v>MA1022</v>
      </c>
      <c r="B69" s="204">
        <f>IFERROR(__xludf.DUMMYFUNCTION("""COMPUTED_VALUE"""),44564.0)</f>
        <v>44564</v>
      </c>
      <c r="C69" s="250">
        <f>IFERROR(__xludf.DUMMYFUNCTION("""COMPUTED_VALUE"""),0.36962962962962964)</f>
        <v>0.3696296296</v>
      </c>
      <c r="D69" s="56" t="str">
        <f>IFERROR(__xludf.DUMMYFUNCTION("""COMPUTED_VALUE"""),"SpBEND372845")</f>
        <v>SpBEND372845</v>
      </c>
      <c r="E69" s="251"/>
      <c r="F69" s="251"/>
      <c r="G69" s="251" t="str">
        <f>IFERROR(__xludf.DUMMYFUNCTION("""COMPUTED_VALUE"""),"Negative")</f>
        <v>Negative</v>
      </c>
      <c r="H69" s="262" t="str">
        <f>IFERROR(__xludf.DUMMYFUNCTION("""COMPUTED_VALUE"""),"Negative")</f>
        <v>Negative</v>
      </c>
      <c r="I69" s="204">
        <f>IFERROR(__xludf.DUMMYFUNCTION("""COMPUTED_VALUE"""),44564.0)</f>
        <v>44564</v>
      </c>
      <c r="J69" s="252">
        <f>IFERROR(__xludf.DUMMYFUNCTION("""COMPUTED_VALUE"""),0.5280439814814815)</f>
        <v>0.5280439815</v>
      </c>
      <c r="K69" s="56"/>
      <c r="L69" s="6"/>
      <c r="M69" s="61"/>
      <c r="N69" s="61">
        <f>IFERROR(__xludf.DUMMYFUNCTION("""COMPUTED_VALUE"""),1.0)</f>
        <v>1</v>
      </c>
      <c r="O69" s="61" t="str">
        <f t="shared" si="3"/>
        <v/>
      </c>
      <c r="P69" s="253">
        <f>IFERROR(__xludf.DUMMYFUNCTION("""COMPUTED_VALUE"""),0.0)</f>
        <v>0</v>
      </c>
      <c r="Q69" s="254" t="b">
        <f>VLOOKUP($B69,'Run Reconcile'!B$2:O799,14,FALSE)</f>
        <v>1</v>
      </c>
      <c r="R69" s="255" t="str">
        <f t="array" ref="R69">IF($Q69, INDEX('Run Reconcile'!A$2:A799,MATCH(B69,'Run Reconcile'!B$2:B799,0),1),IFERROR(0/0,""))</f>
        <v>RUN-BEND_2022-01-03_RFR-009</v>
      </c>
      <c r="S69" s="261" t="str">
        <f t="shared" ref="S69:T69" si="142">IF(COUNTIF(W$2:W799, $A69) &gt; 0,TRUE,IFERROR(0/0,""))</f>
        <v/>
      </c>
      <c r="T69" s="261" t="str">
        <f t="shared" si="142"/>
        <v/>
      </c>
      <c r="U69" s="257" t="str">
        <f t="array" ref="U69">IF(ISBLANK($R69), INDEX('Run Reconcile'!A$2:A799, MATCH($B69, 'Run Reconcile'!B$2:B799, 0)+Z69, 1), IFERROR(0/0,""))
</f>
        <v/>
      </c>
      <c r="V69" s="258" t="str">
        <f t="shared" si="5"/>
        <v>RUN-BEND_2022-01-03_RFR-009</v>
      </c>
      <c r="Y69" s="130" t="str">
        <f t="shared" si="6"/>
        <v/>
      </c>
      <c r="Z69" s="49" t="str">
        <f t="shared" si="7"/>
        <v/>
      </c>
      <c r="AA69" s="49" t="str">
        <f t="shared" si="8"/>
        <v/>
      </c>
      <c r="AB69" s="49" t="str">
        <f t="shared" si="9"/>
        <v/>
      </c>
      <c r="AC69" s="20" t="str">
        <f t="shared" ref="AC69:AD69" si="143">IF(_xlfn.ISFORMULA(S69),IFERROR(0/0,""),TRUE)</f>
        <v/>
      </c>
      <c r="AD69" s="20" t="str">
        <f t="shared" si="143"/>
        <v/>
      </c>
      <c r="AE69" s="43"/>
      <c r="AF69" s="62" t="s">
        <v>37</v>
      </c>
      <c r="AG69" s="57" t="str">
        <f t="shared" si="11"/>
        <v/>
      </c>
    </row>
    <row r="70">
      <c r="A70" s="6" t="str">
        <f>IFERROR(__xludf.DUMMYFUNCTION("""COMPUTED_VALUE"""),"MA644")</f>
        <v>MA644</v>
      </c>
      <c r="B70" s="204">
        <f>IFERROR(__xludf.DUMMYFUNCTION("""COMPUTED_VALUE"""),44564.0)</f>
        <v>44564</v>
      </c>
      <c r="C70" s="250">
        <f>IFERROR(__xludf.DUMMYFUNCTION("""COMPUTED_VALUE"""),0.38413194444444443)</f>
        <v>0.3841319444</v>
      </c>
      <c r="D70" s="56" t="str">
        <f>IFERROR(__xludf.DUMMYFUNCTION("""COMPUTED_VALUE"""),"SpBEND643855")</f>
        <v>SpBEND643855</v>
      </c>
      <c r="E70" s="251"/>
      <c r="F70" s="251"/>
      <c r="G70" s="251" t="str">
        <f>IFERROR(__xludf.DUMMYFUNCTION("""COMPUTED_VALUE"""),"Negative")</f>
        <v>Negative</v>
      </c>
      <c r="H70" s="262" t="str">
        <f>IFERROR(__xludf.DUMMYFUNCTION("""COMPUTED_VALUE"""),"Negative")</f>
        <v>Negative</v>
      </c>
      <c r="I70" s="204">
        <f>IFERROR(__xludf.DUMMYFUNCTION("""COMPUTED_VALUE"""),44564.0)</f>
        <v>44564</v>
      </c>
      <c r="J70" s="252">
        <f>IFERROR(__xludf.DUMMYFUNCTION("""COMPUTED_VALUE"""),0.5280439814814815)</f>
        <v>0.5280439815</v>
      </c>
      <c r="K70" s="56"/>
      <c r="L70" s="6"/>
      <c r="M70" s="61"/>
      <c r="N70" s="61">
        <f>IFERROR(__xludf.DUMMYFUNCTION("""COMPUTED_VALUE"""),1.0)</f>
        <v>1</v>
      </c>
      <c r="O70" s="61" t="str">
        <f t="shared" si="3"/>
        <v/>
      </c>
      <c r="P70" s="253">
        <f>IFERROR(__xludf.DUMMYFUNCTION("""COMPUTED_VALUE"""),0.0)</f>
        <v>0</v>
      </c>
      <c r="Q70" s="254" t="b">
        <f>VLOOKUP($B70,'Run Reconcile'!B$2:O799,14,FALSE)</f>
        <v>1</v>
      </c>
      <c r="R70" s="255" t="str">
        <f t="array" ref="R70">IF($Q70, INDEX('Run Reconcile'!A$2:A799,MATCH(B70,'Run Reconcile'!B$2:B799,0),1),IFERROR(0/0,""))</f>
        <v>RUN-BEND_2022-01-03_RFR-009</v>
      </c>
      <c r="S70" s="261" t="str">
        <f t="shared" ref="S70:T70" si="144">IF(COUNTIF(W$2:W799, $A70) &gt; 0,TRUE,IFERROR(0/0,""))</f>
        <v/>
      </c>
      <c r="T70" s="261" t="str">
        <f t="shared" si="144"/>
        <v/>
      </c>
      <c r="U70" s="257" t="str">
        <f t="array" ref="U70">IF(ISBLANK($R70), INDEX('Run Reconcile'!A$2:A799, MATCH($B70, 'Run Reconcile'!B$2:B799, 0)+Z70, 1), IFERROR(0/0,""))
</f>
        <v/>
      </c>
      <c r="V70" s="258" t="str">
        <f t="shared" si="5"/>
        <v>RUN-BEND_2022-01-03_RFR-009</v>
      </c>
      <c r="Y70" s="130" t="str">
        <f t="shared" si="6"/>
        <v/>
      </c>
      <c r="Z70" s="49" t="str">
        <f t="shared" si="7"/>
        <v/>
      </c>
      <c r="AA70" s="49" t="str">
        <f t="shared" si="8"/>
        <v/>
      </c>
      <c r="AB70" s="49" t="str">
        <f t="shared" si="9"/>
        <v/>
      </c>
      <c r="AC70" s="20" t="str">
        <f t="shared" ref="AC70:AD70" si="145">IF(_xlfn.ISFORMULA(S70),IFERROR(0/0,""),TRUE)</f>
        <v/>
      </c>
      <c r="AD70" s="20" t="str">
        <f t="shared" si="145"/>
        <v/>
      </c>
      <c r="AE70" s="43"/>
      <c r="AF70" s="62" t="s">
        <v>37</v>
      </c>
      <c r="AG70" s="57" t="str">
        <f t="shared" si="11"/>
        <v/>
      </c>
    </row>
    <row r="71">
      <c r="A71" s="6" t="str">
        <f>IFERROR(__xludf.DUMMYFUNCTION("""COMPUTED_VALUE"""),"MA248")</f>
        <v>MA248</v>
      </c>
      <c r="B71" s="204">
        <f>IFERROR(__xludf.DUMMYFUNCTION("""COMPUTED_VALUE"""),44564.0)</f>
        <v>44564</v>
      </c>
      <c r="C71" s="250">
        <f>IFERROR(__xludf.DUMMYFUNCTION("""COMPUTED_VALUE"""),0.39762731481481484)</f>
        <v>0.3976273148</v>
      </c>
      <c r="D71" s="56" t="str">
        <f>IFERROR(__xludf.DUMMYFUNCTION("""COMPUTED_VALUE"""),"SpBEND305944")</f>
        <v>SpBEND305944</v>
      </c>
      <c r="E71" s="251"/>
      <c r="F71" s="251"/>
      <c r="G71" s="251" t="str">
        <f>IFERROR(__xludf.DUMMYFUNCTION("""COMPUTED_VALUE"""),"Negative")</f>
        <v>Negative</v>
      </c>
      <c r="H71" s="262" t="str">
        <f>IFERROR(__xludf.DUMMYFUNCTION("""COMPUTED_VALUE"""),"Negative")</f>
        <v>Negative</v>
      </c>
      <c r="I71" s="204">
        <f>IFERROR(__xludf.DUMMYFUNCTION("""COMPUTED_VALUE"""),44564.0)</f>
        <v>44564</v>
      </c>
      <c r="J71" s="252">
        <f>IFERROR(__xludf.DUMMYFUNCTION("""COMPUTED_VALUE"""),0.5280439814814815)</f>
        <v>0.5280439815</v>
      </c>
      <c r="K71" s="56"/>
      <c r="L71" s="6"/>
      <c r="M71" s="61"/>
      <c r="N71" s="61">
        <f>IFERROR(__xludf.DUMMYFUNCTION("""COMPUTED_VALUE"""),1.0)</f>
        <v>1</v>
      </c>
      <c r="O71" s="61" t="str">
        <f t="shared" si="3"/>
        <v/>
      </c>
      <c r="P71" s="253">
        <f>IFERROR(__xludf.DUMMYFUNCTION("""COMPUTED_VALUE"""),0.0)</f>
        <v>0</v>
      </c>
      <c r="Q71" s="254" t="b">
        <f>VLOOKUP($B71,'Run Reconcile'!B$2:O799,14,FALSE)</f>
        <v>1</v>
      </c>
      <c r="R71" s="255" t="str">
        <f t="array" ref="R71">IF($Q71, INDEX('Run Reconcile'!A$2:A799,MATCH(B71,'Run Reconcile'!B$2:B799,0),1),IFERROR(0/0,""))</f>
        <v>RUN-BEND_2022-01-03_RFR-009</v>
      </c>
      <c r="S71" s="261" t="str">
        <f t="shared" ref="S71:T71" si="146">IF(COUNTIF(W$2:W799, $A71) &gt; 0,TRUE,IFERROR(0/0,""))</f>
        <v/>
      </c>
      <c r="T71" s="261" t="str">
        <f t="shared" si="146"/>
        <v/>
      </c>
      <c r="U71" s="257" t="str">
        <f t="array" ref="U71">IF(ISBLANK($R71), INDEX('Run Reconcile'!A$2:A799, MATCH($B71, 'Run Reconcile'!B$2:B799, 0)+Z71, 1), IFERROR(0/0,""))
</f>
        <v/>
      </c>
      <c r="V71" s="258" t="str">
        <f t="shared" si="5"/>
        <v>RUN-BEND_2022-01-03_RFR-009</v>
      </c>
      <c r="Y71" s="130" t="str">
        <f t="shared" si="6"/>
        <v/>
      </c>
      <c r="Z71" s="49" t="str">
        <f t="shared" si="7"/>
        <v/>
      </c>
      <c r="AA71" s="49" t="str">
        <f t="shared" si="8"/>
        <v/>
      </c>
      <c r="AB71" s="49" t="str">
        <f t="shared" si="9"/>
        <v/>
      </c>
      <c r="AC71" s="20" t="str">
        <f t="shared" ref="AC71:AD71" si="147">IF(_xlfn.ISFORMULA(S71),IFERROR(0/0,""),TRUE)</f>
        <v/>
      </c>
      <c r="AD71" s="20" t="str">
        <f t="shared" si="147"/>
        <v/>
      </c>
      <c r="AE71" s="43"/>
      <c r="AF71" s="62" t="s">
        <v>37</v>
      </c>
      <c r="AG71" s="57" t="str">
        <f t="shared" si="11"/>
        <v/>
      </c>
    </row>
    <row r="72">
      <c r="A72" s="6" t="str">
        <f>IFERROR(__xludf.DUMMYFUNCTION("""COMPUTED_VALUE"""),"MA282")</f>
        <v>MA282</v>
      </c>
      <c r="B72" s="204">
        <f>IFERROR(__xludf.DUMMYFUNCTION("""COMPUTED_VALUE"""),44564.0)</f>
        <v>44564</v>
      </c>
      <c r="C72" s="250">
        <f>IFERROR(__xludf.DUMMYFUNCTION("""COMPUTED_VALUE"""),0.40229166666666666)</f>
        <v>0.4022916667</v>
      </c>
      <c r="D72" s="56" t="str">
        <f>IFERROR(__xludf.DUMMYFUNCTION("""COMPUTED_VALUE"""),"SpBEND708976")</f>
        <v>SpBEND708976</v>
      </c>
      <c r="E72" s="251"/>
      <c r="F72" s="251"/>
      <c r="G72" s="251" t="str">
        <f>IFERROR(__xludf.DUMMYFUNCTION("""COMPUTED_VALUE"""),"Negative")</f>
        <v>Negative</v>
      </c>
      <c r="H72" s="262" t="str">
        <f>IFERROR(__xludf.DUMMYFUNCTION("""COMPUTED_VALUE"""),"Negative")</f>
        <v>Negative</v>
      </c>
      <c r="I72" s="204">
        <f>IFERROR(__xludf.DUMMYFUNCTION("""COMPUTED_VALUE"""),44564.0)</f>
        <v>44564</v>
      </c>
      <c r="J72" s="252">
        <f>IFERROR(__xludf.DUMMYFUNCTION("""COMPUTED_VALUE"""),0.5280439814814815)</f>
        <v>0.5280439815</v>
      </c>
      <c r="K72" s="56"/>
      <c r="L72" s="6"/>
      <c r="M72" s="61"/>
      <c r="N72" s="61">
        <f>IFERROR(__xludf.DUMMYFUNCTION("""COMPUTED_VALUE"""),1.0)</f>
        <v>1</v>
      </c>
      <c r="O72" s="61" t="str">
        <f t="shared" si="3"/>
        <v/>
      </c>
      <c r="P72" s="253">
        <f>IFERROR(__xludf.DUMMYFUNCTION("""COMPUTED_VALUE"""),0.0)</f>
        <v>0</v>
      </c>
      <c r="Q72" s="254" t="b">
        <f>VLOOKUP($B72,'Run Reconcile'!B$2:O799,14,FALSE)</f>
        <v>1</v>
      </c>
      <c r="R72" s="255" t="str">
        <f t="array" ref="R72">IF($Q72, INDEX('Run Reconcile'!A$2:A799,MATCH(B72,'Run Reconcile'!B$2:B799,0),1),IFERROR(0/0,""))</f>
        <v>RUN-BEND_2022-01-03_RFR-009</v>
      </c>
      <c r="S72" s="261" t="str">
        <f t="shared" ref="S72:T72" si="148">IF(COUNTIF(W$2:W799, $A72) &gt; 0,TRUE,IFERROR(0/0,""))</f>
        <v/>
      </c>
      <c r="T72" s="261" t="str">
        <f t="shared" si="148"/>
        <v/>
      </c>
      <c r="U72" s="257" t="str">
        <f t="array" ref="U72">IF(ISBLANK($R72), INDEX('Run Reconcile'!A$2:A799, MATCH($B72, 'Run Reconcile'!B$2:B799, 0)+Z72, 1), IFERROR(0/0,""))
</f>
        <v/>
      </c>
      <c r="V72" s="258" t="str">
        <f t="shared" si="5"/>
        <v>RUN-BEND_2022-01-03_RFR-009</v>
      </c>
      <c r="Y72" s="130" t="str">
        <f t="shared" si="6"/>
        <v/>
      </c>
      <c r="Z72" s="49" t="str">
        <f t="shared" si="7"/>
        <v/>
      </c>
      <c r="AA72" s="49" t="str">
        <f t="shared" si="8"/>
        <v/>
      </c>
      <c r="AB72" s="49" t="str">
        <f t="shared" si="9"/>
        <v/>
      </c>
      <c r="AC72" s="20" t="str">
        <f t="shared" ref="AC72:AD72" si="149">IF(_xlfn.ISFORMULA(S72),IFERROR(0/0,""),TRUE)</f>
        <v/>
      </c>
      <c r="AD72" s="20" t="str">
        <f t="shared" si="149"/>
        <v/>
      </c>
      <c r="AE72" s="43"/>
      <c r="AF72" s="62" t="s">
        <v>37</v>
      </c>
      <c r="AG72" s="57" t="str">
        <f t="shared" si="11"/>
        <v/>
      </c>
    </row>
    <row r="73">
      <c r="A73" s="6" t="str">
        <f>IFERROR(__xludf.DUMMYFUNCTION("""COMPUTED_VALUE"""),"MA660")</f>
        <v>MA660</v>
      </c>
      <c r="B73" s="204">
        <f>IFERROR(__xludf.DUMMYFUNCTION("""COMPUTED_VALUE"""),44565.0)</f>
        <v>44565</v>
      </c>
      <c r="C73" s="250">
        <f>IFERROR(__xludf.DUMMYFUNCTION("""COMPUTED_VALUE"""),0.6911574074074074)</f>
        <v>0.6911574074</v>
      </c>
      <c r="D73" s="56" t="str">
        <f>IFERROR(__xludf.DUMMYFUNCTION("""COMPUTED_VALUE"""),"SpBEND481988")</f>
        <v>SpBEND481988</v>
      </c>
      <c r="E73" s="251"/>
      <c r="F73" s="251"/>
      <c r="G73" s="251" t="str">
        <f>IFERROR(__xludf.DUMMYFUNCTION("""COMPUTED_VALUE"""),"Negative")</f>
        <v>Negative</v>
      </c>
      <c r="H73" s="262" t="str">
        <f>IFERROR(__xludf.DUMMYFUNCTION("""COMPUTED_VALUE"""),"Negative")</f>
        <v>Negative</v>
      </c>
      <c r="I73" s="204">
        <f>IFERROR(__xludf.DUMMYFUNCTION("""COMPUTED_VALUE"""),44566.0)</f>
        <v>44566</v>
      </c>
      <c r="J73" s="252">
        <f>IFERROR(__xludf.DUMMYFUNCTION("""COMPUTED_VALUE"""),0.4565625)</f>
        <v>0.4565625</v>
      </c>
      <c r="K73" s="56"/>
      <c r="L73" s="6"/>
      <c r="M73" s="61"/>
      <c r="N73" s="61">
        <f>IFERROR(__xludf.DUMMYFUNCTION("""COMPUTED_VALUE"""),1.0)</f>
        <v>1</v>
      </c>
      <c r="O73" s="61" t="b">
        <f t="shared" si="3"/>
        <v>1</v>
      </c>
      <c r="P73" s="253">
        <f>IFERROR(__xludf.DUMMYFUNCTION("""COMPUTED_VALUE"""),1.0)</f>
        <v>1</v>
      </c>
      <c r="Q73" s="254" t="str">
        <f>VLOOKUP($B73,'Run Reconcile'!B$2:O799,14,FALSE)</f>
        <v/>
      </c>
      <c r="R73" s="255" t="str">
        <f t="array" ref="R73">IF($Q73, INDEX('Run Reconcile'!A$2:A799,MATCH(B73,'Run Reconcile'!B$2:B799,0),1),IFERROR(0/0,""))</f>
        <v/>
      </c>
      <c r="S73" s="261" t="b">
        <f t="shared" ref="S73:T73" si="150">IF(COUNTIF(W$2:W799, $A73) &gt; 0,TRUE,IFERROR(0/0,""))</f>
        <v>1</v>
      </c>
      <c r="T73" s="261" t="str">
        <f t="shared" si="150"/>
        <v/>
      </c>
      <c r="U73" s="257" t="str">
        <f t="array" ref="U73">IF(ISBLANK($R73), INDEX('Run Reconcile'!A$2:A799, MATCH($B73, 'Run Reconcile'!B$2:B799, 0)+Z73, 1), IFERROR(0/0,""))
</f>
        <v>RUN-BEND_2022-01-05_RFR-010</v>
      </c>
      <c r="V73" s="258" t="str">
        <f t="shared" si="5"/>
        <v>RUN-BEND_2022-01-05_RFR-010</v>
      </c>
      <c r="W73" s="6" t="s">
        <v>378</v>
      </c>
      <c r="Y73" s="130">
        <f t="shared" si="6"/>
        <v>1</v>
      </c>
      <c r="Z73" s="49">
        <f t="shared" si="7"/>
        <v>1</v>
      </c>
      <c r="AA73" s="49">
        <f t="shared" si="8"/>
        <v>1</v>
      </c>
      <c r="AB73" s="49" t="str">
        <f t="shared" si="9"/>
        <v/>
      </c>
      <c r="AC73" s="20" t="str">
        <f t="shared" ref="AC73:AD73" si="151">IF(_xlfn.ISFORMULA(S73),IFERROR(0/0,""),TRUE)</f>
        <v/>
      </c>
      <c r="AD73" s="20" t="str">
        <f t="shared" si="151"/>
        <v/>
      </c>
      <c r="AE73" s="43"/>
      <c r="AF73" s="62" t="s">
        <v>38</v>
      </c>
      <c r="AG73" s="57" t="str">
        <f t="shared" si="11"/>
        <v/>
      </c>
    </row>
    <row r="74">
      <c r="A74" s="6" t="str">
        <f>IFERROR(__xludf.DUMMYFUNCTION("""COMPUTED_VALUE"""),"MA651")</f>
        <v>MA651</v>
      </c>
      <c r="B74" s="204">
        <f>IFERROR(__xludf.DUMMYFUNCTION("""COMPUTED_VALUE"""),44565.0)</f>
        <v>44565</v>
      </c>
      <c r="C74" s="250">
        <f>IFERROR(__xludf.DUMMYFUNCTION("""COMPUTED_VALUE"""),0.716099537037037)</f>
        <v>0.716099537</v>
      </c>
      <c r="D74" s="56" t="str">
        <f>IFERROR(__xludf.DUMMYFUNCTION("""COMPUTED_VALUE"""),"SpBEND481988")</f>
        <v>SpBEND481988</v>
      </c>
      <c r="E74" s="251"/>
      <c r="F74" s="251"/>
      <c r="G74" s="251" t="str">
        <f>IFERROR(__xludf.DUMMYFUNCTION("""COMPUTED_VALUE"""),"Negative")</f>
        <v>Negative</v>
      </c>
      <c r="H74" s="262" t="str">
        <f>IFERROR(__xludf.DUMMYFUNCTION("""COMPUTED_VALUE"""),"Negative")</f>
        <v>Negative</v>
      </c>
      <c r="I74" s="204">
        <f>IFERROR(__xludf.DUMMYFUNCTION("""COMPUTED_VALUE"""),44566.0)</f>
        <v>44566</v>
      </c>
      <c r="J74" s="252">
        <f>IFERROR(__xludf.DUMMYFUNCTION("""COMPUTED_VALUE"""),0.4565625)</f>
        <v>0.4565625</v>
      </c>
      <c r="K74" s="56"/>
      <c r="L74" s="6"/>
      <c r="M74" s="61"/>
      <c r="N74" s="61">
        <f>IFERROR(__xludf.DUMMYFUNCTION("""COMPUTED_VALUE"""),1.0)</f>
        <v>1</v>
      </c>
      <c r="O74" s="61" t="str">
        <f t="shared" si="3"/>
        <v/>
      </c>
      <c r="P74" s="253">
        <f>IFERROR(__xludf.DUMMYFUNCTION("""COMPUTED_VALUE"""),1.0)</f>
        <v>1</v>
      </c>
      <c r="Q74" s="254" t="str">
        <f>VLOOKUP($B74,'Run Reconcile'!B$2:O799,14,FALSE)</f>
        <v/>
      </c>
      <c r="R74" s="255" t="str">
        <f t="array" ref="R74">IF($Q74, INDEX('Run Reconcile'!A$2:A799,MATCH(B74,'Run Reconcile'!B$2:B799,0),1),IFERROR(0/0,""))</f>
        <v/>
      </c>
      <c r="S74" s="261" t="b">
        <f t="shared" ref="S74:T74" si="152">IF(COUNTIF(W$2:W799, $A74) &gt; 0,TRUE,IFERROR(0/0,""))</f>
        <v>1</v>
      </c>
      <c r="T74" s="261" t="str">
        <f t="shared" si="152"/>
        <v/>
      </c>
      <c r="U74" s="257" t="str">
        <f t="array" ref="U74">IF(ISBLANK($R74), INDEX('Run Reconcile'!A$2:A799, MATCH($B74, 'Run Reconcile'!B$2:B799, 0)+Z74, 1), IFERROR(0/0,""))
</f>
        <v>RUN-BEND_2022-01-05_RFR-010</v>
      </c>
      <c r="V74" s="258" t="str">
        <f t="shared" si="5"/>
        <v>RUN-BEND_2022-01-05_RFR-010</v>
      </c>
      <c r="W74" s="6" t="s">
        <v>379</v>
      </c>
      <c r="Y74" s="130">
        <f t="shared" si="6"/>
        <v>1</v>
      </c>
      <c r="Z74" s="49">
        <f t="shared" si="7"/>
        <v>1</v>
      </c>
      <c r="AA74" s="49">
        <f t="shared" si="8"/>
        <v>1</v>
      </c>
      <c r="AB74" s="49" t="str">
        <f t="shared" si="9"/>
        <v/>
      </c>
      <c r="AC74" s="20" t="str">
        <f t="shared" ref="AC74:AD74" si="153">IF(_xlfn.ISFORMULA(S74),IFERROR(0/0,""),TRUE)</f>
        <v/>
      </c>
      <c r="AD74" s="20" t="str">
        <f t="shared" si="153"/>
        <v/>
      </c>
      <c r="AE74" s="43"/>
      <c r="AF74" s="62" t="s">
        <v>38</v>
      </c>
      <c r="AG74" s="57" t="str">
        <f t="shared" si="11"/>
        <v/>
      </c>
    </row>
    <row r="75">
      <c r="A75" s="6" t="str">
        <f>IFERROR(__xludf.DUMMYFUNCTION("""COMPUTED_VALUE"""),"MA366")</f>
        <v>MA366</v>
      </c>
      <c r="B75" s="204">
        <f>IFERROR(__xludf.DUMMYFUNCTION("""COMPUTED_VALUE"""),44566.0)</f>
        <v>44566</v>
      </c>
      <c r="C75" s="250">
        <f>IFERROR(__xludf.DUMMYFUNCTION("""COMPUTED_VALUE"""),0.30583333333333335)</f>
        <v>0.3058333333</v>
      </c>
      <c r="D75" s="56" t="str">
        <f>IFERROR(__xludf.DUMMYFUNCTION("""COMPUTED_VALUE"""),"SpBEND139816")</f>
        <v>SpBEND139816</v>
      </c>
      <c r="E75" s="251"/>
      <c r="F75" s="251"/>
      <c r="G75" s="251" t="str">
        <f>IFERROR(__xludf.DUMMYFUNCTION("""COMPUTED_VALUE"""),"Negative")</f>
        <v>Negative</v>
      </c>
      <c r="H75" s="262" t="str">
        <f>IFERROR(__xludf.DUMMYFUNCTION("""COMPUTED_VALUE"""),"Negative")</f>
        <v>Negative</v>
      </c>
      <c r="I75" s="204">
        <f>IFERROR(__xludf.DUMMYFUNCTION("""COMPUTED_VALUE"""),44566.0)</f>
        <v>44566</v>
      </c>
      <c r="J75" s="252">
        <f>IFERROR(__xludf.DUMMYFUNCTION("""COMPUTED_VALUE"""),0.4565625)</f>
        <v>0.4565625</v>
      </c>
      <c r="K75" s="56"/>
      <c r="L75" s="6"/>
      <c r="M75" s="61"/>
      <c r="N75" s="61">
        <f>IFERROR(__xludf.DUMMYFUNCTION("""COMPUTED_VALUE"""),1.0)</f>
        <v>1</v>
      </c>
      <c r="O75" s="61" t="b">
        <f t="shared" si="3"/>
        <v>1</v>
      </c>
      <c r="P75" s="253">
        <f>IFERROR(__xludf.DUMMYFUNCTION("""COMPUTED_VALUE"""),0.0)</f>
        <v>0</v>
      </c>
      <c r="Q75" s="254" t="b">
        <f>VLOOKUP($B75,'Run Reconcile'!B$2:O799,14,FALSE)</f>
        <v>1</v>
      </c>
      <c r="R75" s="255" t="str">
        <f t="array" ref="R75">IF($Q75, INDEX('Run Reconcile'!A$2:A799,MATCH(B75,'Run Reconcile'!B$2:B799,0),1),IFERROR(0/0,""))</f>
        <v>RUN-BEND_2022-01-05_RFR-010</v>
      </c>
      <c r="S75" s="261" t="str">
        <f t="shared" ref="S75:T75" si="154">IF(COUNTIF(W$2:W799, $A75) &gt; 0,TRUE,IFERROR(0/0,""))</f>
        <v/>
      </c>
      <c r="T75" s="261" t="str">
        <f t="shared" si="154"/>
        <v/>
      </c>
      <c r="U75" s="257" t="str">
        <f t="array" ref="U75">IF(ISBLANK($R75), INDEX('Run Reconcile'!A$2:A799, MATCH($B75, 'Run Reconcile'!B$2:B799, 0)+Z75, 1), IFERROR(0/0,""))
</f>
        <v/>
      </c>
      <c r="V75" s="258" t="str">
        <f t="shared" si="5"/>
        <v>RUN-BEND_2022-01-05_RFR-010</v>
      </c>
      <c r="Y75" s="130" t="str">
        <f t="shared" si="6"/>
        <v/>
      </c>
      <c r="Z75" s="49" t="str">
        <f t="shared" si="7"/>
        <v/>
      </c>
      <c r="AA75" s="49" t="str">
        <f t="shared" si="8"/>
        <v/>
      </c>
      <c r="AB75" s="49" t="str">
        <f t="shared" si="9"/>
        <v/>
      </c>
      <c r="AC75" s="20" t="str">
        <f t="shared" ref="AC75:AD75" si="155">IF(_xlfn.ISFORMULA(S75),IFERROR(0/0,""),TRUE)</f>
        <v/>
      </c>
      <c r="AD75" s="20" t="str">
        <f t="shared" si="155"/>
        <v/>
      </c>
      <c r="AE75" s="43"/>
      <c r="AF75" s="62" t="s">
        <v>38</v>
      </c>
      <c r="AG75" s="57" t="str">
        <f t="shared" si="11"/>
        <v/>
      </c>
    </row>
    <row r="76">
      <c r="A76" s="6" t="str">
        <f>IFERROR(__xludf.DUMMYFUNCTION("""COMPUTED_VALUE"""),"MA1173")</f>
        <v>MA1173</v>
      </c>
      <c r="B76" s="204">
        <f>IFERROR(__xludf.DUMMYFUNCTION("""COMPUTED_VALUE"""),44566.0)</f>
        <v>44566</v>
      </c>
      <c r="C76" s="250">
        <f>IFERROR(__xludf.DUMMYFUNCTION("""COMPUTED_VALUE"""),0.3086921296296296)</f>
        <v>0.3086921296</v>
      </c>
      <c r="D76" s="6" t="str">
        <f>IFERROR(__xludf.DUMMYFUNCTION("""COMPUTED_VALUE"""),"SpBEND269695")</f>
        <v>SpBEND269695</v>
      </c>
      <c r="E76" s="251"/>
      <c r="F76" s="251"/>
      <c r="G76" s="251" t="str">
        <f>IFERROR(__xludf.DUMMYFUNCTION("""COMPUTED_VALUE"""),"Negative")</f>
        <v>Negative</v>
      </c>
      <c r="H76" s="262" t="str">
        <f>IFERROR(__xludf.DUMMYFUNCTION("""COMPUTED_VALUE"""),"Negative")</f>
        <v>Negative</v>
      </c>
      <c r="I76" s="204">
        <f>IFERROR(__xludf.DUMMYFUNCTION("""COMPUTED_VALUE"""),44566.0)</f>
        <v>44566</v>
      </c>
      <c r="J76" s="252">
        <f>IFERROR(__xludf.DUMMYFUNCTION("""COMPUTED_VALUE"""),0.4565625)</f>
        <v>0.4565625</v>
      </c>
      <c r="K76" s="56"/>
      <c r="L76" s="6"/>
      <c r="M76" s="61"/>
      <c r="N76" s="61">
        <f>IFERROR(__xludf.DUMMYFUNCTION("""COMPUTED_VALUE"""),1.0)</f>
        <v>1</v>
      </c>
      <c r="O76" s="61" t="str">
        <f t="shared" si="3"/>
        <v/>
      </c>
      <c r="P76" s="253">
        <f>IFERROR(__xludf.DUMMYFUNCTION("""COMPUTED_VALUE"""),0.0)</f>
        <v>0</v>
      </c>
      <c r="Q76" s="254" t="b">
        <f>VLOOKUP($B76,'Run Reconcile'!B$2:O799,14,FALSE)</f>
        <v>1</v>
      </c>
      <c r="R76" s="255" t="str">
        <f t="array" ref="R76">IF($Q76, INDEX('Run Reconcile'!A$2:A799,MATCH(B76,'Run Reconcile'!B$2:B799,0),1),IFERROR(0/0,""))</f>
        <v>RUN-BEND_2022-01-05_RFR-010</v>
      </c>
      <c r="S76" s="261" t="str">
        <f t="shared" ref="S76:T76" si="156">IF(COUNTIF(W$2:W799, $A76) &gt; 0,TRUE,IFERROR(0/0,""))</f>
        <v/>
      </c>
      <c r="T76" s="261" t="str">
        <f t="shared" si="156"/>
        <v/>
      </c>
      <c r="U76" s="257" t="str">
        <f t="array" ref="U76">IF(ISBLANK($R76), INDEX('Run Reconcile'!A$2:A799, MATCH($B76, 'Run Reconcile'!B$2:B799, 0)+Z76, 1), IFERROR(0/0,""))
</f>
        <v/>
      </c>
      <c r="V76" s="258" t="str">
        <f t="shared" si="5"/>
        <v>RUN-BEND_2022-01-05_RFR-010</v>
      </c>
      <c r="Y76" s="130" t="str">
        <f t="shared" si="6"/>
        <v/>
      </c>
      <c r="Z76" s="49" t="str">
        <f t="shared" si="7"/>
        <v/>
      </c>
      <c r="AA76" s="49" t="str">
        <f t="shared" si="8"/>
        <v/>
      </c>
      <c r="AB76" s="49" t="str">
        <f t="shared" si="9"/>
        <v/>
      </c>
      <c r="AC76" s="20" t="str">
        <f t="shared" ref="AC76:AD76" si="157">IF(_xlfn.ISFORMULA(S76),IFERROR(0/0,""),TRUE)</f>
        <v/>
      </c>
      <c r="AD76" s="20" t="str">
        <f t="shared" si="157"/>
        <v/>
      </c>
      <c r="AE76" s="43"/>
      <c r="AF76" s="62" t="s">
        <v>38</v>
      </c>
      <c r="AG76" s="57" t="str">
        <f t="shared" si="11"/>
        <v/>
      </c>
    </row>
    <row r="77">
      <c r="A77" s="6" t="str">
        <f>IFERROR(__xludf.DUMMYFUNCTION("""COMPUTED_VALUE"""),"MA451")</f>
        <v>MA451</v>
      </c>
      <c r="B77" s="204">
        <f>IFERROR(__xludf.DUMMYFUNCTION("""COMPUTED_VALUE"""),44566.0)</f>
        <v>44566</v>
      </c>
      <c r="C77" s="250">
        <f>IFERROR(__xludf.DUMMYFUNCTION("""COMPUTED_VALUE"""),0.3115277777777778)</f>
        <v>0.3115277778</v>
      </c>
      <c r="D77" s="6" t="str">
        <f>IFERROR(__xludf.DUMMYFUNCTION("""COMPUTED_VALUE"""),"SpBEND136234")</f>
        <v>SpBEND136234</v>
      </c>
      <c r="E77" s="251"/>
      <c r="F77" s="251"/>
      <c r="G77" s="251" t="str">
        <f>IFERROR(__xludf.DUMMYFUNCTION("""COMPUTED_VALUE"""),"Negative")</f>
        <v>Negative</v>
      </c>
      <c r="H77" s="262" t="str">
        <f>IFERROR(__xludf.DUMMYFUNCTION("""COMPUTED_VALUE"""),"Negative")</f>
        <v>Negative</v>
      </c>
      <c r="I77" s="204">
        <f>IFERROR(__xludf.DUMMYFUNCTION("""COMPUTED_VALUE"""),44566.0)</f>
        <v>44566</v>
      </c>
      <c r="J77" s="252">
        <f>IFERROR(__xludf.DUMMYFUNCTION("""COMPUTED_VALUE"""),0.4565625)</f>
        <v>0.4565625</v>
      </c>
      <c r="K77" s="56"/>
      <c r="L77" s="6"/>
      <c r="M77" s="61"/>
      <c r="N77" s="61">
        <f>IFERROR(__xludf.DUMMYFUNCTION("""COMPUTED_VALUE"""),1.0)</f>
        <v>1</v>
      </c>
      <c r="O77" s="61" t="str">
        <f t="shared" si="3"/>
        <v/>
      </c>
      <c r="P77" s="253">
        <f>IFERROR(__xludf.DUMMYFUNCTION("""COMPUTED_VALUE"""),0.0)</f>
        <v>0</v>
      </c>
      <c r="Q77" s="254" t="b">
        <f>VLOOKUP($B77,'Run Reconcile'!B$2:O799,14,FALSE)</f>
        <v>1</v>
      </c>
      <c r="R77" s="255" t="str">
        <f t="array" ref="R77">IF($Q77, INDEX('Run Reconcile'!A$2:A799,MATCH(B77,'Run Reconcile'!B$2:B799,0),1),IFERROR(0/0,""))</f>
        <v>RUN-BEND_2022-01-05_RFR-010</v>
      </c>
      <c r="S77" s="261" t="str">
        <f t="shared" ref="S77:T77" si="158">IF(COUNTIF(W$2:W799, $A77) &gt; 0,TRUE,IFERROR(0/0,""))</f>
        <v/>
      </c>
      <c r="T77" s="261" t="str">
        <f t="shared" si="158"/>
        <v/>
      </c>
      <c r="U77" s="257" t="str">
        <f t="array" ref="U77">IF(ISBLANK($R77), INDEX('Run Reconcile'!A$2:A799, MATCH($B77, 'Run Reconcile'!B$2:B799, 0)+Z77, 1), IFERROR(0/0,""))
</f>
        <v/>
      </c>
      <c r="V77" s="258" t="str">
        <f t="shared" si="5"/>
        <v>RUN-BEND_2022-01-05_RFR-010</v>
      </c>
      <c r="Y77" s="130" t="str">
        <f t="shared" si="6"/>
        <v/>
      </c>
      <c r="Z77" s="49" t="str">
        <f t="shared" si="7"/>
        <v/>
      </c>
      <c r="AA77" s="49" t="str">
        <f t="shared" si="8"/>
        <v/>
      </c>
      <c r="AB77" s="49" t="str">
        <f t="shared" si="9"/>
        <v/>
      </c>
      <c r="AC77" s="20" t="str">
        <f t="shared" ref="AC77:AD77" si="159">IF(_xlfn.ISFORMULA(S77),IFERROR(0/0,""),TRUE)</f>
        <v/>
      </c>
      <c r="AD77" s="20" t="str">
        <f t="shared" si="159"/>
        <v/>
      </c>
      <c r="AE77" s="43"/>
      <c r="AF77" s="62" t="s">
        <v>38</v>
      </c>
      <c r="AG77" s="57" t="str">
        <f t="shared" si="11"/>
        <v/>
      </c>
    </row>
    <row r="78">
      <c r="A78" s="6" t="str">
        <f>IFERROR(__xludf.DUMMYFUNCTION("""COMPUTED_VALUE"""),"MA356")</f>
        <v>MA356</v>
      </c>
      <c r="B78" s="204">
        <f>IFERROR(__xludf.DUMMYFUNCTION("""COMPUTED_VALUE"""),44566.0)</f>
        <v>44566</v>
      </c>
      <c r="C78" s="250">
        <f>IFERROR(__xludf.DUMMYFUNCTION("""COMPUTED_VALUE"""),0.32104166666666667)</f>
        <v>0.3210416667</v>
      </c>
      <c r="D78" s="6" t="str">
        <f>IFERROR(__xludf.DUMMYFUNCTION("""COMPUTED_VALUE"""),"SpBEND445560")</f>
        <v>SpBEND445560</v>
      </c>
      <c r="E78" s="251"/>
      <c r="F78" s="251"/>
      <c r="G78" s="251" t="str">
        <f>IFERROR(__xludf.DUMMYFUNCTION("""COMPUTED_VALUE"""),"Negative")</f>
        <v>Negative</v>
      </c>
      <c r="H78" s="262" t="str">
        <f>IFERROR(__xludf.DUMMYFUNCTION("""COMPUTED_VALUE"""),"Negative")</f>
        <v>Negative</v>
      </c>
      <c r="I78" s="204">
        <f>IFERROR(__xludf.DUMMYFUNCTION("""COMPUTED_VALUE"""),44566.0)</f>
        <v>44566</v>
      </c>
      <c r="J78" s="252">
        <f>IFERROR(__xludf.DUMMYFUNCTION("""COMPUTED_VALUE"""),0.4565625)</f>
        <v>0.4565625</v>
      </c>
      <c r="K78" s="56"/>
      <c r="L78" s="6"/>
      <c r="M78" s="61"/>
      <c r="N78" s="61">
        <f>IFERROR(__xludf.DUMMYFUNCTION("""COMPUTED_VALUE"""),1.0)</f>
        <v>1</v>
      </c>
      <c r="O78" s="61" t="str">
        <f t="shared" si="3"/>
        <v/>
      </c>
      <c r="P78" s="253">
        <f>IFERROR(__xludf.DUMMYFUNCTION("""COMPUTED_VALUE"""),0.0)</f>
        <v>0</v>
      </c>
      <c r="Q78" s="254" t="b">
        <f>VLOOKUP($B78,'Run Reconcile'!B$2:O799,14,FALSE)</f>
        <v>1</v>
      </c>
      <c r="R78" s="255" t="str">
        <f t="array" ref="R78">IF($Q78, INDEX('Run Reconcile'!A$2:A799,MATCH(B78,'Run Reconcile'!B$2:B799,0),1),IFERROR(0/0,""))</f>
        <v>RUN-BEND_2022-01-05_RFR-010</v>
      </c>
      <c r="S78" s="261" t="str">
        <f t="shared" ref="S78:T78" si="160">IF(COUNTIF(W$2:W799, $A78) &gt; 0,TRUE,IFERROR(0/0,""))</f>
        <v/>
      </c>
      <c r="T78" s="261" t="str">
        <f t="shared" si="160"/>
        <v/>
      </c>
      <c r="U78" s="257" t="str">
        <f t="array" ref="U78">IF(ISBLANK($R78), INDEX('Run Reconcile'!A$2:A799, MATCH($B78, 'Run Reconcile'!B$2:B799, 0)+Z78, 1), IFERROR(0/0,""))
</f>
        <v/>
      </c>
      <c r="V78" s="258" t="str">
        <f t="shared" si="5"/>
        <v>RUN-BEND_2022-01-05_RFR-010</v>
      </c>
      <c r="Y78" s="130" t="str">
        <f t="shared" si="6"/>
        <v/>
      </c>
      <c r="Z78" s="49" t="str">
        <f t="shared" si="7"/>
        <v/>
      </c>
      <c r="AA78" s="49" t="str">
        <f t="shared" si="8"/>
        <v/>
      </c>
      <c r="AB78" s="49" t="str">
        <f t="shared" si="9"/>
        <v/>
      </c>
      <c r="AC78" s="20" t="str">
        <f t="shared" ref="AC78:AD78" si="161">IF(_xlfn.ISFORMULA(S78),IFERROR(0/0,""),TRUE)</f>
        <v/>
      </c>
      <c r="AD78" s="20" t="str">
        <f t="shared" si="161"/>
        <v/>
      </c>
      <c r="AE78" s="43"/>
      <c r="AF78" s="62" t="s">
        <v>38</v>
      </c>
      <c r="AG78" s="57" t="str">
        <f t="shared" si="11"/>
        <v/>
      </c>
    </row>
    <row r="79">
      <c r="A79" s="6" t="str">
        <f>IFERROR(__xludf.DUMMYFUNCTION("""COMPUTED_VALUE"""),"MA263")</f>
        <v>MA263</v>
      </c>
      <c r="B79" s="204">
        <f>IFERROR(__xludf.DUMMYFUNCTION("""COMPUTED_VALUE"""),44566.0)</f>
        <v>44566</v>
      </c>
      <c r="C79" s="250">
        <f>IFERROR(__xludf.DUMMYFUNCTION("""COMPUTED_VALUE"""),0.3297453703703704)</f>
        <v>0.3297453704</v>
      </c>
      <c r="D79" s="6" t="str">
        <f>IFERROR(__xludf.DUMMYFUNCTION("""COMPUTED_VALUE"""),"SpBEND944634")</f>
        <v>SpBEND944634</v>
      </c>
      <c r="E79" s="251"/>
      <c r="F79" s="251"/>
      <c r="G79" s="251" t="str">
        <f>IFERROR(__xludf.DUMMYFUNCTION("""COMPUTED_VALUE"""),"Positive")</f>
        <v>Positive</v>
      </c>
      <c r="H79" s="262" t="str">
        <f>IFERROR(__xludf.DUMMYFUNCTION("""COMPUTED_VALUE"""),"Positive")</f>
        <v>Positive</v>
      </c>
      <c r="I79" s="204">
        <f>IFERROR(__xludf.DUMMYFUNCTION("""COMPUTED_VALUE"""),44568.0)</f>
        <v>44568</v>
      </c>
      <c r="J79" s="252">
        <f>IFERROR(__xludf.DUMMYFUNCTION("""COMPUTED_VALUE"""),0.508275462962963)</f>
        <v>0.508275463</v>
      </c>
      <c r="K79" s="56"/>
      <c r="L79" s="6"/>
      <c r="M79" s="61"/>
      <c r="N79" s="61">
        <f>IFERROR(__xludf.DUMMYFUNCTION("""COMPUTED_VALUE"""),1.0)</f>
        <v>1</v>
      </c>
      <c r="O79" s="61" t="str">
        <f t="shared" si="3"/>
        <v/>
      </c>
      <c r="P79" s="253">
        <f>IFERROR(__xludf.DUMMYFUNCTION("""COMPUTED_VALUE"""),2.0)</f>
        <v>2</v>
      </c>
      <c r="Q79" s="254" t="b">
        <f>VLOOKUP($B79,'Run Reconcile'!B$2:O799,14,FALSE)</f>
        <v>1</v>
      </c>
      <c r="R79" s="255" t="str">
        <f t="array" ref="R79">IF($Q79, INDEX('Run Reconcile'!A$2:A799,MATCH(B79,'Run Reconcile'!B$2:B799,0),1),IFERROR(0/0,""))</f>
        <v>RUN-BEND_2022-01-05_RFR-010</v>
      </c>
      <c r="S79" s="261" t="str">
        <f t="shared" ref="S79:T79" si="162">IF(COUNTIF(W$2:W799, $A79) &gt; 0,TRUE,IFERROR(0/0,""))</f>
        <v/>
      </c>
      <c r="T79" s="261" t="str">
        <f t="shared" si="162"/>
        <v/>
      </c>
      <c r="U79" s="257" t="str">
        <f t="array" ref="U79">IF(ISBLANK($R79), INDEX('Run Reconcile'!A$2:A799, MATCH($B79, 'Run Reconcile'!B$2:B799, 0)+Z79, 1), IFERROR(0/0,""))
</f>
        <v/>
      </c>
      <c r="V79" s="258" t="str">
        <f t="shared" si="5"/>
        <v>RUN-BEND_2022-01-05_RFR-010</v>
      </c>
      <c r="Y79" s="130" t="str">
        <f t="shared" si="6"/>
        <v/>
      </c>
      <c r="Z79" s="49" t="str">
        <f t="shared" si="7"/>
        <v/>
      </c>
      <c r="AA79" s="49" t="str">
        <f t="shared" si="8"/>
        <v/>
      </c>
      <c r="AB79" s="49" t="str">
        <f t="shared" si="9"/>
        <v/>
      </c>
      <c r="AC79" s="20" t="str">
        <f t="shared" ref="AC79:AD79" si="163">IF(_xlfn.ISFORMULA(S79),IFERROR(0/0,""),TRUE)</f>
        <v/>
      </c>
      <c r="AD79" s="20" t="str">
        <f t="shared" si="163"/>
        <v/>
      </c>
      <c r="AE79" s="43"/>
      <c r="AF79" s="62" t="s">
        <v>38</v>
      </c>
      <c r="AG79" s="57" t="str">
        <f t="shared" si="11"/>
        <v/>
      </c>
    </row>
    <row r="80">
      <c r="A80" s="6" t="str">
        <f>IFERROR(__xludf.DUMMYFUNCTION("""COMPUTED_VALUE"""),"MA218")</f>
        <v>MA218</v>
      </c>
      <c r="B80" s="204">
        <f>IFERROR(__xludf.DUMMYFUNCTION("""COMPUTED_VALUE"""),44566.0)</f>
        <v>44566</v>
      </c>
      <c r="C80" s="250">
        <f>IFERROR(__xludf.DUMMYFUNCTION("""COMPUTED_VALUE"""),0.3307638888888889)</f>
        <v>0.3307638889</v>
      </c>
      <c r="D80" s="6" t="str">
        <f>IFERROR(__xludf.DUMMYFUNCTION("""COMPUTED_VALUE"""),"SpBEND387532")</f>
        <v>SpBEND387532</v>
      </c>
      <c r="E80" s="251"/>
      <c r="F80" s="251"/>
      <c r="G80" s="251" t="str">
        <f>IFERROR(__xludf.DUMMYFUNCTION("""COMPUTED_VALUE"""),"Positive")</f>
        <v>Positive</v>
      </c>
      <c r="H80" s="262" t="str">
        <f>IFERROR(__xludf.DUMMYFUNCTION("""COMPUTED_VALUE"""),"Positive")</f>
        <v>Positive</v>
      </c>
      <c r="I80" s="204">
        <f>IFERROR(__xludf.DUMMYFUNCTION("""COMPUTED_VALUE"""),44568.0)</f>
        <v>44568</v>
      </c>
      <c r="J80" s="252">
        <f>IFERROR(__xludf.DUMMYFUNCTION("""COMPUTED_VALUE"""),0.508275462962963)</f>
        <v>0.508275463</v>
      </c>
      <c r="K80" s="56"/>
      <c r="L80" s="6"/>
      <c r="M80" s="61"/>
      <c r="N80" s="61">
        <f>IFERROR(__xludf.DUMMYFUNCTION("""COMPUTED_VALUE"""),1.0)</f>
        <v>1</v>
      </c>
      <c r="O80" s="61" t="str">
        <f t="shared" si="3"/>
        <v/>
      </c>
      <c r="P80" s="253">
        <f>IFERROR(__xludf.DUMMYFUNCTION("""COMPUTED_VALUE"""),2.0)</f>
        <v>2</v>
      </c>
      <c r="Q80" s="254" t="b">
        <f>VLOOKUP($B80,'Run Reconcile'!B$2:O799,14,FALSE)</f>
        <v>1</v>
      </c>
      <c r="R80" s="255" t="str">
        <f t="array" ref="R80">IF($Q80, INDEX('Run Reconcile'!A$2:A799,MATCH(B80,'Run Reconcile'!B$2:B799,0),1),IFERROR(0/0,""))</f>
        <v>RUN-BEND_2022-01-05_RFR-010</v>
      </c>
      <c r="S80" s="261" t="str">
        <f t="shared" ref="S80:T80" si="164">IF(COUNTIF(W$2:W799, $A80) &gt; 0,TRUE,IFERROR(0/0,""))</f>
        <v/>
      </c>
      <c r="T80" s="261" t="str">
        <f t="shared" si="164"/>
        <v/>
      </c>
      <c r="U80" s="257" t="str">
        <f t="array" ref="U80">IF(ISBLANK($R80), INDEX('Run Reconcile'!A$2:A799, MATCH($B80, 'Run Reconcile'!B$2:B799, 0)+Z80, 1), IFERROR(0/0,""))
</f>
        <v/>
      </c>
      <c r="V80" s="258" t="str">
        <f t="shared" si="5"/>
        <v>RUN-BEND_2022-01-05_RFR-010</v>
      </c>
      <c r="Y80" s="130" t="str">
        <f t="shared" si="6"/>
        <v/>
      </c>
      <c r="Z80" s="49" t="str">
        <f t="shared" si="7"/>
        <v/>
      </c>
      <c r="AA80" s="49" t="str">
        <f t="shared" si="8"/>
        <v/>
      </c>
      <c r="AB80" s="49" t="str">
        <f t="shared" si="9"/>
        <v/>
      </c>
      <c r="AC80" s="20" t="str">
        <f t="shared" ref="AC80:AD80" si="165">IF(_xlfn.ISFORMULA(S80),IFERROR(0/0,""),TRUE)</f>
        <v/>
      </c>
      <c r="AD80" s="20" t="str">
        <f t="shared" si="165"/>
        <v/>
      </c>
      <c r="AE80" s="43"/>
      <c r="AF80" s="62" t="s">
        <v>38</v>
      </c>
      <c r="AG80" s="57" t="str">
        <f t="shared" si="11"/>
        <v/>
      </c>
    </row>
    <row r="81">
      <c r="A81" s="6" t="str">
        <f>IFERROR(__xludf.DUMMYFUNCTION("""COMPUTED_VALUE"""),"MA654")</f>
        <v>MA654</v>
      </c>
      <c r="B81" s="204">
        <f>IFERROR(__xludf.DUMMYFUNCTION("""COMPUTED_VALUE"""),44566.0)</f>
        <v>44566</v>
      </c>
      <c r="C81" s="250">
        <f>IFERROR(__xludf.DUMMYFUNCTION("""COMPUTED_VALUE"""),0.33738425925925924)</f>
        <v>0.3373842593</v>
      </c>
      <c r="D81" s="6" t="str">
        <f>IFERROR(__xludf.DUMMYFUNCTION("""COMPUTED_VALUE"""),"SpBEND643855")</f>
        <v>SpBEND643855</v>
      </c>
      <c r="E81" s="251"/>
      <c r="F81" s="251"/>
      <c r="G81" s="251" t="str">
        <f>IFERROR(__xludf.DUMMYFUNCTION("""COMPUTED_VALUE"""),"Negative")</f>
        <v>Negative</v>
      </c>
      <c r="H81" s="262" t="str">
        <f>IFERROR(__xludf.DUMMYFUNCTION("""COMPUTED_VALUE"""),"Negative")</f>
        <v>Negative</v>
      </c>
      <c r="I81" s="204">
        <f>IFERROR(__xludf.DUMMYFUNCTION("""COMPUTED_VALUE"""),44566.0)</f>
        <v>44566</v>
      </c>
      <c r="J81" s="252">
        <f>IFERROR(__xludf.DUMMYFUNCTION("""COMPUTED_VALUE"""),0.4565625)</f>
        <v>0.4565625</v>
      </c>
      <c r="K81" s="56"/>
      <c r="L81" s="6"/>
      <c r="M81" s="61"/>
      <c r="N81" s="61">
        <f>IFERROR(__xludf.DUMMYFUNCTION("""COMPUTED_VALUE"""),1.0)</f>
        <v>1</v>
      </c>
      <c r="O81" s="61" t="str">
        <f t="shared" si="3"/>
        <v/>
      </c>
      <c r="P81" s="253">
        <f>IFERROR(__xludf.DUMMYFUNCTION("""COMPUTED_VALUE"""),0.0)</f>
        <v>0</v>
      </c>
      <c r="Q81" s="254" t="b">
        <f>VLOOKUP($B81,'Run Reconcile'!B$2:O799,14,FALSE)</f>
        <v>1</v>
      </c>
      <c r="R81" s="255" t="str">
        <f t="array" ref="R81">IF($Q81, INDEX('Run Reconcile'!A$2:A799,MATCH(B81,'Run Reconcile'!B$2:B799,0),1),IFERROR(0/0,""))</f>
        <v>RUN-BEND_2022-01-05_RFR-010</v>
      </c>
      <c r="S81" s="261" t="str">
        <f t="shared" ref="S81:T81" si="166">IF(COUNTIF(W$2:W799, $A81) &gt; 0,TRUE,IFERROR(0/0,""))</f>
        <v/>
      </c>
      <c r="T81" s="261" t="str">
        <f t="shared" si="166"/>
        <v/>
      </c>
      <c r="U81" s="257" t="str">
        <f t="array" ref="U81">IF(ISBLANK($R81), INDEX('Run Reconcile'!A$2:A799, MATCH($B81, 'Run Reconcile'!B$2:B799, 0)+Z81, 1), IFERROR(0/0,""))
</f>
        <v/>
      </c>
      <c r="V81" s="258" t="str">
        <f t="shared" si="5"/>
        <v>RUN-BEND_2022-01-05_RFR-010</v>
      </c>
      <c r="Y81" s="130" t="str">
        <f t="shared" si="6"/>
        <v/>
      </c>
      <c r="Z81" s="49" t="str">
        <f t="shared" si="7"/>
        <v/>
      </c>
      <c r="AA81" s="49" t="str">
        <f t="shared" si="8"/>
        <v/>
      </c>
      <c r="AB81" s="49" t="str">
        <f t="shared" si="9"/>
        <v/>
      </c>
      <c r="AC81" s="20" t="str">
        <f t="shared" ref="AC81:AD81" si="167">IF(_xlfn.ISFORMULA(S81),IFERROR(0/0,""),TRUE)</f>
        <v/>
      </c>
      <c r="AD81" s="20" t="str">
        <f t="shared" si="167"/>
        <v/>
      </c>
      <c r="AE81" s="43"/>
      <c r="AF81" s="62" t="s">
        <v>38</v>
      </c>
      <c r="AG81" s="57" t="str">
        <f t="shared" si="11"/>
        <v/>
      </c>
    </row>
    <row r="82">
      <c r="A82" s="6" t="str">
        <f>IFERROR(__xludf.DUMMYFUNCTION("""COMPUTED_VALUE"""),"MA230")</f>
        <v>MA230</v>
      </c>
      <c r="B82" s="204">
        <f>IFERROR(__xludf.DUMMYFUNCTION("""COMPUTED_VALUE"""),44566.0)</f>
        <v>44566</v>
      </c>
      <c r="C82" s="250">
        <f>IFERROR(__xludf.DUMMYFUNCTION("""COMPUTED_VALUE"""),0.3388888888888889)</f>
        <v>0.3388888889</v>
      </c>
      <c r="D82" s="6" t="str">
        <f>IFERROR(__xludf.DUMMYFUNCTION("""COMPUTED_VALUE"""),"SpBEND454594")</f>
        <v>SpBEND454594</v>
      </c>
      <c r="E82" s="251"/>
      <c r="F82" s="251"/>
      <c r="G82" s="251" t="str">
        <f>IFERROR(__xludf.DUMMYFUNCTION("""COMPUTED_VALUE"""),"Negative")</f>
        <v>Negative</v>
      </c>
      <c r="H82" s="262" t="str">
        <f>IFERROR(__xludf.DUMMYFUNCTION("""COMPUTED_VALUE"""),"Negative")</f>
        <v>Negative</v>
      </c>
      <c r="I82" s="204">
        <f>IFERROR(__xludf.DUMMYFUNCTION("""COMPUTED_VALUE"""),44566.0)</f>
        <v>44566</v>
      </c>
      <c r="J82" s="252">
        <f>IFERROR(__xludf.DUMMYFUNCTION("""COMPUTED_VALUE"""),0.4565625)</f>
        <v>0.4565625</v>
      </c>
      <c r="K82" s="56"/>
      <c r="L82" s="6"/>
      <c r="M82" s="61"/>
      <c r="N82" s="61">
        <f>IFERROR(__xludf.DUMMYFUNCTION("""COMPUTED_VALUE"""),1.0)</f>
        <v>1</v>
      </c>
      <c r="O82" s="61" t="str">
        <f t="shared" si="3"/>
        <v/>
      </c>
      <c r="P82" s="253">
        <f>IFERROR(__xludf.DUMMYFUNCTION("""COMPUTED_VALUE"""),0.0)</f>
        <v>0</v>
      </c>
      <c r="Q82" s="254" t="b">
        <f>VLOOKUP($B82,'Run Reconcile'!B$2:O799,14,FALSE)</f>
        <v>1</v>
      </c>
      <c r="R82" s="255" t="str">
        <f t="array" ref="R82">IF($Q82, INDEX('Run Reconcile'!A$2:A799,MATCH(B82,'Run Reconcile'!B$2:B799,0),1),IFERROR(0/0,""))</f>
        <v>RUN-BEND_2022-01-05_RFR-010</v>
      </c>
      <c r="S82" s="261" t="str">
        <f t="shared" ref="S82:T82" si="168">IF(COUNTIF(W$2:W799, $A82) &gt; 0,TRUE,IFERROR(0/0,""))</f>
        <v/>
      </c>
      <c r="T82" s="261" t="str">
        <f t="shared" si="168"/>
        <v/>
      </c>
      <c r="U82" s="257" t="str">
        <f t="array" ref="U82">IF(ISBLANK($R82), INDEX('Run Reconcile'!A$2:A799, MATCH($B82, 'Run Reconcile'!B$2:B799, 0)+Z82, 1), IFERROR(0/0,""))
</f>
        <v/>
      </c>
      <c r="V82" s="258" t="str">
        <f t="shared" si="5"/>
        <v>RUN-BEND_2022-01-05_RFR-010</v>
      </c>
      <c r="Y82" s="130" t="str">
        <f t="shared" si="6"/>
        <v/>
      </c>
      <c r="Z82" s="49" t="str">
        <f t="shared" si="7"/>
        <v/>
      </c>
      <c r="AA82" s="49" t="str">
        <f t="shared" si="8"/>
        <v/>
      </c>
      <c r="AB82" s="49" t="str">
        <f t="shared" si="9"/>
        <v/>
      </c>
      <c r="AC82" s="20" t="str">
        <f t="shared" ref="AC82:AD82" si="169">IF(_xlfn.ISFORMULA(S82),IFERROR(0/0,""),TRUE)</f>
        <v/>
      </c>
      <c r="AD82" s="20" t="str">
        <f t="shared" si="169"/>
        <v/>
      </c>
      <c r="AE82" s="43"/>
      <c r="AF82" s="62" t="s">
        <v>38</v>
      </c>
      <c r="AG82" s="57" t="str">
        <f t="shared" si="11"/>
        <v/>
      </c>
    </row>
    <row r="83">
      <c r="A83" s="6" t="str">
        <f>IFERROR(__xludf.DUMMYFUNCTION("""COMPUTED_VALUE"""),"MA636")</f>
        <v>MA636</v>
      </c>
      <c r="B83" s="204">
        <f>IFERROR(__xludf.DUMMYFUNCTION("""COMPUTED_VALUE"""),44566.0)</f>
        <v>44566</v>
      </c>
      <c r="C83" s="250">
        <f>IFERROR(__xludf.DUMMYFUNCTION("""COMPUTED_VALUE"""),0.35116898148148146)</f>
        <v>0.3511689815</v>
      </c>
      <c r="D83" s="6" t="str">
        <f>IFERROR(__xludf.DUMMYFUNCTION("""COMPUTED_VALUE"""),"SpBEND394154")</f>
        <v>SpBEND394154</v>
      </c>
      <c r="E83" s="251"/>
      <c r="F83" s="251"/>
      <c r="G83" s="251" t="str">
        <f>IFERROR(__xludf.DUMMYFUNCTION("""COMPUTED_VALUE"""),"Negative")</f>
        <v>Negative</v>
      </c>
      <c r="H83" s="262" t="str">
        <f>IFERROR(__xludf.DUMMYFUNCTION("""COMPUTED_VALUE"""),"Negative")</f>
        <v>Negative</v>
      </c>
      <c r="I83" s="204">
        <f>IFERROR(__xludf.DUMMYFUNCTION("""COMPUTED_VALUE"""),44566.0)</f>
        <v>44566</v>
      </c>
      <c r="J83" s="252">
        <f>IFERROR(__xludf.DUMMYFUNCTION("""COMPUTED_VALUE"""),0.4565625)</f>
        <v>0.4565625</v>
      </c>
      <c r="K83" s="56"/>
      <c r="L83" s="6"/>
      <c r="M83" s="61"/>
      <c r="N83" s="61">
        <f>IFERROR(__xludf.DUMMYFUNCTION("""COMPUTED_VALUE"""),1.0)</f>
        <v>1</v>
      </c>
      <c r="O83" s="61" t="str">
        <f t="shared" si="3"/>
        <v/>
      </c>
      <c r="P83" s="253">
        <f>IFERROR(__xludf.DUMMYFUNCTION("""COMPUTED_VALUE"""),0.0)</f>
        <v>0</v>
      </c>
      <c r="Q83" s="254" t="b">
        <f>VLOOKUP($B83,'Run Reconcile'!B$2:O799,14,FALSE)</f>
        <v>1</v>
      </c>
      <c r="R83" s="255" t="str">
        <f t="array" ref="R83">IF($Q83, INDEX('Run Reconcile'!A$2:A799,MATCH(B83,'Run Reconcile'!B$2:B799,0),1),IFERROR(0/0,""))</f>
        <v>RUN-BEND_2022-01-05_RFR-010</v>
      </c>
      <c r="S83" s="261" t="str">
        <f t="shared" ref="S83:T83" si="170">IF(COUNTIF(W$2:W799, $A83) &gt; 0,TRUE,IFERROR(0/0,""))</f>
        <v/>
      </c>
      <c r="T83" s="261" t="str">
        <f t="shared" si="170"/>
        <v/>
      </c>
      <c r="U83" s="257" t="str">
        <f t="array" ref="U83">IF(ISBLANK($R83), INDEX('Run Reconcile'!A$2:A799, MATCH($B83, 'Run Reconcile'!B$2:B799, 0)+Z83, 1), IFERROR(0/0,""))
</f>
        <v/>
      </c>
      <c r="V83" s="258" t="str">
        <f t="shared" si="5"/>
        <v>RUN-BEND_2022-01-05_RFR-010</v>
      </c>
      <c r="Y83" s="130" t="str">
        <f t="shared" si="6"/>
        <v/>
      </c>
      <c r="Z83" s="49" t="str">
        <f t="shared" si="7"/>
        <v/>
      </c>
      <c r="AA83" s="49" t="str">
        <f t="shared" si="8"/>
        <v/>
      </c>
      <c r="AB83" s="49" t="str">
        <f t="shared" si="9"/>
        <v/>
      </c>
      <c r="AC83" s="20" t="str">
        <f t="shared" ref="AC83:AD83" si="171">IF(_xlfn.ISFORMULA(S83),IFERROR(0/0,""),TRUE)</f>
        <v/>
      </c>
      <c r="AD83" s="20" t="str">
        <f t="shared" si="171"/>
        <v/>
      </c>
      <c r="AE83" s="43"/>
      <c r="AF83" s="62" t="s">
        <v>38</v>
      </c>
      <c r="AG83" s="57" t="str">
        <f t="shared" si="11"/>
        <v/>
      </c>
    </row>
    <row r="84">
      <c r="A84" s="6" t="str">
        <f>IFERROR(__xludf.DUMMYFUNCTION("""COMPUTED_VALUE"""),"MAX65")</f>
        <v>MAX65</v>
      </c>
      <c r="B84" s="204">
        <f>IFERROR(__xludf.DUMMYFUNCTION("""COMPUTED_VALUE"""),44566.0)</f>
        <v>44566</v>
      </c>
      <c r="C84" s="250">
        <f>IFERROR(__xludf.DUMMYFUNCTION("""COMPUTED_VALUE"""),0.3789351851851852)</f>
        <v>0.3789351852</v>
      </c>
      <c r="D84" s="6" t="str">
        <f>IFERROR(__xludf.DUMMYFUNCTION("""COMPUTED_VALUE"""),"SpBEND394154")</f>
        <v>SpBEND394154</v>
      </c>
      <c r="E84" s="251"/>
      <c r="F84" s="251"/>
      <c r="G84" s="251" t="str">
        <f>IFERROR(__xludf.DUMMYFUNCTION("""COMPUTED_VALUE"""),"Negative")</f>
        <v>Negative</v>
      </c>
      <c r="H84" s="262" t="str">
        <f>IFERROR(__xludf.DUMMYFUNCTION("""COMPUTED_VALUE"""),"Negative")</f>
        <v>Negative</v>
      </c>
      <c r="I84" s="204">
        <f>IFERROR(__xludf.DUMMYFUNCTION("""COMPUTED_VALUE"""),44566.0)</f>
        <v>44566</v>
      </c>
      <c r="J84" s="252">
        <f>IFERROR(__xludf.DUMMYFUNCTION("""COMPUTED_VALUE"""),0.4565625)</f>
        <v>0.4565625</v>
      </c>
      <c r="K84" s="56"/>
      <c r="L84" s="6"/>
      <c r="M84" s="61"/>
      <c r="N84" s="61">
        <f>IFERROR(__xludf.DUMMYFUNCTION("""COMPUTED_VALUE"""),1.0)</f>
        <v>1</v>
      </c>
      <c r="O84" s="61" t="str">
        <f t="shared" si="3"/>
        <v/>
      </c>
      <c r="P84" s="253">
        <f>IFERROR(__xludf.DUMMYFUNCTION("""COMPUTED_VALUE"""),0.0)</f>
        <v>0</v>
      </c>
      <c r="Q84" s="254" t="b">
        <f>VLOOKUP($B84,'Run Reconcile'!B$2:O799,14,FALSE)</f>
        <v>1</v>
      </c>
      <c r="R84" s="255" t="str">
        <f t="array" ref="R84">IF($Q84, INDEX('Run Reconcile'!A$2:A799,MATCH(B84,'Run Reconcile'!B$2:B799,0),1),IFERROR(0/0,""))</f>
        <v>RUN-BEND_2022-01-05_RFR-010</v>
      </c>
      <c r="S84" s="261" t="str">
        <f t="shared" ref="S84:T84" si="172">IF(COUNTIF(W$2:W799, $A84) &gt; 0,TRUE,IFERROR(0/0,""))</f>
        <v/>
      </c>
      <c r="T84" s="261" t="str">
        <f t="shared" si="172"/>
        <v/>
      </c>
      <c r="U84" s="257" t="str">
        <f t="array" ref="U84">IF(ISBLANK($R84), INDEX('Run Reconcile'!A$2:A799, MATCH($B84, 'Run Reconcile'!B$2:B799, 0)+Z84, 1), IFERROR(0/0,""))
</f>
        <v/>
      </c>
      <c r="V84" s="258" t="str">
        <f t="shared" si="5"/>
        <v>RUN-BEND_2022-01-05_RFR-010</v>
      </c>
      <c r="Y84" s="130" t="str">
        <f t="shared" si="6"/>
        <v/>
      </c>
      <c r="Z84" s="49" t="str">
        <f t="shared" si="7"/>
        <v/>
      </c>
      <c r="AA84" s="49" t="str">
        <f t="shared" si="8"/>
        <v/>
      </c>
      <c r="AB84" s="49" t="str">
        <f t="shared" si="9"/>
        <v/>
      </c>
      <c r="AC84" s="20" t="str">
        <f t="shared" ref="AC84:AD84" si="173">IF(_xlfn.ISFORMULA(S84),IFERROR(0/0,""),TRUE)</f>
        <v/>
      </c>
      <c r="AD84" s="20" t="str">
        <f t="shared" si="173"/>
        <v/>
      </c>
      <c r="AE84" s="43"/>
      <c r="AF84" s="62" t="s">
        <v>38</v>
      </c>
      <c r="AG84" s="57" t="str">
        <f t="shared" si="11"/>
        <v/>
      </c>
    </row>
    <row r="85">
      <c r="A85" s="6" t="str">
        <f>IFERROR(__xludf.DUMMYFUNCTION("""COMPUTED_VALUE"""),"MA648")</f>
        <v>MA648</v>
      </c>
      <c r="B85" s="204">
        <f>IFERROR(__xludf.DUMMYFUNCTION("""COMPUTED_VALUE"""),44566.0)</f>
        <v>44566</v>
      </c>
      <c r="C85" s="250">
        <f>IFERROR(__xludf.DUMMYFUNCTION("""COMPUTED_VALUE"""),0.38178240740740743)</f>
        <v>0.3817824074</v>
      </c>
      <c r="D85" s="6" t="str">
        <f>IFERROR(__xludf.DUMMYFUNCTION("""COMPUTED_VALUE"""),"SpBEND394154")</f>
        <v>SpBEND394154</v>
      </c>
      <c r="E85" s="251"/>
      <c r="F85" s="251"/>
      <c r="G85" s="251" t="str">
        <f>IFERROR(__xludf.DUMMYFUNCTION("""COMPUTED_VALUE"""),"Negative")</f>
        <v>Negative</v>
      </c>
      <c r="H85" s="262" t="str">
        <f>IFERROR(__xludf.DUMMYFUNCTION("""COMPUTED_VALUE"""),"Negative")</f>
        <v>Negative</v>
      </c>
      <c r="I85" s="204">
        <f>IFERROR(__xludf.DUMMYFUNCTION("""COMPUTED_VALUE"""),44566.0)</f>
        <v>44566</v>
      </c>
      <c r="J85" s="252">
        <f>IFERROR(__xludf.DUMMYFUNCTION("""COMPUTED_VALUE"""),0.4565625)</f>
        <v>0.4565625</v>
      </c>
      <c r="K85" s="56"/>
      <c r="L85" s="6"/>
      <c r="M85" s="61"/>
      <c r="N85" s="61">
        <f>IFERROR(__xludf.DUMMYFUNCTION("""COMPUTED_VALUE"""),1.0)</f>
        <v>1</v>
      </c>
      <c r="O85" s="61" t="str">
        <f t="shared" si="3"/>
        <v/>
      </c>
      <c r="P85" s="253">
        <f>IFERROR(__xludf.DUMMYFUNCTION("""COMPUTED_VALUE"""),0.0)</f>
        <v>0</v>
      </c>
      <c r="Q85" s="254" t="b">
        <f>VLOOKUP($B85,'Run Reconcile'!B$2:O799,14,FALSE)</f>
        <v>1</v>
      </c>
      <c r="R85" s="255" t="str">
        <f t="array" ref="R85">IF($Q85, INDEX('Run Reconcile'!A$2:A799,MATCH(B85,'Run Reconcile'!B$2:B799,0),1),IFERROR(0/0,""))</f>
        <v>RUN-BEND_2022-01-05_RFR-010</v>
      </c>
      <c r="S85" s="261" t="str">
        <f t="shared" ref="S85:T85" si="174">IF(COUNTIF(W$2:W799, $A85) &gt; 0,TRUE,IFERROR(0/0,""))</f>
        <v/>
      </c>
      <c r="T85" s="261" t="str">
        <f t="shared" si="174"/>
        <v/>
      </c>
      <c r="U85" s="257" t="str">
        <f t="array" ref="U85">IF(ISBLANK($R85), INDEX('Run Reconcile'!A$2:A799, MATCH($B85, 'Run Reconcile'!B$2:B799, 0)+Z85, 1), IFERROR(0/0,""))
</f>
        <v/>
      </c>
      <c r="V85" s="258" t="str">
        <f t="shared" si="5"/>
        <v>RUN-BEND_2022-01-05_RFR-010</v>
      </c>
      <c r="Y85" s="130" t="str">
        <f t="shared" si="6"/>
        <v/>
      </c>
      <c r="Z85" s="49" t="str">
        <f t="shared" si="7"/>
        <v/>
      </c>
      <c r="AA85" s="49" t="str">
        <f t="shared" si="8"/>
        <v/>
      </c>
      <c r="AB85" s="49" t="str">
        <f t="shared" si="9"/>
        <v/>
      </c>
      <c r="AC85" s="20" t="str">
        <f t="shared" ref="AC85:AD85" si="175">IF(_xlfn.ISFORMULA(S85),IFERROR(0/0,""),TRUE)</f>
        <v/>
      </c>
      <c r="AD85" s="20" t="str">
        <f t="shared" si="175"/>
        <v/>
      </c>
      <c r="AE85" s="43"/>
      <c r="AF85" s="62" t="s">
        <v>38</v>
      </c>
      <c r="AG85" s="57" t="str">
        <f t="shared" si="11"/>
        <v/>
      </c>
    </row>
    <row r="86">
      <c r="A86" s="6" t="str">
        <f>IFERROR(__xludf.DUMMYFUNCTION("""COMPUTED_VALUE"""),"MA643")</f>
        <v>MA643</v>
      </c>
      <c r="B86" s="204">
        <f>IFERROR(__xludf.DUMMYFUNCTION("""COMPUTED_VALUE"""),44566.0)</f>
        <v>44566</v>
      </c>
      <c r="C86" s="250">
        <f>IFERROR(__xludf.DUMMYFUNCTION("""COMPUTED_VALUE"""),0.3824652777777778)</f>
        <v>0.3824652778</v>
      </c>
      <c r="D86" s="6" t="str">
        <f>IFERROR(__xludf.DUMMYFUNCTION("""COMPUTED_VALUE"""),"SpBEND394154")</f>
        <v>SpBEND394154</v>
      </c>
      <c r="E86" s="251"/>
      <c r="F86" s="251"/>
      <c r="G86" s="251" t="str">
        <f>IFERROR(__xludf.DUMMYFUNCTION("""COMPUTED_VALUE"""),"Negative")</f>
        <v>Negative</v>
      </c>
      <c r="H86" s="262" t="str">
        <f>IFERROR(__xludf.DUMMYFUNCTION("""COMPUTED_VALUE"""),"Negative")</f>
        <v>Negative</v>
      </c>
      <c r="I86" s="204">
        <f>IFERROR(__xludf.DUMMYFUNCTION("""COMPUTED_VALUE"""),44566.0)</f>
        <v>44566</v>
      </c>
      <c r="J86" s="252">
        <f>IFERROR(__xludf.DUMMYFUNCTION("""COMPUTED_VALUE"""),0.4565625)</f>
        <v>0.4565625</v>
      </c>
      <c r="K86" s="56"/>
      <c r="L86" s="6"/>
      <c r="M86" s="61"/>
      <c r="N86" s="61">
        <f>IFERROR(__xludf.DUMMYFUNCTION("""COMPUTED_VALUE"""),1.0)</f>
        <v>1</v>
      </c>
      <c r="O86" s="61" t="str">
        <f t="shared" si="3"/>
        <v/>
      </c>
      <c r="P86" s="253">
        <f>IFERROR(__xludf.DUMMYFUNCTION("""COMPUTED_VALUE"""),0.0)</f>
        <v>0</v>
      </c>
      <c r="Q86" s="254" t="b">
        <f>VLOOKUP($B86,'Run Reconcile'!B$2:O799,14,FALSE)</f>
        <v>1</v>
      </c>
      <c r="R86" s="255" t="str">
        <f t="array" ref="R86">IF($Q86, INDEX('Run Reconcile'!A$2:A799,MATCH(B86,'Run Reconcile'!B$2:B799,0),1),IFERROR(0/0,""))</f>
        <v>RUN-BEND_2022-01-05_RFR-010</v>
      </c>
      <c r="S86" s="261" t="str">
        <f t="shared" ref="S86:T86" si="176">IF(COUNTIF(W$2:W799, $A86) &gt; 0,TRUE,IFERROR(0/0,""))</f>
        <v/>
      </c>
      <c r="T86" s="261" t="str">
        <f t="shared" si="176"/>
        <v/>
      </c>
      <c r="U86" s="257" t="str">
        <f t="array" ref="U86">IF(ISBLANK($R86), INDEX('Run Reconcile'!A$2:A799, MATCH($B86, 'Run Reconcile'!B$2:B799, 0)+Z86, 1), IFERROR(0/0,""))
</f>
        <v/>
      </c>
      <c r="V86" s="258" t="str">
        <f t="shared" si="5"/>
        <v>RUN-BEND_2022-01-05_RFR-010</v>
      </c>
      <c r="Y86" s="130" t="str">
        <f t="shared" si="6"/>
        <v/>
      </c>
      <c r="Z86" s="49" t="str">
        <f t="shared" si="7"/>
        <v/>
      </c>
      <c r="AA86" s="49" t="str">
        <f t="shared" si="8"/>
        <v/>
      </c>
      <c r="AB86" s="49" t="str">
        <f t="shared" si="9"/>
        <v/>
      </c>
      <c r="AC86" s="20" t="str">
        <f t="shared" ref="AC86:AD86" si="177">IF(_xlfn.ISFORMULA(S86),IFERROR(0/0,""),TRUE)</f>
        <v/>
      </c>
      <c r="AD86" s="20" t="str">
        <f t="shared" si="177"/>
        <v/>
      </c>
      <c r="AE86" s="43"/>
      <c r="AF86" s="62" t="s">
        <v>38</v>
      </c>
      <c r="AG86" s="57" t="str">
        <f t="shared" si="11"/>
        <v/>
      </c>
    </row>
    <row r="87">
      <c r="A87" s="6" t="str">
        <f>IFERROR(__xludf.DUMMYFUNCTION("""COMPUTED_VALUE"""),"MA444")</f>
        <v>MA444</v>
      </c>
      <c r="B87" s="204">
        <f>IFERROR(__xludf.DUMMYFUNCTION("""COMPUTED_VALUE"""),44566.0)</f>
        <v>44566</v>
      </c>
      <c r="C87" s="250">
        <f>IFERROR(__xludf.DUMMYFUNCTION("""COMPUTED_VALUE"""),0.4174305555555556)</f>
        <v>0.4174305556</v>
      </c>
      <c r="D87" s="6" t="str">
        <f>IFERROR(__xludf.DUMMYFUNCTION("""COMPUTED_VALUE"""),"SpBEND110967")</f>
        <v>SpBEND110967</v>
      </c>
      <c r="E87" s="251"/>
      <c r="F87" s="251"/>
      <c r="G87" s="251" t="str">
        <f>IFERROR(__xludf.DUMMYFUNCTION("""COMPUTED_VALUE"""),"Negative")</f>
        <v>Negative</v>
      </c>
      <c r="H87" s="262" t="str">
        <f>IFERROR(__xludf.DUMMYFUNCTION("""COMPUTED_VALUE"""),"Negative")</f>
        <v>Negative</v>
      </c>
      <c r="I87" s="204">
        <f>IFERROR(__xludf.DUMMYFUNCTION("""COMPUTED_VALUE"""),44566.0)</f>
        <v>44566</v>
      </c>
      <c r="J87" s="252">
        <f>IFERROR(__xludf.DUMMYFUNCTION("""COMPUTED_VALUE"""),0.4565625)</f>
        <v>0.4565625</v>
      </c>
      <c r="K87" s="56"/>
      <c r="L87" s="6"/>
      <c r="M87" s="61"/>
      <c r="N87" s="61">
        <f>IFERROR(__xludf.DUMMYFUNCTION("""COMPUTED_VALUE"""),1.0)</f>
        <v>1</v>
      </c>
      <c r="O87" s="61" t="str">
        <f t="shared" si="3"/>
        <v/>
      </c>
      <c r="P87" s="253">
        <f>IFERROR(__xludf.DUMMYFUNCTION("""COMPUTED_VALUE"""),0.0)</f>
        <v>0</v>
      </c>
      <c r="Q87" s="254" t="b">
        <f>VLOOKUP($B87,'Run Reconcile'!B$2:O799,14,FALSE)</f>
        <v>1</v>
      </c>
      <c r="R87" s="255" t="str">
        <f t="array" ref="R87">IF($Q87, INDEX('Run Reconcile'!A$2:A799,MATCH(B87,'Run Reconcile'!B$2:B799,0),1),IFERROR(0/0,""))</f>
        <v>RUN-BEND_2022-01-05_RFR-010</v>
      </c>
      <c r="S87" s="261" t="str">
        <f t="shared" ref="S87:T87" si="178">IF(COUNTIF(W$2:W799, $A87) &gt; 0,TRUE,IFERROR(0/0,""))</f>
        <v/>
      </c>
      <c r="T87" s="261" t="str">
        <f t="shared" si="178"/>
        <v/>
      </c>
      <c r="U87" s="257" t="str">
        <f t="array" ref="U87">IF(ISBLANK($R87), INDEX('Run Reconcile'!A$2:A799, MATCH($B87, 'Run Reconcile'!B$2:B799, 0)+Z87, 1), IFERROR(0/0,""))
</f>
        <v/>
      </c>
      <c r="V87" s="258" t="str">
        <f t="shared" si="5"/>
        <v>RUN-BEND_2022-01-05_RFR-010</v>
      </c>
      <c r="Y87" s="130" t="str">
        <f t="shared" si="6"/>
        <v/>
      </c>
      <c r="Z87" s="49" t="str">
        <f t="shared" si="7"/>
        <v/>
      </c>
      <c r="AA87" s="49" t="str">
        <f t="shared" si="8"/>
        <v/>
      </c>
      <c r="AB87" s="49" t="str">
        <f t="shared" si="9"/>
        <v/>
      </c>
      <c r="AC87" s="20" t="str">
        <f t="shared" ref="AC87:AD87" si="179">IF(_xlfn.ISFORMULA(S87),IFERROR(0/0,""),TRUE)</f>
        <v/>
      </c>
      <c r="AD87" s="20" t="str">
        <f t="shared" si="179"/>
        <v/>
      </c>
      <c r="AE87" s="43"/>
      <c r="AF87" s="62" t="s">
        <v>38</v>
      </c>
      <c r="AG87" s="57" t="str">
        <f t="shared" si="11"/>
        <v/>
      </c>
    </row>
    <row r="88">
      <c r="A88" s="6" t="str">
        <f>IFERROR(__xludf.DUMMYFUNCTION("""COMPUTED_VALUE"""),"MA453")</f>
        <v>MA453</v>
      </c>
      <c r="B88" s="204">
        <f>IFERROR(__xludf.DUMMYFUNCTION("""COMPUTED_VALUE"""),44566.0)</f>
        <v>44566</v>
      </c>
      <c r="C88" s="250">
        <f>IFERROR(__xludf.DUMMYFUNCTION("""COMPUTED_VALUE"""),0.4181828703703704)</f>
        <v>0.4181828704</v>
      </c>
      <c r="D88" s="6" t="str">
        <f>IFERROR(__xludf.DUMMYFUNCTION("""COMPUTED_VALUE"""),"SpBEND110967")</f>
        <v>SpBEND110967</v>
      </c>
      <c r="E88" s="251"/>
      <c r="F88" s="251"/>
      <c r="G88" s="251" t="str">
        <f>IFERROR(__xludf.DUMMYFUNCTION("""COMPUTED_VALUE"""),"Negative")</f>
        <v>Negative</v>
      </c>
      <c r="H88" s="262" t="str">
        <f>IFERROR(__xludf.DUMMYFUNCTION("""COMPUTED_VALUE"""),"Negative")</f>
        <v>Negative</v>
      </c>
      <c r="I88" s="204">
        <f>IFERROR(__xludf.DUMMYFUNCTION("""COMPUTED_VALUE"""),44566.0)</f>
        <v>44566</v>
      </c>
      <c r="J88" s="252">
        <f>IFERROR(__xludf.DUMMYFUNCTION("""COMPUTED_VALUE"""),0.4565625)</f>
        <v>0.4565625</v>
      </c>
      <c r="K88" s="56"/>
      <c r="L88" s="6"/>
      <c r="M88" s="61"/>
      <c r="N88" s="61">
        <f>IFERROR(__xludf.DUMMYFUNCTION("""COMPUTED_VALUE"""),1.0)</f>
        <v>1</v>
      </c>
      <c r="O88" s="61" t="str">
        <f t="shared" si="3"/>
        <v/>
      </c>
      <c r="P88" s="253">
        <f>IFERROR(__xludf.DUMMYFUNCTION("""COMPUTED_VALUE"""),0.0)</f>
        <v>0</v>
      </c>
      <c r="Q88" s="254" t="b">
        <f>VLOOKUP($B88,'Run Reconcile'!B$2:O799,14,FALSE)</f>
        <v>1</v>
      </c>
      <c r="R88" s="255" t="str">
        <f t="array" ref="R88">IF($Q88, INDEX('Run Reconcile'!A$2:A799,MATCH(B88,'Run Reconcile'!B$2:B799,0),1),IFERROR(0/0,""))</f>
        <v>RUN-BEND_2022-01-05_RFR-010</v>
      </c>
      <c r="S88" s="261" t="str">
        <f t="shared" ref="S88:T88" si="180">IF(COUNTIF(W$2:W799, $A88) &gt; 0,TRUE,IFERROR(0/0,""))</f>
        <v/>
      </c>
      <c r="T88" s="261" t="str">
        <f t="shared" si="180"/>
        <v/>
      </c>
      <c r="U88" s="257" t="str">
        <f t="array" ref="U88">IF(ISBLANK($R88), INDEX('Run Reconcile'!A$2:A799, MATCH($B88, 'Run Reconcile'!B$2:B799, 0)+Z88, 1), IFERROR(0/0,""))
</f>
        <v/>
      </c>
      <c r="V88" s="258" t="str">
        <f t="shared" si="5"/>
        <v>RUN-BEND_2022-01-05_RFR-010</v>
      </c>
      <c r="Y88" s="130" t="str">
        <f t="shared" si="6"/>
        <v/>
      </c>
      <c r="Z88" s="49" t="str">
        <f t="shared" si="7"/>
        <v/>
      </c>
      <c r="AA88" s="49" t="str">
        <f t="shared" si="8"/>
        <v/>
      </c>
      <c r="AB88" s="49" t="str">
        <f t="shared" si="9"/>
        <v/>
      </c>
      <c r="AC88" s="20" t="str">
        <f t="shared" ref="AC88:AD88" si="181">IF(_xlfn.ISFORMULA(S88),IFERROR(0/0,""),TRUE)</f>
        <v/>
      </c>
      <c r="AD88" s="20" t="str">
        <f t="shared" si="181"/>
        <v/>
      </c>
      <c r="AE88" s="43"/>
      <c r="AF88" s="62" t="s">
        <v>38</v>
      </c>
      <c r="AG88" s="57" t="str">
        <f t="shared" si="11"/>
        <v/>
      </c>
    </row>
    <row r="89">
      <c r="A89" s="6" t="str">
        <f>IFERROR(__xludf.DUMMYFUNCTION("""COMPUTED_VALUE"""),"MA455")</f>
        <v>MA455</v>
      </c>
      <c r="B89" s="204">
        <f>IFERROR(__xludf.DUMMYFUNCTION("""COMPUTED_VALUE"""),44566.0)</f>
        <v>44566</v>
      </c>
      <c r="C89" s="250">
        <f>IFERROR(__xludf.DUMMYFUNCTION("""COMPUTED_VALUE"""),0.41854166666666665)</f>
        <v>0.4185416667</v>
      </c>
      <c r="D89" s="6" t="str">
        <f>IFERROR(__xludf.DUMMYFUNCTION("""COMPUTED_VALUE"""),"SpBEND110967")</f>
        <v>SpBEND110967</v>
      </c>
      <c r="E89" s="251"/>
      <c r="F89" s="251"/>
      <c r="G89" s="251" t="str">
        <f>IFERROR(__xludf.DUMMYFUNCTION("""COMPUTED_VALUE"""),"Negative")</f>
        <v>Negative</v>
      </c>
      <c r="H89" s="262" t="str">
        <f>IFERROR(__xludf.DUMMYFUNCTION("""COMPUTED_VALUE"""),"Negative")</f>
        <v>Negative</v>
      </c>
      <c r="I89" s="204">
        <f>IFERROR(__xludf.DUMMYFUNCTION("""COMPUTED_VALUE"""),44566.0)</f>
        <v>44566</v>
      </c>
      <c r="J89" s="252">
        <f>IFERROR(__xludf.DUMMYFUNCTION("""COMPUTED_VALUE"""),0.4565625)</f>
        <v>0.4565625</v>
      </c>
      <c r="K89" s="56"/>
      <c r="L89" s="6"/>
      <c r="M89" s="61"/>
      <c r="N89" s="61">
        <f>IFERROR(__xludf.DUMMYFUNCTION("""COMPUTED_VALUE"""),1.0)</f>
        <v>1</v>
      </c>
      <c r="O89" s="61" t="str">
        <f t="shared" si="3"/>
        <v/>
      </c>
      <c r="P89" s="253">
        <f>IFERROR(__xludf.DUMMYFUNCTION("""COMPUTED_VALUE"""),0.0)</f>
        <v>0</v>
      </c>
      <c r="Q89" s="254" t="b">
        <f>VLOOKUP($B89,'Run Reconcile'!B$2:O799,14,FALSE)</f>
        <v>1</v>
      </c>
      <c r="R89" s="255" t="str">
        <f t="array" ref="R89">IF($Q89, INDEX('Run Reconcile'!A$2:A799,MATCH(B89,'Run Reconcile'!B$2:B799,0),1),IFERROR(0/0,""))</f>
        <v>RUN-BEND_2022-01-05_RFR-010</v>
      </c>
      <c r="S89" s="261" t="str">
        <f t="shared" ref="S89:T89" si="182">IF(COUNTIF(W$2:W799, $A89) &gt; 0,TRUE,IFERROR(0/0,""))</f>
        <v/>
      </c>
      <c r="T89" s="261" t="str">
        <f t="shared" si="182"/>
        <v/>
      </c>
      <c r="U89" s="257" t="str">
        <f t="array" ref="U89">IF(ISBLANK($R89), INDEX('Run Reconcile'!A$2:A799, MATCH($B89, 'Run Reconcile'!B$2:B799, 0)+Z89, 1), IFERROR(0/0,""))
</f>
        <v/>
      </c>
      <c r="V89" s="258" t="str">
        <f t="shared" si="5"/>
        <v>RUN-BEND_2022-01-05_RFR-010</v>
      </c>
      <c r="Y89" s="130" t="str">
        <f t="shared" si="6"/>
        <v/>
      </c>
      <c r="Z89" s="49" t="str">
        <f t="shared" si="7"/>
        <v/>
      </c>
      <c r="AA89" s="49" t="str">
        <f t="shared" si="8"/>
        <v/>
      </c>
      <c r="AB89" s="49" t="str">
        <f t="shared" si="9"/>
        <v/>
      </c>
      <c r="AC89" s="20" t="str">
        <f t="shared" ref="AC89:AD89" si="183">IF(_xlfn.ISFORMULA(S89),IFERROR(0/0,""),TRUE)</f>
        <v/>
      </c>
      <c r="AD89" s="20" t="str">
        <f t="shared" si="183"/>
        <v/>
      </c>
      <c r="AE89" s="43"/>
      <c r="AF89" s="62" t="s">
        <v>38</v>
      </c>
      <c r="AG89" s="57" t="str">
        <f t="shared" si="11"/>
        <v/>
      </c>
    </row>
    <row r="90">
      <c r="A90" s="6" t="str">
        <f>IFERROR(__xludf.DUMMYFUNCTION("""COMPUTED_VALUE"""),"MA464")</f>
        <v>MA464</v>
      </c>
      <c r="B90" s="204">
        <f>IFERROR(__xludf.DUMMYFUNCTION("""COMPUTED_VALUE"""),44566.0)</f>
        <v>44566</v>
      </c>
      <c r="C90" s="250">
        <f>IFERROR(__xludf.DUMMYFUNCTION("""COMPUTED_VALUE"""),0.4192361111111111)</f>
        <v>0.4192361111</v>
      </c>
      <c r="D90" s="6" t="str">
        <f>IFERROR(__xludf.DUMMYFUNCTION("""COMPUTED_VALUE"""),"SpBEND110967")</f>
        <v>SpBEND110967</v>
      </c>
      <c r="E90" s="251"/>
      <c r="F90" s="251"/>
      <c r="G90" s="251" t="str">
        <f>IFERROR(__xludf.DUMMYFUNCTION("""COMPUTED_VALUE"""),"Negative")</f>
        <v>Negative</v>
      </c>
      <c r="H90" s="262" t="str">
        <f>IFERROR(__xludf.DUMMYFUNCTION("""COMPUTED_VALUE"""),"Negative")</f>
        <v>Negative</v>
      </c>
      <c r="I90" s="204">
        <f>IFERROR(__xludf.DUMMYFUNCTION("""COMPUTED_VALUE"""),44566.0)</f>
        <v>44566</v>
      </c>
      <c r="J90" s="252">
        <f>IFERROR(__xludf.DUMMYFUNCTION("""COMPUTED_VALUE"""),0.4565625)</f>
        <v>0.4565625</v>
      </c>
      <c r="K90" s="56"/>
      <c r="L90" s="6"/>
      <c r="M90" s="61"/>
      <c r="N90" s="61">
        <f>IFERROR(__xludf.DUMMYFUNCTION("""COMPUTED_VALUE"""),1.0)</f>
        <v>1</v>
      </c>
      <c r="O90" s="61" t="str">
        <f t="shared" si="3"/>
        <v/>
      </c>
      <c r="P90" s="253">
        <f>IFERROR(__xludf.DUMMYFUNCTION("""COMPUTED_VALUE"""),0.0)</f>
        <v>0</v>
      </c>
      <c r="Q90" s="254" t="b">
        <f>VLOOKUP($B90,'Run Reconcile'!B$2:O799,14,FALSE)</f>
        <v>1</v>
      </c>
      <c r="R90" s="255" t="str">
        <f t="array" ref="R90">IF($Q90, INDEX('Run Reconcile'!A$2:A799,MATCH(B90,'Run Reconcile'!B$2:B799,0),1),IFERROR(0/0,""))</f>
        <v>RUN-BEND_2022-01-05_RFR-010</v>
      </c>
      <c r="S90" s="261" t="str">
        <f t="shared" ref="S90:T90" si="184">IF(COUNTIF(W$2:W799, $A90) &gt; 0,TRUE,IFERROR(0/0,""))</f>
        <v/>
      </c>
      <c r="T90" s="261" t="str">
        <f t="shared" si="184"/>
        <v/>
      </c>
      <c r="U90" s="257" t="str">
        <f t="array" ref="U90">IF(ISBLANK($R90), INDEX('Run Reconcile'!A$2:A799, MATCH($B90, 'Run Reconcile'!B$2:B799, 0)+Z90, 1), IFERROR(0/0,""))
</f>
        <v/>
      </c>
      <c r="V90" s="258" t="str">
        <f t="shared" si="5"/>
        <v>RUN-BEND_2022-01-05_RFR-010</v>
      </c>
      <c r="Y90" s="130" t="str">
        <f t="shared" si="6"/>
        <v/>
      </c>
      <c r="Z90" s="49" t="str">
        <f t="shared" si="7"/>
        <v/>
      </c>
      <c r="AA90" s="49" t="str">
        <f t="shared" si="8"/>
        <v/>
      </c>
      <c r="AB90" s="49" t="str">
        <f t="shared" si="9"/>
        <v/>
      </c>
      <c r="AC90" s="20" t="str">
        <f t="shared" ref="AC90:AD90" si="185">IF(_xlfn.ISFORMULA(S90),IFERROR(0/0,""),TRUE)</f>
        <v/>
      </c>
      <c r="AD90" s="20" t="str">
        <f t="shared" si="185"/>
        <v/>
      </c>
      <c r="AE90" s="43"/>
      <c r="AF90" s="62" t="s">
        <v>38</v>
      </c>
      <c r="AG90" s="57" t="str">
        <f t="shared" si="11"/>
        <v/>
      </c>
    </row>
    <row r="91">
      <c r="A91" s="6" t="str">
        <f>IFERROR(__xludf.DUMMYFUNCTION("""COMPUTED_VALUE"""),"MA475")</f>
        <v>MA475</v>
      </c>
      <c r="B91" s="204">
        <f>IFERROR(__xludf.DUMMYFUNCTION("""COMPUTED_VALUE"""),44566.0)</f>
        <v>44566</v>
      </c>
      <c r="C91" s="250">
        <f>IFERROR(__xludf.DUMMYFUNCTION("""COMPUTED_VALUE"""),0.41961805555555554)</f>
        <v>0.4196180556</v>
      </c>
      <c r="D91" s="6" t="str">
        <f>IFERROR(__xludf.DUMMYFUNCTION("""COMPUTED_VALUE"""),"SpBEND110967")</f>
        <v>SpBEND110967</v>
      </c>
      <c r="E91" s="251"/>
      <c r="F91" s="251"/>
      <c r="G91" s="251" t="str">
        <f>IFERROR(__xludf.DUMMYFUNCTION("""COMPUTED_VALUE"""),"Negative")</f>
        <v>Negative</v>
      </c>
      <c r="H91" s="262" t="str">
        <f>IFERROR(__xludf.DUMMYFUNCTION("""COMPUTED_VALUE"""),"Negative")</f>
        <v>Negative</v>
      </c>
      <c r="I91" s="204">
        <f>IFERROR(__xludf.DUMMYFUNCTION("""COMPUTED_VALUE"""),44566.0)</f>
        <v>44566</v>
      </c>
      <c r="J91" s="252">
        <f>IFERROR(__xludf.DUMMYFUNCTION("""COMPUTED_VALUE"""),0.4565625)</f>
        <v>0.4565625</v>
      </c>
      <c r="K91" s="56"/>
      <c r="L91" s="6"/>
      <c r="M91" s="61"/>
      <c r="N91" s="61">
        <f>IFERROR(__xludf.DUMMYFUNCTION("""COMPUTED_VALUE"""),1.0)</f>
        <v>1</v>
      </c>
      <c r="O91" s="61" t="str">
        <f t="shared" si="3"/>
        <v/>
      </c>
      <c r="P91" s="253">
        <f>IFERROR(__xludf.DUMMYFUNCTION("""COMPUTED_VALUE"""),0.0)</f>
        <v>0</v>
      </c>
      <c r="Q91" s="254" t="b">
        <f>VLOOKUP($B91,'Run Reconcile'!B$2:O799,14,FALSE)</f>
        <v>1</v>
      </c>
      <c r="R91" s="255" t="str">
        <f t="array" ref="R91">IF($Q91, INDEX('Run Reconcile'!A$2:A799,MATCH(B91,'Run Reconcile'!B$2:B799,0),1),IFERROR(0/0,""))</f>
        <v>RUN-BEND_2022-01-05_RFR-010</v>
      </c>
      <c r="S91" s="261" t="str">
        <f t="shared" ref="S91:T91" si="186">IF(COUNTIF(W$2:W799, $A91) &gt; 0,TRUE,IFERROR(0/0,""))</f>
        <v/>
      </c>
      <c r="T91" s="261" t="str">
        <f t="shared" si="186"/>
        <v/>
      </c>
      <c r="U91" s="257" t="str">
        <f t="array" ref="U91">IF(ISBLANK($R91), INDEX('Run Reconcile'!A$2:A799, MATCH($B91, 'Run Reconcile'!B$2:B799, 0)+Z91, 1), IFERROR(0/0,""))
</f>
        <v/>
      </c>
      <c r="V91" s="258" t="str">
        <f t="shared" si="5"/>
        <v>RUN-BEND_2022-01-05_RFR-010</v>
      </c>
      <c r="Y91" s="130" t="str">
        <f t="shared" si="6"/>
        <v/>
      </c>
      <c r="Z91" s="49" t="str">
        <f t="shared" si="7"/>
        <v/>
      </c>
      <c r="AA91" s="49" t="str">
        <f t="shared" si="8"/>
        <v/>
      </c>
      <c r="AB91" s="49" t="str">
        <f t="shared" si="9"/>
        <v/>
      </c>
      <c r="AC91" s="20" t="str">
        <f t="shared" ref="AC91:AD91" si="187">IF(_xlfn.ISFORMULA(S91),IFERROR(0/0,""),TRUE)</f>
        <v/>
      </c>
      <c r="AD91" s="20" t="str">
        <f t="shared" si="187"/>
        <v/>
      </c>
      <c r="AE91" s="43"/>
      <c r="AF91" s="62" t="s">
        <v>38</v>
      </c>
      <c r="AG91" s="57" t="str">
        <f t="shared" si="11"/>
        <v/>
      </c>
    </row>
    <row r="92">
      <c r="A92" s="6" t="str">
        <f>IFERROR(__xludf.DUMMYFUNCTION("""COMPUTED_VALUE"""),"MA605")</f>
        <v>MA605</v>
      </c>
      <c r="B92" s="204">
        <f>IFERROR(__xludf.DUMMYFUNCTION("""COMPUTED_VALUE"""),44566.0)</f>
        <v>44566</v>
      </c>
      <c r="C92" s="250">
        <f>IFERROR(__xludf.DUMMYFUNCTION("""COMPUTED_VALUE"""),0.4199421296296296)</f>
        <v>0.4199421296</v>
      </c>
      <c r="D92" s="6" t="str">
        <f>IFERROR(__xludf.DUMMYFUNCTION("""COMPUTED_VALUE"""),"SpBEND110967")</f>
        <v>SpBEND110967</v>
      </c>
      <c r="E92" s="251"/>
      <c r="F92" s="251"/>
      <c r="G92" s="251" t="str">
        <f>IFERROR(__xludf.DUMMYFUNCTION("""COMPUTED_VALUE"""),"Positive")</f>
        <v>Positive</v>
      </c>
      <c r="H92" s="262" t="str">
        <f>IFERROR(__xludf.DUMMYFUNCTION("""COMPUTED_VALUE"""),"Positive")</f>
        <v>Positive</v>
      </c>
      <c r="I92" s="204">
        <f>IFERROR(__xludf.DUMMYFUNCTION("""COMPUTED_VALUE"""),44568.0)</f>
        <v>44568</v>
      </c>
      <c r="J92" s="252">
        <f>IFERROR(__xludf.DUMMYFUNCTION("""COMPUTED_VALUE"""),0.508275462962963)</f>
        <v>0.508275463</v>
      </c>
      <c r="K92" s="56"/>
      <c r="L92" s="6"/>
      <c r="M92" s="61"/>
      <c r="N92" s="61">
        <f>IFERROR(__xludf.DUMMYFUNCTION("""COMPUTED_VALUE"""),1.0)</f>
        <v>1</v>
      </c>
      <c r="O92" s="61" t="str">
        <f t="shared" si="3"/>
        <v/>
      </c>
      <c r="P92" s="253">
        <f>IFERROR(__xludf.DUMMYFUNCTION("""COMPUTED_VALUE"""),2.0)</f>
        <v>2</v>
      </c>
      <c r="Q92" s="254" t="b">
        <f>VLOOKUP($B92,'Run Reconcile'!B$2:O799,14,FALSE)</f>
        <v>1</v>
      </c>
      <c r="R92" s="255" t="str">
        <f t="array" ref="R92">IF($Q92, INDEX('Run Reconcile'!A$2:A799,MATCH(B92,'Run Reconcile'!B$2:B799,0),1),IFERROR(0/0,""))</f>
        <v>RUN-BEND_2022-01-05_RFR-010</v>
      </c>
      <c r="S92" s="261" t="str">
        <f t="shared" ref="S92:T92" si="188">IF(COUNTIF(W$2:W799, $A92) &gt; 0,TRUE,IFERROR(0/0,""))</f>
        <v/>
      </c>
      <c r="T92" s="261" t="str">
        <f t="shared" si="188"/>
        <v/>
      </c>
      <c r="U92" s="257" t="str">
        <f t="array" ref="U92">IF(ISBLANK($R92), INDEX('Run Reconcile'!A$2:A799, MATCH($B92, 'Run Reconcile'!B$2:B799, 0)+Z92, 1), IFERROR(0/0,""))
</f>
        <v/>
      </c>
      <c r="V92" s="258" t="str">
        <f t="shared" si="5"/>
        <v>RUN-BEND_2022-01-05_RFR-010</v>
      </c>
      <c r="Y92" s="130" t="str">
        <f t="shared" si="6"/>
        <v/>
      </c>
      <c r="Z92" s="49" t="str">
        <f t="shared" si="7"/>
        <v/>
      </c>
      <c r="AA92" s="49" t="str">
        <f t="shared" si="8"/>
        <v/>
      </c>
      <c r="AB92" s="49" t="str">
        <f t="shared" si="9"/>
        <v/>
      </c>
      <c r="AC92" s="20" t="str">
        <f t="shared" ref="AC92:AD92" si="189">IF(_xlfn.ISFORMULA(S92),IFERROR(0/0,""),TRUE)</f>
        <v/>
      </c>
      <c r="AD92" s="20" t="str">
        <f t="shared" si="189"/>
        <v/>
      </c>
      <c r="AE92" s="43"/>
      <c r="AF92" s="62" t="s">
        <v>38</v>
      </c>
      <c r="AG92" s="57" t="str">
        <f t="shared" si="11"/>
        <v/>
      </c>
    </row>
    <row r="93">
      <c r="A93" s="6" t="str">
        <f>IFERROR(__xludf.DUMMYFUNCTION("""COMPUTED_VALUE"""),"MA457")</f>
        <v>MA457</v>
      </c>
      <c r="B93" s="204">
        <f>IFERROR(__xludf.DUMMYFUNCTION("""COMPUTED_VALUE"""),44567.0)</f>
        <v>44567</v>
      </c>
      <c r="C93" s="250">
        <f>IFERROR(__xludf.DUMMYFUNCTION("""COMPUTED_VALUE"""),0.32329861111111113)</f>
        <v>0.3232986111</v>
      </c>
      <c r="D93" s="6" t="str">
        <f>IFERROR(__xludf.DUMMYFUNCTION("""COMPUTED_VALUE"""),"SpBEND349435")</f>
        <v>SpBEND349435</v>
      </c>
      <c r="E93" s="251"/>
      <c r="F93" s="251"/>
      <c r="G93" s="251" t="str">
        <f>IFERROR(__xludf.DUMMYFUNCTION("""COMPUTED_VALUE"""),"Negative")</f>
        <v>Negative</v>
      </c>
      <c r="H93" s="262" t="str">
        <f>IFERROR(__xludf.DUMMYFUNCTION("""COMPUTED_VALUE"""),"Negative")</f>
        <v>Negative</v>
      </c>
      <c r="I93" s="204">
        <f>IFERROR(__xludf.DUMMYFUNCTION("""COMPUTED_VALUE"""),44568.0)</f>
        <v>44568</v>
      </c>
      <c r="J93" s="252">
        <f>IFERROR(__xludf.DUMMYFUNCTION("""COMPUTED_VALUE"""),0.5079050925925926)</f>
        <v>0.5079050926</v>
      </c>
      <c r="K93" s="56"/>
      <c r="L93" s="6"/>
      <c r="M93" s="61"/>
      <c r="N93" s="61">
        <f>IFERROR(__xludf.DUMMYFUNCTION("""COMPUTED_VALUE"""),1.0)</f>
        <v>1</v>
      </c>
      <c r="O93" s="61" t="b">
        <f t="shared" si="3"/>
        <v>1</v>
      </c>
      <c r="P93" s="253">
        <f>IFERROR(__xludf.DUMMYFUNCTION("""COMPUTED_VALUE"""),1.0)</f>
        <v>1</v>
      </c>
      <c r="Q93" s="254" t="str">
        <f>VLOOKUP($B93,'Run Reconcile'!B$2:O799,14,FALSE)</f>
        <v/>
      </c>
      <c r="R93" s="255" t="str">
        <f t="array" ref="R93">IF($Q93, INDEX('Run Reconcile'!A$2:A799,MATCH(B93,'Run Reconcile'!B$2:B799,0),1),IFERROR(0/0,""))</f>
        <v/>
      </c>
      <c r="S93" s="261" t="b">
        <f t="shared" ref="S93:T93" si="190">IF(COUNTIF(W$2:W799, $A93) &gt; 0,TRUE,IFERROR(0/0,""))</f>
        <v>1</v>
      </c>
      <c r="T93" s="261" t="str">
        <f t="shared" si="190"/>
        <v/>
      </c>
      <c r="U93" s="257" t="str">
        <f t="array" ref="U93">IF(ISBLANK($R93), INDEX('Run Reconcile'!A$2:A799, MATCH($B93, 'Run Reconcile'!B$2:B799, 0)+Z93, 1), IFERROR(0/0,""))
</f>
        <v>RUN-BEND_2022-01-07_RFR-011</v>
      </c>
      <c r="V93" s="258" t="str">
        <f t="shared" si="5"/>
        <v>RUN-BEND_2022-01-07_RFR-011</v>
      </c>
      <c r="W93" s="6" t="s">
        <v>380</v>
      </c>
      <c r="Y93" s="130">
        <f t="shared" si="6"/>
        <v>1</v>
      </c>
      <c r="Z93" s="49">
        <f t="shared" si="7"/>
        <v>1</v>
      </c>
      <c r="AA93" s="49">
        <f t="shared" si="8"/>
        <v>1</v>
      </c>
      <c r="AB93" s="49" t="str">
        <f t="shared" si="9"/>
        <v/>
      </c>
      <c r="AC93" s="20" t="str">
        <f t="shared" ref="AC93:AD93" si="191">IF(_xlfn.ISFORMULA(S93),IFERROR(0/0,""),TRUE)</f>
        <v/>
      </c>
      <c r="AD93" s="20" t="str">
        <f t="shared" si="191"/>
        <v/>
      </c>
      <c r="AE93" s="43"/>
      <c r="AF93" s="62" t="s">
        <v>39</v>
      </c>
      <c r="AG93" s="57" t="str">
        <f t="shared" si="11"/>
        <v/>
      </c>
    </row>
    <row r="94">
      <c r="A94" s="6" t="str">
        <f>IFERROR(__xludf.DUMMYFUNCTION("""COMPUTED_VALUE"""),"MA438")</f>
        <v>MA438</v>
      </c>
      <c r="B94" s="204">
        <f>IFERROR(__xludf.DUMMYFUNCTION("""COMPUTED_VALUE"""),44567.0)</f>
        <v>44567</v>
      </c>
      <c r="C94" s="250">
        <f>IFERROR(__xludf.DUMMYFUNCTION("""COMPUTED_VALUE"""),0.3252662037037037)</f>
        <v>0.3252662037</v>
      </c>
      <c r="D94" s="6" t="str">
        <f>IFERROR(__xludf.DUMMYFUNCTION("""COMPUTED_VALUE"""),"SpBEND768497")</f>
        <v>SpBEND768497</v>
      </c>
      <c r="E94" s="251"/>
      <c r="F94" s="251"/>
      <c r="G94" s="251" t="str">
        <f>IFERROR(__xludf.DUMMYFUNCTION("""COMPUTED_VALUE"""),"Negative")</f>
        <v>Negative</v>
      </c>
      <c r="H94" s="262" t="str">
        <f>IFERROR(__xludf.DUMMYFUNCTION("""COMPUTED_VALUE"""),"Negative")</f>
        <v>Negative</v>
      </c>
      <c r="I94" s="204">
        <f>IFERROR(__xludf.DUMMYFUNCTION("""COMPUTED_VALUE"""),44568.0)</f>
        <v>44568</v>
      </c>
      <c r="J94" s="252">
        <f>IFERROR(__xludf.DUMMYFUNCTION("""COMPUTED_VALUE"""),0.5079050925925926)</f>
        <v>0.5079050926</v>
      </c>
      <c r="K94" s="56"/>
      <c r="L94" s="6"/>
      <c r="M94" s="61"/>
      <c r="N94" s="61">
        <f>IFERROR(__xludf.DUMMYFUNCTION("""COMPUTED_VALUE"""),1.0)</f>
        <v>1</v>
      </c>
      <c r="O94" s="61" t="str">
        <f t="shared" si="3"/>
        <v/>
      </c>
      <c r="P94" s="253">
        <f>IFERROR(__xludf.DUMMYFUNCTION("""COMPUTED_VALUE"""),1.0)</f>
        <v>1</v>
      </c>
      <c r="Q94" s="254" t="str">
        <f>VLOOKUP($B94,'Run Reconcile'!B$2:O799,14,FALSE)</f>
        <v/>
      </c>
      <c r="R94" s="255" t="str">
        <f t="array" ref="R94">IF($Q94, INDEX('Run Reconcile'!A$2:A799,MATCH(B94,'Run Reconcile'!B$2:B799,0),1),IFERROR(0/0,""))</f>
        <v/>
      </c>
      <c r="S94" s="261" t="b">
        <f t="shared" ref="S94:T94" si="192">IF(COUNTIF(W$2:W799, $A94) &gt; 0,TRUE,IFERROR(0/0,""))</f>
        <v>1</v>
      </c>
      <c r="T94" s="261" t="str">
        <f t="shared" si="192"/>
        <v/>
      </c>
      <c r="U94" s="257" t="str">
        <f t="array" ref="U94">IF(ISBLANK($R94), INDEX('Run Reconcile'!A$2:A799, MATCH($B94, 'Run Reconcile'!B$2:B799, 0)+Z94, 1), IFERROR(0/0,""))
</f>
        <v>RUN-BEND_2022-01-07_RFR-011</v>
      </c>
      <c r="V94" s="258" t="str">
        <f t="shared" si="5"/>
        <v>RUN-BEND_2022-01-07_RFR-011</v>
      </c>
      <c r="W94" s="6" t="s">
        <v>381</v>
      </c>
      <c r="Y94" s="130">
        <f t="shared" si="6"/>
        <v>1</v>
      </c>
      <c r="Z94" s="49">
        <f t="shared" si="7"/>
        <v>1</v>
      </c>
      <c r="AA94" s="49">
        <f t="shared" si="8"/>
        <v>1</v>
      </c>
      <c r="AB94" s="49" t="str">
        <f t="shared" si="9"/>
        <v/>
      </c>
      <c r="AC94" s="20" t="str">
        <f t="shared" ref="AC94:AD94" si="193">IF(_xlfn.ISFORMULA(S94),IFERROR(0/0,""),TRUE)</f>
        <v/>
      </c>
      <c r="AD94" s="20" t="str">
        <f t="shared" si="193"/>
        <v/>
      </c>
      <c r="AE94" s="43"/>
      <c r="AF94" s="62" t="s">
        <v>39</v>
      </c>
      <c r="AG94" s="57" t="str">
        <f t="shared" si="11"/>
        <v/>
      </c>
    </row>
    <row r="95">
      <c r="A95" s="6" t="str">
        <f>IFERROR(__xludf.DUMMYFUNCTION("""COMPUTED_VALUE"""),"MA556")</f>
        <v>MA556</v>
      </c>
      <c r="B95" s="204">
        <f>IFERROR(__xludf.DUMMYFUNCTION("""COMPUTED_VALUE"""),44567.0)</f>
        <v>44567</v>
      </c>
      <c r="C95" s="250">
        <f>IFERROR(__xludf.DUMMYFUNCTION("""COMPUTED_VALUE"""),0.9539351851851852)</f>
        <v>0.9539351852</v>
      </c>
      <c r="D95" s="6" t="str">
        <f>IFERROR(__xludf.DUMMYFUNCTION("""COMPUTED_VALUE"""),"SpBEND214692")</f>
        <v>SpBEND214692</v>
      </c>
      <c r="E95" s="251"/>
      <c r="F95" s="251"/>
      <c r="G95" s="251" t="str">
        <f>IFERROR(__xludf.DUMMYFUNCTION("""COMPUTED_VALUE"""),"Negative")</f>
        <v>Negative</v>
      </c>
      <c r="H95" s="262" t="str">
        <f>IFERROR(__xludf.DUMMYFUNCTION("""COMPUTED_VALUE"""),"Negative")</f>
        <v>Negative</v>
      </c>
      <c r="I95" s="204">
        <f>IFERROR(__xludf.DUMMYFUNCTION("""COMPUTED_VALUE"""),44568.0)</f>
        <v>44568</v>
      </c>
      <c r="J95" s="252">
        <f>IFERROR(__xludf.DUMMYFUNCTION("""COMPUTED_VALUE"""),0.5079050925925926)</f>
        <v>0.5079050926</v>
      </c>
      <c r="K95" s="56"/>
      <c r="L95" s="6"/>
      <c r="M95" s="61"/>
      <c r="N95" s="61">
        <f>IFERROR(__xludf.DUMMYFUNCTION("""COMPUTED_VALUE"""),1.0)</f>
        <v>1</v>
      </c>
      <c r="O95" s="61" t="str">
        <f t="shared" si="3"/>
        <v/>
      </c>
      <c r="P95" s="253">
        <f>IFERROR(__xludf.DUMMYFUNCTION("""COMPUTED_VALUE"""),1.0)</f>
        <v>1</v>
      </c>
      <c r="Q95" s="254" t="str">
        <f>VLOOKUP($B95,'Run Reconcile'!B$2:O799,14,FALSE)</f>
        <v/>
      </c>
      <c r="R95" s="255" t="str">
        <f t="array" ref="R95">IF($Q95, INDEX('Run Reconcile'!A$2:A799,MATCH(B95,'Run Reconcile'!B$2:B799,0),1),IFERROR(0/0,""))</f>
        <v/>
      </c>
      <c r="S95" s="261" t="b">
        <f t="shared" ref="S95:T95" si="194">IF(COUNTIF(W$2:W799, $A95) &gt; 0,TRUE,IFERROR(0/0,""))</f>
        <v>1</v>
      </c>
      <c r="T95" s="261" t="str">
        <f t="shared" si="194"/>
        <v/>
      </c>
      <c r="U95" s="257" t="str">
        <f t="array" ref="U95">IF(ISBLANK($R95), INDEX('Run Reconcile'!A$2:A799, MATCH($B95, 'Run Reconcile'!B$2:B799, 0)+Z95, 1), IFERROR(0/0,""))
</f>
        <v>RUN-BEND_2022-01-07_RFR-011</v>
      </c>
      <c r="V95" s="258" t="str">
        <f t="shared" si="5"/>
        <v>RUN-BEND_2022-01-07_RFR-011</v>
      </c>
      <c r="W95" s="6" t="s">
        <v>382</v>
      </c>
      <c r="Y95" s="130">
        <f t="shared" si="6"/>
        <v>1</v>
      </c>
      <c r="Z95" s="49">
        <f t="shared" si="7"/>
        <v>1</v>
      </c>
      <c r="AA95" s="49">
        <f t="shared" si="8"/>
        <v>1</v>
      </c>
      <c r="AB95" s="49" t="str">
        <f t="shared" si="9"/>
        <v/>
      </c>
      <c r="AC95" s="20" t="str">
        <f t="shared" ref="AC95:AD95" si="195">IF(_xlfn.ISFORMULA(S95),IFERROR(0/0,""),TRUE)</f>
        <v/>
      </c>
      <c r="AD95" s="20" t="str">
        <f t="shared" si="195"/>
        <v/>
      </c>
      <c r="AE95" s="43"/>
      <c r="AF95" s="62" t="s">
        <v>39</v>
      </c>
      <c r="AG95" s="57" t="str">
        <f t="shared" si="11"/>
        <v/>
      </c>
    </row>
    <row r="96">
      <c r="A96" s="6" t="str">
        <f>IFERROR(__xludf.DUMMYFUNCTION("""COMPUTED_VALUE"""),"MA427")</f>
        <v>MA427</v>
      </c>
      <c r="B96" s="204">
        <f>IFERROR(__xludf.DUMMYFUNCTION("""COMPUTED_VALUE"""),44567.0)</f>
        <v>44567</v>
      </c>
      <c r="C96" s="250">
        <f>IFERROR(__xludf.DUMMYFUNCTION("""COMPUTED_VALUE"""),0.9922800925925926)</f>
        <v>0.9922800926</v>
      </c>
      <c r="D96" s="6" t="str">
        <f>IFERROR(__xludf.DUMMYFUNCTION("""COMPUTED_VALUE"""),"SpBEND492052")</f>
        <v>SpBEND492052</v>
      </c>
      <c r="E96" s="251"/>
      <c r="F96" s="251"/>
      <c r="G96" s="251" t="str">
        <f>IFERROR(__xludf.DUMMYFUNCTION("""COMPUTED_VALUE"""),"Negative")</f>
        <v>Negative</v>
      </c>
      <c r="H96" s="262" t="str">
        <f>IFERROR(__xludf.DUMMYFUNCTION("""COMPUTED_VALUE"""),"Negative")</f>
        <v>Negative</v>
      </c>
      <c r="I96" s="204">
        <f>IFERROR(__xludf.DUMMYFUNCTION("""COMPUTED_VALUE"""),44568.0)</f>
        <v>44568</v>
      </c>
      <c r="J96" s="252">
        <f>IFERROR(__xludf.DUMMYFUNCTION("""COMPUTED_VALUE"""),0.5079050925925926)</f>
        <v>0.5079050926</v>
      </c>
      <c r="K96" s="56"/>
      <c r="L96" s="6"/>
      <c r="M96" s="61"/>
      <c r="N96" s="61">
        <f>IFERROR(__xludf.DUMMYFUNCTION("""COMPUTED_VALUE"""),1.0)</f>
        <v>1</v>
      </c>
      <c r="O96" s="61" t="str">
        <f t="shared" si="3"/>
        <v/>
      </c>
      <c r="P96" s="253">
        <f>IFERROR(__xludf.DUMMYFUNCTION("""COMPUTED_VALUE"""),1.0)</f>
        <v>1</v>
      </c>
      <c r="Q96" s="254" t="str">
        <f>VLOOKUP($B96,'Run Reconcile'!B$2:O799,14,FALSE)</f>
        <v/>
      </c>
      <c r="R96" s="255" t="str">
        <f t="array" ref="R96">IF($Q96, INDEX('Run Reconcile'!A$2:A799,MATCH(B96,'Run Reconcile'!B$2:B799,0),1),IFERROR(0/0,""))</f>
        <v/>
      </c>
      <c r="S96" s="261" t="b">
        <f t="shared" ref="S96:T96" si="196">IF(COUNTIF(W$2:W799, $A96) &gt; 0,TRUE,IFERROR(0/0,""))</f>
        <v>1</v>
      </c>
      <c r="T96" s="261" t="str">
        <f t="shared" si="196"/>
        <v/>
      </c>
      <c r="U96" s="257" t="str">
        <f t="array" ref="U96">IF(ISBLANK($R96), INDEX('Run Reconcile'!A$2:A799, MATCH($B96, 'Run Reconcile'!B$2:B799, 0)+Z96, 1), IFERROR(0/0,""))
</f>
        <v>RUN-BEND_2022-01-07_RFR-011</v>
      </c>
      <c r="V96" s="258" t="str">
        <f t="shared" si="5"/>
        <v>RUN-BEND_2022-01-07_RFR-011</v>
      </c>
      <c r="W96" s="6" t="s">
        <v>383</v>
      </c>
      <c r="Y96" s="130">
        <f t="shared" si="6"/>
        <v>1</v>
      </c>
      <c r="Z96" s="49">
        <f t="shared" si="7"/>
        <v>1</v>
      </c>
      <c r="AA96" s="49">
        <f t="shared" si="8"/>
        <v>1</v>
      </c>
      <c r="AB96" s="49" t="str">
        <f t="shared" si="9"/>
        <v/>
      </c>
      <c r="AC96" s="20" t="str">
        <f t="shared" ref="AC96:AD96" si="197">IF(_xlfn.ISFORMULA(S96),IFERROR(0/0,""),TRUE)</f>
        <v/>
      </c>
      <c r="AD96" s="20" t="str">
        <f t="shared" si="197"/>
        <v/>
      </c>
      <c r="AE96" s="43"/>
      <c r="AF96" s="62" t="s">
        <v>39</v>
      </c>
      <c r="AG96" s="57" t="str">
        <f t="shared" si="11"/>
        <v/>
      </c>
    </row>
    <row r="97">
      <c r="A97" s="6" t="str">
        <f>IFERROR(__xludf.DUMMYFUNCTION("""COMPUTED_VALUE"""),"MA1149")</f>
        <v>MA1149</v>
      </c>
      <c r="B97" s="204">
        <f>IFERROR(__xludf.DUMMYFUNCTION("""COMPUTED_VALUE"""),44568.0)</f>
        <v>44568</v>
      </c>
      <c r="C97" s="250">
        <f>IFERROR(__xludf.DUMMYFUNCTION("""COMPUTED_VALUE"""),0.022118055555555554)</f>
        <v>0.02211805556</v>
      </c>
      <c r="D97" s="6" t="str">
        <f>IFERROR(__xludf.DUMMYFUNCTION("""COMPUTED_VALUE"""),"SpBEND541174")</f>
        <v>SpBEND541174</v>
      </c>
      <c r="E97" s="251"/>
      <c r="F97" s="251"/>
      <c r="G97" s="251" t="str">
        <f>IFERROR(__xludf.DUMMYFUNCTION("""COMPUTED_VALUE"""),"Negative")</f>
        <v>Negative</v>
      </c>
      <c r="H97" s="262" t="str">
        <f>IFERROR(__xludf.DUMMYFUNCTION("""COMPUTED_VALUE"""),"Negative")</f>
        <v>Negative</v>
      </c>
      <c r="I97" s="204">
        <f>IFERROR(__xludf.DUMMYFUNCTION("""COMPUTED_VALUE"""),44568.0)</f>
        <v>44568</v>
      </c>
      <c r="J97" s="252">
        <f>IFERROR(__xludf.DUMMYFUNCTION("""COMPUTED_VALUE"""),0.5079050925925926)</f>
        <v>0.5079050926</v>
      </c>
      <c r="K97" s="56"/>
      <c r="L97" s="6"/>
      <c r="M97" s="61"/>
      <c r="N97" s="61">
        <f>IFERROR(__xludf.DUMMYFUNCTION("""COMPUTED_VALUE"""),1.0)</f>
        <v>1</v>
      </c>
      <c r="O97" s="61" t="b">
        <f t="shared" si="3"/>
        <v>1</v>
      </c>
      <c r="P97" s="253">
        <f>IFERROR(__xludf.DUMMYFUNCTION("""COMPUTED_VALUE"""),0.0)</f>
        <v>0</v>
      </c>
      <c r="Q97" s="254" t="b">
        <f>VLOOKUP($B97,'Run Reconcile'!B$2:O799,14,FALSE)</f>
        <v>1</v>
      </c>
      <c r="R97" s="255" t="str">
        <f t="array" ref="R97">IF($Q97, INDEX('Run Reconcile'!A$2:A799,MATCH(B97,'Run Reconcile'!B$2:B799,0),1),IFERROR(0/0,""))</f>
        <v>RUN-BEND_2022-01-07_RFR-011</v>
      </c>
      <c r="S97" s="261" t="str">
        <f t="shared" ref="S97:T97" si="198">IF(COUNTIF(W$2:W799, $A97) &gt; 0,TRUE,IFERROR(0/0,""))</f>
        <v/>
      </c>
      <c r="T97" s="261" t="str">
        <f t="shared" si="198"/>
        <v/>
      </c>
      <c r="U97" s="257" t="str">
        <f t="array" ref="U97">IF(ISBLANK($R97), INDEX('Run Reconcile'!A$2:A799, MATCH($B97, 'Run Reconcile'!B$2:B799, 0)+Z97, 1), IFERROR(0/0,""))
</f>
        <v/>
      </c>
      <c r="V97" s="258" t="str">
        <f t="shared" si="5"/>
        <v>RUN-BEND_2022-01-07_RFR-011</v>
      </c>
      <c r="Y97" s="130" t="str">
        <f t="shared" si="6"/>
        <v/>
      </c>
      <c r="Z97" s="49" t="str">
        <f t="shared" si="7"/>
        <v/>
      </c>
      <c r="AA97" s="49" t="str">
        <f t="shared" si="8"/>
        <v/>
      </c>
      <c r="AB97" s="49" t="str">
        <f t="shared" si="9"/>
        <v/>
      </c>
      <c r="AC97" s="20" t="str">
        <f t="shared" ref="AC97:AD97" si="199">IF(_xlfn.ISFORMULA(S97),IFERROR(0/0,""),TRUE)</f>
        <v/>
      </c>
      <c r="AD97" s="20" t="str">
        <f t="shared" si="199"/>
        <v/>
      </c>
      <c r="AE97" s="43"/>
      <c r="AF97" s="62" t="s">
        <v>39</v>
      </c>
      <c r="AG97" s="57" t="str">
        <f t="shared" si="11"/>
        <v/>
      </c>
    </row>
    <row r="98">
      <c r="A98" s="6" t="str">
        <f>IFERROR(__xludf.DUMMYFUNCTION("""COMPUTED_VALUE"""),"MA1228")</f>
        <v>MA1228</v>
      </c>
      <c r="B98" s="204">
        <f>IFERROR(__xludf.DUMMYFUNCTION("""COMPUTED_VALUE"""),44568.0)</f>
        <v>44568</v>
      </c>
      <c r="C98" s="250">
        <f>IFERROR(__xludf.DUMMYFUNCTION("""COMPUTED_VALUE"""),0.29755787037037035)</f>
        <v>0.2975578704</v>
      </c>
      <c r="D98" s="6" t="str">
        <f>IFERROR(__xludf.DUMMYFUNCTION("""COMPUTED_VALUE"""),"SpBEND269695")</f>
        <v>SpBEND269695</v>
      </c>
      <c r="E98" s="251"/>
      <c r="F98" s="251"/>
      <c r="G98" s="251" t="str">
        <f>IFERROR(__xludf.DUMMYFUNCTION("""COMPUTED_VALUE"""),"Negative")</f>
        <v>Negative</v>
      </c>
      <c r="H98" s="262" t="str">
        <f>IFERROR(__xludf.DUMMYFUNCTION("""COMPUTED_VALUE"""),"Negative")</f>
        <v>Negative</v>
      </c>
      <c r="I98" s="204">
        <f>IFERROR(__xludf.DUMMYFUNCTION("""COMPUTED_VALUE"""),44568.0)</f>
        <v>44568</v>
      </c>
      <c r="J98" s="252">
        <f>IFERROR(__xludf.DUMMYFUNCTION("""COMPUTED_VALUE"""),0.5079050925925926)</f>
        <v>0.5079050926</v>
      </c>
      <c r="K98" s="56"/>
      <c r="L98" s="6"/>
      <c r="M98" s="61"/>
      <c r="N98" s="61">
        <f>IFERROR(__xludf.DUMMYFUNCTION("""COMPUTED_VALUE"""),1.0)</f>
        <v>1</v>
      </c>
      <c r="O98" s="61" t="str">
        <f t="shared" si="3"/>
        <v/>
      </c>
      <c r="P98" s="253">
        <f>IFERROR(__xludf.DUMMYFUNCTION("""COMPUTED_VALUE"""),0.0)</f>
        <v>0</v>
      </c>
      <c r="Q98" s="254" t="b">
        <f>VLOOKUP($B98,'Run Reconcile'!B$2:O799,14,FALSE)</f>
        <v>1</v>
      </c>
      <c r="R98" s="255" t="str">
        <f t="array" ref="R98">IF($Q98, INDEX('Run Reconcile'!A$2:A799,MATCH(B98,'Run Reconcile'!B$2:B799,0),1),IFERROR(0/0,""))</f>
        <v>RUN-BEND_2022-01-07_RFR-011</v>
      </c>
      <c r="S98" s="261" t="str">
        <f t="shared" ref="S98:T98" si="200">IF(COUNTIF(W$2:W799, $A98) &gt; 0,TRUE,IFERROR(0/0,""))</f>
        <v/>
      </c>
      <c r="T98" s="261" t="str">
        <f t="shared" si="200"/>
        <v/>
      </c>
      <c r="U98" s="257" t="str">
        <f t="array" ref="U98">IF(ISBLANK($R98), INDEX('Run Reconcile'!A$2:A799, MATCH($B98, 'Run Reconcile'!B$2:B799, 0)+Z98, 1), IFERROR(0/0,""))
</f>
        <v/>
      </c>
      <c r="V98" s="258" t="str">
        <f t="shared" si="5"/>
        <v>RUN-BEND_2022-01-07_RFR-011</v>
      </c>
      <c r="Y98" s="130" t="str">
        <f t="shared" si="6"/>
        <v/>
      </c>
      <c r="Z98" s="49" t="str">
        <f t="shared" si="7"/>
        <v/>
      </c>
      <c r="AA98" s="49" t="str">
        <f t="shared" si="8"/>
        <v/>
      </c>
      <c r="AB98" s="49" t="str">
        <f t="shared" si="9"/>
        <v/>
      </c>
      <c r="AC98" s="20" t="str">
        <f t="shared" ref="AC98:AD98" si="201">IF(_xlfn.ISFORMULA(S98),IFERROR(0/0,""),TRUE)</f>
        <v/>
      </c>
      <c r="AD98" s="20" t="str">
        <f t="shared" si="201"/>
        <v/>
      </c>
      <c r="AE98" s="43"/>
      <c r="AF98" s="62" t="s">
        <v>39</v>
      </c>
      <c r="AG98" s="57" t="str">
        <f t="shared" si="11"/>
        <v/>
      </c>
    </row>
    <row r="99">
      <c r="A99" s="6" t="str">
        <f>IFERROR(__xludf.DUMMYFUNCTION("""COMPUTED_VALUE"""),"MA1177")</f>
        <v>MA1177</v>
      </c>
      <c r="B99" s="204">
        <f>IFERROR(__xludf.DUMMYFUNCTION("""COMPUTED_VALUE"""),44568.0)</f>
        <v>44568</v>
      </c>
      <c r="C99" s="250">
        <f>IFERROR(__xludf.DUMMYFUNCTION("""COMPUTED_VALUE"""),0.2981828703703704)</f>
        <v>0.2981828704</v>
      </c>
      <c r="D99" s="6" t="str">
        <f>IFERROR(__xludf.DUMMYFUNCTION("""COMPUTED_VALUE"""),"SpBEND269695")</f>
        <v>SpBEND269695</v>
      </c>
      <c r="E99" s="251"/>
      <c r="F99" s="251"/>
      <c r="G99" s="251" t="str">
        <f>IFERROR(__xludf.DUMMYFUNCTION("""COMPUTED_VALUE"""),"Negative")</f>
        <v>Negative</v>
      </c>
      <c r="H99" s="262" t="str">
        <f>IFERROR(__xludf.DUMMYFUNCTION("""COMPUTED_VALUE"""),"Negative")</f>
        <v>Negative</v>
      </c>
      <c r="I99" s="204">
        <f>IFERROR(__xludf.DUMMYFUNCTION("""COMPUTED_VALUE"""),44568.0)</f>
        <v>44568</v>
      </c>
      <c r="J99" s="252">
        <f>IFERROR(__xludf.DUMMYFUNCTION("""COMPUTED_VALUE"""),0.5079050925925926)</f>
        <v>0.5079050926</v>
      </c>
      <c r="K99" s="56"/>
      <c r="L99" s="6"/>
      <c r="M99" s="61"/>
      <c r="N99" s="61">
        <f>IFERROR(__xludf.DUMMYFUNCTION("""COMPUTED_VALUE"""),1.0)</f>
        <v>1</v>
      </c>
      <c r="O99" s="61" t="str">
        <f t="shared" si="3"/>
        <v/>
      </c>
      <c r="P99" s="253">
        <f>IFERROR(__xludf.DUMMYFUNCTION("""COMPUTED_VALUE"""),0.0)</f>
        <v>0</v>
      </c>
      <c r="Q99" s="254" t="b">
        <f>VLOOKUP($B99,'Run Reconcile'!B$2:O799,14,FALSE)</f>
        <v>1</v>
      </c>
      <c r="R99" s="255" t="str">
        <f t="array" ref="R99">IF($Q99, INDEX('Run Reconcile'!A$2:A799,MATCH(B99,'Run Reconcile'!B$2:B799,0),1),IFERROR(0/0,""))</f>
        <v>RUN-BEND_2022-01-07_RFR-011</v>
      </c>
      <c r="S99" s="261" t="str">
        <f t="shared" ref="S99:T99" si="202">IF(COUNTIF(W$2:W799, $A99) &gt; 0,TRUE,IFERROR(0/0,""))</f>
        <v/>
      </c>
      <c r="T99" s="261" t="str">
        <f t="shared" si="202"/>
        <v/>
      </c>
      <c r="U99" s="257" t="str">
        <f t="array" ref="U99">IF(ISBLANK($R99), INDEX('Run Reconcile'!A$2:A799, MATCH($B99, 'Run Reconcile'!B$2:B799, 0)+Z99, 1), IFERROR(0/0,""))
</f>
        <v/>
      </c>
      <c r="V99" s="258" t="str">
        <f t="shared" si="5"/>
        <v>RUN-BEND_2022-01-07_RFR-011</v>
      </c>
      <c r="Y99" s="130" t="str">
        <f t="shared" si="6"/>
        <v/>
      </c>
      <c r="Z99" s="49" t="str">
        <f t="shared" si="7"/>
        <v/>
      </c>
      <c r="AA99" s="49" t="str">
        <f t="shared" si="8"/>
        <v/>
      </c>
      <c r="AB99" s="49" t="str">
        <f t="shared" si="9"/>
        <v/>
      </c>
      <c r="AC99" s="20" t="str">
        <f t="shared" ref="AC99:AD99" si="203">IF(_xlfn.ISFORMULA(S99),IFERROR(0/0,""),TRUE)</f>
        <v/>
      </c>
      <c r="AD99" s="20" t="str">
        <f t="shared" si="203"/>
        <v/>
      </c>
      <c r="AE99" s="43"/>
      <c r="AF99" s="62" t="s">
        <v>39</v>
      </c>
      <c r="AG99" s="57" t="str">
        <f t="shared" si="11"/>
        <v/>
      </c>
    </row>
    <row r="100">
      <c r="A100" s="6" t="str">
        <f>IFERROR(__xludf.DUMMYFUNCTION("""COMPUTED_VALUE"""),"MA1224")</f>
        <v>MA1224</v>
      </c>
      <c r="B100" s="204">
        <f>IFERROR(__xludf.DUMMYFUNCTION("""COMPUTED_VALUE"""),44568.0)</f>
        <v>44568</v>
      </c>
      <c r="C100" s="250">
        <f>IFERROR(__xludf.DUMMYFUNCTION("""COMPUTED_VALUE"""),0.29863425925925924)</f>
        <v>0.2986342593</v>
      </c>
      <c r="D100" s="6" t="str">
        <f>IFERROR(__xludf.DUMMYFUNCTION("""COMPUTED_VALUE"""),"SpBEND269695")</f>
        <v>SpBEND269695</v>
      </c>
      <c r="E100" s="251"/>
      <c r="F100" s="251"/>
      <c r="G100" s="251" t="str">
        <f>IFERROR(__xludf.DUMMYFUNCTION("""COMPUTED_VALUE"""),"Negative")</f>
        <v>Negative</v>
      </c>
      <c r="H100" s="262" t="str">
        <f>IFERROR(__xludf.DUMMYFUNCTION("""COMPUTED_VALUE"""),"Negative")</f>
        <v>Negative</v>
      </c>
      <c r="I100" s="204">
        <f>IFERROR(__xludf.DUMMYFUNCTION("""COMPUTED_VALUE"""),44568.0)</f>
        <v>44568</v>
      </c>
      <c r="J100" s="252">
        <f>IFERROR(__xludf.DUMMYFUNCTION("""COMPUTED_VALUE"""),0.5079050925925926)</f>
        <v>0.5079050926</v>
      </c>
      <c r="K100" s="56"/>
      <c r="L100" s="6"/>
      <c r="M100" s="61"/>
      <c r="N100" s="61">
        <f>IFERROR(__xludf.DUMMYFUNCTION("""COMPUTED_VALUE"""),1.0)</f>
        <v>1</v>
      </c>
      <c r="O100" s="61" t="str">
        <f t="shared" si="3"/>
        <v/>
      </c>
      <c r="P100" s="253">
        <f>IFERROR(__xludf.DUMMYFUNCTION("""COMPUTED_VALUE"""),0.0)</f>
        <v>0</v>
      </c>
      <c r="Q100" s="254" t="b">
        <f>VLOOKUP($B100,'Run Reconcile'!B$2:O799,14,FALSE)</f>
        <v>1</v>
      </c>
      <c r="R100" s="255" t="str">
        <f t="array" ref="R100">IF($Q100, INDEX('Run Reconcile'!A$2:A799,MATCH(B100,'Run Reconcile'!B$2:B799,0),1),IFERROR(0/0,""))</f>
        <v>RUN-BEND_2022-01-07_RFR-011</v>
      </c>
      <c r="S100" s="261" t="str">
        <f t="shared" ref="S100:T100" si="204">IF(COUNTIF(W$2:W799, $A100) &gt; 0,TRUE,IFERROR(0/0,""))</f>
        <v/>
      </c>
      <c r="T100" s="261" t="str">
        <f t="shared" si="204"/>
        <v/>
      </c>
      <c r="U100" s="257" t="str">
        <f t="array" ref="U100">IF(ISBLANK($R100), INDEX('Run Reconcile'!A$2:A799, MATCH($B100, 'Run Reconcile'!B$2:B799, 0)+Z100, 1), IFERROR(0/0,""))
</f>
        <v/>
      </c>
      <c r="V100" s="258" t="str">
        <f t="shared" si="5"/>
        <v>RUN-BEND_2022-01-07_RFR-011</v>
      </c>
      <c r="Y100" s="130" t="str">
        <f t="shared" si="6"/>
        <v/>
      </c>
      <c r="Z100" s="49" t="str">
        <f t="shared" si="7"/>
        <v/>
      </c>
      <c r="AA100" s="49" t="str">
        <f t="shared" si="8"/>
        <v/>
      </c>
      <c r="AB100" s="49" t="str">
        <f t="shared" si="9"/>
        <v/>
      </c>
      <c r="AC100" s="20" t="str">
        <f t="shared" ref="AC100:AD100" si="205">IF(_xlfn.ISFORMULA(S100),IFERROR(0/0,""),TRUE)</f>
        <v/>
      </c>
      <c r="AD100" s="20" t="str">
        <f t="shared" si="205"/>
        <v/>
      </c>
      <c r="AE100" s="43"/>
      <c r="AF100" s="62" t="s">
        <v>39</v>
      </c>
      <c r="AG100" s="57" t="str">
        <f t="shared" si="11"/>
        <v/>
      </c>
    </row>
    <row r="101">
      <c r="A101" s="6" t="str">
        <f>IFERROR(__xludf.DUMMYFUNCTION("""COMPUTED_VALUE"""),"MA1143")</f>
        <v>MA1143</v>
      </c>
      <c r="B101" s="204">
        <f>IFERROR(__xludf.DUMMYFUNCTION("""COMPUTED_VALUE"""),44568.0)</f>
        <v>44568</v>
      </c>
      <c r="C101" s="250">
        <f>IFERROR(__xludf.DUMMYFUNCTION("""COMPUTED_VALUE"""),0.3139351851851852)</f>
        <v>0.3139351852</v>
      </c>
      <c r="D101" s="6" t="str">
        <f>IFERROR(__xludf.DUMMYFUNCTION("""COMPUTED_VALUE"""),"SpBEND953422")</f>
        <v>SpBEND953422</v>
      </c>
      <c r="E101" s="251"/>
      <c r="F101" s="251"/>
      <c r="G101" s="251" t="str">
        <f>IFERROR(__xludf.DUMMYFUNCTION("""COMPUTED_VALUE"""),"Negative")</f>
        <v>Negative</v>
      </c>
      <c r="H101" s="262" t="str">
        <f>IFERROR(__xludf.DUMMYFUNCTION("""COMPUTED_VALUE"""),"Negative")</f>
        <v>Negative</v>
      </c>
      <c r="I101" s="204">
        <f>IFERROR(__xludf.DUMMYFUNCTION("""COMPUTED_VALUE"""),44568.0)</f>
        <v>44568</v>
      </c>
      <c r="J101" s="252">
        <f>IFERROR(__xludf.DUMMYFUNCTION("""COMPUTED_VALUE"""),0.5079050925925926)</f>
        <v>0.5079050926</v>
      </c>
      <c r="K101" s="56"/>
      <c r="L101" s="6"/>
      <c r="M101" s="61"/>
      <c r="N101" s="61">
        <f>IFERROR(__xludf.DUMMYFUNCTION("""COMPUTED_VALUE"""),1.0)</f>
        <v>1</v>
      </c>
      <c r="O101" s="61" t="str">
        <f t="shared" si="3"/>
        <v/>
      </c>
      <c r="P101" s="253">
        <f>IFERROR(__xludf.DUMMYFUNCTION("""COMPUTED_VALUE"""),0.0)</f>
        <v>0</v>
      </c>
      <c r="Q101" s="254" t="b">
        <f>VLOOKUP($B101,'Run Reconcile'!B$2:O799,14,FALSE)</f>
        <v>1</v>
      </c>
      <c r="R101" s="255" t="str">
        <f t="array" ref="R101">IF($Q101, INDEX('Run Reconcile'!A$2:A799,MATCH(B101,'Run Reconcile'!B$2:B799,0),1),IFERROR(0/0,""))</f>
        <v>RUN-BEND_2022-01-07_RFR-011</v>
      </c>
      <c r="S101" s="261" t="str">
        <f t="shared" ref="S101:T101" si="206">IF(COUNTIF(W$2:W799, $A101) &gt; 0,TRUE,IFERROR(0/0,""))</f>
        <v/>
      </c>
      <c r="T101" s="261" t="str">
        <f t="shared" si="206"/>
        <v/>
      </c>
      <c r="U101" s="257" t="str">
        <f t="array" ref="U101">IF(ISBLANK($R101), INDEX('Run Reconcile'!A$2:A799, MATCH($B101, 'Run Reconcile'!B$2:B799, 0)+Z101, 1), IFERROR(0/0,""))
</f>
        <v/>
      </c>
      <c r="V101" s="258" t="str">
        <f t="shared" si="5"/>
        <v>RUN-BEND_2022-01-07_RFR-011</v>
      </c>
      <c r="Y101" s="130" t="str">
        <f t="shared" si="6"/>
        <v/>
      </c>
      <c r="Z101" s="49" t="str">
        <f t="shared" si="7"/>
        <v/>
      </c>
      <c r="AA101" s="49" t="str">
        <f t="shared" si="8"/>
        <v/>
      </c>
      <c r="AB101" s="49" t="str">
        <f t="shared" si="9"/>
        <v/>
      </c>
      <c r="AC101" s="20" t="str">
        <f t="shared" ref="AC101:AD101" si="207">IF(_xlfn.ISFORMULA(S101),IFERROR(0/0,""),TRUE)</f>
        <v/>
      </c>
      <c r="AD101" s="20" t="str">
        <f t="shared" si="207"/>
        <v/>
      </c>
      <c r="AE101" s="43"/>
      <c r="AF101" s="62" t="s">
        <v>39</v>
      </c>
      <c r="AG101" s="57" t="str">
        <f t="shared" si="11"/>
        <v/>
      </c>
    </row>
    <row r="102">
      <c r="A102" s="6" t="str">
        <f>IFERROR(__xludf.DUMMYFUNCTION("""COMPUTED_VALUE"""),"MA1051")</f>
        <v>MA1051</v>
      </c>
      <c r="B102" s="204">
        <f>IFERROR(__xludf.DUMMYFUNCTION("""COMPUTED_VALUE"""),44568.0)</f>
        <v>44568</v>
      </c>
      <c r="C102" s="250">
        <f>IFERROR(__xludf.DUMMYFUNCTION("""COMPUTED_VALUE"""),0.3292824074074074)</f>
        <v>0.3292824074</v>
      </c>
      <c r="D102" s="6" t="str">
        <f>IFERROR(__xludf.DUMMYFUNCTION("""COMPUTED_VALUE"""),"SpBEND825522")</f>
        <v>SpBEND825522</v>
      </c>
      <c r="E102" s="251"/>
      <c r="F102" s="251"/>
      <c r="G102" s="251" t="str">
        <f>IFERROR(__xludf.DUMMYFUNCTION("""COMPUTED_VALUE"""),"Negative")</f>
        <v>Negative</v>
      </c>
      <c r="H102" s="262" t="str">
        <f>IFERROR(__xludf.DUMMYFUNCTION("""COMPUTED_VALUE"""),"Negative")</f>
        <v>Negative</v>
      </c>
      <c r="I102" s="204">
        <f>IFERROR(__xludf.DUMMYFUNCTION("""COMPUTED_VALUE"""),44568.0)</f>
        <v>44568</v>
      </c>
      <c r="J102" s="252">
        <f>IFERROR(__xludf.DUMMYFUNCTION("""COMPUTED_VALUE"""),0.5079050925925926)</f>
        <v>0.5079050926</v>
      </c>
      <c r="K102" s="56"/>
      <c r="L102" s="6"/>
      <c r="M102" s="61"/>
      <c r="N102" s="61">
        <f>IFERROR(__xludf.DUMMYFUNCTION("""COMPUTED_VALUE"""),1.0)</f>
        <v>1</v>
      </c>
      <c r="O102" s="61" t="str">
        <f t="shared" si="3"/>
        <v/>
      </c>
      <c r="P102" s="253">
        <f>IFERROR(__xludf.DUMMYFUNCTION("""COMPUTED_VALUE"""),0.0)</f>
        <v>0</v>
      </c>
      <c r="Q102" s="254" t="b">
        <f>VLOOKUP($B102,'Run Reconcile'!B$2:O799,14,FALSE)</f>
        <v>1</v>
      </c>
      <c r="R102" s="255" t="str">
        <f t="array" ref="R102">IF($Q102, INDEX('Run Reconcile'!A$2:A799,MATCH(B102,'Run Reconcile'!B$2:B799,0),1),IFERROR(0/0,""))</f>
        <v>RUN-BEND_2022-01-07_RFR-011</v>
      </c>
      <c r="S102" s="261" t="str">
        <f t="shared" ref="S102:T102" si="208">IF(COUNTIF(W$2:W799, $A102) &gt; 0,TRUE,IFERROR(0/0,""))</f>
        <v/>
      </c>
      <c r="T102" s="261" t="str">
        <f t="shared" si="208"/>
        <v/>
      </c>
      <c r="U102" s="257" t="str">
        <f t="array" ref="U102">IF(ISBLANK($R102), INDEX('Run Reconcile'!A$2:A799, MATCH($B102, 'Run Reconcile'!B$2:B799, 0)+Z102, 1), IFERROR(0/0,""))
</f>
        <v/>
      </c>
      <c r="V102" s="258" t="str">
        <f t="shared" si="5"/>
        <v>RUN-BEND_2022-01-07_RFR-011</v>
      </c>
      <c r="Y102" s="130" t="str">
        <f t="shared" si="6"/>
        <v/>
      </c>
      <c r="Z102" s="49" t="str">
        <f t="shared" si="7"/>
        <v/>
      </c>
      <c r="AA102" s="49" t="str">
        <f t="shared" si="8"/>
        <v/>
      </c>
      <c r="AB102" s="49" t="str">
        <f t="shared" si="9"/>
        <v/>
      </c>
      <c r="AC102" s="20" t="str">
        <f t="shared" ref="AC102:AD102" si="209">IF(_xlfn.ISFORMULA(S102),IFERROR(0/0,""),TRUE)</f>
        <v/>
      </c>
      <c r="AD102" s="20" t="str">
        <f t="shared" si="209"/>
        <v/>
      </c>
      <c r="AE102" s="43"/>
      <c r="AF102" s="62" t="s">
        <v>39</v>
      </c>
      <c r="AG102" s="57" t="str">
        <f t="shared" si="11"/>
        <v/>
      </c>
    </row>
    <row r="103">
      <c r="A103" s="6" t="str">
        <f>IFERROR(__xludf.DUMMYFUNCTION("""COMPUTED_VALUE"""),"MA462")</f>
        <v>MA462</v>
      </c>
      <c r="B103" s="204">
        <f>IFERROR(__xludf.DUMMYFUNCTION("""COMPUTED_VALUE"""),44568.0)</f>
        <v>44568</v>
      </c>
      <c r="C103" s="250">
        <f>IFERROR(__xludf.DUMMYFUNCTION("""COMPUTED_VALUE"""),0.3309490740740741)</f>
        <v>0.3309490741</v>
      </c>
      <c r="D103" s="6" t="str">
        <f>IFERROR(__xludf.DUMMYFUNCTION("""COMPUTED_VALUE"""),"SpBEND996809")</f>
        <v>SpBEND996809</v>
      </c>
      <c r="E103" s="251"/>
      <c r="F103" s="251"/>
      <c r="G103" s="251" t="str">
        <f>IFERROR(__xludf.DUMMYFUNCTION("""COMPUTED_VALUE"""),"Negative")</f>
        <v>Negative</v>
      </c>
      <c r="H103" s="262" t="str">
        <f>IFERROR(__xludf.DUMMYFUNCTION("""COMPUTED_VALUE"""),"Negative")</f>
        <v>Negative</v>
      </c>
      <c r="I103" s="204">
        <f>IFERROR(__xludf.DUMMYFUNCTION("""COMPUTED_VALUE"""),44568.0)</f>
        <v>44568</v>
      </c>
      <c r="J103" s="252">
        <f>IFERROR(__xludf.DUMMYFUNCTION("""COMPUTED_VALUE"""),0.5079050925925926)</f>
        <v>0.5079050926</v>
      </c>
      <c r="K103" s="56"/>
      <c r="L103" s="6"/>
      <c r="M103" s="61"/>
      <c r="N103" s="61">
        <f>IFERROR(__xludf.DUMMYFUNCTION("""COMPUTED_VALUE"""),1.0)</f>
        <v>1</v>
      </c>
      <c r="O103" s="61" t="str">
        <f t="shared" si="3"/>
        <v/>
      </c>
      <c r="P103" s="253">
        <f>IFERROR(__xludf.DUMMYFUNCTION("""COMPUTED_VALUE"""),0.0)</f>
        <v>0</v>
      </c>
      <c r="Q103" s="254" t="b">
        <f>VLOOKUP($B103,'Run Reconcile'!B$2:O799,14,FALSE)</f>
        <v>1</v>
      </c>
      <c r="R103" s="255" t="str">
        <f t="array" ref="R103">IF($Q103, INDEX('Run Reconcile'!A$2:A799,MATCH(B103,'Run Reconcile'!B$2:B799,0),1),IFERROR(0/0,""))</f>
        <v>RUN-BEND_2022-01-07_RFR-011</v>
      </c>
      <c r="S103" s="261" t="str">
        <f t="shared" ref="S103:T103" si="210">IF(COUNTIF(W$2:W799, $A103) &gt; 0,TRUE,IFERROR(0/0,""))</f>
        <v/>
      </c>
      <c r="T103" s="261" t="str">
        <f t="shared" si="210"/>
        <v/>
      </c>
      <c r="U103" s="257" t="str">
        <f t="array" ref="U103">IF(ISBLANK($R103), INDEX('Run Reconcile'!A$2:A799, MATCH($B103, 'Run Reconcile'!B$2:B799, 0)+Z103, 1), IFERROR(0/0,""))
</f>
        <v/>
      </c>
      <c r="V103" s="258" t="str">
        <f t="shared" si="5"/>
        <v>RUN-BEND_2022-01-07_RFR-011</v>
      </c>
      <c r="Y103" s="130" t="str">
        <f t="shared" si="6"/>
        <v/>
      </c>
      <c r="Z103" s="49" t="str">
        <f t="shared" si="7"/>
        <v/>
      </c>
      <c r="AA103" s="49" t="str">
        <f t="shared" si="8"/>
        <v/>
      </c>
      <c r="AB103" s="49" t="str">
        <f t="shared" si="9"/>
        <v/>
      </c>
      <c r="AC103" s="20" t="str">
        <f t="shared" ref="AC103:AD103" si="211">IF(_xlfn.ISFORMULA(S103),IFERROR(0/0,""),TRUE)</f>
        <v/>
      </c>
      <c r="AD103" s="20" t="str">
        <f t="shared" si="211"/>
        <v/>
      </c>
      <c r="AE103" s="43"/>
      <c r="AF103" s="62" t="s">
        <v>39</v>
      </c>
      <c r="AG103" s="57" t="str">
        <f t="shared" si="11"/>
        <v/>
      </c>
    </row>
    <row r="104">
      <c r="A104" s="6" t="str">
        <f>IFERROR(__xludf.DUMMYFUNCTION("""COMPUTED_VALUE"""),"MA254")</f>
        <v>MA254</v>
      </c>
      <c r="B104" s="204">
        <f>IFERROR(__xludf.DUMMYFUNCTION("""COMPUTED_VALUE"""),44568.0)</f>
        <v>44568</v>
      </c>
      <c r="C104" s="250">
        <f>IFERROR(__xludf.DUMMYFUNCTION("""COMPUTED_VALUE"""),0.3361689814814815)</f>
        <v>0.3361689815</v>
      </c>
      <c r="D104" s="6" t="str">
        <f>IFERROR(__xludf.DUMMYFUNCTION("""COMPUTED_VALUE"""),"SpBEND387578")</f>
        <v>SpBEND387578</v>
      </c>
      <c r="E104" s="251"/>
      <c r="F104" s="251"/>
      <c r="G104" s="251" t="str">
        <f>IFERROR(__xludf.DUMMYFUNCTION("""COMPUTED_VALUE"""),"Negative")</f>
        <v>Negative</v>
      </c>
      <c r="H104" s="262" t="str">
        <f>IFERROR(__xludf.DUMMYFUNCTION("""COMPUTED_VALUE"""),"Negative")</f>
        <v>Negative</v>
      </c>
      <c r="I104" s="204">
        <f>IFERROR(__xludf.DUMMYFUNCTION("""COMPUTED_VALUE"""),44568.0)</f>
        <v>44568</v>
      </c>
      <c r="J104" s="252">
        <f>IFERROR(__xludf.DUMMYFUNCTION("""COMPUTED_VALUE"""),0.5079050925925926)</f>
        <v>0.5079050926</v>
      </c>
      <c r="K104" s="56"/>
      <c r="L104" s="6"/>
      <c r="M104" s="61"/>
      <c r="N104" s="61">
        <f>IFERROR(__xludf.DUMMYFUNCTION("""COMPUTED_VALUE"""),1.0)</f>
        <v>1</v>
      </c>
      <c r="O104" s="61" t="str">
        <f t="shared" si="3"/>
        <v/>
      </c>
      <c r="P104" s="253">
        <f>IFERROR(__xludf.DUMMYFUNCTION("""COMPUTED_VALUE"""),0.0)</f>
        <v>0</v>
      </c>
      <c r="Q104" s="254" t="b">
        <f>VLOOKUP($B104,'Run Reconcile'!B$2:O799,14,FALSE)</f>
        <v>1</v>
      </c>
      <c r="R104" s="255" t="str">
        <f t="array" ref="R104">IF($Q104, INDEX('Run Reconcile'!A$2:A799,MATCH(B104,'Run Reconcile'!B$2:B799,0),1),IFERROR(0/0,""))</f>
        <v>RUN-BEND_2022-01-07_RFR-011</v>
      </c>
      <c r="S104" s="261" t="str">
        <f t="shared" ref="S104:T104" si="212">IF(COUNTIF(W$2:W799, $A104) &gt; 0,TRUE,IFERROR(0/0,""))</f>
        <v/>
      </c>
      <c r="T104" s="261" t="str">
        <f t="shared" si="212"/>
        <v/>
      </c>
      <c r="U104" s="257" t="str">
        <f t="array" ref="U104">IF(ISBLANK($R104), INDEX('Run Reconcile'!A$2:A799, MATCH($B104, 'Run Reconcile'!B$2:B799, 0)+Z104, 1), IFERROR(0/0,""))
</f>
        <v/>
      </c>
      <c r="V104" s="258" t="str">
        <f t="shared" si="5"/>
        <v>RUN-BEND_2022-01-07_RFR-011</v>
      </c>
      <c r="Y104" s="130" t="str">
        <f t="shared" si="6"/>
        <v/>
      </c>
      <c r="Z104" s="49" t="str">
        <f t="shared" si="7"/>
        <v/>
      </c>
      <c r="AA104" s="49" t="str">
        <f t="shared" si="8"/>
        <v/>
      </c>
      <c r="AB104" s="49" t="str">
        <f t="shared" si="9"/>
        <v/>
      </c>
      <c r="AC104" s="20" t="str">
        <f t="shared" ref="AC104:AD104" si="213">IF(_xlfn.ISFORMULA(S104),IFERROR(0/0,""),TRUE)</f>
        <v/>
      </c>
      <c r="AD104" s="20" t="str">
        <f t="shared" si="213"/>
        <v/>
      </c>
      <c r="AE104" s="43"/>
      <c r="AF104" s="62" t="s">
        <v>39</v>
      </c>
      <c r="AG104" s="57" t="str">
        <f t="shared" si="11"/>
        <v/>
      </c>
    </row>
    <row r="105">
      <c r="A105" s="6" t="str">
        <f>IFERROR(__xludf.DUMMYFUNCTION("""COMPUTED_VALUE"""),"MA1188")</f>
        <v>MA1188</v>
      </c>
      <c r="B105" s="204">
        <f>IFERROR(__xludf.DUMMYFUNCTION("""COMPUTED_VALUE"""),44568.0)</f>
        <v>44568</v>
      </c>
      <c r="C105" s="250">
        <f>IFERROR(__xludf.DUMMYFUNCTION("""COMPUTED_VALUE"""),0.34097222222222223)</f>
        <v>0.3409722222</v>
      </c>
      <c r="D105" s="6" t="str">
        <f>IFERROR(__xludf.DUMMYFUNCTION("""COMPUTED_VALUE"""),"SpBEND387532")</f>
        <v>SpBEND387532</v>
      </c>
      <c r="E105" s="251"/>
      <c r="F105" s="251"/>
      <c r="G105" s="251" t="str">
        <f>IFERROR(__xludf.DUMMYFUNCTION("""COMPUTED_VALUE"""),"Positive")</f>
        <v>Positive</v>
      </c>
      <c r="H105" s="262" t="str">
        <f>IFERROR(__xludf.DUMMYFUNCTION("""COMPUTED_VALUE"""),"Positive")</f>
        <v>Positive</v>
      </c>
      <c r="I105" s="204">
        <f>IFERROR(__xludf.DUMMYFUNCTION("""COMPUTED_VALUE"""),44568.0)</f>
        <v>44568</v>
      </c>
      <c r="J105" s="252">
        <f>IFERROR(__xludf.DUMMYFUNCTION("""COMPUTED_VALUE"""),0.5079050925925926)</f>
        <v>0.5079050926</v>
      </c>
      <c r="K105" s="56"/>
      <c r="L105" s="6"/>
      <c r="M105" s="61"/>
      <c r="N105" s="61">
        <f>IFERROR(__xludf.DUMMYFUNCTION("""COMPUTED_VALUE"""),1.0)</f>
        <v>1</v>
      </c>
      <c r="O105" s="61" t="str">
        <f t="shared" si="3"/>
        <v/>
      </c>
      <c r="P105" s="253">
        <f>IFERROR(__xludf.DUMMYFUNCTION("""COMPUTED_VALUE"""),0.0)</f>
        <v>0</v>
      </c>
      <c r="Q105" s="254" t="b">
        <f>VLOOKUP($B105,'Run Reconcile'!B$2:O799,14,FALSE)</f>
        <v>1</v>
      </c>
      <c r="R105" s="255" t="str">
        <f t="array" ref="R105">IF($Q105, INDEX('Run Reconcile'!A$2:A799,MATCH(B105,'Run Reconcile'!B$2:B799,0),1),IFERROR(0/0,""))</f>
        <v>RUN-BEND_2022-01-07_RFR-011</v>
      </c>
      <c r="S105" s="261" t="str">
        <f t="shared" ref="S105:T105" si="214">IF(COUNTIF(W$2:W799, $A105) &gt; 0,TRUE,IFERROR(0/0,""))</f>
        <v/>
      </c>
      <c r="T105" s="261" t="str">
        <f t="shared" si="214"/>
        <v/>
      </c>
      <c r="U105" s="257" t="str">
        <f t="array" ref="U105">IF(ISBLANK($R105), INDEX('Run Reconcile'!A$2:A799, MATCH($B105, 'Run Reconcile'!B$2:B799, 0)+Z105, 1), IFERROR(0/0,""))
</f>
        <v/>
      </c>
      <c r="V105" s="258" t="str">
        <f t="shared" si="5"/>
        <v>RUN-BEND_2022-01-07_RFR-011</v>
      </c>
      <c r="Y105" s="130" t="str">
        <f t="shared" si="6"/>
        <v/>
      </c>
      <c r="Z105" s="49" t="str">
        <f t="shared" si="7"/>
        <v/>
      </c>
      <c r="AA105" s="49" t="str">
        <f t="shared" si="8"/>
        <v/>
      </c>
      <c r="AB105" s="49" t="str">
        <f t="shared" si="9"/>
        <v/>
      </c>
      <c r="AC105" s="20" t="str">
        <f t="shared" ref="AC105:AD105" si="215">IF(_xlfn.ISFORMULA(S105),IFERROR(0/0,""),TRUE)</f>
        <v/>
      </c>
      <c r="AD105" s="20" t="str">
        <f t="shared" si="215"/>
        <v/>
      </c>
      <c r="AE105" s="43"/>
      <c r="AF105" s="62" t="s">
        <v>39</v>
      </c>
      <c r="AG105" s="57" t="str">
        <f t="shared" si="11"/>
        <v/>
      </c>
    </row>
    <row r="106">
      <c r="A106" s="6" t="str">
        <f>IFERROR(__xludf.DUMMYFUNCTION("""COMPUTED_VALUE"""),"MA347")</f>
        <v>MA347</v>
      </c>
      <c r="B106" s="204">
        <f>IFERROR(__xludf.DUMMYFUNCTION("""COMPUTED_VALUE"""),44568.0)</f>
        <v>44568</v>
      </c>
      <c r="C106" s="250">
        <f>IFERROR(__xludf.DUMMYFUNCTION("""COMPUTED_VALUE"""),0.34206018518518516)</f>
        <v>0.3420601852</v>
      </c>
      <c r="D106" s="6" t="str">
        <f>IFERROR(__xludf.DUMMYFUNCTION("""COMPUTED_VALUE"""),"SpBEND845509")</f>
        <v>SpBEND845509</v>
      </c>
      <c r="E106" s="251"/>
      <c r="F106" s="251"/>
      <c r="G106" s="251" t="str">
        <f>IFERROR(__xludf.DUMMYFUNCTION("""COMPUTED_VALUE"""),"Inconclusive")</f>
        <v>Inconclusive</v>
      </c>
      <c r="H106" s="262" t="str">
        <f>IFERROR(__xludf.DUMMYFUNCTION("""COMPUTED_VALUE"""),"Inconclusive")</f>
        <v>Inconclusive</v>
      </c>
      <c r="I106" s="204">
        <f>IFERROR(__xludf.DUMMYFUNCTION("""COMPUTED_VALUE"""),44568.0)</f>
        <v>44568</v>
      </c>
      <c r="J106" s="252">
        <f>IFERROR(__xludf.DUMMYFUNCTION("""COMPUTED_VALUE"""),0.5079050925925926)</f>
        <v>0.5079050926</v>
      </c>
      <c r="K106" s="56"/>
      <c r="L106" s="6"/>
      <c r="M106" s="61"/>
      <c r="N106" s="61">
        <f>IFERROR(__xludf.DUMMYFUNCTION("""COMPUTED_VALUE"""),1.0)</f>
        <v>1</v>
      </c>
      <c r="O106" s="61" t="str">
        <f t="shared" si="3"/>
        <v/>
      </c>
      <c r="P106" s="253">
        <f>IFERROR(__xludf.DUMMYFUNCTION("""COMPUTED_VALUE"""),0.0)</f>
        <v>0</v>
      </c>
      <c r="Q106" s="254" t="b">
        <f>VLOOKUP($B106,'Run Reconcile'!B$2:O799,14,FALSE)</f>
        <v>1</v>
      </c>
      <c r="R106" s="255" t="str">
        <f t="array" ref="R106">IF($Q106, INDEX('Run Reconcile'!A$2:A799,MATCH(B106,'Run Reconcile'!B$2:B799,0),1),IFERROR(0/0,""))</f>
        <v>RUN-BEND_2022-01-07_RFR-011</v>
      </c>
      <c r="S106" s="261" t="str">
        <f t="shared" ref="S106:T106" si="216">IF(COUNTIF(W$2:W799, $A106) &gt; 0,TRUE,IFERROR(0/0,""))</f>
        <v/>
      </c>
      <c r="T106" s="261" t="str">
        <f t="shared" si="216"/>
        <v/>
      </c>
      <c r="U106" s="257" t="str">
        <f t="array" ref="U106">IF(ISBLANK($R106), INDEX('Run Reconcile'!A$2:A799, MATCH($B106, 'Run Reconcile'!B$2:B799, 0)+Z106, 1), IFERROR(0/0,""))
</f>
        <v/>
      </c>
      <c r="V106" s="258" t="str">
        <f t="shared" si="5"/>
        <v>RUN-BEND_2022-01-07_RFR-011</v>
      </c>
      <c r="Y106" s="130" t="str">
        <f t="shared" si="6"/>
        <v/>
      </c>
      <c r="Z106" s="49" t="str">
        <f t="shared" si="7"/>
        <v/>
      </c>
      <c r="AA106" s="49" t="str">
        <f t="shared" si="8"/>
        <v/>
      </c>
      <c r="AB106" s="49" t="str">
        <f t="shared" si="9"/>
        <v/>
      </c>
      <c r="AC106" s="20" t="str">
        <f t="shared" ref="AC106:AD106" si="217">IF(_xlfn.ISFORMULA(S106),IFERROR(0/0,""),TRUE)</f>
        <v/>
      </c>
      <c r="AD106" s="20" t="str">
        <f t="shared" si="217"/>
        <v/>
      </c>
      <c r="AE106" s="43"/>
      <c r="AF106" s="62" t="s">
        <v>39</v>
      </c>
      <c r="AG106" s="57" t="str">
        <f t="shared" si="11"/>
        <v/>
      </c>
    </row>
    <row r="107">
      <c r="A107" s="6" t="str">
        <f>IFERROR(__xludf.DUMMYFUNCTION("""COMPUTED_VALUE"""),"MA461")</f>
        <v>MA461</v>
      </c>
      <c r="B107" s="204">
        <f>IFERROR(__xludf.DUMMYFUNCTION("""COMPUTED_VALUE"""),44568.0)</f>
        <v>44568</v>
      </c>
      <c r="C107" s="250">
        <f>IFERROR(__xludf.DUMMYFUNCTION("""COMPUTED_VALUE"""),0.3421064814814815)</f>
        <v>0.3421064815</v>
      </c>
      <c r="D107" s="6" t="str">
        <f>IFERROR(__xludf.DUMMYFUNCTION("""COMPUTED_VALUE"""),"SpBEND551372")</f>
        <v>SpBEND551372</v>
      </c>
      <c r="E107" s="251"/>
      <c r="F107" s="251"/>
      <c r="G107" s="251" t="str">
        <f>IFERROR(__xludf.DUMMYFUNCTION("""COMPUTED_VALUE"""),"Negative")</f>
        <v>Negative</v>
      </c>
      <c r="H107" s="262" t="str">
        <f>IFERROR(__xludf.DUMMYFUNCTION("""COMPUTED_VALUE"""),"Negative")</f>
        <v>Negative</v>
      </c>
      <c r="I107" s="204">
        <f>IFERROR(__xludf.DUMMYFUNCTION("""COMPUTED_VALUE"""),44568.0)</f>
        <v>44568</v>
      </c>
      <c r="J107" s="252">
        <f>IFERROR(__xludf.DUMMYFUNCTION("""COMPUTED_VALUE"""),0.5079050925925926)</f>
        <v>0.5079050926</v>
      </c>
      <c r="K107" s="56"/>
      <c r="L107" s="6"/>
      <c r="M107" s="61"/>
      <c r="N107" s="61">
        <f>IFERROR(__xludf.DUMMYFUNCTION("""COMPUTED_VALUE"""),1.0)</f>
        <v>1</v>
      </c>
      <c r="O107" s="61" t="str">
        <f t="shared" si="3"/>
        <v/>
      </c>
      <c r="P107" s="253">
        <f>IFERROR(__xludf.DUMMYFUNCTION("""COMPUTED_VALUE"""),0.0)</f>
        <v>0</v>
      </c>
      <c r="Q107" s="254" t="b">
        <f>VLOOKUP($B107,'Run Reconcile'!B$2:O799,14,FALSE)</f>
        <v>1</v>
      </c>
      <c r="R107" s="255" t="str">
        <f t="array" ref="R107">IF($Q107, INDEX('Run Reconcile'!A$2:A799,MATCH(B107,'Run Reconcile'!B$2:B799,0),1),IFERROR(0/0,""))</f>
        <v>RUN-BEND_2022-01-07_RFR-011</v>
      </c>
      <c r="S107" s="261" t="str">
        <f t="shared" ref="S107:T107" si="218">IF(COUNTIF(W$2:W799, $A107) &gt; 0,TRUE,IFERROR(0/0,""))</f>
        <v/>
      </c>
      <c r="T107" s="261" t="str">
        <f t="shared" si="218"/>
        <v/>
      </c>
      <c r="U107" s="257" t="str">
        <f t="array" ref="U107">IF(ISBLANK($R107), INDEX('Run Reconcile'!A$2:A799, MATCH($B107, 'Run Reconcile'!B$2:B799, 0)+Z107, 1), IFERROR(0/0,""))
</f>
        <v/>
      </c>
      <c r="V107" s="258" t="str">
        <f t="shared" si="5"/>
        <v>RUN-BEND_2022-01-07_RFR-011</v>
      </c>
      <c r="Y107" s="130" t="str">
        <f t="shared" si="6"/>
        <v/>
      </c>
      <c r="Z107" s="49" t="str">
        <f t="shared" si="7"/>
        <v/>
      </c>
      <c r="AA107" s="49" t="str">
        <f t="shared" si="8"/>
        <v/>
      </c>
      <c r="AB107" s="49" t="str">
        <f t="shared" si="9"/>
        <v/>
      </c>
      <c r="AC107" s="20" t="str">
        <f t="shared" ref="AC107:AD107" si="219">IF(_xlfn.ISFORMULA(S107),IFERROR(0/0,""),TRUE)</f>
        <v/>
      </c>
      <c r="AD107" s="20" t="str">
        <f t="shared" si="219"/>
        <v/>
      </c>
      <c r="AE107" s="43"/>
      <c r="AF107" s="62" t="s">
        <v>39</v>
      </c>
      <c r="AG107" s="57" t="str">
        <f t="shared" si="11"/>
        <v/>
      </c>
    </row>
    <row r="108">
      <c r="A108" s="6" t="str">
        <f>IFERROR(__xludf.DUMMYFUNCTION("""COMPUTED_VALUE"""),"MA238")</f>
        <v>MA238</v>
      </c>
      <c r="B108" s="204">
        <f>IFERROR(__xludf.DUMMYFUNCTION("""COMPUTED_VALUE"""),44568.0)</f>
        <v>44568</v>
      </c>
      <c r="C108" s="250">
        <f>IFERROR(__xludf.DUMMYFUNCTION("""COMPUTED_VALUE"""),0.34716435185185185)</f>
        <v>0.3471643519</v>
      </c>
      <c r="D108" s="6" t="str">
        <f>IFERROR(__xludf.DUMMYFUNCTION("""COMPUTED_VALUE"""),"SpBEND454594")</f>
        <v>SpBEND454594</v>
      </c>
      <c r="E108" s="251"/>
      <c r="F108" s="251"/>
      <c r="G108" s="251" t="str">
        <f>IFERROR(__xludf.DUMMYFUNCTION("""COMPUTED_VALUE"""),"Negative")</f>
        <v>Negative</v>
      </c>
      <c r="H108" s="262" t="str">
        <f>IFERROR(__xludf.DUMMYFUNCTION("""COMPUTED_VALUE"""),"Negative")</f>
        <v>Negative</v>
      </c>
      <c r="I108" s="204">
        <f>IFERROR(__xludf.DUMMYFUNCTION("""COMPUTED_VALUE"""),44568.0)</f>
        <v>44568</v>
      </c>
      <c r="J108" s="252">
        <f>IFERROR(__xludf.DUMMYFUNCTION("""COMPUTED_VALUE"""),0.5079166666666667)</f>
        <v>0.5079166667</v>
      </c>
      <c r="K108" s="56"/>
      <c r="L108" s="6"/>
      <c r="M108" s="61"/>
      <c r="N108" s="61">
        <f>IFERROR(__xludf.DUMMYFUNCTION("""COMPUTED_VALUE"""),1.0)</f>
        <v>1</v>
      </c>
      <c r="O108" s="61" t="str">
        <f t="shared" si="3"/>
        <v/>
      </c>
      <c r="P108" s="253">
        <f>IFERROR(__xludf.DUMMYFUNCTION("""COMPUTED_VALUE"""),0.0)</f>
        <v>0</v>
      </c>
      <c r="Q108" s="254" t="b">
        <f>VLOOKUP($B108,'Run Reconcile'!B$2:O799,14,FALSE)</f>
        <v>1</v>
      </c>
      <c r="R108" s="255" t="str">
        <f t="array" ref="R108">IF($Q108, INDEX('Run Reconcile'!A$2:A799,MATCH(B108,'Run Reconcile'!B$2:B799,0),1),IFERROR(0/0,""))</f>
        <v>RUN-BEND_2022-01-07_RFR-011</v>
      </c>
      <c r="S108" s="261" t="str">
        <f t="shared" ref="S108:T108" si="220">IF(COUNTIF(W$2:W799, $A108) &gt; 0,TRUE,IFERROR(0/0,""))</f>
        <v/>
      </c>
      <c r="T108" s="261" t="str">
        <f t="shared" si="220"/>
        <v/>
      </c>
      <c r="U108" s="257" t="str">
        <f t="array" ref="U108">IF(ISBLANK($R108), INDEX('Run Reconcile'!A$2:A799, MATCH($B108, 'Run Reconcile'!B$2:B799, 0)+Z108, 1), IFERROR(0/0,""))
</f>
        <v/>
      </c>
      <c r="V108" s="258" t="str">
        <f t="shared" si="5"/>
        <v>RUN-BEND_2022-01-07_RFR-011</v>
      </c>
      <c r="Y108" s="130" t="str">
        <f t="shared" si="6"/>
        <v/>
      </c>
      <c r="Z108" s="49" t="str">
        <f t="shared" si="7"/>
        <v/>
      </c>
      <c r="AA108" s="49" t="str">
        <f t="shared" si="8"/>
        <v/>
      </c>
      <c r="AB108" s="49" t="str">
        <f t="shared" si="9"/>
        <v/>
      </c>
      <c r="AC108" s="20" t="str">
        <f t="shared" ref="AC108:AD108" si="221">IF(_xlfn.ISFORMULA(S108),IFERROR(0/0,""),TRUE)</f>
        <v/>
      </c>
      <c r="AD108" s="20" t="str">
        <f t="shared" si="221"/>
        <v/>
      </c>
      <c r="AE108" s="43"/>
      <c r="AF108" s="62" t="s">
        <v>39</v>
      </c>
      <c r="AG108" s="57" t="str">
        <f t="shared" si="11"/>
        <v/>
      </c>
    </row>
    <row r="109">
      <c r="A109" s="6" t="str">
        <f>IFERROR(__xludf.DUMMYFUNCTION("""COMPUTED_VALUE"""),"MA1078")</f>
        <v>MA1078</v>
      </c>
      <c r="B109" s="204">
        <f>IFERROR(__xludf.DUMMYFUNCTION("""COMPUTED_VALUE"""),44568.0)</f>
        <v>44568</v>
      </c>
      <c r="C109" s="250">
        <f>IFERROR(__xludf.DUMMYFUNCTION("""COMPUTED_VALUE"""),0.34717592592592594)</f>
        <v>0.3471759259</v>
      </c>
      <c r="D109" s="6" t="str">
        <f>IFERROR(__xludf.DUMMYFUNCTION("""COMPUTED_VALUE"""),"SpBEND652059")</f>
        <v>SpBEND652059</v>
      </c>
      <c r="E109" s="251"/>
      <c r="F109" s="251"/>
      <c r="G109" s="251" t="str">
        <f>IFERROR(__xludf.DUMMYFUNCTION("""COMPUTED_VALUE"""),"Positive")</f>
        <v>Positive</v>
      </c>
      <c r="H109" s="262" t="str">
        <f>IFERROR(__xludf.DUMMYFUNCTION("""COMPUTED_VALUE"""),"Positive")</f>
        <v>Positive</v>
      </c>
      <c r="I109" s="204">
        <f>IFERROR(__xludf.DUMMYFUNCTION("""COMPUTED_VALUE"""),44568.0)</f>
        <v>44568</v>
      </c>
      <c r="J109" s="252">
        <f>IFERROR(__xludf.DUMMYFUNCTION("""COMPUTED_VALUE"""),0.5079050925925926)</f>
        <v>0.5079050926</v>
      </c>
      <c r="K109" s="56"/>
      <c r="L109" s="6"/>
      <c r="M109" s="61"/>
      <c r="N109" s="61">
        <f>IFERROR(__xludf.DUMMYFUNCTION("""COMPUTED_VALUE"""),1.0)</f>
        <v>1</v>
      </c>
      <c r="O109" s="61" t="str">
        <f t="shared" si="3"/>
        <v/>
      </c>
      <c r="P109" s="253">
        <f>IFERROR(__xludf.DUMMYFUNCTION("""COMPUTED_VALUE"""),0.0)</f>
        <v>0</v>
      </c>
      <c r="Q109" s="254" t="b">
        <f>VLOOKUP($B109,'Run Reconcile'!B$2:O799,14,FALSE)</f>
        <v>1</v>
      </c>
      <c r="R109" s="255" t="str">
        <f t="array" ref="R109">IF($Q109, INDEX('Run Reconcile'!A$2:A799,MATCH(B109,'Run Reconcile'!B$2:B799,0),1),IFERROR(0/0,""))</f>
        <v>RUN-BEND_2022-01-07_RFR-011</v>
      </c>
      <c r="S109" s="261" t="str">
        <f t="shared" ref="S109:T109" si="222">IF(COUNTIF(W$2:W799, $A109) &gt; 0,TRUE,IFERROR(0/0,""))</f>
        <v/>
      </c>
      <c r="T109" s="261" t="str">
        <f t="shared" si="222"/>
        <v/>
      </c>
      <c r="U109" s="257" t="str">
        <f t="array" ref="U109">IF(ISBLANK($R109), INDEX('Run Reconcile'!A$2:A799, MATCH($B109, 'Run Reconcile'!B$2:B799, 0)+Z109, 1), IFERROR(0/0,""))
</f>
        <v/>
      </c>
      <c r="V109" s="258" t="str">
        <f t="shared" si="5"/>
        <v>RUN-BEND_2022-01-07_RFR-011</v>
      </c>
      <c r="Y109" s="130" t="str">
        <f t="shared" si="6"/>
        <v/>
      </c>
      <c r="Z109" s="49" t="str">
        <f t="shared" si="7"/>
        <v/>
      </c>
      <c r="AA109" s="49" t="str">
        <f t="shared" si="8"/>
        <v/>
      </c>
      <c r="AB109" s="49" t="str">
        <f t="shared" si="9"/>
        <v/>
      </c>
      <c r="AC109" s="20" t="str">
        <f t="shared" ref="AC109:AD109" si="223">IF(_xlfn.ISFORMULA(S109),IFERROR(0/0,""),TRUE)</f>
        <v/>
      </c>
      <c r="AD109" s="20" t="str">
        <f t="shared" si="223"/>
        <v/>
      </c>
      <c r="AE109" s="43"/>
      <c r="AF109" s="62" t="s">
        <v>39</v>
      </c>
      <c r="AG109" s="57" t="str">
        <f t="shared" si="11"/>
        <v/>
      </c>
    </row>
    <row r="110">
      <c r="A110" s="6" t="str">
        <f>IFERROR(__xludf.DUMMYFUNCTION("""COMPUTED_VALUE"""),"MAX125")</f>
        <v>MAX125</v>
      </c>
      <c r="B110" s="204">
        <f>IFERROR(__xludf.DUMMYFUNCTION("""COMPUTED_VALUE"""),44568.0)</f>
        <v>44568</v>
      </c>
      <c r="C110" s="250">
        <f>IFERROR(__xludf.DUMMYFUNCTION("""COMPUTED_VALUE"""),0.35561342592592593)</f>
        <v>0.3556134259</v>
      </c>
      <c r="D110" s="6" t="str">
        <f>IFERROR(__xludf.DUMMYFUNCTION("""COMPUTED_VALUE"""),"SpBEND394154")</f>
        <v>SpBEND394154</v>
      </c>
      <c r="E110" s="251"/>
      <c r="F110" s="251"/>
      <c r="G110" s="251" t="str">
        <f>IFERROR(__xludf.DUMMYFUNCTION("""COMPUTED_VALUE"""),"Negative")</f>
        <v>Negative</v>
      </c>
      <c r="H110" s="262" t="str">
        <f>IFERROR(__xludf.DUMMYFUNCTION("""COMPUTED_VALUE"""),"Negative")</f>
        <v>Negative</v>
      </c>
      <c r="I110" s="204">
        <f>IFERROR(__xludf.DUMMYFUNCTION("""COMPUTED_VALUE"""),44568.0)</f>
        <v>44568</v>
      </c>
      <c r="J110" s="252">
        <f>IFERROR(__xludf.DUMMYFUNCTION("""COMPUTED_VALUE"""),0.5079166666666667)</f>
        <v>0.5079166667</v>
      </c>
      <c r="K110" s="56"/>
      <c r="L110" s="6"/>
      <c r="M110" s="61"/>
      <c r="N110" s="61">
        <f>IFERROR(__xludf.DUMMYFUNCTION("""COMPUTED_VALUE"""),1.0)</f>
        <v>1</v>
      </c>
      <c r="O110" s="61" t="str">
        <f t="shared" si="3"/>
        <v/>
      </c>
      <c r="P110" s="253">
        <f>IFERROR(__xludf.DUMMYFUNCTION("""COMPUTED_VALUE"""),0.0)</f>
        <v>0</v>
      </c>
      <c r="Q110" s="254" t="b">
        <f>VLOOKUP($B110,'Run Reconcile'!B$2:O799,14,FALSE)</f>
        <v>1</v>
      </c>
      <c r="R110" s="255" t="str">
        <f t="array" ref="R110">IF($Q110, INDEX('Run Reconcile'!A$2:A799,MATCH(B110,'Run Reconcile'!B$2:B799,0),1),IFERROR(0/0,""))</f>
        <v>RUN-BEND_2022-01-07_RFR-011</v>
      </c>
      <c r="S110" s="261" t="str">
        <f t="shared" ref="S110:T110" si="224">IF(COUNTIF(W$2:W799, $A110) &gt; 0,TRUE,IFERROR(0/0,""))</f>
        <v/>
      </c>
      <c r="T110" s="261" t="str">
        <f t="shared" si="224"/>
        <v/>
      </c>
      <c r="U110" s="257" t="str">
        <f t="array" ref="U110">IF(ISBLANK($R110), INDEX('Run Reconcile'!A$2:A799, MATCH($B110, 'Run Reconcile'!B$2:B799, 0)+Z110, 1), IFERROR(0/0,""))
</f>
        <v/>
      </c>
      <c r="V110" s="258" t="str">
        <f t="shared" si="5"/>
        <v>RUN-BEND_2022-01-07_RFR-011</v>
      </c>
      <c r="Y110" s="130" t="str">
        <f t="shared" si="6"/>
        <v/>
      </c>
      <c r="Z110" s="49" t="str">
        <f t="shared" si="7"/>
        <v/>
      </c>
      <c r="AA110" s="49" t="str">
        <f t="shared" si="8"/>
        <v/>
      </c>
      <c r="AB110" s="49" t="str">
        <f t="shared" si="9"/>
        <v/>
      </c>
      <c r="AC110" s="20" t="str">
        <f t="shared" ref="AC110:AD110" si="225">IF(_xlfn.ISFORMULA(S110),IFERROR(0/0,""),TRUE)</f>
        <v/>
      </c>
      <c r="AD110" s="20" t="str">
        <f t="shared" si="225"/>
        <v/>
      </c>
      <c r="AE110" s="43"/>
      <c r="AF110" s="62" t="s">
        <v>39</v>
      </c>
      <c r="AG110" s="57" t="str">
        <f t="shared" si="11"/>
        <v/>
      </c>
    </row>
    <row r="111">
      <c r="A111" s="6" t="str">
        <f>IFERROR(__xludf.DUMMYFUNCTION("""COMPUTED_VALUE"""),"MAX74")</f>
        <v>MAX74</v>
      </c>
      <c r="B111" s="204">
        <f>IFERROR(__xludf.DUMMYFUNCTION("""COMPUTED_VALUE"""),44568.0)</f>
        <v>44568</v>
      </c>
      <c r="C111" s="250">
        <f>IFERROR(__xludf.DUMMYFUNCTION("""COMPUTED_VALUE"""),0.3647800925925926)</f>
        <v>0.3647800926</v>
      </c>
      <c r="D111" s="6" t="str">
        <f>IFERROR(__xludf.DUMMYFUNCTION("""COMPUTED_VALUE"""),"SpBEND642175")</f>
        <v>SpBEND642175</v>
      </c>
      <c r="E111" s="251"/>
      <c r="F111" s="251"/>
      <c r="G111" s="251" t="str">
        <f>IFERROR(__xludf.DUMMYFUNCTION("""COMPUTED_VALUE"""),"Positive")</f>
        <v>Positive</v>
      </c>
      <c r="H111" s="262" t="str">
        <f>IFERROR(__xludf.DUMMYFUNCTION("""COMPUTED_VALUE"""),"Positive")</f>
        <v>Positive</v>
      </c>
      <c r="I111" s="204">
        <f>IFERROR(__xludf.DUMMYFUNCTION("""COMPUTED_VALUE"""),44568.0)</f>
        <v>44568</v>
      </c>
      <c r="J111" s="252">
        <f>IFERROR(__xludf.DUMMYFUNCTION("""COMPUTED_VALUE"""),0.508275462962963)</f>
        <v>0.508275463</v>
      </c>
      <c r="K111" s="56"/>
      <c r="L111" s="6"/>
      <c r="M111" s="61"/>
      <c r="N111" s="61">
        <f>IFERROR(__xludf.DUMMYFUNCTION("""COMPUTED_VALUE"""),1.0)</f>
        <v>1</v>
      </c>
      <c r="O111" s="61" t="str">
        <f t="shared" si="3"/>
        <v/>
      </c>
      <c r="P111" s="253">
        <f>IFERROR(__xludf.DUMMYFUNCTION("""COMPUTED_VALUE"""),0.0)</f>
        <v>0</v>
      </c>
      <c r="Q111" s="254" t="b">
        <f>VLOOKUP($B111,'Run Reconcile'!B$2:O799,14,FALSE)</f>
        <v>1</v>
      </c>
      <c r="R111" s="255" t="str">
        <f t="array" ref="R111">IF($Q111, INDEX('Run Reconcile'!A$2:A799,MATCH(B111,'Run Reconcile'!B$2:B799,0),1),IFERROR(0/0,""))</f>
        <v>RUN-BEND_2022-01-07_RFR-011</v>
      </c>
      <c r="S111" s="261" t="str">
        <f t="shared" ref="S111:T111" si="226">IF(COUNTIF(W$2:W799, $A111) &gt; 0,TRUE,IFERROR(0/0,""))</f>
        <v/>
      </c>
      <c r="T111" s="261" t="str">
        <f t="shared" si="226"/>
        <v/>
      </c>
      <c r="U111" s="257" t="str">
        <f t="array" ref="U111">IF(ISBLANK($R111), INDEX('Run Reconcile'!A$2:A799, MATCH($B111, 'Run Reconcile'!B$2:B799, 0)+Z111, 1), IFERROR(0/0,""))
</f>
        <v/>
      </c>
      <c r="V111" s="258" t="str">
        <f t="shared" si="5"/>
        <v>RUN-BEND_2022-01-07_RFR-011</v>
      </c>
      <c r="Y111" s="130" t="str">
        <f t="shared" si="6"/>
        <v/>
      </c>
      <c r="Z111" s="49" t="str">
        <f t="shared" si="7"/>
        <v/>
      </c>
      <c r="AA111" s="49" t="str">
        <f t="shared" si="8"/>
        <v/>
      </c>
      <c r="AB111" s="49" t="str">
        <f t="shared" si="9"/>
        <v/>
      </c>
      <c r="AC111" s="20" t="str">
        <f t="shared" ref="AC111:AD111" si="227">IF(_xlfn.ISFORMULA(S111),IFERROR(0/0,""),TRUE)</f>
        <v/>
      </c>
      <c r="AD111" s="20" t="str">
        <f t="shared" si="227"/>
        <v/>
      </c>
      <c r="AE111" s="43"/>
      <c r="AF111" s="62" t="s">
        <v>39</v>
      </c>
      <c r="AG111" s="57" t="str">
        <f t="shared" si="11"/>
        <v/>
      </c>
    </row>
    <row r="112">
      <c r="A112" s="6" t="str">
        <f>IFERROR(__xludf.DUMMYFUNCTION("""COMPUTED_VALUE"""),"MA617")</f>
        <v>MA617</v>
      </c>
      <c r="B112" s="204">
        <f>IFERROR(__xludf.DUMMYFUNCTION("""COMPUTED_VALUE"""),44568.0)</f>
        <v>44568</v>
      </c>
      <c r="C112" s="250">
        <f>IFERROR(__xludf.DUMMYFUNCTION("""COMPUTED_VALUE"""),0.4141782407407407)</f>
        <v>0.4141782407</v>
      </c>
      <c r="D112" s="6" t="str">
        <f>IFERROR(__xludf.DUMMYFUNCTION("""COMPUTED_VALUE"""),"SpBEND394154")</f>
        <v>SpBEND394154</v>
      </c>
      <c r="E112" s="251"/>
      <c r="F112" s="251"/>
      <c r="G112" s="251" t="str">
        <f>IFERROR(__xludf.DUMMYFUNCTION("""COMPUTED_VALUE"""),"Negative")</f>
        <v>Negative</v>
      </c>
      <c r="H112" s="262" t="str">
        <f>IFERROR(__xludf.DUMMYFUNCTION("""COMPUTED_VALUE"""),"Negative")</f>
        <v>Negative</v>
      </c>
      <c r="I112" s="204">
        <f>IFERROR(__xludf.DUMMYFUNCTION("""COMPUTED_VALUE"""),44568.0)</f>
        <v>44568</v>
      </c>
      <c r="J112" s="252">
        <f>IFERROR(__xludf.DUMMYFUNCTION("""COMPUTED_VALUE"""),0.5079166666666667)</f>
        <v>0.5079166667</v>
      </c>
      <c r="K112" s="56"/>
      <c r="L112" s="6"/>
      <c r="M112" s="61"/>
      <c r="N112" s="61">
        <f>IFERROR(__xludf.DUMMYFUNCTION("""COMPUTED_VALUE"""),1.0)</f>
        <v>1</v>
      </c>
      <c r="O112" s="61" t="str">
        <f t="shared" si="3"/>
        <v/>
      </c>
      <c r="P112" s="253">
        <f>IFERROR(__xludf.DUMMYFUNCTION("""COMPUTED_VALUE"""),0.0)</f>
        <v>0</v>
      </c>
      <c r="Q112" s="254" t="b">
        <f>VLOOKUP($B112,'Run Reconcile'!B$2:O799,14,FALSE)</f>
        <v>1</v>
      </c>
      <c r="R112" s="255" t="str">
        <f t="array" ref="R112">IF($Q112, INDEX('Run Reconcile'!A$2:A799,MATCH(B112,'Run Reconcile'!B$2:B799,0),1),IFERROR(0/0,""))</f>
        <v>RUN-BEND_2022-01-07_RFR-011</v>
      </c>
      <c r="S112" s="261" t="str">
        <f t="shared" ref="S112:T112" si="228">IF(COUNTIF(W$2:W799, $A112) &gt; 0,TRUE,IFERROR(0/0,""))</f>
        <v/>
      </c>
      <c r="T112" s="261" t="str">
        <f t="shared" si="228"/>
        <v/>
      </c>
      <c r="U112" s="257" t="str">
        <f t="array" ref="U112">IF(ISBLANK($R112), INDEX('Run Reconcile'!A$2:A799, MATCH($B112, 'Run Reconcile'!B$2:B799, 0)+Z112, 1), IFERROR(0/0,""))
</f>
        <v/>
      </c>
      <c r="V112" s="258" t="str">
        <f t="shared" si="5"/>
        <v>RUN-BEND_2022-01-07_RFR-011</v>
      </c>
      <c r="Y112" s="130" t="str">
        <f t="shared" si="6"/>
        <v/>
      </c>
      <c r="Z112" s="49" t="str">
        <f t="shared" si="7"/>
        <v/>
      </c>
      <c r="AA112" s="49" t="str">
        <f t="shared" si="8"/>
        <v/>
      </c>
      <c r="AB112" s="49" t="str">
        <f t="shared" si="9"/>
        <v/>
      </c>
      <c r="AC112" s="20" t="str">
        <f t="shared" ref="AC112:AD112" si="229">IF(_xlfn.ISFORMULA(S112),IFERROR(0/0,""),TRUE)</f>
        <v/>
      </c>
      <c r="AD112" s="20" t="str">
        <f t="shared" si="229"/>
        <v/>
      </c>
      <c r="AE112" s="43"/>
      <c r="AF112" s="62" t="s">
        <v>39</v>
      </c>
      <c r="AG112" s="57" t="str">
        <f t="shared" si="11"/>
        <v/>
      </c>
    </row>
    <row r="113">
      <c r="A113" s="6" t="str">
        <f>IFERROR(__xludf.DUMMYFUNCTION("""COMPUTED_VALUE"""),"MA335")</f>
        <v>MA335</v>
      </c>
      <c r="B113" s="204">
        <f>IFERROR(__xludf.DUMMYFUNCTION("""COMPUTED_VALUE"""),44571.0)</f>
        <v>44571</v>
      </c>
      <c r="C113" s="250">
        <f>IFERROR(__xludf.DUMMYFUNCTION("""COMPUTED_VALUE"""),0.2715856481481482)</f>
        <v>0.2715856481</v>
      </c>
      <c r="D113" s="6" t="str">
        <f>IFERROR(__xludf.DUMMYFUNCTION("""COMPUTED_VALUE"""),"SpBEND947055")</f>
        <v>SpBEND947055</v>
      </c>
      <c r="E113" s="251"/>
      <c r="F113" s="251"/>
      <c r="G113" s="251" t="str">
        <f>IFERROR(__xludf.DUMMYFUNCTION("""COMPUTED_VALUE"""),"Negative")</f>
        <v>Negative</v>
      </c>
      <c r="H113" s="262" t="str">
        <f>IFERROR(__xludf.DUMMYFUNCTION("""COMPUTED_VALUE"""),"Negative")</f>
        <v>Negative</v>
      </c>
      <c r="I113" s="204">
        <f>IFERROR(__xludf.DUMMYFUNCTION("""COMPUTED_VALUE"""),44571.0)</f>
        <v>44571</v>
      </c>
      <c r="J113" s="252">
        <f>IFERROR(__xludf.DUMMYFUNCTION("""COMPUTED_VALUE"""),0.46598379629629627)</f>
        <v>0.4659837963</v>
      </c>
      <c r="K113" s="56"/>
      <c r="L113" s="6"/>
      <c r="M113" s="61"/>
      <c r="N113" s="61">
        <f>IFERROR(__xludf.DUMMYFUNCTION("""COMPUTED_VALUE"""),1.0)</f>
        <v>1</v>
      </c>
      <c r="O113" s="61" t="b">
        <f t="shared" si="3"/>
        <v>1</v>
      </c>
      <c r="P113" s="253">
        <f>IFERROR(__xludf.DUMMYFUNCTION("""COMPUTED_VALUE"""),0.0)</f>
        <v>0</v>
      </c>
      <c r="Q113" s="254" t="str">
        <f>VLOOKUP($B113,'Run Reconcile'!B$2:O799,14,FALSE)</f>
        <v/>
      </c>
      <c r="R113" s="255" t="str">
        <f t="array" ref="R113">IF($Q113, INDEX('Run Reconcile'!A$2:A799,MATCH(B113,'Run Reconcile'!B$2:B799,0),1),IFERROR(0/0,""))</f>
        <v/>
      </c>
      <c r="S113" s="261" t="str">
        <f t="shared" ref="S113:T113" si="230">IF(COUNTIF(W$2:W799, $A113) &gt; 0,TRUE,IFERROR(0/0,""))</f>
        <v/>
      </c>
      <c r="T113" s="261" t="str">
        <f t="shared" si="230"/>
        <v/>
      </c>
      <c r="U113" s="257" t="str">
        <f t="array" ref="U113">IF(ISBLANK($R113), INDEX('Run Reconcile'!A$2:A799, MATCH($B113, 'Run Reconcile'!B$2:B799, 0)+Z113, 1), IFERROR(0/0,""))
</f>
        <v>RUN-BEND_2022-01-10_RFR-012</v>
      </c>
      <c r="V113" s="258" t="str">
        <f t="shared" si="5"/>
        <v>RUN-BEND_2022-01-10_RFR-012</v>
      </c>
      <c r="Y113" s="130" t="str">
        <f t="shared" si="6"/>
        <v/>
      </c>
      <c r="Z113" s="49" t="str">
        <f t="shared" si="7"/>
        <v/>
      </c>
      <c r="AA113" s="49" t="str">
        <f t="shared" si="8"/>
        <v/>
      </c>
      <c r="AB113" s="49" t="str">
        <f t="shared" si="9"/>
        <v/>
      </c>
      <c r="AC113" s="20" t="str">
        <f t="shared" ref="AC113:AD113" si="231">IF(_xlfn.ISFORMULA(S113),IFERROR(0/0,""),TRUE)</f>
        <v/>
      </c>
      <c r="AD113" s="20" t="str">
        <f t="shared" si="231"/>
        <v/>
      </c>
      <c r="AE113" s="43"/>
      <c r="AF113" s="62" t="s">
        <v>40</v>
      </c>
      <c r="AG113" s="57" t="str">
        <f t="shared" si="11"/>
        <v/>
      </c>
    </row>
    <row r="114">
      <c r="A114" s="6" t="str">
        <f>IFERROR(__xludf.DUMMYFUNCTION("""COMPUTED_VALUE"""),"MA241")</f>
        <v>MA241</v>
      </c>
      <c r="B114" s="204">
        <f>IFERROR(__xludf.DUMMYFUNCTION("""COMPUTED_VALUE"""),44571.0)</f>
        <v>44571</v>
      </c>
      <c r="C114" s="250">
        <f>IFERROR(__xludf.DUMMYFUNCTION("""COMPUTED_VALUE"""),0.2969212962962963)</f>
        <v>0.2969212963</v>
      </c>
      <c r="D114" s="6" t="str">
        <f>IFERROR(__xludf.DUMMYFUNCTION("""COMPUTED_VALUE"""),"SpBEND767550")</f>
        <v>SpBEND767550</v>
      </c>
      <c r="E114" s="251"/>
      <c r="F114" s="251"/>
      <c r="G114" s="251" t="str">
        <f>IFERROR(__xludf.DUMMYFUNCTION("""COMPUTED_VALUE"""),"Negative")</f>
        <v>Negative</v>
      </c>
      <c r="H114" s="262" t="str">
        <f>IFERROR(__xludf.DUMMYFUNCTION("""COMPUTED_VALUE"""),"Negative")</f>
        <v>Negative</v>
      </c>
      <c r="I114" s="204">
        <f>IFERROR(__xludf.DUMMYFUNCTION("""COMPUTED_VALUE"""),44571.0)</f>
        <v>44571</v>
      </c>
      <c r="J114" s="252">
        <f>IFERROR(__xludf.DUMMYFUNCTION("""COMPUTED_VALUE"""),0.46598379629629627)</f>
        <v>0.4659837963</v>
      </c>
      <c r="K114" s="56"/>
      <c r="L114" s="6"/>
      <c r="M114" s="61"/>
      <c r="N114" s="61">
        <f>IFERROR(__xludf.DUMMYFUNCTION("""COMPUTED_VALUE"""),1.0)</f>
        <v>1</v>
      </c>
      <c r="O114" s="61" t="str">
        <f t="shared" si="3"/>
        <v/>
      </c>
      <c r="P114" s="253">
        <f>IFERROR(__xludf.DUMMYFUNCTION("""COMPUTED_VALUE"""),0.0)</f>
        <v>0</v>
      </c>
      <c r="Q114" s="254" t="str">
        <f>VLOOKUP($B114,'Run Reconcile'!B$2:O799,14,FALSE)</f>
        <v/>
      </c>
      <c r="R114" s="255" t="str">
        <f t="array" ref="R114">IF($Q114, INDEX('Run Reconcile'!A$2:A799,MATCH(B114,'Run Reconcile'!B$2:B799,0),1),IFERROR(0/0,""))</f>
        <v/>
      </c>
      <c r="S114" s="261" t="str">
        <f t="shared" ref="S114:T114" si="232">IF(COUNTIF(W$2:W799, $A114) &gt; 0,TRUE,IFERROR(0/0,""))</f>
        <v/>
      </c>
      <c r="T114" s="261" t="str">
        <f t="shared" si="232"/>
        <v/>
      </c>
      <c r="U114" s="257" t="str">
        <f t="array" ref="U114">IF(ISBLANK($R114), INDEX('Run Reconcile'!A$2:A799, MATCH($B114, 'Run Reconcile'!B$2:B799, 0)+Z114, 1), IFERROR(0/0,""))
</f>
        <v>RUN-BEND_2022-01-10_RFR-012</v>
      </c>
      <c r="V114" s="258" t="str">
        <f t="shared" si="5"/>
        <v>RUN-BEND_2022-01-10_RFR-012</v>
      </c>
      <c r="Y114" s="130" t="str">
        <f t="shared" si="6"/>
        <v/>
      </c>
      <c r="Z114" s="49" t="str">
        <f t="shared" si="7"/>
        <v/>
      </c>
      <c r="AA114" s="49" t="str">
        <f t="shared" si="8"/>
        <v/>
      </c>
      <c r="AB114" s="49" t="str">
        <f t="shared" si="9"/>
        <v/>
      </c>
      <c r="AC114" s="20" t="str">
        <f t="shared" ref="AC114:AD114" si="233">IF(_xlfn.ISFORMULA(S114),IFERROR(0/0,""),TRUE)</f>
        <v/>
      </c>
      <c r="AD114" s="20" t="str">
        <f t="shared" si="233"/>
        <v/>
      </c>
      <c r="AE114" s="43"/>
      <c r="AF114" s="62" t="s">
        <v>40</v>
      </c>
      <c r="AG114" s="57" t="str">
        <f t="shared" si="11"/>
        <v/>
      </c>
    </row>
    <row r="115">
      <c r="A115" s="6" t="str">
        <f>IFERROR(__xludf.DUMMYFUNCTION("""COMPUTED_VALUE"""),"MA1175")</f>
        <v>MA1175</v>
      </c>
      <c r="B115" s="204">
        <f>IFERROR(__xludf.DUMMYFUNCTION("""COMPUTED_VALUE"""),44571.0)</f>
        <v>44571</v>
      </c>
      <c r="C115" s="250">
        <f>IFERROR(__xludf.DUMMYFUNCTION("""COMPUTED_VALUE"""),0.31167824074074074)</f>
        <v>0.3116782407</v>
      </c>
      <c r="D115" s="6" t="str">
        <f>IFERROR(__xludf.DUMMYFUNCTION("""COMPUTED_VALUE"""),"SpBEND816435")</f>
        <v>SpBEND816435</v>
      </c>
      <c r="E115" s="251"/>
      <c r="F115" s="251"/>
      <c r="G115" s="251" t="str">
        <f>IFERROR(__xludf.DUMMYFUNCTION("""COMPUTED_VALUE"""),"Negative")</f>
        <v>Negative</v>
      </c>
      <c r="H115" s="262" t="str">
        <f>IFERROR(__xludf.DUMMYFUNCTION("""COMPUTED_VALUE"""),"Negative")</f>
        <v>Negative</v>
      </c>
      <c r="I115" s="204">
        <f>IFERROR(__xludf.DUMMYFUNCTION("""COMPUTED_VALUE"""),44571.0)</f>
        <v>44571</v>
      </c>
      <c r="J115" s="252">
        <f>IFERROR(__xludf.DUMMYFUNCTION("""COMPUTED_VALUE"""),0.46598379629629627)</f>
        <v>0.4659837963</v>
      </c>
      <c r="K115" s="56"/>
      <c r="L115" s="6"/>
      <c r="M115" s="61"/>
      <c r="N115" s="61">
        <f>IFERROR(__xludf.DUMMYFUNCTION("""COMPUTED_VALUE"""),1.0)</f>
        <v>1</v>
      </c>
      <c r="O115" s="61" t="str">
        <f t="shared" si="3"/>
        <v/>
      </c>
      <c r="P115" s="253">
        <f>IFERROR(__xludf.DUMMYFUNCTION("""COMPUTED_VALUE"""),0.0)</f>
        <v>0</v>
      </c>
      <c r="Q115" s="254" t="str">
        <f>VLOOKUP($B115,'Run Reconcile'!B$2:O799,14,FALSE)</f>
        <v/>
      </c>
      <c r="R115" s="255" t="str">
        <f t="array" ref="R115">IF($Q115, INDEX('Run Reconcile'!A$2:A799,MATCH(B115,'Run Reconcile'!B$2:B799,0),1),IFERROR(0/0,""))</f>
        <v/>
      </c>
      <c r="S115" s="261" t="str">
        <f t="shared" ref="S115:T115" si="234">IF(COUNTIF(W$2:W799, $A115) &gt; 0,TRUE,IFERROR(0/0,""))</f>
        <v/>
      </c>
      <c r="T115" s="261" t="str">
        <f t="shared" si="234"/>
        <v/>
      </c>
      <c r="U115" s="257" t="str">
        <f t="array" ref="U115">IF(ISBLANK($R115), INDEX('Run Reconcile'!A$2:A799, MATCH($B115, 'Run Reconcile'!B$2:B799, 0)+Z115, 1), IFERROR(0/0,""))
</f>
        <v>RUN-BEND_2022-01-10_RFR-012</v>
      </c>
      <c r="V115" s="258" t="str">
        <f t="shared" si="5"/>
        <v>RUN-BEND_2022-01-10_RFR-012</v>
      </c>
      <c r="Y115" s="130" t="str">
        <f t="shared" si="6"/>
        <v/>
      </c>
      <c r="Z115" s="49" t="str">
        <f t="shared" si="7"/>
        <v/>
      </c>
      <c r="AA115" s="49" t="str">
        <f t="shared" si="8"/>
        <v/>
      </c>
      <c r="AB115" s="49" t="str">
        <f t="shared" si="9"/>
        <v/>
      </c>
      <c r="AC115" s="20" t="str">
        <f t="shared" ref="AC115:AD115" si="235">IF(_xlfn.ISFORMULA(S115),IFERROR(0/0,""),TRUE)</f>
        <v/>
      </c>
      <c r="AD115" s="20" t="str">
        <f t="shared" si="235"/>
        <v/>
      </c>
      <c r="AE115" s="43"/>
      <c r="AF115" s="62" t="s">
        <v>40</v>
      </c>
      <c r="AG115" s="57" t="str">
        <f t="shared" si="11"/>
        <v/>
      </c>
    </row>
    <row r="116">
      <c r="A116" s="6" t="str">
        <f>IFERROR(__xludf.DUMMYFUNCTION("""COMPUTED_VALUE"""),"MA478")</f>
        <v>MA478</v>
      </c>
      <c r="B116" s="204">
        <f>IFERROR(__xludf.DUMMYFUNCTION("""COMPUTED_VALUE"""),44571.0)</f>
        <v>44571</v>
      </c>
      <c r="C116" s="250">
        <f>IFERROR(__xludf.DUMMYFUNCTION("""COMPUTED_VALUE"""),0.313125)</f>
        <v>0.313125</v>
      </c>
      <c r="D116" s="6" t="str">
        <f>IFERROR(__xludf.DUMMYFUNCTION("""COMPUTED_VALUE"""),"SpBEND643855")</f>
        <v>SpBEND643855</v>
      </c>
      <c r="E116" s="251"/>
      <c r="F116" s="251"/>
      <c r="G116" s="251" t="str">
        <f>IFERROR(__xludf.DUMMYFUNCTION("""COMPUTED_VALUE"""),"Negative")</f>
        <v>Negative</v>
      </c>
      <c r="H116" s="262" t="str">
        <f>IFERROR(__xludf.DUMMYFUNCTION("""COMPUTED_VALUE"""),"Negative")</f>
        <v>Negative</v>
      </c>
      <c r="I116" s="204">
        <f>IFERROR(__xludf.DUMMYFUNCTION("""COMPUTED_VALUE"""),44571.0)</f>
        <v>44571</v>
      </c>
      <c r="J116" s="252">
        <f>IFERROR(__xludf.DUMMYFUNCTION("""COMPUTED_VALUE"""),0.46598379629629627)</f>
        <v>0.4659837963</v>
      </c>
      <c r="K116" s="56"/>
      <c r="L116" s="6"/>
      <c r="M116" s="61"/>
      <c r="N116" s="61">
        <f>IFERROR(__xludf.DUMMYFUNCTION("""COMPUTED_VALUE"""),1.0)</f>
        <v>1</v>
      </c>
      <c r="O116" s="61" t="str">
        <f t="shared" si="3"/>
        <v/>
      </c>
      <c r="P116" s="253">
        <f>IFERROR(__xludf.DUMMYFUNCTION("""COMPUTED_VALUE"""),0.0)</f>
        <v>0</v>
      </c>
      <c r="Q116" s="254" t="str">
        <f>VLOOKUP($B116,'Run Reconcile'!B$2:O799,14,FALSE)</f>
        <v/>
      </c>
      <c r="R116" s="255" t="str">
        <f t="array" ref="R116">IF($Q116, INDEX('Run Reconcile'!A$2:A799,MATCH(B116,'Run Reconcile'!B$2:B799,0),1),IFERROR(0/0,""))</f>
        <v/>
      </c>
      <c r="S116" s="261" t="str">
        <f t="shared" ref="S116:T116" si="236">IF(COUNTIF(W$2:W799, $A116) &gt; 0,TRUE,IFERROR(0/0,""))</f>
        <v/>
      </c>
      <c r="T116" s="261" t="str">
        <f t="shared" si="236"/>
        <v/>
      </c>
      <c r="U116" s="257" t="str">
        <f t="array" ref="U116">IF(ISBLANK($R116), INDEX('Run Reconcile'!A$2:A799, MATCH($B116, 'Run Reconcile'!B$2:B799, 0)+Z116, 1), IFERROR(0/0,""))
</f>
        <v>RUN-BEND_2022-01-10_RFR-012</v>
      </c>
      <c r="V116" s="258" t="str">
        <f t="shared" si="5"/>
        <v>RUN-BEND_2022-01-10_RFR-012</v>
      </c>
      <c r="Y116" s="130" t="str">
        <f t="shared" si="6"/>
        <v/>
      </c>
      <c r="Z116" s="49" t="str">
        <f t="shared" si="7"/>
        <v/>
      </c>
      <c r="AA116" s="49" t="str">
        <f t="shared" si="8"/>
        <v/>
      </c>
      <c r="AB116" s="49" t="str">
        <f t="shared" si="9"/>
        <v/>
      </c>
      <c r="AC116" s="20" t="str">
        <f t="shared" ref="AC116:AD116" si="237">IF(_xlfn.ISFORMULA(S116),IFERROR(0/0,""),TRUE)</f>
        <v/>
      </c>
      <c r="AD116" s="20" t="str">
        <f t="shared" si="237"/>
        <v/>
      </c>
      <c r="AE116" s="43"/>
      <c r="AF116" s="62" t="s">
        <v>40</v>
      </c>
      <c r="AG116" s="57" t="str">
        <f t="shared" si="11"/>
        <v/>
      </c>
    </row>
    <row r="117">
      <c r="A117" s="6" t="str">
        <f>IFERROR(__xludf.DUMMYFUNCTION("""COMPUTED_VALUE"""),"MA1159")</f>
        <v>MA1159</v>
      </c>
      <c r="B117" s="204">
        <f>IFERROR(__xludf.DUMMYFUNCTION("""COMPUTED_VALUE"""),44571.0)</f>
        <v>44571</v>
      </c>
      <c r="C117" s="250">
        <f>IFERROR(__xludf.DUMMYFUNCTION("""COMPUTED_VALUE"""),0.3181365740740741)</f>
        <v>0.3181365741</v>
      </c>
      <c r="D117" s="6" t="str">
        <f>IFERROR(__xludf.DUMMYFUNCTION("""COMPUTED_VALUE"""),"SpBEND757435")</f>
        <v>SpBEND757435</v>
      </c>
      <c r="E117" s="251"/>
      <c r="F117" s="251"/>
      <c r="G117" s="251" t="str">
        <f>IFERROR(__xludf.DUMMYFUNCTION("""COMPUTED_VALUE"""),"Negative")</f>
        <v>Negative</v>
      </c>
      <c r="H117" s="262" t="str">
        <f>IFERROR(__xludf.DUMMYFUNCTION("""COMPUTED_VALUE"""),"Negative")</f>
        <v>Negative</v>
      </c>
      <c r="I117" s="204">
        <f>IFERROR(__xludf.DUMMYFUNCTION("""COMPUTED_VALUE"""),44571.0)</f>
        <v>44571</v>
      </c>
      <c r="J117" s="252">
        <f>IFERROR(__xludf.DUMMYFUNCTION("""COMPUTED_VALUE"""),0.46598379629629627)</f>
        <v>0.4659837963</v>
      </c>
      <c r="K117" s="56"/>
      <c r="L117" s="6"/>
      <c r="M117" s="61"/>
      <c r="N117" s="61">
        <f>IFERROR(__xludf.DUMMYFUNCTION("""COMPUTED_VALUE"""),1.0)</f>
        <v>1</v>
      </c>
      <c r="O117" s="61" t="str">
        <f t="shared" si="3"/>
        <v/>
      </c>
      <c r="P117" s="253">
        <f>IFERROR(__xludf.DUMMYFUNCTION("""COMPUTED_VALUE"""),0.0)</f>
        <v>0</v>
      </c>
      <c r="Q117" s="254" t="str">
        <f>VLOOKUP($B117,'Run Reconcile'!B$2:O799,14,FALSE)</f>
        <v/>
      </c>
      <c r="R117" s="255" t="str">
        <f t="array" ref="R117">IF($Q117, INDEX('Run Reconcile'!A$2:A799,MATCH(B117,'Run Reconcile'!B$2:B799,0),1),IFERROR(0/0,""))</f>
        <v/>
      </c>
      <c r="S117" s="261" t="str">
        <f t="shared" ref="S117:T117" si="238">IF(COUNTIF(W$2:W799, $A117) &gt; 0,TRUE,IFERROR(0/0,""))</f>
        <v/>
      </c>
      <c r="T117" s="261" t="str">
        <f t="shared" si="238"/>
        <v/>
      </c>
      <c r="U117" s="257" t="str">
        <f t="array" ref="U117">IF(ISBLANK($R117), INDEX('Run Reconcile'!A$2:A799, MATCH($B117, 'Run Reconcile'!B$2:B799, 0)+Z117, 1), IFERROR(0/0,""))
</f>
        <v>RUN-BEND_2022-01-10_RFR-012</v>
      </c>
      <c r="V117" s="258" t="str">
        <f t="shared" si="5"/>
        <v>RUN-BEND_2022-01-10_RFR-012</v>
      </c>
      <c r="Y117" s="130" t="str">
        <f t="shared" si="6"/>
        <v/>
      </c>
      <c r="Z117" s="49" t="str">
        <f t="shared" si="7"/>
        <v/>
      </c>
      <c r="AA117" s="49" t="str">
        <f t="shared" si="8"/>
        <v/>
      </c>
      <c r="AB117" s="49" t="str">
        <f t="shared" si="9"/>
        <v/>
      </c>
      <c r="AC117" s="20" t="str">
        <f t="shared" ref="AC117:AD117" si="239">IF(_xlfn.ISFORMULA(S117),IFERROR(0/0,""),TRUE)</f>
        <v/>
      </c>
      <c r="AD117" s="20" t="str">
        <f t="shared" si="239"/>
        <v/>
      </c>
      <c r="AE117" s="43"/>
      <c r="AF117" s="62" t="s">
        <v>40</v>
      </c>
      <c r="AG117" s="57" t="str">
        <f t="shared" si="11"/>
        <v/>
      </c>
    </row>
    <row r="118">
      <c r="A118" s="6" t="str">
        <f>IFERROR(__xludf.DUMMYFUNCTION("""COMPUTED_VALUE"""),"MA233")</f>
        <v>MA233</v>
      </c>
      <c r="B118" s="204">
        <f>IFERROR(__xludf.DUMMYFUNCTION("""COMPUTED_VALUE"""),44571.0)</f>
        <v>44571</v>
      </c>
      <c r="C118" s="250">
        <f>IFERROR(__xludf.DUMMYFUNCTION("""COMPUTED_VALUE"""),0.3261689814814815)</f>
        <v>0.3261689815</v>
      </c>
      <c r="D118" s="6" t="str">
        <f>IFERROR(__xludf.DUMMYFUNCTION("""COMPUTED_VALUE"""),"SpBEND110967")</f>
        <v>SpBEND110967</v>
      </c>
      <c r="E118" s="251"/>
      <c r="F118" s="251"/>
      <c r="G118" s="251" t="str">
        <f>IFERROR(__xludf.DUMMYFUNCTION("""COMPUTED_VALUE"""),"Negative")</f>
        <v>Negative</v>
      </c>
      <c r="H118" s="262" t="str">
        <f>IFERROR(__xludf.DUMMYFUNCTION("""COMPUTED_VALUE"""),"Negative")</f>
        <v>Negative</v>
      </c>
      <c r="I118" s="204">
        <f>IFERROR(__xludf.DUMMYFUNCTION("""COMPUTED_VALUE"""),44571.0)</f>
        <v>44571</v>
      </c>
      <c r="J118" s="252">
        <f>IFERROR(__xludf.DUMMYFUNCTION("""COMPUTED_VALUE"""),0.46598379629629627)</f>
        <v>0.4659837963</v>
      </c>
      <c r="K118" s="56"/>
      <c r="L118" s="6"/>
      <c r="M118" s="61"/>
      <c r="N118" s="61">
        <f>IFERROR(__xludf.DUMMYFUNCTION("""COMPUTED_VALUE"""),1.0)</f>
        <v>1</v>
      </c>
      <c r="O118" s="61" t="str">
        <f t="shared" si="3"/>
        <v/>
      </c>
      <c r="P118" s="253">
        <f>IFERROR(__xludf.DUMMYFUNCTION("""COMPUTED_VALUE"""),0.0)</f>
        <v>0</v>
      </c>
      <c r="Q118" s="254" t="str">
        <f>VLOOKUP($B118,'Run Reconcile'!B$2:O799,14,FALSE)</f>
        <v/>
      </c>
      <c r="R118" s="255" t="str">
        <f t="array" ref="R118">IF($Q118, INDEX('Run Reconcile'!A$2:A799,MATCH(B118,'Run Reconcile'!B$2:B799,0),1),IFERROR(0/0,""))</f>
        <v/>
      </c>
      <c r="S118" s="261" t="str">
        <f t="shared" ref="S118:T118" si="240">IF(COUNTIF(W$2:W799, $A118) &gt; 0,TRUE,IFERROR(0/0,""))</f>
        <v/>
      </c>
      <c r="T118" s="261" t="str">
        <f t="shared" si="240"/>
        <v/>
      </c>
      <c r="U118" s="257" t="str">
        <f t="array" ref="U118">IF(ISBLANK($R118), INDEX('Run Reconcile'!A$2:A799, MATCH($B118, 'Run Reconcile'!B$2:B799, 0)+Z118, 1), IFERROR(0/0,""))
</f>
        <v>RUN-BEND_2022-01-10_RFR-012</v>
      </c>
      <c r="V118" s="258" t="str">
        <f t="shared" si="5"/>
        <v>RUN-BEND_2022-01-10_RFR-012</v>
      </c>
      <c r="Y118" s="130" t="str">
        <f t="shared" si="6"/>
        <v/>
      </c>
      <c r="Z118" s="49" t="str">
        <f t="shared" si="7"/>
        <v/>
      </c>
      <c r="AA118" s="49" t="str">
        <f t="shared" si="8"/>
        <v/>
      </c>
      <c r="AB118" s="49" t="str">
        <f t="shared" si="9"/>
        <v/>
      </c>
      <c r="AC118" s="20" t="str">
        <f t="shared" ref="AC118:AD118" si="241">IF(_xlfn.ISFORMULA(S118),IFERROR(0/0,""),TRUE)</f>
        <v/>
      </c>
      <c r="AD118" s="20" t="str">
        <f t="shared" si="241"/>
        <v/>
      </c>
      <c r="AE118" s="43"/>
      <c r="AF118" s="62" t="s">
        <v>40</v>
      </c>
      <c r="AG118" s="57" t="str">
        <f t="shared" si="11"/>
        <v/>
      </c>
    </row>
    <row r="119">
      <c r="A119" s="6" t="str">
        <f>IFERROR(__xludf.DUMMYFUNCTION("""COMPUTED_VALUE"""),"MA977")</f>
        <v>MA977</v>
      </c>
      <c r="B119" s="204">
        <f>IFERROR(__xludf.DUMMYFUNCTION("""COMPUTED_VALUE"""),44571.0)</f>
        <v>44571</v>
      </c>
      <c r="C119" s="250">
        <f>IFERROR(__xludf.DUMMYFUNCTION("""COMPUTED_VALUE"""),0.32885416666666667)</f>
        <v>0.3288541667</v>
      </c>
      <c r="D119" s="6" t="str">
        <f>IFERROR(__xludf.DUMMYFUNCTION("""COMPUTED_VALUE"""),"SpBEND551372")</f>
        <v>SpBEND551372</v>
      </c>
      <c r="E119" s="251"/>
      <c r="F119" s="251"/>
      <c r="G119" s="251" t="str">
        <f>IFERROR(__xludf.DUMMYFUNCTION("""COMPUTED_VALUE"""),"Negative")</f>
        <v>Negative</v>
      </c>
      <c r="H119" s="262" t="str">
        <f>IFERROR(__xludf.DUMMYFUNCTION("""COMPUTED_VALUE"""),"Negative")</f>
        <v>Negative</v>
      </c>
      <c r="I119" s="204">
        <f>IFERROR(__xludf.DUMMYFUNCTION("""COMPUTED_VALUE"""),44571.0)</f>
        <v>44571</v>
      </c>
      <c r="J119" s="252">
        <f>IFERROR(__xludf.DUMMYFUNCTION("""COMPUTED_VALUE"""),0.46598379629629627)</f>
        <v>0.4659837963</v>
      </c>
      <c r="K119" s="56"/>
      <c r="L119" s="6"/>
      <c r="M119" s="61"/>
      <c r="N119" s="61">
        <f>IFERROR(__xludf.DUMMYFUNCTION("""COMPUTED_VALUE"""),1.0)</f>
        <v>1</v>
      </c>
      <c r="O119" s="61" t="str">
        <f t="shared" si="3"/>
        <v/>
      </c>
      <c r="P119" s="253">
        <f>IFERROR(__xludf.DUMMYFUNCTION("""COMPUTED_VALUE"""),0.0)</f>
        <v>0</v>
      </c>
      <c r="Q119" s="254" t="str">
        <f>VLOOKUP($B119,'Run Reconcile'!B$2:O799,14,FALSE)</f>
        <v/>
      </c>
      <c r="R119" s="255" t="str">
        <f t="array" ref="R119">IF($Q119, INDEX('Run Reconcile'!A$2:A799,MATCH(B119,'Run Reconcile'!B$2:B799,0),1),IFERROR(0/0,""))</f>
        <v/>
      </c>
      <c r="S119" s="261" t="str">
        <f t="shared" ref="S119:T119" si="242">IF(COUNTIF(W$2:W799, $A119) &gt; 0,TRUE,IFERROR(0/0,""))</f>
        <v/>
      </c>
      <c r="T119" s="261" t="str">
        <f t="shared" si="242"/>
        <v/>
      </c>
      <c r="U119" s="257" t="str">
        <f t="array" ref="U119">IF(ISBLANK($R119), INDEX('Run Reconcile'!A$2:A799, MATCH($B119, 'Run Reconcile'!B$2:B799, 0)+Z119, 1), IFERROR(0/0,""))
</f>
        <v>RUN-BEND_2022-01-10_RFR-012</v>
      </c>
      <c r="V119" s="258" t="str">
        <f t="shared" si="5"/>
        <v>RUN-BEND_2022-01-10_RFR-012</v>
      </c>
      <c r="Y119" s="130" t="str">
        <f t="shared" si="6"/>
        <v/>
      </c>
      <c r="Z119" s="49" t="str">
        <f t="shared" si="7"/>
        <v/>
      </c>
      <c r="AA119" s="49" t="str">
        <f t="shared" si="8"/>
        <v/>
      </c>
      <c r="AB119" s="49" t="str">
        <f t="shared" si="9"/>
        <v/>
      </c>
      <c r="AC119" s="20" t="str">
        <f t="shared" ref="AC119:AD119" si="243">IF(_xlfn.ISFORMULA(S119),IFERROR(0/0,""),TRUE)</f>
        <v/>
      </c>
      <c r="AD119" s="20" t="str">
        <f t="shared" si="243"/>
        <v/>
      </c>
      <c r="AE119" s="43"/>
      <c r="AF119" s="62" t="s">
        <v>40</v>
      </c>
      <c r="AG119" s="57" t="str">
        <f t="shared" si="11"/>
        <v/>
      </c>
    </row>
    <row r="120">
      <c r="A120" s="6" t="str">
        <f>IFERROR(__xludf.DUMMYFUNCTION("""COMPUTED_VALUE"""),"MA466")</f>
        <v>MA466</v>
      </c>
      <c r="B120" s="204">
        <f>IFERROR(__xludf.DUMMYFUNCTION("""COMPUTED_VALUE"""),44571.0)</f>
        <v>44571</v>
      </c>
      <c r="C120" s="250">
        <f>IFERROR(__xludf.DUMMYFUNCTION("""COMPUTED_VALUE"""),0.3333101851851852)</f>
        <v>0.3333101852</v>
      </c>
      <c r="D120" s="6" t="str">
        <f>IFERROR(__xludf.DUMMYFUNCTION("""COMPUTED_VALUE"""),"SpBEND385421")</f>
        <v>SpBEND385421</v>
      </c>
      <c r="E120" s="251"/>
      <c r="F120" s="251"/>
      <c r="G120" s="251" t="str">
        <f>IFERROR(__xludf.DUMMYFUNCTION("""COMPUTED_VALUE"""),"Negative")</f>
        <v>Negative</v>
      </c>
      <c r="H120" s="262" t="str">
        <f>IFERROR(__xludf.DUMMYFUNCTION("""COMPUTED_VALUE"""),"Negative")</f>
        <v>Negative</v>
      </c>
      <c r="I120" s="204">
        <f>IFERROR(__xludf.DUMMYFUNCTION("""COMPUTED_VALUE"""),44571.0)</f>
        <v>44571</v>
      </c>
      <c r="J120" s="252">
        <f>IFERROR(__xludf.DUMMYFUNCTION("""COMPUTED_VALUE"""),0.46598379629629627)</f>
        <v>0.4659837963</v>
      </c>
      <c r="K120" s="56"/>
      <c r="L120" s="6"/>
      <c r="M120" s="61"/>
      <c r="N120" s="61">
        <f>IFERROR(__xludf.DUMMYFUNCTION("""COMPUTED_VALUE"""),1.0)</f>
        <v>1</v>
      </c>
      <c r="O120" s="61" t="str">
        <f t="shared" si="3"/>
        <v/>
      </c>
      <c r="P120" s="253">
        <f>IFERROR(__xludf.DUMMYFUNCTION("""COMPUTED_VALUE"""),0.0)</f>
        <v>0</v>
      </c>
      <c r="Q120" s="254" t="str">
        <f>VLOOKUP($B120,'Run Reconcile'!B$2:O799,14,FALSE)</f>
        <v/>
      </c>
      <c r="R120" s="255" t="str">
        <f t="array" ref="R120">IF($Q120, INDEX('Run Reconcile'!A$2:A799,MATCH(B120,'Run Reconcile'!B$2:B799,0),1),IFERROR(0/0,""))</f>
        <v/>
      </c>
      <c r="S120" s="261" t="str">
        <f t="shared" ref="S120:T120" si="244">IF(COUNTIF(W$2:W799, $A120) &gt; 0,TRUE,IFERROR(0/0,""))</f>
        <v/>
      </c>
      <c r="T120" s="261" t="str">
        <f t="shared" si="244"/>
        <v/>
      </c>
      <c r="U120" s="257" t="str">
        <f t="array" ref="U120">IF(ISBLANK($R120), INDEX('Run Reconcile'!A$2:A799, MATCH($B120, 'Run Reconcile'!B$2:B799, 0)+Z120, 1), IFERROR(0/0,""))
</f>
        <v>RUN-BEND_2022-01-10_RFR-012</v>
      </c>
      <c r="V120" s="258" t="str">
        <f t="shared" si="5"/>
        <v>RUN-BEND_2022-01-10_RFR-012</v>
      </c>
      <c r="Y120" s="130" t="str">
        <f t="shared" si="6"/>
        <v/>
      </c>
      <c r="Z120" s="49" t="str">
        <f t="shared" si="7"/>
        <v/>
      </c>
      <c r="AA120" s="49" t="str">
        <f t="shared" si="8"/>
        <v/>
      </c>
      <c r="AB120" s="49" t="str">
        <f t="shared" si="9"/>
        <v/>
      </c>
      <c r="AC120" s="20" t="str">
        <f t="shared" ref="AC120:AD120" si="245">IF(_xlfn.ISFORMULA(S120),IFERROR(0/0,""),TRUE)</f>
        <v/>
      </c>
      <c r="AD120" s="20" t="str">
        <f t="shared" si="245"/>
        <v/>
      </c>
      <c r="AE120" s="43"/>
      <c r="AF120" s="62" t="s">
        <v>40</v>
      </c>
      <c r="AG120" s="57" t="str">
        <f t="shared" si="11"/>
        <v/>
      </c>
    </row>
    <row r="121">
      <c r="A121" s="6" t="str">
        <f>IFERROR(__xludf.DUMMYFUNCTION("""COMPUTED_VALUE"""),"MA623")</f>
        <v>MA623</v>
      </c>
      <c r="B121" s="204">
        <f>IFERROR(__xludf.DUMMYFUNCTION("""COMPUTED_VALUE"""),44571.0)</f>
        <v>44571</v>
      </c>
      <c r="C121" s="250">
        <f>IFERROR(__xludf.DUMMYFUNCTION("""COMPUTED_VALUE"""),0.33339120370370373)</f>
        <v>0.3333912037</v>
      </c>
      <c r="D121" s="6" t="str">
        <f>IFERROR(__xludf.DUMMYFUNCTION("""COMPUTED_VALUE"""),"SpBEND768497")</f>
        <v>SpBEND768497</v>
      </c>
      <c r="E121" s="251"/>
      <c r="F121" s="251"/>
      <c r="G121" s="251" t="str">
        <f>IFERROR(__xludf.DUMMYFUNCTION("""COMPUTED_VALUE"""),"Negative")</f>
        <v>Negative</v>
      </c>
      <c r="H121" s="262" t="str">
        <f>IFERROR(__xludf.DUMMYFUNCTION("""COMPUTED_VALUE"""),"Negative")</f>
        <v>Negative</v>
      </c>
      <c r="I121" s="204">
        <f>IFERROR(__xludf.DUMMYFUNCTION("""COMPUTED_VALUE"""),44571.0)</f>
        <v>44571</v>
      </c>
      <c r="J121" s="252">
        <f>IFERROR(__xludf.DUMMYFUNCTION("""COMPUTED_VALUE"""),0.46598379629629627)</f>
        <v>0.4659837963</v>
      </c>
      <c r="K121" s="56"/>
      <c r="L121" s="6"/>
      <c r="M121" s="61"/>
      <c r="N121" s="61">
        <f>IFERROR(__xludf.DUMMYFUNCTION("""COMPUTED_VALUE"""),1.0)</f>
        <v>1</v>
      </c>
      <c r="O121" s="61" t="str">
        <f t="shared" si="3"/>
        <v/>
      </c>
      <c r="P121" s="253">
        <f>IFERROR(__xludf.DUMMYFUNCTION("""COMPUTED_VALUE"""),0.0)</f>
        <v>0</v>
      </c>
      <c r="Q121" s="254" t="str">
        <f>VLOOKUP($B121,'Run Reconcile'!B$2:O799,14,FALSE)</f>
        <v/>
      </c>
      <c r="R121" s="255" t="str">
        <f t="array" ref="R121">IF($Q121, INDEX('Run Reconcile'!A$2:A799,MATCH(B121,'Run Reconcile'!B$2:B799,0),1),IFERROR(0/0,""))</f>
        <v/>
      </c>
      <c r="S121" s="261" t="str">
        <f t="shared" ref="S121:T121" si="246">IF(COUNTIF(W$2:W799, $A121) &gt; 0,TRUE,IFERROR(0/0,""))</f>
        <v/>
      </c>
      <c r="T121" s="261" t="str">
        <f t="shared" si="246"/>
        <v/>
      </c>
      <c r="U121" s="257" t="str">
        <f t="array" ref="U121">IF(ISBLANK($R121), INDEX('Run Reconcile'!A$2:A799, MATCH($B121, 'Run Reconcile'!B$2:B799, 0)+Z121, 1), IFERROR(0/0,""))
</f>
        <v>RUN-BEND_2022-01-10_RFR-012</v>
      </c>
      <c r="V121" s="258" t="str">
        <f t="shared" si="5"/>
        <v>RUN-BEND_2022-01-10_RFR-012</v>
      </c>
      <c r="Y121" s="130" t="str">
        <f t="shared" si="6"/>
        <v/>
      </c>
      <c r="Z121" s="49" t="str">
        <f t="shared" si="7"/>
        <v/>
      </c>
      <c r="AA121" s="49" t="str">
        <f t="shared" si="8"/>
        <v/>
      </c>
      <c r="AB121" s="49" t="str">
        <f t="shared" si="9"/>
        <v/>
      </c>
      <c r="AC121" s="20" t="str">
        <f t="shared" ref="AC121:AD121" si="247">IF(_xlfn.ISFORMULA(S121),IFERROR(0/0,""),TRUE)</f>
        <v/>
      </c>
      <c r="AD121" s="20" t="str">
        <f t="shared" si="247"/>
        <v/>
      </c>
      <c r="AE121" s="43"/>
      <c r="AF121" s="62" t="s">
        <v>40</v>
      </c>
      <c r="AG121" s="57" t="str">
        <f t="shared" si="11"/>
        <v/>
      </c>
    </row>
    <row r="122">
      <c r="A122" s="6" t="str">
        <f>IFERROR(__xludf.DUMMYFUNCTION("""COMPUTED_VALUE"""),"MA433")</f>
        <v>MA433</v>
      </c>
      <c r="B122" s="204">
        <f>IFERROR(__xludf.DUMMYFUNCTION("""COMPUTED_VALUE"""),44571.0)</f>
        <v>44571</v>
      </c>
      <c r="C122" s="250">
        <f>IFERROR(__xludf.DUMMYFUNCTION("""COMPUTED_VALUE"""),0.3337731481481481)</f>
        <v>0.3337731481</v>
      </c>
      <c r="D122" s="6" t="str">
        <f>IFERROR(__xludf.DUMMYFUNCTION("""COMPUTED_VALUE"""),"SpBEND528248")</f>
        <v>SpBEND528248</v>
      </c>
      <c r="E122" s="251"/>
      <c r="F122" s="251"/>
      <c r="G122" s="251" t="str">
        <f>IFERROR(__xludf.DUMMYFUNCTION("""COMPUTED_VALUE"""),"Negative")</f>
        <v>Negative</v>
      </c>
      <c r="H122" s="262" t="str">
        <f>IFERROR(__xludf.DUMMYFUNCTION("""COMPUTED_VALUE"""),"Negative")</f>
        <v>Negative</v>
      </c>
      <c r="I122" s="204">
        <f>IFERROR(__xludf.DUMMYFUNCTION("""COMPUTED_VALUE"""),44571.0)</f>
        <v>44571</v>
      </c>
      <c r="J122" s="252">
        <f>IFERROR(__xludf.DUMMYFUNCTION("""COMPUTED_VALUE"""),0.46598379629629627)</f>
        <v>0.4659837963</v>
      </c>
      <c r="K122" s="56"/>
      <c r="L122" s="6"/>
      <c r="M122" s="61"/>
      <c r="N122" s="61">
        <f>IFERROR(__xludf.DUMMYFUNCTION("""COMPUTED_VALUE"""),1.0)</f>
        <v>1</v>
      </c>
      <c r="O122" s="61" t="str">
        <f t="shared" si="3"/>
        <v/>
      </c>
      <c r="P122" s="253">
        <f>IFERROR(__xludf.DUMMYFUNCTION("""COMPUTED_VALUE"""),0.0)</f>
        <v>0</v>
      </c>
      <c r="Q122" s="254" t="str">
        <f>VLOOKUP($B122,'Run Reconcile'!B$2:O799,14,FALSE)</f>
        <v/>
      </c>
      <c r="R122" s="255" t="str">
        <f t="array" ref="R122">IF($Q122, INDEX('Run Reconcile'!A$2:A799,MATCH(B122,'Run Reconcile'!B$2:B799,0),1),IFERROR(0/0,""))</f>
        <v/>
      </c>
      <c r="S122" s="261" t="str">
        <f t="shared" ref="S122:T122" si="248">IF(COUNTIF(W$2:W799, $A122) &gt; 0,TRUE,IFERROR(0/0,""))</f>
        <v/>
      </c>
      <c r="T122" s="261" t="str">
        <f t="shared" si="248"/>
        <v/>
      </c>
      <c r="U122" s="257" t="str">
        <f t="array" ref="U122">IF(ISBLANK($R122), INDEX('Run Reconcile'!A$2:A799, MATCH($B122, 'Run Reconcile'!B$2:B799, 0)+Z122, 1), IFERROR(0/0,""))
</f>
        <v>RUN-BEND_2022-01-10_RFR-012</v>
      </c>
      <c r="V122" s="258" t="str">
        <f t="shared" si="5"/>
        <v>RUN-BEND_2022-01-10_RFR-012</v>
      </c>
      <c r="Y122" s="130" t="str">
        <f t="shared" si="6"/>
        <v/>
      </c>
      <c r="Z122" s="49" t="str">
        <f t="shared" si="7"/>
        <v/>
      </c>
      <c r="AA122" s="49" t="str">
        <f t="shared" si="8"/>
        <v/>
      </c>
      <c r="AB122" s="49" t="str">
        <f t="shared" si="9"/>
        <v/>
      </c>
      <c r="AC122" s="20" t="str">
        <f t="shared" ref="AC122:AD122" si="249">IF(_xlfn.ISFORMULA(S122),IFERROR(0/0,""),TRUE)</f>
        <v/>
      </c>
      <c r="AD122" s="20" t="str">
        <f t="shared" si="249"/>
        <v/>
      </c>
      <c r="AE122" s="43"/>
      <c r="AF122" s="62" t="s">
        <v>40</v>
      </c>
      <c r="AG122" s="57" t="str">
        <f t="shared" si="11"/>
        <v/>
      </c>
    </row>
    <row r="123">
      <c r="A123" s="6" t="str">
        <f>IFERROR(__xludf.DUMMYFUNCTION("""COMPUTED_VALUE"""),"MA649")</f>
        <v>MA649</v>
      </c>
      <c r="B123" s="204">
        <f>IFERROR(__xludf.DUMMYFUNCTION("""COMPUTED_VALUE"""),44571.0)</f>
        <v>44571</v>
      </c>
      <c r="C123" s="250">
        <f>IFERROR(__xludf.DUMMYFUNCTION("""COMPUTED_VALUE"""),0.3345138888888889)</f>
        <v>0.3345138889</v>
      </c>
      <c r="D123" s="6" t="str">
        <f>IFERROR(__xludf.DUMMYFUNCTION("""COMPUTED_VALUE"""),"SpBEND136234")</f>
        <v>SpBEND136234</v>
      </c>
      <c r="E123" s="251"/>
      <c r="F123" s="251"/>
      <c r="G123" s="251" t="str">
        <f>IFERROR(__xludf.DUMMYFUNCTION("""COMPUTED_VALUE"""),"Negative")</f>
        <v>Negative</v>
      </c>
      <c r="H123" s="262" t="str">
        <f>IFERROR(__xludf.DUMMYFUNCTION("""COMPUTED_VALUE"""),"Negative")</f>
        <v>Negative</v>
      </c>
      <c r="I123" s="204">
        <f>IFERROR(__xludf.DUMMYFUNCTION("""COMPUTED_VALUE"""),44571.0)</f>
        <v>44571</v>
      </c>
      <c r="J123" s="252">
        <f>IFERROR(__xludf.DUMMYFUNCTION("""COMPUTED_VALUE"""),0.46598379629629627)</f>
        <v>0.4659837963</v>
      </c>
      <c r="K123" s="56"/>
      <c r="L123" s="6"/>
      <c r="M123" s="61"/>
      <c r="N123" s="61">
        <f>IFERROR(__xludf.DUMMYFUNCTION("""COMPUTED_VALUE"""),1.0)</f>
        <v>1</v>
      </c>
      <c r="O123" s="61" t="str">
        <f t="shared" si="3"/>
        <v/>
      </c>
      <c r="P123" s="253">
        <f>IFERROR(__xludf.DUMMYFUNCTION("""COMPUTED_VALUE"""),0.0)</f>
        <v>0</v>
      </c>
      <c r="Q123" s="254" t="str">
        <f>VLOOKUP($B123,'Run Reconcile'!B$2:O799,14,FALSE)</f>
        <v/>
      </c>
      <c r="R123" s="255" t="str">
        <f t="array" ref="R123">IF($Q123, INDEX('Run Reconcile'!A$2:A799,MATCH(B123,'Run Reconcile'!B$2:B799,0),1),IFERROR(0/0,""))</f>
        <v/>
      </c>
      <c r="S123" s="261" t="str">
        <f t="shared" ref="S123:T123" si="250">IF(COUNTIF(W$2:W799, $A123) &gt; 0,TRUE,IFERROR(0/0,""))</f>
        <v/>
      </c>
      <c r="T123" s="261" t="str">
        <f t="shared" si="250"/>
        <v/>
      </c>
      <c r="U123" s="257" t="str">
        <f t="array" ref="U123">IF(ISBLANK($R123), INDEX('Run Reconcile'!A$2:A799, MATCH($B123, 'Run Reconcile'!B$2:B799, 0)+Z123, 1), IFERROR(0/0,""))
</f>
        <v>RUN-BEND_2022-01-10_RFR-012</v>
      </c>
      <c r="V123" s="258" t="str">
        <f t="shared" si="5"/>
        <v>RUN-BEND_2022-01-10_RFR-012</v>
      </c>
      <c r="Y123" s="130" t="str">
        <f t="shared" si="6"/>
        <v/>
      </c>
      <c r="Z123" s="49" t="str">
        <f t="shared" si="7"/>
        <v/>
      </c>
      <c r="AA123" s="49" t="str">
        <f t="shared" si="8"/>
        <v/>
      </c>
      <c r="AB123" s="49" t="str">
        <f t="shared" si="9"/>
        <v/>
      </c>
      <c r="AC123" s="20" t="str">
        <f t="shared" ref="AC123:AD123" si="251">IF(_xlfn.ISFORMULA(S123),IFERROR(0/0,""),TRUE)</f>
        <v/>
      </c>
      <c r="AD123" s="20" t="str">
        <f t="shared" si="251"/>
        <v/>
      </c>
      <c r="AE123" s="43"/>
      <c r="AF123" s="62" t="s">
        <v>40</v>
      </c>
      <c r="AG123" s="57" t="str">
        <f t="shared" si="11"/>
        <v/>
      </c>
    </row>
    <row r="124">
      <c r="A124" s="6" t="str">
        <f>IFERROR(__xludf.DUMMYFUNCTION("""COMPUTED_VALUE"""),"MA647")</f>
        <v>MA647</v>
      </c>
      <c r="B124" s="204">
        <f>IFERROR(__xludf.DUMMYFUNCTION("""COMPUTED_VALUE"""),44571.0)</f>
        <v>44571</v>
      </c>
      <c r="C124" s="250">
        <f>IFERROR(__xludf.DUMMYFUNCTION("""COMPUTED_VALUE"""),0.3371412037037037)</f>
        <v>0.3371412037</v>
      </c>
      <c r="D124" s="6" t="str">
        <f>IFERROR(__xludf.DUMMYFUNCTION("""COMPUTED_VALUE"""),"SpBEND481988")</f>
        <v>SpBEND481988</v>
      </c>
      <c r="E124" s="251"/>
      <c r="F124" s="251"/>
      <c r="G124" s="251" t="str">
        <f>IFERROR(__xludf.DUMMYFUNCTION("""COMPUTED_VALUE"""),"Negative")</f>
        <v>Negative</v>
      </c>
      <c r="H124" s="262" t="str">
        <f>IFERROR(__xludf.DUMMYFUNCTION("""COMPUTED_VALUE"""),"Negative")</f>
        <v>Negative</v>
      </c>
      <c r="I124" s="204">
        <f>IFERROR(__xludf.DUMMYFUNCTION("""COMPUTED_VALUE"""),44571.0)</f>
        <v>44571</v>
      </c>
      <c r="J124" s="252">
        <f>IFERROR(__xludf.DUMMYFUNCTION("""COMPUTED_VALUE"""),0.46598379629629627)</f>
        <v>0.4659837963</v>
      </c>
      <c r="K124" s="56"/>
      <c r="L124" s="6"/>
      <c r="M124" s="61"/>
      <c r="N124" s="61">
        <f>IFERROR(__xludf.DUMMYFUNCTION("""COMPUTED_VALUE"""),1.0)</f>
        <v>1</v>
      </c>
      <c r="O124" s="61" t="str">
        <f t="shared" si="3"/>
        <v/>
      </c>
      <c r="P124" s="253">
        <f>IFERROR(__xludf.DUMMYFUNCTION("""COMPUTED_VALUE"""),0.0)</f>
        <v>0</v>
      </c>
      <c r="Q124" s="254" t="str">
        <f>VLOOKUP($B124,'Run Reconcile'!B$2:O799,14,FALSE)</f>
        <v/>
      </c>
      <c r="R124" s="255" t="str">
        <f t="array" ref="R124">IF($Q124, INDEX('Run Reconcile'!A$2:A799,MATCH(B124,'Run Reconcile'!B$2:B799,0),1),IFERROR(0/0,""))</f>
        <v/>
      </c>
      <c r="S124" s="261" t="str">
        <f t="shared" ref="S124:T124" si="252">IF(COUNTIF(W$2:W799, $A124) &gt; 0,TRUE,IFERROR(0/0,""))</f>
        <v/>
      </c>
      <c r="T124" s="261" t="str">
        <f t="shared" si="252"/>
        <v/>
      </c>
      <c r="U124" s="257" t="str">
        <f t="array" ref="U124">IF(ISBLANK($R124), INDEX('Run Reconcile'!A$2:A799, MATCH($B124, 'Run Reconcile'!B$2:B799, 0)+Z124, 1), IFERROR(0/0,""))
</f>
        <v>RUN-BEND_2022-01-10_RFR-012</v>
      </c>
      <c r="V124" s="258" t="str">
        <f t="shared" si="5"/>
        <v>RUN-BEND_2022-01-10_RFR-012</v>
      </c>
      <c r="Y124" s="130" t="str">
        <f t="shared" si="6"/>
        <v/>
      </c>
      <c r="Z124" s="49" t="str">
        <f t="shared" si="7"/>
        <v/>
      </c>
      <c r="AA124" s="49" t="str">
        <f t="shared" si="8"/>
        <v/>
      </c>
      <c r="AB124" s="49" t="str">
        <f t="shared" si="9"/>
        <v/>
      </c>
      <c r="AC124" s="20" t="str">
        <f t="shared" ref="AC124:AD124" si="253">IF(_xlfn.ISFORMULA(S124),IFERROR(0/0,""),TRUE)</f>
        <v/>
      </c>
      <c r="AD124" s="20" t="str">
        <f t="shared" si="253"/>
        <v/>
      </c>
      <c r="AE124" s="43"/>
      <c r="AF124" s="62" t="s">
        <v>40</v>
      </c>
      <c r="AG124" s="57" t="str">
        <f t="shared" si="11"/>
        <v/>
      </c>
    </row>
    <row r="125">
      <c r="A125" s="6" t="str">
        <f>IFERROR(__xludf.DUMMYFUNCTION("""COMPUTED_VALUE"""),"MAX59")</f>
        <v>MAX59</v>
      </c>
      <c r="B125" s="204">
        <f>IFERROR(__xludf.DUMMYFUNCTION("""COMPUTED_VALUE"""),44571.0)</f>
        <v>44571</v>
      </c>
      <c r="C125" s="250">
        <f>IFERROR(__xludf.DUMMYFUNCTION("""COMPUTED_VALUE"""),0.3444212962962963)</f>
        <v>0.3444212963</v>
      </c>
      <c r="D125" s="6" t="str">
        <f>IFERROR(__xludf.DUMMYFUNCTION("""COMPUTED_VALUE"""),"SpBEND269695")</f>
        <v>SpBEND269695</v>
      </c>
      <c r="E125" s="251"/>
      <c r="F125" s="251"/>
      <c r="G125" s="251" t="str">
        <f>IFERROR(__xludf.DUMMYFUNCTION("""COMPUTED_VALUE"""),"Negative")</f>
        <v>Negative</v>
      </c>
      <c r="H125" s="262" t="str">
        <f>IFERROR(__xludf.DUMMYFUNCTION("""COMPUTED_VALUE"""),"Negative")</f>
        <v>Negative</v>
      </c>
      <c r="I125" s="204">
        <f>IFERROR(__xludf.DUMMYFUNCTION("""COMPUTED_VALUE"""),44571.0)</f>
        <v>44571</v>
      </c>
      <c r="J125" s="252">
        <f>IFERROR(__xludf.DUMMYFUNCTION("""COMPUTED_VALUE"""),0.46598379629629627)</f>
        <v>0.4659837963</v>
      </c>
      <c r="K125" s="56"/>
      <c r="L125" s="6"/>
      <c r="M125" s="61"/>
      <c r="N125" s="61">
        <f>IFERROR(__xludf.DUMMYFUNCTION("""COMPUTED_VALUE"""),1.0)</f>
        <v>1</v>
      </c>
      <c r="O125" s="61" t="str">
        <f t="shared" si="3"/>
        <v/>
      </c>
      <c r="P125" s="253">
        <f>IFERROR(__xludf.DUMMYFUNCTION("""COMPUTED_VALUE"""),0.0)</f>
        <v>0</v>
      </c>
      <c r="Q125" s="254" t="str">
        <f>VLOOKUP($B125,'Run Reconcile'!B$2:O799,14,FALSE)</f>
        <v/>
      </c>
      <c r="R125" s="255" t="str">
        <f t="array" ref="R125">IF($Q125, INDEX('Run Reconcile'!A$2:A799,MATCH(B125,'Run Reconcile'!B$2:B799,0),1),IFERROR(0/0,""))</f>
        <v/>
      </c>
      <c r="S125" s="261" t="str">
        <f t="shared" ref="S125:T125" si="254">IF(COUNTIF(W$2:W799, $A125) &gt; 0,TRUE,IFERROR(0/0,""))</f>
        <v/>
      </c>
      <c r="T125" s="261" t="str">
        <f t="shared" si="254"/>
        <v/>
      </c>
      <c r="U125" s="257" t="str">
        <f t="array" ref="U125">IF(ISBLANK($R125), INDEX('Run Reconcile'!A$2:A799, MATCH($B125, 'Run Reconcile'!B$2:B799, 0)+Z125, 1), IFERROR(0/0,""))
</f>
        <v>RUN-BEND_2022-01-10_RFR-012</v>
      </c>
      <c r="V125" s="258" t="str">
        <f t="shared" si="5"/>
        <v>RUN-BEND_2022-01-10_RFR-012</v>
      </c>
      <c r="Y125" s="130" t="str">
        <f t="shared" si="6"/>
        <v/>
      </c>
      <c r="Z125" s="49" t="str">
        <f t="shared" si="7"/>
        <v/>
      </c>
      <c r="AA125" s="49" t="str">
        <f t="shared" si="8"/>
        <v/>
      </c>
      <c r="AB125" s="49" t="str">
        <f t="shared" si="9"/>
        <v/>
      </c>
      <c r="AC125" s="20" t="str">
        <f t="shared" ref="AC125:AD125" si="255">IF(_xlfn.ISFORMULA(S125),IFERROR(0/0,""),TRUE)</f>
        <v/>
      </c>
      <c r="AD125" s="20" t="str">
        <f t="shared" si="255"/>
        <v/>
      </c>
      <c r="AE125" s="43"/>
      <c r="AF125" s="62" t="s">
        <v>40</v>
      </c>
      <c r="AG125" s="57" t="str">
        <f t="shared" si="11"/>
        <v/>
      </c>
    </row>
    <row r="126">
      <c r="A126" s="6" t="str">
        <f>IFERROR(__xludf.DUMMYFUNCTION("""COMPUTED_VALUE"""),"MA1035")</f>
        <v>MA1035</v>
      </c>
      <c r="B126" s="204">
        <f>IFERROR(__xludf.DUMMYFUNCTION("""COMPUTED_VALUE"""),44571.0)</f>
        <v>44571</v>
      </c>
      <c r="C126" s="250">
        <f>IFERROR(__xludf.DUMMYFUNCTION("""COMPUTED_VALUE"""),0.3492013888888889)</f>
        <v>0.3492013889</v>
      </c>
      <c r="D126" s="6" t="str">
        <f>IFERROR(__xludf.DUMMYFUNCTION("""COMPUTED_VALUE"""),"SpBEND985296")</f>
        <v>SpBEND985296</v>
      </c>
      <c r="E126" s="251"/>
      <c r="F126" s="251"/>
      <c r="G126" s="251" t="str">
        <f>IFERROR(__xludf.DUMMYFUNCTION("""COMPUTED_VALUE"""),"Negative")</f>
        <v>Negative</v>
      </c>
      <c r="H126" s="262" t="str">
        <f>IFERROR(__xludf.DUMMYFUNCTION("""COMPUTED_VALUE"""),"Negative")</f>
        <v>Negative</v>
      </c>
      <c r="I126" s="204">
        <f>IFERROR(__xludf.DUMMYFUNCTION("""COMPUTED_VALUE"""),44571.0)</f>
        <v>44571</v>
      </c>
      <c r="J126" s="252">
        <f>IFERROR(__xludf.DUMMYFUNCTION("""COMPUTED_VALUE"""),0.46598379629629627)</f>
        <v>0.4659837963</v>
      </c>
      <c r="K126" s="56"/>
      <c r="L126" s="6"/>
      <c r="M126" s="61"/>
      <c r="N126" s="61">
        <f>IFERROR(__xludf.DUMMYFUNCTION("""COMPUTED_VALUE"""),1.0)</f>
        <v>1</v>
      </c>
      <c r="O126" s="61" t="str">
        <f t="shared" si="3"/>
        <v/>
      </c>
      <c r="P126" s="253">
        <f>IFERROR(__xludf.DUMMYFUNCTION("""COMPUTED_VALUE"""),0.0)</f>
        <v>0</v>
      </c>
      <c r="Q126" s="254" t="str">
        <f>VLOOKUP($B126,'Run Reconcile'!B$2:O799,14,FALSE)</f>
        <v/>
      </c>
      <c r="R126" s="255" t="str">
        <f t="array" ref="R126">IF($Q126, INDEX('Run Reconcile'!A$2:A799,MATCH(B126,'Run Reconcile'!B$2:B799,0),1),IFERROR(0/0,""))</f>
        <v/>
      </c>
      <c r="S126" s="261" t="str">
        <f t="shared" ref="S126:T126" si="256">IF(COUNTIF(W$2:W799, $A126) &gt; 0,TRUE,IFERROR(0/0,""))</f>
        <v/>
      </c>
      <c r="T126" s="261" t="str">
        <f t="shared" si="256"/>
        <v/>
      </c>
      <c r="U126" s="257" t="str">
        <f t="array" ref="U126">IF(ISBLANK($R126), INDEX('Run Reconcile'!A$2:A799, MATCH($B126, 'Run Reconcile'!B$2:B799, 0)+Z126, 1), IFERROR(0/0,""))
</f>
        <v>RUN-BEND_2022-01-10_RFR-012</v>
      </c>
      <c r="V126" s="258" t="str">
        <f t="shared" si="5"/>
        <v>RUN-BEND_2022-01-10_RFR-012</v>
      </c>
      <c r="Y126" s="130" t="str">
        <f t="shared" si="6"/>
        <v/>
      </c>
      <c r="Z126" s="49" t="str">
        <f t="shared" si="7"/>
        <v/>
      </c>
      <c r="AA126" s="49" t="str">
        <f t="shared" si="8"/>
        <v/>
      </c>
      <c r="AB126" s="49" t="str">
        <f t="shared" si="9"/>
        <v/>
      </c>
      <c r="AC126" s="20" t="str">
        <f t="shared" ref="AC126:AD126" si="257">IF(_xlfn.ISFORMULA(S126),IFERROR(0/0,""),TRUE)</f>
        <v/>
      </c>
      <c r="AD126" s="20" t="str">
        <f t="shared" si="257"/>
        <v/>
      </c>
      <c r="AE126" s="43"/>
      <c r="AF126" s="62" t="s">
        <v>40</v>
      </c>
      <c r="AG126" s="57" t="str">
        <f t="shared" si="11"/>
        <v/>
      </c>
    </row>
    <row r="127">
      <c r="A127" s="6" t="str">
        <f>IFERROR(__xludf.DUMMYFUNCTION("""COMPUTED_VALUE"""),"MA1024")</f>
        <v>MA1024</v>
      </c>
      <c r="B127" s="204">
        <f>IFERROR(__xludf.DUMMYFUNCTION("""COMPUTED_VALUE"""),44571.0)</f>
        <v>44571</v>
      </c>
      <c r="C127" s="250">
        <f>IFERROR(__xludf.DUMMYFUNCTION("""COMPUTED_VALUE"""),0.35119212962962965)</f>
        <v>0.3511921296</v>
      </c>
      <c r="D127" s="6" t="str">
        <f>IFERROR(__xludf.DUMMYFUNCTION("""COMPUTED_VALUE"""),"SpBEND652059")</f>
        <v>SpBEND652059</v>
      </c>
      <c r="E127" s="251"/>
      <c r="F127" s="251"/>
      <c r="G127" s="251" t="str">
        <f>IFERROR(__xludf.DUMMYFUNCTION("""COMPUTED_VALUE"""),"Positive")</f>
        <v>Positive</v>
      </c>
      <c r="H127" s="262" t="str">
        <f>IFERROR(__xludf.DUMMYFUNCTION("""COMPUTED_VALUE"""),"Positive")</f>
        <v>Positive</v>
      </c>
      <c r="I127" s="263">
        <f>IFERROR(__xludf.DUMMYFUNCTION("""COMPUTED_VALUE"""),44579.0)</f>
        <v>44579</v>
      </c>
      <c r="J127" s="252">
        <f>IFERROR(__xludf.DUMMYFUNCTION("""COMPUTED_VALUE"""),0.5015740740740741)</f>
        <v>0.5015740741</v>
      </c>
      <c r="K127" s="56"/>
      <c r="L127" s="6"/>
      <c r="M127" s="61"/>
      <c r="N127" s="61">
        <f>IFERROR(__xludf.DUMMYFUNCTION("""COMPUTED_VALUE"""),1.0)</f>
        <v>1</v>
      </c>
      <c r="O127" s="61" t="str">
        <f t="shared" si="3"/>
        <v/>
      </c>
      <c r="P127" s="253">
        <f>IFERROR(__xludf.DUMMYFUNCTION("""COMPUTED_VALUE"""),8.0)</f>
        <v>8</v>
      </c>
      <c r="Q127" s="254" t="str">
        <f>VLOOKUP($B127,'Run Reconcile'!B$2:O799,14,FALSE)</f>
        <v/>
      </c>
      <c r="R127" s="255" t="str">
        <f t="array" ref="R127">IF($Q127, INDEX('Run Reconcile'!A$2:A799,MATCH(B127,'Run Reconcile'!B$2:B799,0),1),IFERROR(0/0,""))</f>
        <v/>
      </c>
      <c r="S127" s="261" t="str">
        <f t="shared" ref="S127:T127" si="258">IF(COUNTIF(W$2:W799, $A127) &gt; 0,TRUE,IFERROR(0/0,""))</f>
        <v/>
      </c>
      <c r="T127" s="261" t="str">
        <f t="shared" si="258"/>
        <v/>
      </c>
      <c r="U127" s="257" t="str">
        <f t="array" ref="U127">IF(ISBLANK($R127), INDEX('Run Reconcile'!A$2:A799, MATCH($B127, 'Run Reconcile'!B$2:B799, 0)+Z127, 1), IFERROR(0/0,""))
</f>
        <v>RUN-BEND_2022-01-10_RFR-012</v>
      </c>
      <c r="V127" s="258" t="str">
        <f t="shared" si="5"/>
        <v>RUN-BEND_2022-01-10_RFR-012</v>
      </c>
      <c r="Y127" s="130" t="str">
        <f t="shared" si="6"/>
        <v/>
      </c>
      <c r="Z127" s="49" t="str">
        <f t="shared" si="7"/>
        <v/>
      </c>
      <c r="AA127" s="49" t="str">
        <f t="shared" si="8"/>
        <v/>
      </c>
      <c r="AB127" s="49" t="str">
        <f t="shared" si="9"/>
        <v/>
      </c>
      <c r="AC127" s="20" t="str">
        <f t="shared" ref="AC127:AD127" si="259">IF(_xlfn.ISFORMULA(S127),IFERROR(0/0,""),TRUE)</f>
        <v/>
      </c>
      <c r="AD127" s="20" t="str">
        <f t="shared" si="259"/>
        <v/>
      </c>
      <c r="AE127" s="43"/>
      <c r="AF127" s="62" t="s">
        <v>40</v>
      </c>
      <c r="AG127" s="57" t="str">
        <f t="shared" si="11"/>
        <v/>
      </c>
    </row>
    <row r="128">
      <c r="A128" s="6" t="str">
        <f>IFERROR(__xludf.DUMMYFUNCTION("""COMPUTED_VALUE"""),"MA1147")</f>
        <v>MA1147</v>
      </c>
      <c r="B128" s="204">
        <f>IFERROR(__xludf.DUMMYFUNCTION("""COMPUTED_VALUE"""),44571.0)</f>
        <v>44571</v>
      </c>
      <c r="C128" s="250">
        <f>IFERROR(__xludf.DUMMYFUNCTION("""COMPUTED_VALUE"""),0.35587962962962966)</f>
        <v>0.3558796296</v>
      </c>
      <c r="D128" s="6" t="str">
        <f>IFERROR(__xludf.DUMMYFUNCTION("""COMPUTED_VALUE"""),"SpBEND110967")</f>
        <v>SpBEND110967</v>
      </c>
      <c r="E128" s="251"/>
      <c r="F128" s="251"/>
      <c r="G128" s="251" t="str">
        <f>IFERROR(__xludf.DUMMYFUNCTION("""COMPUTED_VALUE"""),"Negative")</f>
        <v>Negative</v>
      </c>
      <c r="H128" s="262" t="str">
        <f>IFERROR(__xludf.DUMMYFUNCTION("""COMPUTED_VALUE"""),"Negative")</f>
        <v>Negative</v>
      </c>
      <c r="I128" s="204">
        <f>IFERROR(__xludf.DUMMYFUNCTION("""COMPUTED_VALUE"""),44571.0)</f>
        <v>44571</v>
      </c>
      <c r="J128" s="252">
        <f>IFERROR(__xludf.DUMMYFUNCTION("""COMPUTED_VALUE"""),0.46598379629629627)</f>
        <v>0.4659837963</v>
      </c>
      <c r="K128" s="56"/>
      <c r="L128" s="6"/>
      <c r="M128" s="61"/>
      <c r="N128" s="61">
        <f>IFERROR(__xludf.DUMMYFUNCTION("""COMPUTED_VALUE"""),1.0)</f>
        <v>1</v>
      </c>
      <c r="O128" s="61" t="str">
        <f t="shared" si="3"/>
        <v/>
      </c>
      <c r="P128" s="253">
        <f>IFERROR(__xludf.DUMMYFUNCTION("""COMPUTED_VALUE"""),0.0)</f>
        <v>0</v>
      </c>
      <c r="Q128" s="254" t="str">
        <f>VLOOKUP($B128,'Run Reconcile'!B$2:O799,14,FALSE)</f>
        <v/>
      </c>
      <c r="R128" s="255" t="str">
        <f t="array" ref="R128">IF($Q128, INDEX('Run Reconcile'!A$2:A799,MATCH(B128,'Run Reconcile'!B$2:B799,0),1),IFERROR(0/0,""))</f>
        <v/>
      </c>
      <c r="S128" s="261" t="str">
        <f t="shared" ref="S128:T128" si="260">IF(COUNTIF(W$2:W799, $A128) &gt; 0,TRUE,IFERROR(0/0,""))</f>
        <v/>
      </c>
      <c r="T128" s="261" t="str">
        <f t="shared" si="260"/>
        <v/>
      </c>
      <c r="U128" s="257" t="str">
        <f t="array" ref="U128">IF(ISBLANK($R128), INDEX('Run Reconcile'!A$2:A799, MATCH($B128, 'Run Reconcile'!B$2:B799, 0)+Z128, 1), IFERROR(0/0,""))
</f>
        <v>RUN-BEND_2022-01-10_RFR-012</v>
      </c>
      <c r="V128" s="258" t="str">
        <f t="shared" si="5"/>
        <v>RUN-BEND_2022-01-10_RFR-012</v>
      </c>
      <c r="Y128" s="130" t="str">
        <f t="shared" si="6"/>
        <v/>
      </c>
      <c r="Z128" s="49" t="str">
        <f t="shared" si="7"/>
        <v/>
      </c>
      <c r="AA128" s="49" t="str">
        <f t="shared" si="8"/>
        <v/>
      </c>
      <c r="AB128" s="49" t="str">
        <f t="shared" si="9"/>
        <v/>
      </c>
      <c r="AC128" s="20" t="str">
        <f t="shared" ref="AC128:AD128" si="261">IF(_xlfn.ISFORMULA(S128),IFERROR(0/0,""),TRUE)</f>
        <v/>
      </c>
      <c r="AD128" s="20" t="str">
        <f t="shared" si="261"/>
        <v/>
      </c>
      <c r="AE128" s="43"/>
      <c r="AF128" s="62" t="s">
        <v>40</v>
      </c>
      <c r="AG128" s="57" t="str">
        <f t="shared" si="11"/>
        <v/>
      </c>
    </row>
    <row r="129">
      <c r="A129" s="6" t="str">
        <f>IFERROR(__xludf.DUMMYFUNCTION("""COMPUTED_VALUE"""),"MA463")</f>
        <v>MA463</v>
      </c>
      <c r="B129" s="204">
        <f>IFERROR(__xludf.DUMMYFUNCTION("""COMPUTED_VALUE"""),44571.0)</f>
        <v>44571</v>
      </c>
      <c r="C129" s="250">
        <f>IFERROR(__xludf.DUMMYFUNCTION("""COMPUTED_VALUE"""),0.3882638888888889)</f>
        <v>0.3882638889</v>
      </c>
      <c r="D129" s="6" t="str">
        <f>IFERROR(__xludf.DUMMYFUNCTION("""COMPUTED_VALUE"""),"SpBEND394154")</f>
        <v>SpBEND394154</v>
      </c>
      <c r="E129" s="251"/>
      <c r="F129" s="251"/>
      <c r="G129" s="251" t="str">
        <f>IFERROR(__xludf.DUMMYFUNCTION("""COMPUTED_VALUE"""),"Positive")</f>
        <v>Positive</v>
      </c>
      <c r="H129" s="262" t="str">
        <f>IFERROR(__xludf.DUMMYFUNCTION("""COMPUTED_VALUE"""),"Positive")</f>
        <v>Positive</v>
      </c>
      <c r="I129" s="263">
        <f>IFERROR(__xludf.DUMMYFUNCTION("""COMPUTED_VALUE"""),44579.0)</f>
        <v>44579</v>
      </c>
      <c r="J129" s="252">
        <f>IFERROR(__xludf.DUMMYFUNCTION("""COMPUTED_VALUE"""),0.5015740740740741)</f>
        <v>0.5015740741</v>
      </c>
      <c r="K129" s="56"/>
      <c r="L129" s="6"/>
      <c r="M129" s="61"/>
      <c r="N129" s="61">
        <f>IFERROR(__xludf.DUMMYFUNCTION("""COMPUTED_VALUE"""),1.0)</f>
        <v>1</v>
      </c>
      <c r="O129" s="61" t="str">
        <f t="shared" si="3"/>
        <v/>
      </c>
      <c r="P129" s="253">
        <f>IFERROR(__xludf.DUMMYFUNCTION("""COMPUTED_VALUE"""),8.0)</f>
        <v>8</v>
      </c>
      <c r="Q129" s="254" t="str">
        <f>VLOOKUP($B129,'Run Reconcile'!B$2:O799,14,FALSE)</f>
        <v/>
      </c>
      <c r="R129" s="255" t="str">
        <f t="array" ref="R129">IF($Q129, INDEX('Run Reconcile'!A$2:A799,MATCH(B129,'Run Reconcile'!B$2:B799,0),1),IFERROR(0/0,""))</f>
        <v/>
      </c>
      <c r="S129" s="261" t="str">
        <f t="shared" ref="S129:T129" si="262">IF(COUNTIF(W$2:W799, $A129) &gt; 0,TRUE,IFERROR(0/0,""))</f>
        <v/>
      </c>
      <c r="T129" s="261" t="str">
        <f t="shared" si="262"/>
        <v/>
      </c>
      <c r="U129" s="257" t="str">
        <f t="array" ref="U129">IF(ISBLANK($R129), INDEX('Run Reconcile'!A$2:A799, MATCH($B129, 'Run Reconcile'!B$2:B799, 0)+Z129, 1), IFERROR(0/0,""))
</f>
        <v>RUN-BEND_2022-01-10_RFR-012</v>
      </c>
      <c r="V129" s="258" t="str">
        <f t="shared" si="5"/>
        <v>RUN-BEND_2022-01-10_RFR-012</v>
      </c>
      <c r="Y129" s="130" t="str">
        <f t="shared" si="6"/>
        <v/>
      </c>
      <c r="Z129" s="49" t="str">
        <f t="shared" si="7"/>
        <v/>
      </c>
      <c r="AA129" s="49" t="str">
        <f t="shared" si="8"/>
        <v/>
      </c>
      <c r="AB129" s="49" t="str">
        <f t="shared" si="9"/>
        <v/>
      </c>
      <c r="AC129" s="20" t="str">
        <f t="shared" ref="AC129:AD129" si="263">IF(_xlfn.ISFORMULA(S129),IFERROR(0/0,""),TRUE)</f>
        <v/>
      </c>
      <c r="AD129" s="20" t="str">
        <f t="shared" si="263"/>
        <v/>
      </c>
      <c r="AE129" s="43"/>
      <c r="AF129" s="62" t="s">
        <v>40</v>
      </c>
      <c r="AG129" s="57" t="str">
        <f t="shared" si="11"/>
        <v/>
      </c>
    </row>
    <row r="130">
      <c r="A130" s="6" t="str">
        <f>IFERROR(__xludf.DUMMYFUNCTION("""COMPUTED_VALUE"""),"MAX51")</f>
        <v>MAX51</v>
      </c>
      <c r="B130" s="204">
        <f>IFERROR(__xludf.DUMMYFUNCTION("""COMPUTED_VALUE"""),44571.0)</f>
        <v>44571</v>
      </c>
      <c r="C130" s="250">
        <f>IFERROR(__xludf.DUMMYFUNCTION("""COMPUTED_VALUE"""),0.38880787037037035)</f>
        <v>0.3888078704</v>
      </c>
      <c r="D130" s="6" t="str">
        <f>IFERROR(__xludf.DUMMYFUNCTION("""COMPUTED_VALUE"""),"SpBEND394154")</f>
        <v>SpBEND394154</v>
      </c>
      <c r="E130" s="251"/>
      <c r="F130" s="251"/>
      <c r="G130" s="251" t="str">
        <f>IFERROR(__xludf.DUMMYFUNCTION("""COMPUTED_VALUE"""),"Positive")</f>
        <v>Positive</v>
      </c>
      <c r="H130" s="262" t="str">
        <f>IFERROR(__xludf.DUMMYFUNCTION("""COMPUTED_VALUE"""),"Positive")</f>
        <v>Positive</v>
      </c>
      <c r="I130" s="263">
        <f>IFERROR(__xludf.DUMMYFUNCTION("""COMPUTED_VALUE"""),44579.0)</f>
        <v>44579</v>
      </c>
      <c r="J130" s="252">
        <f>IFERROR(__xludf.DUMMYFUNCTION("""COMPUTED_VALUE"""),0.5015740740740741)</f>
        <v>0.5015740741</v>
      </c>
      <c r="K130" s="56"/>
      <c r="L130" s="6"/>
      <c r="M130" s="61"/>
      <c r="N130" s="61">
        <f>IFERROR(__xludf.DUMMYFUNCTION("""COMPUTED_VALUE"""),1.0)</f>
        <v>1</v>
      </c>
      <c r="O130" s="61" t="str">
        <f t="shared" si="3"/>
        <v/>
      </c>
      <c r="P130" s="253">
        <f>IFERROR(__xludf.DUMMYFUNCTION("""COMPUTED_VALUE"""),8.0)</f>
        <v>8</v>
      </c>
      <c r="Q130" s="254" t="str">
        <f>VLOOKUP($B130,'Run Reconcile'!B$2:O799,14,FALSE)</f>
        <v/>
      </c>
      <c r="R130" s="255" t="str">
        <f t="array" ref="R130">IF($Q130, INDEX('Run Reconcile'!A$2:A799,MATCH(B130,'Run Reconcile'!B$2:B799,0),1),IFERROR(0/0,""))</f>
        <v/>
      </c>
      <c r="S130" s="261" t="str">
        <f t="shared" ref="S130:T130" si="264">IF(COUNTIF(W$2:W799, $A130) &gt; 0,TRUE,IFERROR(0/0,""))</f>
        <v/>
      </c>
      <c r="T130" s="261" t="str">
        <f t="shared" si="264"/>
        <v/>
      </c>
      <c r="U130" s="257" t="str">
        <f t="array" ref="U130">IF(ISBLANK($R130), INDEX('Run Reconcile'!A$2:A799, MATCH($B130, 'Run Reconcile'!B$2:B799, 0)+Z130, 1), IFERROR(0/0,""))
</f>
        <v>RUN-BEND_2022-01-10_RFR-012</v>
      </c>
      <c r="V130" s="258" t="str">
        <f t="shared" si="5"/>
        <v>RUN-BEND_2022-01-10_RFR-012</v>
      </c>
      <c r="Y130" s="130" t="str">
        <f t="shared" si="6"/>
        <v/>
      </c>
      <c r="Z130" s="49" t="str">
        <f t="shared" si="7"/>
        <v/>
      </c>
      <c r="AA130" s="49" t="str">
        <f t="shared" si="8"/>
        <v/>
      </c>
      <c r="AB130" s="49" t="str">
        <f t="shared" si="9"/>
        <v/>
      </c>
      <c r="AC130" s="20" t="str">
        <f t="shared" ref="AC130:AD130" si="265">IF(_xlfn.ISFORMULA(S130),IFERROR(0/0,""),TRUE)</f>
        <v/>
      </c>
      <c r="AD130" s="20" t="str">
        <f t="shared" si="265"/>
        <v/>
      </c>
      <c r="AE130" s="43"/>
      <c r="AF130" s="62" t="s">
        <v>40</v>
      </c>
      <c r="AG130" s="57" t="str">
        <f t="shared" si="11"/>
        <v/>
      </c>
    </row>
    <row r="131">
      <c r="A131" s="6" t="str">
        <f>IFERROR(__xludf.DUMMYFUNCTION("""COMPUTED_VALUE"""),"MAX95")</f>
        <v>MAX95</v>
      </c>
      <c r="B131" s="204">
        <f>IFERROR(__xludf.DUMMYFUNCTION("""COMPUTED_VALUE"""),44571.0)</f>
        <v>44571</v>
      </c>
      <c r="C131" s="250">
        <f>IFERROR(__xludf.DUMMYFUNCTION("""COMPUTED_VALUE"""),0.38936342592592593)</f>
        <v>0.3893634259</v>
      </c>
      <c r="D131" s="6" t="str">
        <f>IFERROR(__xludf.DUMMYFUNCTION("""COMPUTED_VALUE"""),"SpBEND394154")</f>
        <v>SpBEND394154</v>
      </c>
      <c r="E131" s="251"/>
      <c r="F131" s="251"/>
      <c r="G131" s="251" t="str">
        <f>IFERROR(__xludf.DUMMYFUNCTION("""COMPUTED_VALUE"""),"Positive")</f>
        <v>Positive</v>
      </c>
      <c r="H131" s="262" t="str">
        <f>IFERROR(__xludf.DUMMYFUNCTION("""COMPUTED_VALUE"""),"Positive")</f>
        <v>Positive</v>
      </c>
      <c r="I131" s="263">
        <f>IFERROR(__xludf.DUMMYFUNCTION("""COMPUTED_VALUE"""),44579.0)</f>
        <v>44579</v>
      </c>
      <c r="J131" s="252">
        <f>IFERROR(__xludf.DUMMYFUNCTION("""COMPUTED_VALUE"""),0.5015740740740741)</f>
        <v>0.5015740741</v>
      </c>
      <c r="K131" s="56"/>
      <c r="L131" s="6"/>
      <c r="M131" s="61"/>
      <c r="N131" s="61">
        <f>IFERROR(__xludf.DUMMYFUNCTION("""COMPUTED_VALUE"""),1.0)</f>
        <v>1</v>
      </c>
      <c r="O131" s="61" t="str">
        <f t="shared" si="3"/>
        <v/>
      </c>
      <c r="P131" s="253">
        <f>IFERROR(__xludf.DUMMYFUNCTION("""COMPUTED_VALUE"""),8.0)</f>
        <v>8</v>
      </c>
      <c r="Q131" s="254" t="str">
        <f>VLOOKUP($B131,'Run Reconcile'!B$2:O799,14,FALSE)</f>
        <v/>
      </c>
      <c r="R131" s="255" t="str">
        <f t="array" ref="R131">IF($Q131, INDEX('Run Reconcile'!A$2:A799,MATCH(B131,'Run Reconcile'!B$2:B799,0),1),IFERROR(0/0,""))</f>
        <v/>
      </c>
      <c r="S131" s="261" t="str">
        <f t="shared" ref="S131:T131" si="266">IF(COUNTIF(W$2:W799, $A131) &gt; 0,TRUE,IFERROR(0/0,""))</f>
        <v/>
      </c>
      <c r="T131" s="261" t="str">
        <f t="shared" si="266"/>
        <v/>
      </c>
      <c r="U131" s="257" t="str">
        <f t="array" ref="U131">IF(ISBLANK($R131), INDEX('Run Reconcile'!A$2:A799, MATCH($B131, 'Run Reconcile'!B$2:B799, 0)+Z131, 1), IFERROR(0/0,""))
</f>
        <v>RUN-BEND_2022-01-10_RFR-012</v>
      </c>
      <c r="V131" s="258" t="str">
        <f t="shared" si="5"/>
        <v>RUN-BEND_2022-01-10_RFR-012</v>
      </c>
      <c r="Y131" s="130" t="str">
        <f t="shared" si="6"/>
        <v/>
      </c>
      <c r="Z131" s="49" t="str">
        <f t="shared" si="7"/>
        <v/>
      </c>
      <c r="AA131" s="49" t="str">
        <f t="shared" si="8"/>
        <v/>
      </c>
      <c r="AB131" s="49" t="str">
        <f t="shared" si="9"/>
        <v/>
      </c>
      <c r="AC131" s="20" t="str">
        <f t="shared" ref="AC131:AD131" si="267">IF(_xlfn.ISFORMULA(S131),IFERROR(0/0,""),TRUE)</f>
        <v/>
      </c>
      <c r="AD131" s="20" t="str">
        <f t="shared" si="267"/>
        <v/>
      </c>
      <c r="AE131" s="43"/>
      <c r="AF131" s="62" t="s">
        <v>40</v>
      </c>
      <c r="AG131" s="57" t="str">
        <f t="shared" si="11"/>
        <v/>
      </c>
    </row>
    <row r="132">
      <c r="A132" s="6" t="str">
        <f>IFERROR(__xludf.DUMMYFUNCTION("""COMPUTED_VALUE"""),"MAX69")</f>
        <v>MAX69</v>
      </c>
      <c r="B132" s="204">
        <f>IFERROR(__xludf.DUMMYFUNCTION("""COMPUTED_VALUE"""),44571.0)</f>
        <v>44571</v>
      </c>
      <c r="C132" s="250">
        <f>IFERROR(__xludf.DUMMYFUNCTION("""COMPUTED_VALUE"""),0.3899768518518518)</f>
        <v>0.3899768519</v>
      </c>
      <c r="D132" s="6" t="str">
        <f>IFERROR(__xludf.DUMMYFUNCTION("""COMPUTED_VALUE"""),"SpBEND394154")</f>
        <v>SpBEND394154</v>
      </c>
      <c r="E132" s="251"/>
      <c r="F132" s="251"/>
      <c r="G132" s="251" t="str">
        <f>IFERROR(__xludf.DUMMYFUNCTION("""COMPUTED_VALUE"""),"Positive")</f>
        <v>Positive</v>
      </c>
      <c r="H132" s="262" t="str">
        <f>IFERROR(__xludf.DUMMYFUNCTION("""COMPUTED_VALUE"""),"Positive")</f>
        <v>Positive</v>
      </c>
      <c r="I132" s="263">
        <f>IFERROR(__xludf.DUMMYFUNCTION("""COMPUTED_VALUE"""),44579.0)</f>
        <v>44579</v>
      </c>
      <c r="J132" s="252">
        <f>IFERROR(__xludf.DUMMYFUNCTION("""COMPUTED_VALUE"""),0.5015740740740741)</f>
        <v>0.5015740741</v>
      </c>
      <c r="K132" s="56"/>
      <c r="L132" s="6"/>
      <c r="M132" s="61"/>
      <c r="N132" s="61">
        <f>IFERROR(__xludf.DUMMYFUNCTION("""COMPUTED_VALUE"""),1.0)</f>
        <v>1</v>
      </c>
      <c r="O132" s="61" t="str">
        <f t="shared" si="3"/>
        <v/>
      </c>
      <c r="P132" s="253">
        <f>IFERROR(__xludf.DUMMYFUNCTION("""COMPUTED_VALUE"""),8.0)</f>
        <v>8</v>
      </c>
      <c r="Q132" s="254" t="str">
        <f>VLOOKUP($B132,'Run Reconcile'!B$2:O799,14,FALSE)</f>
        <v/>
      </c>
      <c r="R132" s="255" t="str">
        <f t="array" ref="R132">IF($Q132, INDEX('Run Reconcile'!A$2:A799,MATCH(B132,'Run Reconcile'!B$2:B799,0),1),IFERROR(0/0,""))</f>
        <v/>
      </c>
      <c r="S132" s="261" t="str">
        <f t="shared" ref="S132:T132" si="268">IF(COUNTIF(W$2:W799, $A132) &gt; 0,TRUE,IFERROR(0/0,""))</f>
        <v/>
      </c>
      <c r="T132" s="261" t="str">
        <f t="shared" si="268"/>
        <v/>
      </c>
      <c r="U132" s="257" t="str">
        <f t="array" ref="U132">IF(ISBLANK($R132), INDEX('Run Reconcile'!A$2:A799, MATCH($B132, 'Run Reconcile'!B$2:B799, 0)+Z132, 1), IFERROR(0/0,""))
</f>
        <v>RUN-BEND_2022-01-10_RFR-012</v>
      </c>
      <c r="V132" s="258" t="str">
        <f t="shared" si="5"/>
        <v>RUN-BEND_2022-01-10_RFR-012</v>
      </c>
      <c r="Y132" s="130" t="str">
        <f t="shared" si="6"/>
        <v/>
      </c>
      <c r="Z132" s="49" t="str">
        <f t="shared" si="7"/>
        <v/>
      </c>
      <c r="AA132" s="49" t="str">
        <f t="shared" si="8"/>
        <v/>
      </c>
      <c r="AB132" s="49" t="str">
        <f t="shared" si="9"/>
        <v/>
      </c>
      <c r="AC132" s="20" t="str">
        <f t="shared" ref="AC132:AD132" si="269">IF(_xlfn.ISFORMULA(S132),IFERROR(0/0,""),TRUE)</f>
        <v/>
      </c>
      <c r="AD132" s="20" t="str">
        <f t="shared" si="269"/>
        <v/>
      </c>
      <c r="AE132" s="43"/>
      <c r="AF132" s="62" t="s">
        <v>40</v>
      </c>
      <c r="AG132" s="57" t="str">
        <f t="shared" si="11"/>
        <v/>
      </c>
    </row>
    <row r="133">
      <c r="A133" s="6" t="str">
        <f>IFERROR(__xludf.DUMMYFUNCTION("""COMPUTED_VALUE"""),"MAX119")</f>
        <v>MAX119</v>
      </c>
      <c r="B133" s="204">
        <f>IFERROR(__xludf.DUMMYFUNCTION("""COMPUTED_VALUE"""),44571.0)</f>
        <v>44571</v>
      </c>
      <c r="C133" s="250">
        <f>IFERROR(__xludf.DUMMYFUNCTION("""COMPUTED_VALUE"""),0.3904398148148148)</f>
        <v>0.3904398148</v>
      </c>
      <c r="D133" s="6" t="str">
        <f>IFERROR(__xludf.DUMMYFUNCTION("""COMPUTED_VALUE"""),"SpBEND394154")</f>
        <v>SpBEND394154</v>
      </c>
      <c r="E133" s="251"/>
      <c r="F133" s="251"/>
      <c r="G133" s="251" t="str">
        <f>IFERROR(__xludf.DUMMYFUNCTION("""COMPUTED_VALUE"""),"Negative")</f>
        <v>Negative</v>
      </c>
      <c r="H133" s="262" t="str">
        <f>IFERROR(__xludf.DUMMYFUNCTION("""COMPUTED_VALUE"""),"Negative")</f>
        <v>Negative</v>
      </c>
      <c r="I133" s="263">
        <f>IFERROR(__xludf.DUMMYFUNCTION("""COMPUTED_VALUE"""),44571.0)</f>
        <v>44571</v>
      </c>
      <c r="J133" s="252">
        <f>IFERROR(__xludf.DUMMYFUNCTION("""COMPUTED_VALUE"""),0.46598379629629627)</f>
        <v>0.4659837963</v>
      </c>
      <c r="K133" s="56"/>
      <c r="L133" s="6"/>
      <c r="M133" s="61"/>
      <c r="N133" s="61">
        <f>IFERROR(__xludf.DUMMYFUNCTION("""COMPUTED_VALUE"""),1.0)</f>
        <v>1</v>
      </c>
      <c r="O133" s="61" t="str">
        <f t="shared" si="3"/>
        <v/>
      </c>
      <c r="P133" s="253">
        <f>IFERROR(__xludf.DUMMYFUNCTION("""COMPUTED_VALUE"""),0.0)</f>
        <v>0</v>
      </c>
      <c r="Q133" s="254" t="str">
        <f>VLOOKUP($B133,'Run Reconcile'!B$2:O799,14,FALSE)</f>
        <v/>
      </c>
      <c r="R133" s="255" t="str">
        <f t="array" ref="R133">IF($Q133, INDEX('Run Reconcile'!A$2:A799,MATCH(B133,'Run Reconcile'!B$2:B799,0),1),IFERROR(0/0,""))</f>
        <v/>
      </c>
      <c r="S133" s="261" t="str">
        <f t="shared" ref="S133:T133" si="270">IF(COUNTIF(W$2:W799, $A133) &gt; 0,TRUE,IFERROR(0/0,""))</f>
        <v/>
      </c>
      <c r="T133" s="261" t="str">
        <f t="shared" si="270"/>
        <v/>
      </c>
      <c r="U133" s="257" t="str">
        <f t="array" ref="U133">IF(ISBLANK($R133), INDEX('Run Reconcile'!A$2:A799, MATCH($B133, 'Run Reconcile'!B$2:B799, 0)+Z133, 1), IFERROR(0/0,""))
</f>
        <v>RUN-BEND_2022-01-10_RFR-012</v>
      </c>
      <c r="V133" s="258" t="str">
        <f t="shared" si="5"/>
        <v>RUN-BEND_2022-01-10_RFR-012</v>
      </c>
      <c r="Y133" s="130" t="str">
        <f t="shared" si="6"/>
        <v/>
      </c>
      <c r="Z133" s="49" t="str">
        <f t="shared" si="7"/>
        <v/>
      </c>
      <c r="AA133" s="49" t="str">
        <f t="shared" si="8"/>
        <v/>
      </c>
      <c r="AB133" s="49" t="str">
        <f t="shared" si="9"/>
        <v/>
      </c>
      <c r="AC133" s="20" t="str">
        <f t="shared" ref="AC133:AD133" si="271">IF(_xlfn.ISFORMULA(S133),IFERROR(0/0,""),TRUE)</f>
        <v/>
      </c>
      <c r="AD133" s="20" t="str">
        <f t="shared" si="271"/>
        <v/>
      </c>
      <c r="AE133" s="43"/>
      <c r="AF133" s="62" t="s">
        <v>40</v>
      </c>
      <c r="AG133" s="57" t="str">
        <f t="shared" si="11"/>
        <v/>
      </c>
    </row>
    <row r="134">
      <c r="A134" s="6" t="str">
        <f>IFERROR(__xludf.DUMMYFUNCTION("""COMPUTED_VALUE"""),"MA384")</f>
        <v>MA384</v>
      </c>
      <c r="B134" s="204">
        <f>IFERROR(__xludf.DUMMYFUNCTION("""COMPUTED_VALUE"""),44571.0)</f>
        <v>44571</v>
      </c>
      <c r="C134" s="250">
        <f>IFERROR(__xludf.DUMMYFUNCTION("""COMPUTED_VALUE"""),0.39141203703703703)</f>
        <v>0.391412037</v>
      </c>
      <c r="D134" s="6" t="str">
        <f>IFERROR(__xludf.DUMMYFUNCTION("""COMPUTED_VALUE"""),"SpBEND394154")</f>
        <v>SpBEND394154</v>
      </c>
      <c r="E134" s="251"/>
      <c r="F134" s="251"/>
      <c r="G134" s="251" t="str">
        <f>IFERROR(__xludf.DUMMYFUNCTION("""COMPUTED_VALUE"""),"Negative")</f>
        <v>Negative</v>
      </c>
      <c r="H134" s="262" t="str">
        <f>IFERROR(__xludf.DUMMYFUNCTION("""COMPUTED_VALUE"""),"Negative")</f>
        <v>Negative</v>
      </c>
      <c r="I134" s="204">
        <f>IFERROR(__xludf.DUMMYFUNCTION("""COMPUTED_VALUE"""),44571.0)</f>
        <v>44571</v>
      </c>
      <c r="J134" s="252">
        <f>IFERROR(__xludf.DUMMYFUNCTION("""COMPUTED_VALUE"""),0.46598379629629627)</f>
        <v>0.4659837963</v>
      </c>
      <c r="K134" s="56"/>
      <c r="L134" s="6"/>
      <c r="M134" s="61"/>
      <c r="N134" s="61">
        <f>IFERROR(__xludf.DUMMYFUNCTION("""COMPUTED_VALUE"""),1.0)</f>
        <v>1</v>
      </c>
      <c r="O134" s="61" t="str">
        <f t="shared" si="3"/>
        <v/>
      </c>
      <c r="P134" s="253">
        <f>IFERROR(__xludf.DUMMYFUNCTION("""COMPUTED_VALUE"""),0.0)</f>
        <v>0</v>
      </c>
      <c r="Q134" s="254" t="str">
        <f>VLOOKUP($B134,'Run Reconcile'!B$2:O799,14,FALSE)</f>
        <v/>
      </c>
      <c r="R134" s="255" t="str">
        <f t="array" ref="R134">IF($Q134, INDEX('Run Reconcile'!A$2:A799,MATCH(B134,'Run Reconcile'!B$2:B799,0),1),IFERROR(0/0,""))</f>
        <v/>
      </c>
      <c r="S134" s="261" t="str">
        <f t="shared" ref="S134:T134" si="272">IF(COUNTIF(W$2:W799, $A134) &gt; 0,TRUE,IFERROR(0/0,""))</f>
        <v/>
      </c>
      <c r="T134" s="261" t="str">
        <f t="shared" si="272"/>
        <v/>
      </c>
      <c r="U134" s="257" t="str">
        <f t="array" ref="U134">IF(ISBLANK($R134), INDEX('Run Reconcile'!A$2:A799, MATCH($B134, 'Run Reconcile'!B$2:B799, 0)+Z134, 1), IFERROR(0/0,""))
</f>
        <v>RUN-BEND_2022-01-10_RFR-012</v>
      </c>
      <c r="V134" s="258" t="str">
        <f t="shared" si="5"/>
        <v>RUN-BEND_2022-01-10_RFR-012</v>
      </c>
      <c r="Y134" s="130" t="str">
        <f t="shared" si="6"/>
        <v/>
      </c>
      <c r="Z134" s="49" t="str">
        <f t="shared" si="7"/>
        <v/>
      </c>
      <c r="AA134" s="49" t="str">
        <f t="shared" si="8"/>
        <v/>
      </c>
      <c r="AB134" s="49" t="str">
        <f t="shared" si="9"/>
        <v/>
      </c>
      <c r="AC134" s="20" t="str">
        <f t="shared" ref="AC134:AD134" si="273">IF(_xlfn.ISFORMULA(S134),IFERROR(0/0,""),TRUE)</f>
        <v/>
      </c>
      <c r="AD134" s="20" t="str">
        <f t="shared" si="273"/>
        <v/>
      </c>
      <c r="AE134" s="43"/>
      <c r="AF134" s="62" t="s">
        <v>40</v>
      </c>
      <c r="AG134" s="57" t="str">
        <f t="shared" si="11"/>
        <v/>
      </c>
    </row>
    <row r="135">
      <c r="A135" s="6" t="str">
        <f>IFERROR(__xludf.DUMMYFUNCTION("""COMPUTED_VALUE"""),"MA344")</f>
        <v>MA344</v>
      </c>
      <c r="B135" s="204">
        <f>IFERROR(__xludf.DUMMYFUNCTION("""COMPUTED_VALUE"""),44571.0)</f>
        <v>44571</v>
      </c>
      <c r="C135" s="250">
        <f>IFERROR(__xludf.DUMMYFUNCTION("""COMPUTED_VALUE"""),0.39194444444444443)</f>
        <v>0.3919444444</v>
      </c>
      <c r="D135" s="6" t="str">
        <f>IFERROR(__xludf.DUMMYFUNCTION("""COMPUTED_VALUE"""),"SpBEND394154")</f>
        <v>SpBEND394154</v>
      </c>
      <c r="E135" s="251"/>
      <c r="F135" s="251"/>
      <c r="G135" s="251" t="str">
        <f>IFERROR(__xludf.DUMMYFUNCTION("""COMPUTED_VALUE"""),"Negative")</f>
        <v>Negative</v>
      </c>
      <c r="H135" s="262" t="str">
        <f>IFERROR(__xludf.DUMMYFUNCTION("""COMPUTED_VALUE"""),"Negative")</f>
        <v>Negative</v>
      </c>
      <c r="I135" s="204">
        <f>IFERROR(__xludf.DUMMYFUNCTION("""COMPUTED_VALUE"""),44571.0)</f>
        <v>44571</v>
      </c>
      <c r="J135" s="252">
        <f>IFERROR(__xludf.DUMMYFUNCTION("""COMPUTED_VALUE"""),0.46598379629629627)</f>
        <v>0.4659837963</v>
      </c>
      <c r="K135" s="56"/>
      <c r="L135" s="6"/>
      <c r="M135" s="61"/>
      <c r="N135" s="61">
        <f>IFERROR(__xludf.DUMMYFUNCTION("""COMPUTED_VALUE"""),1.0)</f>
        <v>1</v>
      </c>
      <c r="O135" s="61" t="str">
        <f t="shared" si="3"/>
        <v/>
      </c>
      <c r="P135" s="253">
        <f>IFERROR(__xludf.DUMMYFUNCTION("""COMPUTED_VALUE"""),0.0)</f>
        <v>0</v>
      </c>
      <c r="Q135" s="254" t="str">
        <f>VLOOKUP($B135,'Run Reconcile'!B$2:O799,14,FALSE)</f>
        <v/>
      </c>
      <c r="R135" s="255" t="str">
        <f t="array" ref="R135">IF($Q135, INDEX('Run Reconcile'!A$2:A799,MATCH(B135,'Run Reconcile'!B$2:B799,0),1),IFERROR(0/0,""))</f>
        <v/>
      </c>
      <c r="S135" s="261" t="str">
        <f t="shared" ref="S135:T135" si="274">IF(COUNTIF(W$2:W799, $A135) &gt; 0,TRUE,IFERROR(0/0,""))</f>
        <v/>
      </c>
      <c r="T135" s="261" t="str">
        <f t="shared" si="274"/>
        <v/>
      </c>
      <c r="U135" s="257" t="str">
        <f t="array" ref="U135">IF(ISBLANK($R135), INDEX('Run Reconcile'!A$2:A799, MATCH($B135, 'Run Reconcile'!B$2:B799, 0)+Z135, 1), IFERROR(0/0,""))
</f>
        <v>RUN-BEND_2022-01-10_RFR-012</v>
      </c>
      <c r="V135" s="258" t="str">
        <f t="shared" si="5"/>
        <v>RUN-BEND_2022-01-10_RFR-012</v>
      </c>
      <c r="Y135" s="130" t="str">
        <f t="shared" si="6"/>
        <v/>
      </c>
      <c r="Z135" s="49" t="str">
        <f t="shared" si="7"/>
        <v/>
      </c>
      <c r="AA135" s="49" t="str">
        <f t="shared" si="8"/>
        <v/>
      </c>
      <c r="AB135" s="49" t="str">
        <f t="shared" si="9"/>
        <v/>
      </c>
      <c r="AC135" s="20" t="str">
        <f t="shared" ref="AC135:AD135" si="275">IF(_xlfn.ISFORMULA(S135),IFERROR(0/0,""),TRUE)</f>
        <v/>
      </c>
      <c r="AD135" s="20" t="str">
        <f t="shared" si="275"/>
        <v/>
      </c>
      <c r="AE135" s="43"/>
      <c r="AF135" s="62" t="s">
        <v>40</v>
      </c>
      <c r="AG135" s="57" t="str">
        <f t="shared" si="11"/>
        <v/>
      </c>
    </row>
    <row r="136">
      <c r="A136" s="6" t="str">
        <f>IFERROR(__xludf.DUMMYFUNCTION("""COMPUTED_VALUE"""),"MA332")</f>
        <v>MA332</v>
      </c>
      <c r="B136" s="204">
        <f>IFERROR(__xludf.DUMMYFUNCTION("""COMPUTED_VALUE"""),44571.0)</f>
        <v>44571</v>
      </c>
      <c r="C136" s="250">
        <f>IFERROR(__xludf.DUMMYFUNCTION("""COMPUTED_VALUE"""),0.3924884259259259)</f>
        <v>0.3924884259</v>
      </c>
      <c r="D136" s="6" t="str">
        <f>IFERROR(__xludf.DUMMYFUNCTION("""COMPUTED_VALUE"""),"SpBEND394154")</f>
        <v>SpBEND394154</v>
      </c>
      <c r="E136" s="251"/>
      <c r="F136" s="251"/>
      <c r="G136" s="251" t="str">
        <f>IFERROR(__xludf.DUMMYFUNCTION("""COMPUTED_VALUE"""),"Negative")</f>
        <v>Negative</v>
      </c>
      <c r="H136" s="262" t="str">
        <f>IFERROR(__xludf.DUMMYFUNCTION("""COMPUTED_VALUE"""),"Negative")</f>
        <v>Negative</v>
      </c>
      <c r="I136" s="204">
        <f>IFERROR(__xludf.DUMMYFUNCTION("""COMPUTED_VALUE"""),44571.0)</f>
        <v>44571</v>
      </c>
      <c r="J136" s="252">
        <f>IFERROR(__xludf.DUMMYFUNCTION("""COMPUTED_VALUE"""),0.46598379629629627)</f>
        <v>0.4659837963</v>
      </c>
      <c r="K136" s="56"/>
      <c r="L136" s="6"/>
      <c r="M136" s="61"/>
      <c r="N136" s="61">
        <f>IFERROR(__xludf.DUMMYFUNCTION("""COMPUTED_VALUE"""),1.0)</f>
        <v>1</v>
      </c>
      <c r="O136" s="61" t="str">
        <f t="shared" si="3"/>
        <v/>
      </c>
      <c r="P136" s="253">
        <f>IFERROR(__xludf.DUMMYFUNCTION("""COMPUTED_VALUE"""),0.0)</f>
        <v>0</v>
      </c>
      <c r="Q136" s="254" t="str">
        <f>VLOOKUP($B136,'Run Reconcile'!B$2:O799,14,FALSE)</f>
        <v/>
      </c>
      <c r="R136" s="255" t="str">
        <f t="array" ref="R136">IF($Q136, INDEX('Run Reconcile'!A$2:A799,MATCH(B136,'Run Reconcile'!B$2:B799,0),1),IFERROR(0/0,""))</f>
        <v/>
      </c>
      <c r="S136" s="261" t="str">
        <f t="shared" ref="S136:T136" si="276">IF(COUNTIF(W$2:W799, $A136) &gt; 0,TRUE,IFERROR(0/0,""))</f>
        <v/>
      </c>
      <c r="T136" s="261" t="str">
        <f t="shared" si="276"/>
        <v/>
      </c>
      <c r="U136" s="257" t="str">
        <f t="array" ref="U136">IF(ISBLANK($R136), INDEX('Run Reconcile'!A$2:A799, MATCH($B136, 'Run Reconcile'!B$2:B799, 0)+Z136, 1), IFERROR(0/0,""))
</f>
        <v>RUN-BEND_2022-01-10_RFR-012</v>
      </c>
      <c r="V136" s="258" t="str">
        <f t="shared" si="5"/>
        <v>RUN-BEND_2022-01-10_RFR-012</v>
      </c>
      <c r="Y136" s="130" t="str">
        <f t="shared" si="6"/>
        <v/>
      </c>
      <c r="Z136" s="49" t="str">
        <f t="shared" si="7"/>
        <v/>
      </c>
      <c r="AA136" s="49" t="str">
        <f t="shared" si="8"/>
        <v/>
      </c>
      <c r="AB136" s="49" t="str">
        <f t="shared" si="9"/>
        <v/>
      </c>
      <c r="AC136" s="20" t="str">
        <f t="shared" ref="AC136:AD136" si="277">IF(_xlfn.ISFORMULA(S136),IFERROR(0/0,""),TRUE)</f>
        <v/>
      </c>
      <c r="AD136" s="20" t="str">
        <f t="shared" si="277"/>
        <v/>
      </c>
      <c r="AE136" s="43"/>
      <c r="AF136" s="62" t="s">
        <v>40</v>
      </c>
      <c r="AG136" s="57" t="str">
        <f t="shared" si="11"/>
        <v/>
      </c>
    </row>
    <row r="137">
      <c r="A137" s="6" t="str">
        <f>IFERROR(__xludf.DUMMYFUNCTION("""COMPUTED_VALUE"""),"MA341")</f>
        <v>MA341</v>
      </c>
      <c r="B137" s="204">
        <f>IFERROR(__xludf.DUMMYFUNCTION("""COMPUTED_VALUE"""),44571.0)</f>
        <v>44571</v>
      </c>
      <c r="C137" s="250">
        <f>IFERROR(__xludf.DUMMYFUNCTION("""COMPUTED_VALUE"""),0.3928935185185185)</f>
        <v>0.3928935185</v>
      </c>
      <c r="D137" s="6" t="str">
        <f>IFERROR(__xludf.DUMMYFUNCTION("""COMPUTED_VALUE"""),"SpBEND394154")</f>
        <v>SpBEND394154</v>
      </c>
      <c r="E137" s="251"/>
      <c r="F137" s="251"/>
      <c r="G137" s="251" t="str">
        <f>IFERROR(__xludf.DUMMYFUNCTION("""COMPUTED_VALUE"""),"Positive")</f>
        <v>Positive</v>
      </c>
      <c r="H137" s="262" t="str">
        <f>IFERROR(__xludf.DUMMYFUNCTION("""COMPUTED_VALUE"""),"Positive")</f>
        <v>Positive</v>
      </c>
      <c r="I137" s="204">
        <f>IFERROR(__xludf.DUMMYFUNCTION("""COMPUTED_VALUE"""),44579.0)</f>
        <v>44579</v>
      </c>
      <c r="J137" s="252">
        <f>IFERROR(__xludf.DUMMYFUNCTION("""COMPUTED_VALUE"""),0.5015740740740741)</f>
        <v>0.5015740741</v>
      </c>
      <c r="K137" s="56"/>
      <c r="L137" s="6"/>
      <c r="M137" s="61"/>
      <c r="N137" s="61">
        <f>IFERROR(__xludf.DUMMYFUNCTION("""COMPUTED_VALUE"""),1.0)</f>
        <v>1</v>
      </c>
      <c r="O137" s="61" t="str">
        <f t="shared" si="3"/>
        <v/>
      </c>
      <c r="P137" s="253">
        <f>IFERROR(__xludf.DUMMYFUNCTION("""COMPUTED_VALUE"""),8.0)</f>
        <v>8</v>
      </c>
      <c r="Q137" s="254" t="str">
        <f>VLOOKUP($B137,'Run Reconcile'!B$2:O799,14,FALSE)</f>
        <v/>
      </c>
      <c r="R137" s="255" t="str">
        <f t="array" ref="R137">IF($Q137, INDEX('Run Reconcile'!A$2:A799,MATCH(B137,'Run Reconcile'!B$2:B799,0),1),IFERROR(0/0,""))</f>
        <v/>
      </c>
      <c r="S137" s="261" t="str">
        <f t="shared" ref="S137:T137" si="278">IF(COUNTIF(W$2:W799, $A137) &gt; 0,TRUE,IFERROR(0/0,""))</f>
        <v/>
      </c>
      <c r="T137" s="261" t="str">
        <f t="shared" si="278"/>
        <v/>
      </c>
      <c r="U137" s="257" t="str">
        <f t="array" ref="U137">IF(ISBLANK($R137), INDEX('Run Reconcile'!A$2:A799, MATCH($B137, 'Run Reconcile'!B$2:B799, 0)+Z137, 1), IFERROR(0/0,""))
</f>
        <v>RUN-BEND_2022-01-10_RFR-012</v>
      </c>
      <c r="V137" s="258" t="str">
        <f t="shared" si="5"/>
        <v>RUN-BEND_2022-01-10_RFR-012</v>
      </c>
      <c r="Y137" s="130" t="str">
        <f t="shared" si="6"/>
        <v/>
      </c>
      <c r="Z137" s="49" t="str">
        <f t="shared" si="7"/>
        <v/>
      </c>
      <c r="AA137" s="49" t="str">
        <f t="shared" si="8"/>
        <v/>
      </c>
      <c r="AB137" s="49" t="str">
        <f t="shared" si="9"/>
        <v/>
      </c>
      <c r="AC137" s="20" t="str">
        <f t="shared" ref="AC137:AD137" si="279">IF(_xlfn.ISFORMULA(S137),IFERROR(0/0,""),TRUE)</f>
        <v/>
      </c>
      <c r="AD137" s="20" t="str">
        <f t="shared" si="279"/>
        <v/>
      </c>
      <c r="AE137" s="43"/>
      <c r="AF137" s="62" t="s">
        <v>40</v>
      </c>
      <c r="AG137" s="57" t="str">
        <f t="shared" si="11"/>
        <v/>
      </c>
    </row>
    <row r="138">
      <c r="A138" s="6" t="str">
        <f>IFERROR(__xludf.DUMMYFUNCTION("""COMPUTED_VALUE"""),"MA474")</f>
        <v>MA474</v>
      </c>
      <c r="B138" s="204">
        <f>IFERROR(__xludf.DUMMYFUNCTION("""COMPUTED_VALUE"""),44571.0)</f>
        <v>44571</v>
      </c>
      <c r="C138" s="250">
        <f>IFERROR(__xludf.DUMMYFUNCTION("""COMPUTED_VALUE"""),0.42594907407407406)</f>
        <v>0.4259490741</v>
      </c>
      <c r="D138" s="6" t="str">
        <f>IFERROR(__xludf.DUMMYFUNCTION("""COMPUTED_VALUE"""),"SpBEND394154")</f>
        <v>SpBEND394154</v>
      </c>
      <c r="E138" s="251"/>
      <c r="F138" s="251"/>
      <c r="G138" s="251" t="str">
        <f>IFERROR(__xludf.DUMMYFUNCTION("""COMPUTED_VALUE"""),"Negative")</f>
        <v>Negative</v>
      </c>
      <c r="H138" s="262" t="str">
        <f>IFERROR(__xludf.DUMMYFUNCTION("""COMPUTED_VALUE"""),"Negative")</f>
        <v>Negative</v>
      </c>
      <c r="I138" s="263">
        <f>IFERROR(__xludf.DUMMYFUNCTION("""COMPUTED_VALUE"""),44571.0)</f>
        <v>44571</v>
      </c>
      <c r="J138" s="252">
        <f>IFERROR(__xludf.DUMMYFUNCTION("""COMPUTED_VALUE"""),0.46598379629629627)</f>
        <v>0.4659837963</v>
      </c>
      <c r="K138" s="56"/>
      <c r="L138" s="6"/>
      <c r="M138" s="61"/>
      <c r="N138" s="61">
        <f>IFERROR(__xludf.DUMMYFUNCTION("""COMPUTED_VALUE"""),1.0)</f>
        <v>1</v>
      </c>
      <c r="O138" s="61" t="str">
        <f t="shared" si="3"/>
        <v/>
      </c>
      <c r="P138" s="253">
        <f>IFERROR(__xludf.DUMMYFUNCTION("""COMPUTED_VALUE"""),0.0)</f>
        <v>0</v>
      </c>
      <c r="Q138" s="254" t="str">
        <f>VLOOKUP($B138,'Run Reconcile'!B$2:O799,14,FALSE)</f>
        <v/>
      </c>
      <c r="R138" s="255" t="str">
        <f t="array" ref="R138">IF($Q138, INDEX('Run Reconcile'!A$2:A799,MATCH(B138,'Run Reconcile'!B$2:B799,0),1),IFERROR(0/0,""))</f>
        <v/>
      </c>
      <c r="S138" s="261" t="str">
        <f t="shared" ref="S138:T138" si="280">IF(COUNTIF(W$2:W799, $A138) &gt; 0,TRUE,IFERROR(0/0,""))</f>
        <v/>
      </c>
      <c r="T138" s="261" t="str">
        <f t="shared" si="280"/>
        <v/>
      </c>
      <c r="U138" s="257" t="str">
        <f t="array" ref="U138">IF(ISBLANK($R138), INDEX('Run Reconcile'!A$2:A799, MATCH($B138, 'Run Reconcile'!B$2:B799, 0)+Z138, 1), IFERROR(0/0,""))
</f>
        <v>RUN-BEND_2022-01-10_RFR-012</v>
      </c>
      <c r="V138" s="258" t="str">
        <f t="shared" si="5"/>
        <v>RUN-BEND_2022-01-10_RFR-012</v>
      </c>
      <c r="Y138" s="130" t="str">
        <f t="shared" si="6"/>
        <v/>
      </c>
      <c r="Z138" s="49" t="str">
        <f t="shared" si="7"/>
        <v/>
      </c>
      <c r="AA138" s="49" t="str">
        <f t="shared" si="8"/>
        <v/>
      </c>
      <c r="AB138" s="49" t="str">
        <f t="shared" si="9"/>
        <v/>
      </c>
      <c r="AC138" s="20" t="str">
        <f t="shared" ref="AC138:AD138" si="281">IF(_xlfn.ISFORMULA(S138),IFERROR(0/0,""),TRUE)</f>
        <v/>
      </c>
      <c r="AD138" s="20" t="str">
        <f t="shared" si="281"/>
        <v/>
      </c>
      <c r="AE138" s="43"/>
      <c r="AF138" s="62" t="s">
        <v>40</v>
      </c>
      <c r="AG138" s="57" t="str">
        <f t="shared" si="11"/>
        <v/>
      </c>
    </row>
    <row r="139">
      <c r="A139" s="6" t="str">
        <f>IFERROR(__xludf.DUMMYFUNCTION("""COMPUTED_VALUE"""),"MA435")</f>
        <v>MA435</v>
      </c>
      <c r="B139" s="204">
        <f>IFERROR(__xludf.DUMMYFUNCTION("""COMPUTED_VALUE"""),44571.0)</f>
        <v>44571</v>
      </c>
      <c r="C139" s="250">
        <f>IFERROR(__xludf.DUMMYFUNCTION("""COMPUTED_VALUE"""),0.42716435185185186)</f>
        <v>0.4271643519</v>
      </c>
      <c r="D139" s="6" t="str">
        <f>IFERROR(__xludf.DUMMYFUNCTION("""COMPUTED_VALUE"""),"SpBEND394154")</f>
        <v>SpBEND394154</v>
      </c>
      <c r="E139" s="251"/>
      <c r="F139" s="251"/>
      <c r="G139" s="251" t="str">
        <f>IFERROR(__xludf.DUMMYFUNCTION("""COMPUTED_VALUE"""),"Positive")</f>
        <v>Positive</v>
      </c>
      <c r="H139" s="262" t="str">
        <f>IFERROR(__xludf.DUMMYFUNCTION("""COMPUTED_VALUE"""),"Positive")</f>
        <v>Positive</v>
      </c>
      <c r="I139" s="204">
        <f>IFERROR(__xludf.DUMMYFUNCTION("""COMPUTED_VALUE"""),44579.0)</f>
        <v>44579</v>
      </c>
      <c r="J139" s="252">
        <f>IFERROR(__xludf.DUMMYFUNCTION("""COMPUTED_VALUE"""),0.5015740740740741)</f>
        <v>0.5015740741</v>
      </c>
      <c r="K139" s="56"/>
      <c r="L139" s="6"/>
      <c r="M139" s="61"/>
      <c r="N139" s="61">
        <f>IFERROR(__xludf.DUMMYFUNCTION("""COMPUTED_VALUE"""),1.0)</f>
        <v>1</v>
      </c>
      <c r="O139" s="61" t="str">
        <f t="shared" si="3"/>
        <v/>
      </c>
      <c r="P139" s="253">
        <f>IFERROR(__xludf.DUMMYFUNCTION("""COMPUTED_VALUE"""),8.0)</f>
        <v>8</v>
      </c>
      <c r="Q139" s="254" t="str">
        <f>VLOOKUP($B139,'Run Reconcile'!B$2:O799,14,FALSE)</f>
        <v/>
      </c>
      <c r="R139" s="255" t="str">
        <f t="array" ref="R139">IF($Q139, INDEX('Run Reconcile'!A$2:A799,MATCH(B139,'Run Reconcile'!B$2:B799,0),1),IFERROR(0/0,""))</f>
        <v/>
      </c>
      <c r="S139" s="261" t="str">
        <f t="shared" ref="S139:T139" si="282">IF(COUNTIF(W$2:W799, $A139) &gt; 0,TRUE,IFERROR(0/0,""))</f>
        <v/>
      </c>
      <c r="T139" s="261" t="str">
        <f t="shared" si="282"/>
        <v/>
      </c>
      <c r="U139" s="257" t="str">
        <f t="array" ref="U139">IF(ISBLANK($R139), INDEX('Run Reconcile'!A$2:A799, MATCH($B139, 'Run Reconcile'!B$2:B799, 0)+Z139, 1), IFERROR(0/0,""))
</f>
        <v>RUN-BEND_2022-01-10_RFR-012</v>
      </c>
      <c r="V139" s="258" t="str">
        <f t="shared" si="5"/>
        <v>RUN-BEND_2022-01-10_RFR-012</v>
      </c>
      <c r="Y139" s="130" t="str">
        <f t="shared" si="6"/>
        <v/>
      </c>
      <c r="Z139" s="49" t="str">
        <f t="shared" si="7"/>
        <v/>
      </c>
      <c r="AA139" s="49" t="str">
        <f t="shared" si="8"/>
        <v/>
      </c>
      <c r="AB139" s="49" t="str">
        <f t="shared" si="9"/>
        <v/>
      </c>
      <c r="AC139" s="20" t="str">
        <f t="shared" ref="AC139:AD139" si="283">IF(_xlfn.ISFORMULA(S139),IFERROR(0/0,""),TRUE)</f>
        <v/>
      </c>
      <c r="AD139" s="20" t="str">
        <f t="shared" si="283"/>
        <v/>
      </c>
      <c r="AE139" s="43"/>
      <c r="AF139" s="62" t="s">
        <v>40</v>
      </c>
      <c r="AG139" s="57" t="str">
        <f t="shared" si="11"/>
        <v/>
      </c>
    </row>
    <row r="140">
      <c r="A140" s="6" t="str">
        <f>IFERROR(__xludf.DUMMYFUNCTION("""COMPUTED_VALUE"""),"MA436")</f>
        <v>MA436</v>
      </c>
      <c r="B140" s="204">
        <f>IFERROR(__xludf.DUMMYFUNCTION("""COMPUTED_VALUE"""),44571.0)</f>
        <v>44571</v>
      </c>
      <c r="C140" s="250">
        <f>IFERROR(__xludf.DUMMYFUNCTION("""COMPUTED_VALUE"""),0.42811342592592594)</f>
        <v>0.4281134259</v>
      </c>
      <c r="D140" s="6" t="str">
        <f>IFERROR(__xludf.DUMMYFUNCTION("""COMPUTED_VALUE"""),"SpBEND394154")</f>
        <v>SpBEND394154</v>
      </c>
      <c r="E140" s="251"/>
      <c r="F140" s="251"/>
      <c r="G140" s="251" t="str">
        <f>IFERROR(__xludf.DUMMYFUNCTION("""COMPUTED_VALUE"""),"Negative")</f>
        <v>Negative</v>
      </c>
      <c r="H140" s="262" t="str">
        <f>IFERROR(__xludf.DUMMYFUNCTION("""COMPUTED_VALUE"""),"Negative")</f>
        <v>Negative</v>
      </c>
      <c r="I140" s="263">
        <f>IFERROR(__xludf.DUMMYFUNCTION("""COMPUTED_VALUE"""),44571.0)</f>
        <v>44571</v>
      </c>
      <c r="J140" s="252">
        <f>IFERROR(__xludf.DUMMYFUNCTION("""COMPUTED_VALUE"""),0.46598379629629627)</f>
        <v>0.4659837963</v>
      </c>
      <c r="K140" s="56"/>
      <c r="L140" s="6"/>
      <c r="M140" s="61"/>
      <c r="N140" s="61">
        <f>IFERROR(__xludf.DUMMYFUNCTION("""COMPUTED_VALUE"""),1.0)</f>
        <v>1</v>
      </c>
      <c r="O140" s="61" t="str">
        <f t="shared" si="3"/>
        <v/>
      </c>
      <c r="P140" s="253">
        <f>IFERROR(__xludf.DUMMYFUNCTION("""COMPUTED_VALUE"""),0.0)</f>
        <v>0</v>
      </c>
      <c r="Q140" s="254" t="str">
        <f>VLOOKUP($B140,'Run Reconcile'!B$2:O799,14,FALSE)</f>
        <v/>
      </c>
      <c r="R140" s="255" t="str">
        <f t="array" ref="R140">IF($Q140, INDEX('Run Reconcile'!A$2:A799,MATCH(B140,'Run Reconcile'!B$2:B799,0),1),IFERROR(0/0,""))</f>
        <v/>
      </c>
      <c r="S140" s="261" t="str">
        <f t="shared" ref="S140:T140" si="284">IF(COUNTIF(W$2:W799, $A140) &gt; 0,TRUE,IFERROR(0/0,""))</f>
        <v/>
      </c>
      <c r="T140" s="261" t="str">
        <f t="shared" si="284"/>
        <v/>
      </c>
      <c r="U140" s="257" t="str">
        <f t="array" ref="U140">IF(ISBLANK($R140), INDEX('Run Reconcile'!A$2:A799, MATCH($B140, 'Run Reconcile'!B$2:B799, 0)+Z140, 1), IFERROR(0/0,""))
</f>
        <v>RUN-BEND_2022-01-10_RFR-012</v>
      </c>
      <c r="V140" s="258" t="str">
        <f t="shared" si="5"/>
        <v>RUN-BEND_2022-01-10_RFR-012</v>
      </c>
      <c r="Y140" s="130" t="str">
        <f t="shared" si="6"/>
        <v/>
      </c>
      <c r="Z140" s="49" t="str">
        <f t="shared" si="7"/>
        <v/>
      </c>
      <c r="AA140" s="49" t="str">
        <f t="shared" si="8"/>
        <v/>
      </c>
      <c r="AB140" s="49" t="str">
        <f t="shared" si="9"/>
        <v/>
      </c>
      <c r="AC140" s="20" t="str">
        <f t="shared" ref="AC140:AD140" si="285">IF(_xlfn.ISFORMULA(S140),IFERROR(0/0,""),TRUE)</f>
        <v/>
      </c>
      <c r="AD140" s="20" t="str">
        <f t="shared" si="285"/>
        <v/>
      </c>
      <c r="AE140" s="43"/>
      <c r="AF140" s="62" t="s">
        <v>40</v>
      </c>
      <c r="AG140" s="57" t="str">
        <f t="shared" si="11"/>
        <v/>
      </c>
    </row>
    <row r="141">
      <c r="A141" s="6" t="str">
        <f>IFERROR(__xludf.DUMMYFUNCTION("""COMPUTED_VALUE"""),"MA468")</f>
        <v>MA468</v>
      </c>
      <c r="B141" s="204">
        <f>IFERROR(__xludf.DUMMYFUNCTION("""COMPUTED_VALUE"""),44571.0)</f>
        <v>44571</v>
      </c>
      <c r="C141" s="250">
        <f>IFERROR(__xludf.DUMMYFUNCTION("""COMPUTED_VALUE"""),0.4286111111111111)</f>
        <v>0.4286111111</v>
      </c>
      <c r="D141" s="6" t="str">
        <f>IFERROR(__xludf.DUMMYFUNCTION("""COMPUTED_VALUE"""),"SpBEND394154")</f>
        <v>SpBEND394154</v>
      </c>
      <c r="E141" s="251"/>
      <c r="F141" s="251"/>
      <c r="G141" s="251" t="str">
        <f>IFERROR(__xludf.DUMMYFUNCTION("""COMPUTED_VALUE"""),"Negative")</f>
        <v>Negative</v>
      </c>
      <c r="H141" s="262" t="str">
        <f>IFERROR(__xludf.DUMMYFUNCTION("""COMPUTED_VALUE"""),"Negative")</f>
        <v>Negative</v>
      </c>
      <c r="I141" s="204">
        <f>IFERROR(__xludf.DUMMYFUNCTION("""COMPUTED_VALUE"""),44571.0)</f>
        <v>44571</v>
      </c>
      <c r="J141" s="252">
        <f>IFERROR(__xludf.DUMMYFUNCTION("""COMPUTED_VALUE"""),0.46598379629629627)</f>
        <v>0.4659837963</v>
      </c>
      <c r="K141" s="56"/>
      <c r="L141" s="6"/>
      <c r="M141" s="61"/>
      <c r="N141" s="61">
        <f>IFERROR(__xludf.DUMMYFUNCTION("""COMPUTED_VALUE"""),1.0)</f>
        <v>1</v>
      </c>
      <c r="O141" s="61" t="str">
        <f t="shared" si="3"/>
        <v/>
      </c>
      <c r="P141" s="253">
        <f>IFERROR(__xludf.DUMMYFUNCTION("""COMPUTED_VALUE"""),0.0)</f>
        <v>0</v>
      </c>
      <c r="Q141" s="254" t="str">
        <f>VLOOKUP($B141,'Run Reconcile'!B$2:O799,14,FALSE)</f>
        <v/>
      </c>
      <c r="R141" s="255" t="str">
        <f t="array" ref="R141">IF($Q141, INDEX('Run Reconcile'!A$2:A799,MATCH(B141,'Run Reconcile'!B$2:B799,0),1),IFERROR(0/0,""))</f>
        <v/>
      </c>
      <c r="S141" s="261" t="str">
        <f t="shared" ref="S141:T141" si="286">IF(COUNTIF(W$2:W799, $A141) &gt; 0,TRUE,IFERROR(0/0,""))</f>
        <v/>
      </c>
      <c r="T141" s="261" t="str">
        <f t="shared" si="286"/>
        <v/>
      </c>
      <c r="U141" s="257" t="str">
        <f t="array" ref="U141">IF(ISBLANK($R141), INDEX('Run Reconcile'!A$2:A799, MATCH($B141, 'Run Reconcile'!B$2:B799, 0)+Z141, 1), IFERROR(0/0,""))
</f>
        <v>RUN-BEND_2022-01-10_RFR-012</v>
      </c>
      <c r="V141" s="258" t="str">
        <f t="shared" si="5"/>
        <v>RUN-BEND_2022-01-10_RFR-012</v>
      </c>
      <c r="Y141" s="130" t="str">
        <f t="shared" si="6"/>
        <v/>
      </c>
      <c r="Z141" s="49" t="str">
        <f t="shared" si="7"/>
        <v/>
      </c>
      <c r="AA141" s="49" t="str">
        <f t="shared" si="8"/>
        <v/>
      </c>
      <c r="AB141" s="49" t="str">
        <f t="shared" si="9"/>
        <v/>
      </c>
      <c r="AC141" s="20" t="str">
        <f t="shared" ref="AC141:AD141" si="287">IF(_xlfn.ISFORMULA(S141),IFERROR(0/0,""),TRUE)</f>
        <v/>
      </c>
      <c r="AD141" s="20" t="str">
        <f t="shared" si="287"/>
        <v/>
      </c>
      <c r="AE141" s="43"/>
      <c r="AF141" s="62" t="s">
        <v>40</v>
      </c>
      <c r="AG141" s="57" t="str">
        <f t="shared" si="11"/>
        <v/>
      </c>
    </row>
    <row r="142">
      <c r="A142" s="6" t="str">
        <f>IFERROR(__xludf.DUMMYFUNCTION("""COMPUTED_VALUE"""),"MA622")</f>
        <v>MA622</v>
      </c>
      <c r="B142" s="204">
        <f>IFERROR(__xludf.DUMMYFUNCTION("""COMPUTED_VALUE"""),44571.0)</f>
        <v>44571</v>
      </c>
      <c r="C142" s="250">
        <f>IFERROR(__xludf.DUMMYFUNCTION("""COMPUTED_VALUE"""),0.4290162037037037)</f>
        <v>0.4290162037</v>
      </c>
      <c r="D142" s="6" t="str">
        <f>IFERROR(__xludf.DUMMYFUNCTION("""COMPUTED_VALUE"""),"SpBEND394154")</f>
        <v>SpBEND394154</v>
      </c>
      <c r="E142" s="251"/>
      <c r="F142" s="251"/>
      <c r="G142" s="251" t="str">
        <f>IFERROR(__xludf.DUMMYFUNCTION("""COMPUTED_VALUE"""),"Negative")</f>
        <v>Negative</v>
      </c>
      <c r="H142" s="262" t="str">
        <f>IFERROR(__xludf.DUMMYFUNCTION("""COMPUTED_VALUE"""),"Negative")</f>
        <v>Negative</v>
      </c>
      <c r="I142" s="204">
        <f>IFERROR(__xludf.DUMMYFUNCTION("""COMPUTED_VALUE"""),44571.0)</f>
        <v>44571</v>
      </c>
      <c r="J142" s="252">
        <f>IFERROR(__xludf.DUMMYFUNCTION("""COMPUTED_VALUE"""),0.46598379629629627)</f>
        <v>0.4659837963</v>
      </c>
      <c r="K142" s="56"/>
      <c r="L142" s="6"/>
      <c r="M142" s="61"/>
      <c r="N142" s="61">
        <f>IFERROR(__xludf.DUMMYFUNCTION("""COMPUTED_VALUE"""),1.0)</f>
        <v>1</v>
      </c>
      <c r="O142" s="61" t="str">
        <f t="shared" si="3"/>
        <v/>
      </c>
      <c r="P142" s="253">
        <f>IFERROR(__xludf.DUMMYFUNCTION("""COMPUTED_VALUE"""),0.0)</f>
        <v>0</v>
      </c>
      <c r="Q142" s="254" t="str">
        <f>VLOOKUP($B142,'Run Reconcile'!B$2:O799,14,FALSE)</f>
        <v/>
      </c>
      <c r="R142" s="255" t="str">
        <f t="array" ref="R142">IF($Q142, INDEX('Run Reconcile'!A$2:A799,MATCH(B142,'Run Reconcile'!B$2:B799,0),1),IFERROR(0/0,""))</f>
        <v/>
      </c>
      <c r="S142" s="261" t="str">
        <f t="shared" ref="S142:T142" si="288">IF(COUNTIF(W$2:W799, $A142) &gt; 0,TRUE,IFERROR(0/0,""))</f>
        <v/>
      </c>
      <c r="T142" s="261" t="str">
        <f t="shared" si="288"/>
        <v/>
      </c>
      <c r="U142" s="257" t="str">
        <f t="array" ref="U142">IF(ISBLANK($R142), INDEX('Run Reconcile'!A$2:A799, MATCH($B142, 'Run Reconcile'!B$2:B799, 0)+Z142, 1), IFERROR(0/0,""))
</f>
        <v>RUN-BEND_2022-01-10_RFR-012</v>
      </c>
      <c r="V142" s="258" t="str">
        <f t="shared" si="5"/>
        <v>RUN-BEND_2022-01-10_RFR-012</v>
      </c>
      <c r="Y142" s="130" t="str">
        <f t="shared" si="6"/>
        <v/>
      </c>
      <c r="Z142" s="49" t="str">
        <f t="shared" si="7"/>
        <v/>
      </c>
      <c r="AA142" s="49" t="str">
        <f t="shared" si="8"/>
        <v/>
      </c>
      <c r="AB142" s="49" t="str">
        <f t="shared" si="9"/>
        <v/>
      </c>
      <c r="AC142" s="20" t="str">
        <f t="shared" ref="AC142:AD142" si="289">IF(_xlfn.ISFORMULA(S142),IFERROR(0/0,""),TRUE)</f>
        <v/>
      </c>
      <c r="AD142" s="20" t="str">
        <f t="shared" si="289"/>
        <v/>
      </c>
      <c r="AE142" s="43"/>
      <c r="AF142" s="62" t="s">
        <v>40</v>
      </c>
      <c r="AG142" s="57" t="str">
        <f t="shared" si="11"/>
        <v/>
      </c>
    </row>
    <row r="143">
      <c r="A143" s="6" t="str">
        <f>IFERROR(__xludf.DUMMYFUNCTION("""COMPUTED_VALUE"""),"MA653")</f>
        <v>MA653</v>
      </c>
      <c r="B143" s="204">
        <f>IFERROR(__xludf.DUMMYFUNCTION("""COMPUTED_VALUE"""),44571.0)</f>
        <v>44571</v>
      </c>
      <c r="C143" s="250">
        <f>IFERROR(__xludf.DUMMYFUNCTION("""COMPUTED_VALUE"""),0.42944444444444446)</f>
        <v>0.4294444444</v>
      </c>
      <c r="D143" s="6" t="str">
        <f>IFERROR(__xludf.DUMMYFUNCTION("""COMPUTED_VALUE"""),"SpBEND394154")</f>
        <v>SpBEND394154</v>
      </c>
      <c r="E143" s="251"/>
      <c r="F143" s="251"/>
      <c r="G143" s="251" t="str">
        <f>IFERROR(__xludf.DUMMYFUNCTION("""COMPUTED_VALUE"""),"Negative")</f>
        <v>Negative</v>
      </c>
      <c r="H143" s="262" t="str">
        <f>IFERROR(__xludf.DUMMYFUNCTION("""COMPUTED_VALUE"""),"Negative")</f>
        <v>Negative</v>
      </c>
      <c r="I143" s="204">
        <f>IFERROR(__xludf.DUMMYFUNCTION("""COMPUTED_VALUE"""),44571.0)</f>
        <v>44571</v>
      </c>
      <c r="J143" s="252">
        <f>IFERROR(__xludf.DUMMYFUNCTION("""COMPUTED_VALUE"""),0.46598379629629627)</f>
        <v>0.4659837963</v>
      </c>
      <c r="K143" s="56"/>
      <c r="L143" s="6"/>
      <c r="M143" s="61"/>
      <c r="N143" s="61">
        <f>IFERROR(__xludf.DUMMYFUNCTION("""COMPUTED_VALUE"""),1.0)</f>
        <v>1</v>
      </c>
      <c r="O143" s="61" t="str">
        <f t="shared" si="3"/>
        <v/>
      </c>
      <c r="P143" s="253">
        <f>IFERROR(__xludf.DUMMYFUNCTION("""COMPUTED_VALUE"""),0.0)</f>
        <v>0</v>
      </c>
      <c r="Q143" s="254" t="str">
        <f>VLOOKUP($B143,'Run Reconcile'!B$2:O799,14,FALSE)</f>
        <v/>
      </c>
      <c r="R143" s="255" t="str">
        <f t="array" ref="R143">IF($Q143, INDEX('Run Reconcile'!A$2:A799,MATCH(B143,'Run Reconcile'!B$2:B799,0),1),IFERROR(0/0,""))</f>
        <v/>
      </c>
      <c r="S143" s="261" t="str">
        <f t="shared" ref="S143:T143" si="290">IF(COUNTIF(W$2:W799, $A143) &gt; 0,TRUE,IFERROR(0/0,""))</f>
        <v/>
      </c>
      <c r="T143" s="261" t="str">
        <f t="shared" si="290"/>
        <v/>
      </c>
      <c r="U143" s="257" t="str">
        <f t="array" ref="U143">IF(ISBLANK($R143), INDEX('Run Reconcile'!A$2:A799, MATCH($B143, 'Run Reconcile'!B$2:B799, 0)+Z143, 1), IFERROR(0/0,""))
</f>
        <v>RUN-BEND_2022-01-10_RFR-012</v>
      </c>
      <c r="V143" s="258" t="str">
        <f t="shared" si="5"/>
        <v>RUN-BEND_2022-01-10_RFR-012</v>
      </c>
      <c r="Y143" s="130" t="str">
        <f t="shared" si="6"/>
        <v/>
      </c>
      <c r="Z143" s="49" t="str">
        <f t="shared" si="7"/>
        <v/>
      </c>
      <c r="AA143" s="49" t="str">
        <f t="shared" si="8"/>
        <v/>
      </c>
      <c r="AB143" s="49" t="str">
        <f t="shared" si="9"/>
        <v/>
      </c>
      <c r="AC143" s="20" t="str">
        <f t="shared" ref="AC143:AD143" si="291">IF(_xlfn.ISFORMULA(S143),IFERROR(0/0,""),TRUE)</f>
        <v/>
      </c>
      <c r="AD143" s="20" t="str">
        <f t="shared" si="291"/>
        <v/>
      </c>
      <c r="AE143" s="43"/>
      <c r="AF143" s="62" t="s">
        <v>40</v>
      </c>
      <c r="AG143" s="57" t="str">
        <f t="shared" si="11"/>
        <v/>
      </c>
    </row>
    <row r="144">
      <c r="A144" s="6" t="str">
        <f>IFERROR(__xludf.DUMMYFUNCTION("""COMPUTED_VALUE"""),"MA683")</f>
        <v>MA683</v>
      </c>
      <c r="B144" s="204">
        <f>IFERROR(__xludf.DUMMYFUNCTION("""COMPUTED_VALUE"""),44573.0)</f>
        <v>44573</v>
      </c>
      <c r="C144" s="250">
        <f>IFERROR(__xludf.DUMMYFUNCTION("""COMPUTED_VALUE"""),0.28099537037037037)</f>
        <v>0.2809953704</v>
      </c>
      <c r="D144" s="6" t="str">
        <f>IFERROR(__xludf.DUMMYFUNCTION("""COMPUTED_VALUE"""),"SpBEND139816")</f>
        <v>SpBEND139816</v>
      </c>
      <c r="E144" s="251"/>
      <c r="F144" s="251"/>
      <c r="G144" s="251" t="str">
        <f>IFERROR(__xludf.DUMMYFUNCTION("""COMPUTED_VALUE"""),"Negative")</f>
        <v>Negative</v>
      </c>
      <c r="H144" s="262" t="str">
        <f>IFERROR(__xludf.DUMMYFUNCTION("""COMPUTED_VALUE"""),"Negative")</f>
        <v>Negative</v>
      </c>
      <c r="I144" s="204">
        <f>IFERROR(__xludf.DUMMYFUNCTION("""COMPUTED_VALUE"""),44575.0)</f>
        <v>44575</v>
      </c>
      <c r="J144" s="252">
        <f>IFERROR(__xludf.DUMMYFUNCTION("""COMPUTED_VALUE"""),0.48202546296296295)</f>
        <v>0.482025463</v>
      </c>
      <c r="K144" s="56"/>
      <c r="L144" s="6"/>
      <c r="M144" s="61"/>
      <c r="N144" s="61">
        <f>IFERROR(__xludf.DUMMYFUNCTION("""COMPUTED_VALUE"""),1.0)</f>
        <v>1</v>
      </c>
      <c r="O144" s="61" t="b">
        <f t="shared" si="3"/>
        <v>1</v>
      </c>
      <c r="P144" s="253">
        <f>IFERROR(__xludf.DUMMYFUNCTION("""COMPUTED_VALUE"""),2.0)</f>
        <v>2</v>
      </c>
      <c r="Q144" s="254" t="str">
        <f>VLOOKUP($B144,'Run Reconcile'!B$2:O799,14,FALSE)</f>
        <v/>
      </c>
      <c r="R144" s="255" t="str">
        <f t="array" ref="R144">IF($Q144, INDEX('Run Reconcile'!A$2:A799,MATCH(B144,'Run Reconcile'!B$2:B799,0),1),IFERROR(0/0,""))</f>
        <v/>
      </c>
      <c r="S144" s="261" t="str">
        <f t="shared" ref="S144:T144" si="292">IF(COUNTIF(W$2:W799, $A144) &gt; 0,TRUE,IFERROR(0/0,""))</f>
        <v/>
      </c>
      <c r="T144" s="261" t="str">
        <f t="shared" si="292"/>
        <v/>
      </c>
      <c r="U144" s="257" t="str">
        <f t="array" ref="U144">IF(ISBLANK($R144), INDEX('Run Reconcile'!A$2:A799, MATCH($B144, 'Run Reconcile'!B$2:B799, 0)+Z144, 1), IFERROR(0/0,""))
</f>
        <v>RUN-BEND_2022-01-12_RFR-013</v>
      </c>
      <c r="V144" s="258" t="str">
        <f t="shared" si="5"/>
        <v>RUN-BEND_2022-01-12_RFR-013</v>
      </c>
      <c r="Y144" s="130" t="str">
        <f t="shared" si="6"/>
        <v/>
      </c>
      <c r="Z144" s="49" t="str">
        <f t="shared" si="7"/>
        <v/>
      </c>
      <c r="AA144" s="49" t="str">
        <f t="shared" si="8"/>
        <v/>
      </c>
      <c r="AB144" s="49" t="str">
        <f t="shared" si="9"/>
        <v/>
      </c>
      <c r="AC144" s="20" t="str">
        <f t="shared" ref="AC144:AD144" si="293">IF(_xlfn.ISFORMULA(S144),IFERROR(0/0,""),TRUE)</f>
        <v/>
      </c>
      <c r="AD144" s="20" t="str">
        <f t="shared" si="293"/>
        <v/>
      </c>
      <c r="AE144" s="43"/>
      <c r="AF144" s="62" t="s">
        <v>41</v>
      </c>
      <c r="AG144" s="57" t="str">
        <f t="shared" si="11"/>
        <v/>
      </c>
    </row>
    <row r="145">
      <c r="A145" s="6" t="str">
        <f>IFERROR(__xludf.DUMMYFUNCTION("""COMPUTED_VALUE"""),"MAX128")</f>
        <v>MAX128</v>
      </c>
      <c r="B145" s="204">
        <f>IFERROR(__xludf.DUMMYFUNCTION("""COMPUTED_VALUE"""),44573.0)</f>
        <v>44573</v>
      </c>
      <c r="C145" s="250">
        <f>IFERROR(__xludf.DUMMYFUNCTION("""COMPUTED_VALUE"""),0.28774305555555557)</f>
        <v>0.2877430556</v>
      </c>
      <c r="D145" s="6" t="str">
        <f>IFERROR(__xludf.DUMMYFUNCTION("""COMPUTED_VALUE"""),"SpBEND394154")</f>
        <v>SpBEND394154</v>
      </c>
      <c r="E145" s="251"/>
      <c r="F145" s="251"/>
      <c r="G145" s="251" t="str">
        <f>IFERROR(__xludf.DUMMYFUNCTION("""COMPUTED_VALUE"""),"Negative")</f>
        <v>Negative</v>
      </c>
      <c r="H145" s="262" t="str">
        <f>IFERROR(__xludf.DUMMYFUNCTION("""COMPUTED_VALUE"""),"Negative")</f>
        <v>Negative</v>
      </c>
      <c r="I145" s="204">
        <f>IFERROR(__xludf.DUMMYFUNCTION("""COMPUTED_VALUE"""),44575.0)</f>
        <v>44575</v>
      </c>
      <c r="J145" s="252">
        <f>IFERROR(__xludf.DUMMYFUNCTION("""COMPUTED_VALUE"""),0.48202546296296295)</f>
        <v>0.482025463</v>
      </c>
      <c r="K145" s="56"/>
      <c r="L145" s="6"/>
      <c r="M145" s="61"/>
      <c r="N145" s="61">
        <f>IFERROR(__xludf.DUMMYFUNCTION("""COMPUTED_VALUE"""),1.0)</f>
        <v>1</v>
      </c>
      <c r="O145" s="61" t="str">
        <f t="shared" si="3"/>
        <v/>
      </c>
      <c r="P145" s="253">
        <f>IFERROR(__xludf.DUMMYFUNCTION("""COMPUTED_VALUE"""),2.0)</f>
        <v>2</v>
      </c>
      <c r="Q145" s="254" t="str">
        <f>VLOOKUP($B145,'Run Reconcile'!B$2:O799,14,FALSE)</f>
        <v/>
      </c>
      <c r="R145" s="255" t="str">
        <f t="array" ref="R145">IF($Q145, INDEX('Run Reconcile'!A$2:A799,MATCH(B145,'Run Reconcile'!B$2:B799,0),1),IFERROR(0/0,""))</f>
        <v/>
      </c>
      <c r="S145" s="261" t="str">
        <f t="shared" ref="S145:T145" si="294">IF(COUNTIF(W$2:W799, $A145) &gt; 0,TRUE,IFERROR(0/0,""))</f>
        <v/>
      </c>
      <c r="T145" s="261" t="str">
        <f t="shared" si="294"/>
        <v/>
      </c>
      <c r="U145" s="257" t="str">
        <f t="array" ref="U145">IF(ISBLANK($R145), INDEX('Run Reconcile'!A$2:A799, MATCH($B145, 'Run Reconcile'!B$2:B799, 0)+Z145, 1), IFERROR(0/0,""))
</f>
        <v>RUN-BEND_2022-01-12_RFR-013</v>
      </c>
      <c r="V145" s="258" t="str">
        <f t="shared" si="5"/>
        <v>RUN-BEND_2022-01-12_RFR-013</v>
      </c>
      <c r="Y145" s="130" t="str">
        <f t="shared" si="6"/>
        <v/>
      </c>
      <c r="Z145" s="49" t="str">
        <f t="shared" si="7"/>
        <v/>
      </c>
      <c r="AA145" s="49" t="str">
        <f t="shared" si="8"/>
        <v/>
      </c>
      <c r="AB145" s="49" t="str">
        <f t="shared" si="9"/>
        <v/>
      </c>
      <c r="AC145" s="20" t="str">
        <f t="shared" ref="AC145:AD145" si="295">IF(_xlfn.ISFORMULA(S145),IFERROR(0/0,""),TRUE)</f>
        <v/>
      </c>
      <c r="AD145" s="20" t="str">
        <f t="shared" si="295"/>
        <v/>
      </c>
      <c r="AE145" s="43"/>
      <c r="AF145" s="62" t="s">
        <v>41</v>
      </c>
      <c r="AG145" s="57" t="str">
        <f t="shared" si="11"/>
        <v/>
      </c>
    </row>
    <row r="146">
      <c r="A146" s="6" t="str">
        <f>IFERROR(__xludf.DUMMYFUNCTION("""COMPUTED_VALUE"""),"MA634")</f>
        <v>MA634</v>
      </c>
      <c r="B146" s="204">
        <f>IFERROR(__xludf.DUMMYFUNCTION("""COMPUTED_VALUE"""),44573.0)</f>
        <v>44573</v>
      </c>
      <c r="C146" s="250">
        <f>IFERROR(__xludf.DUMMYFUNCTION("""COMPUTED_VALUE"""),0.2912037037037037)</f>
        <v>0.2912037037</v>
      </c>
      <c r="D146" s="6" t="str">
        <f>IFERROR(__xludf.DUMMYFUNCTION("""COMPUTED_VALUE"""),"SpBEND551372")</f>
        <v>SpBEND551372</v>
      </c>
      <c r="E146" s="251"/>
      <c r="F146" s="251"/>
      <c r="G146" s="251" t="str">
        <f>IFERROR(__xludf.DUMMYFUNCTION("""COMPUTED_VALUE"""),"Negative")</f>
        <v>Negative</v>
      </c>
      <c r="H146" s="262" t="str">
        <f>IFERROR(__xludf.DUMMYFUNCTION("""COMPUTED_VALUE"""),"Negative")</f>
        <v>Negative</v>
      </c>
      <c r="I146" s="204">
        <f>IFERROR(__xludf.DUMMYFUNCTION("""COMPUTED_VALUE"""),44575.0)</f>
        <v>44575</v>
      </c>
      <c r="J146" s="252">
        <f>IFERROR(__xludf.DUMMYFUNCTION("""COMPUTED_VALUE"""),0.48202546296296295)</f>
        <v>0.482025463</v>
      </c>
      <c r="K146" s="56"/>
      <c r="L146" s="6"/>
      <c r="M146" s="61"/>
      <c r="N146" s="61">
        <f>IFERROR(__xludf.DUMMYFUNCTION("""COMPUTED_VALUE"""),1.0)</f>
        <v>1</v>
      </c>
      <c r="O146" s="61" t="str">
        <f t="shared" si="3"/>
        <v/>
      </c>
      <c r="P146" s="253">
        <f>IFERROR(__xludf.DUMMYFUNCTION("""COMPUTED_VALUE"""),2.0)</f>
        <v>2</v>
      </c>
      <c r="Q146" s="254" t="str">
        <f>VLOOKUP($B146,'Run Reconcile'!B$2:O799,14,FALSE)</f>
        <v/>
      </c>
      <c r="R146" s="255" t="str">
        <f t="array" ref="R146">IF($Q146, INDEX('Run Reconcile'!A$2:A799,MATCH(B146,'Run Reconcile'!B$2:B799,0),1),IFERROR(0/0,""))</f>
        <v/>
      </c>
      <c r="S146" s="261" t="str">
        <f t="shared" ref="S146:T146" si="296">IF(COUNTIF(W$2:W799, $A146) &gt; 0,TRUE,IFERROR(0/0,""))</f>
        <v/>
      </c>
      <c r="T146" s="261" t="str">
        <f t="shared" si="296"/>
        <v/>
      </c>
      <c r="U146" s="257" t="str">
        <f t="array" ref="U146">IF(ISBLANK($R146), INDEX('Run Reconcile'!A$2:A799, MATCH($B146, 'Run Reconcile'!B$2:B799, 0)+Z146, 1), IFERROR(0/0,""))
</f>
        <v>RUN-BEND_2022-01-12_RFR-013</v>
      </c>
      <c r="V146" s="258" t="str">
        <f t="shared" si="5"/>
        <v>RUN-BEND_2022-01-12_RFR-013</v>
      </c>
      <c r="Y146" s="130" t="str">
        <f t="shared" si="6"/>
        <v/>
      </c>
      <c r="Z146" s="49" t="str">
        <f t="shared" si="7"/>
        <v/>
      </c>
      <c r="AA146" s="49" t="str">
        <f t="shared" si="8"/>
        <v/>
      </c>
      <c r="AB146" s="49" t="str">
        <f t="shared" si="9"/>
        <v/>
      </c>
      <c r="AC146" s="20" t="str">
        <f t="shared" ref="AC146:AD146" si="297">IF(_xlfn.ISFORMULA(S146),IFERROR(0/0,""),TRUE)</f>
        <v/>
      </c>
      <c r="AD146" s="20" t="str">
        <f t="shared" si="297"/>
        <v/>
      </c>
      <c r="AE146" s="43"/>
      <c r="AF146" s="62" t="s">
        <v>41</v>
      </c>
      <c r="AG146" s="57" t="str">
        <f t="shared" si="11"/>
        <v/>
      </c>
    </row>
    <row r="147">
      <c r="A147" s="6" t="str">
        <f>IFERROR(__xludf.DUMMYFUNCTION("""COMPUTED_VALUE"""),"MA658")</f>
        <v>MA658</v>
      </c>
      <c r="B147" s="204">
        <f>IFERROR(__xludf.DUMMYFUNCTION("""COMPUTED_VALUE"""),44573.0)</f>
        <v>44573</v>
      </c>
      <c r="C147" s="250">
        <f>IFERROR(__xludf.DUMMYFUNCTION("""COMPUTED_VALUE"""),0.29791666666666666)</f>
        <v>0.2979166667</v>
      </c>
      <c r="D147" s="6" t="str">
        <f>IFERROR(__xludf.DUMMYFUNCTION("""COMPUTED_VALUE"""),"SpBEND481988")</f>
        <v>SpBEND481988</v>
      </c>
      <c r="E147" s="251"/>
      <c r="F147" s="251"/>
      <c r="G147" s="251" t="str">
        <f>IFERROR(__xludf.DUMMYFUNCTION("""COMPUTED_VALUE"""),"Negative")</f>
        <v>Negative</v>
      </c>
      <c r="H147" s="262" t="str">
        <f>IFERROR(__xludf.DUMMYFUNCTION("""COMPUTED_VALUE"""),"Negative")</f>
        <v>Negative</v>
      </c>
      <c r="I147" s="204">
        <f>IFERROR(__xludf.DUMMYFUNCTION("""COMPUTED_VALUE"""),44575.0)</f>
        <v>44575</v>
      </c>
      <c r="J147" s="252">
        <f>IFERROR(__xludf.DUMMYFUNCTION("""COMPUTED_VALUE"""),0.48202546296296295)</f>
        <v>0.482025463</v>
      </c>
      <c r="K147" s="56"/>
      <c r="L147" s="6"/>
      <c r="M147" s="61"/>
      <c r="N147" s="61">
        <f>IFERROR(__xludf.DUMMYFUNCTION("""COMPUTED_VALUE"""),1.0)</f>
        <v>1</v>
      </c>
      <c r="O147" s="61" t="str">
        <f t="shared" si="3"/>
        <v/>
      </c>
      <c r="P147" s="253">
        <f>IFERROR(__xludf.DUMMYFUNCTION("""COMPUTED_VALUE"""),2.0)</f>
        <v>2</v>
      </c>
      <c r="Q147" s="254" t="str">
        <f>VLOOKUP($B147,'Run Reconcile'!B$2:O799,14,FALSE)</f>
        <v/>
      </c>
      <c r="R147" s="255" t="str">
        <f t="array" ref="R147">IF($Q147, INDEX('Run Reconcile'!A$2:A799,MATCH(B147,'Run Reconcile'!B$2:B799,0),1),IFERROR(0/0,""))</f>
        <v/>
      </c>
      <c r="S147" s="261" t="str">
        <f t="shared" ref="S147:T147" si="298">IF(COUNTIF(W$2:W799, $A147) &gt; 0,TRUE,IFERROR(0/0,""))</f>
        <v/>
      </c>
      <c r="T147" s="261" t="str">
        <f t="shared" si="298"/>
        <v/>
      </c>
      <c r="U147" s="257" t="str">
        <f t="array" ref="U147">IF(ISBLANK($R147), INDEX('Run Reconcile'!A$2:A799, MATCH($B147, 'Run Reconcile'!B$2:B799, 0)+Z147, 1), IFERROR(0/0,""))
</f>
        <v>RUN-BEND_2022-01-12_RFR-013</v>
      </c>
      <c r="V147" s="258" t="str">
        <f t="shared" si="5"/>
        <v>RUN-BEND_2022-01-12_RFR-013</v>
      </c>
      <c r="Y147" s="130" t="str">
        <f t="shared" si="6"/>
        <v/>
      </c>
      <c r="Z147" s="49" t="str">
        <f t="shared" si="7"/>
        <v/>
      </c>
      <c r="AA147" s="49" t="str">
        <f t="shared" si="8"/>
        <v/>
      </c>
      <c r="AB147" s="49" t="str">
        <f t="shared" si="9"/>
        <v/>
      </c>
      <c r="AC147" s="20" t="str">
        <f t="shared" ref="AC147:AD147" si="299">IF(_xlfn.ISFORMULA(S147),IFERROR(0/0,""),TRUE)</f>
        <v/>
      </c>
      <c r="AD147" s="20" t="str">
        <f t="shared" si="299"/>
        <v/>
      </c>
      <c r="AE147" s="43"/>
      <c r="AF147" s="62" t="s">
        <v>41</v>
      </c>
      <c r="AG147" s="57" t="str">
        <f t="shared" si="11"/>
        <v/>
      </c>
    </row>
    <row r="148">
      <c r="A148" s="6" t="str">
        <f>IFERROR(__xludf.DUMMYFUNCTION("""COMPUTED_VALUE"""),"MA700")</f>
        <v>MA700</v>
      </c>
      <c r="B148" s="204">
        <f>IFERROR(__xludf.DUMMYFUNCTION("""COMPUTED_VALUE"""),44573.0)</f>
        <v>44573</v>
      </c>
      <c r="C148" s="250">
        <f>IFERROR(__xludf.DUMMYFUNCTION("""COMPUTED_VALUE"""),0.31827546296296294)</f>
        <v>0.318275463</v>
      </c>
      <c r="D148" s="6" t="str">
        <f>IFERROR(__xludf.DUMMYFUNCTION("""COMPUTED_VALUE"""),"SpBEND492052")</f>
        <v>SpBEND492052</v>
      </c>
      <c r="E148" s="251"/>
      <c r="F148" s="251"/>
      <c r="G148" s="251" t="str">
        <f>IFERROR(__xludf.DUMMYFUNCTION("""COMPUTED_VALUE"""),"Negative")</f>
        <v>Negative</v>
      </c>
      <c r="H148" s="262" t="str">
        <f>IFERROR(__xludf.DUMMYFUNCTION("""COMPUTED_VALUE"""),"Negative")</f>
        <v>Negative</v>
      </c>
      <c r="I148" s="204">
        <f>IFERROR(__xludf.DUMMYFUNCTION("""COMPUTED_VALUE"""),44575.0)</f>
        <v>44575</v>
      </c>
      <c r="J148" s="252">
        <f>IFERROR(__xludf.DUMMYFUNCTION("""COMPUTED_VALUE"""),0.48202546296296295)</f>
        <v>0.482025463</v>
      </c>
      <c r="K148" s="56"/>
      <c r="L148" s="6"/>
      <c r="M148" s="61"/>
      <c r="N148" s="61">
        <f>IFERROR(__xludf.DUMMYFUNCTION("""COMPUTED_VALUE"""),1.0)</f>
        <v>1</v>
      </c>
      <c r="O148" s="61" t="str">
        <f t="shared" si="3"/>
        <v/>
      </c>
      <c r="P148" s="253">
        <f>IFERROR(__xludf.DUMMYFUNCTION("""COMPUTED_VALUE"""),2.0)</f>
        <v>2</v>
      </c>
      <c r="Q148" s="254" t="str">
        <f>VLOOKUP($B148,'Run Reconcile'!B$2:O799,14,FALSE)</f>
        <v/>
      </c>
      <c r="R148" s="255" t="str">
        <f t="array" ref="R148">IF($Q148, INDEX('Run Reconcile'!A$2:A799,MATCH(B148,'Run Reconcile'!B$2:B799,0),1),IFERROR(0/0,""))</f>
        <v/>
      </c>
      <c r="S148" s="261" t="str">
        <f t="shared" ref="S148:T148" si="300">IF(COUNTIF(W$2:W799, $A148) &gt; 0,TRUE,IFERROR(0/0,""))</f>
        <v/>
      </c>
      <c r="T148" s="261" t="str">
        <f t="shared" si="300"/>
        <v/>
      </c>
      <c r="U148" s="257" t="str">
        <f t="array" ref="U148">IF(ISBLANK($R148), INDEX('Run Reconcile'!A$2:A799, MATCH($B148, 'Run Reconcile'!B$2:B799, 0)+Z148, 1), IFERROR(0/0,""))
</f>
        <v>RUN-BEND_2022-01-12_RFR-013</v>
      </c>
      <c r="V148" s="258" t="str">
        <f t="shared" si="5"/>
        <v>RUN-BEND_2022-01-12_RFR-013</v>
      </c>
      <c r="Y148" s="130" t="str">
        <f t="shared" si="6"/>
        <v/>
      </c>
      <c r="Z148" s="49" t="str">
        <f t="shared" si="7"/>
        <v/>
      </c>
      <c r="AA148" s="49" t="str">
        <f t="shared" si="8"/>
        <v/>
      </c>
      <c r="AB148" s="49" t="str">
        <f t="shared" si="9"/>
        <v/>
      </c>
      <c r="AC148" s="20" t="str">
        <f t="shared" ref="AC148:AD148" si="301">IF(_xlfn.ISFORMULA(S148),IFERROR(0/0,""),TRUE)</f>
        <v/>
      </c>
      <c r="AD148" s="20" t="str">
        <f t="shared" si="301"/>
        <v/>
      </c>
      <c r="AE148" s="43"/>
      <c r="AF148" s="62" t="s">
        <v>41</v>
      </c>
      <c r="AG148" s="57" t="str">
        <f t="shared" si="11"/>
        <v/>
      </c>
    </row>
    <row r="149">
      <c r="A149" s="6" t="str">
        <f>IFERROR(__xludf.DUMMYFUNCTION("""COMPUTED_VALUE"""),"MA1156")</f>
        <v>MA1156</v>
      </c>
      <c r="B149" s="204">
        <f>IFERROR(__xludf.DUMMYFUNCTION("""COMPUTED_VALUE"""),44573.0)</f>
        <v>44573</v>
      </c>
      <c r="C149" s="250">
        <f>IFERROR(__xludf.DUMMYFUNCTION("""COMPUTED_VALUE"""),0.32337962962962963)</f>
        <v>0.3233796296</v>
      </c>
      <c r="D149" s="6" t="str">
        <f>IFERROR(__xludf.DUMMYFUNCTION("""COMPUTED_VALUE"""),"SpBEND198321")</f>
        <v>SpBEND198321</v>
      </c>
      <c r="E149" s="251"/>
      <c r="F149" s="251"/>
      <c r="G149" s="251" t="str">
        <f>IFERROR(__xludf.DUMMYFUNCTION("""COMPUTED_VALUE"""),"Positive")</f>
        <v>Positive</v>
      </c>
      <c r="H149" s="262" t="str">
        <f>IFERROR(__xludf.DUMMYFUNCTION("""COMPUTED_VALUE"""),"Positive")</f>
        <v>Positive</v>
      </c>
      <c r="I149" s="204">
        <f>IFERROR(__xludf.DUMMYFUNCTION("""COMPUTED_VALUE"""),44579.0)</f>
        <v>44579</v>
      </c>
      <c r="J149" s="252">
        <f>IFERROR(__xludf.DUMMYFUNCTION("""COMPUTED_VALUE"""),0.5015856481481481)</f>
        <v>0.5015856481</v>
      </c>
      <c r="K149" s="56"/>
      <c r="L149" s="6"/>
      <c r="M149" s="61"/>
      <c r="N149" s="61">
        <f>IFERROR(__xludf.DUMMYFUNCTION("""COMPUTED_VALUE"""),1.0)</f>
        <v>1</v>
      </c>
      <c r="O149" s="61" t="str">
        <f t="shared" si="3"/>
        <v/>
      </c>
      <c r="P149" s="253">
        <f>IFERROR(__xludf.DUMMYFUNCTION("""COMPUTED_VALUE"""),6.0)</f>
        <v>6</v>
      </c>
      <c r="Q149" s="254" t="str">
        <f>VLOOKUP($B149,'Run Reconcile'!B$2:O799,14,FALSE)</f>
        <v/>
      </c>
      <c r="R149" s="255" t="str">
        <f t="array" ref="R149">IF($Q149, INDEX('Run Reconcile'!A$2:A799,MATCH(B149,'Run Reconcile'!B$2:B799,0),1),IFERROR(0/0,""))</f>
        <v/>
      </c>
      <c r="S149" s="261" t="str">
        <f t="shared" ref="S149:T149" si="302">IF(COUNTIF(W$2:W799, $A149) &gt; 0,TRUE,IFERROR(0/0,""))</f>
        <v/>
      </c>
      <c r="T149" s="261" t="str">
        <f t="shared" si="302"/>
        <v/>
      </c>
      <c r="U149" s="257" t="str">
        <f t="array" ref="U149">IF(ISBLANK($R149), INDEX('Run Reconcile'!A$2:A799, MATCH($B149, 'Run Reconcile'!B$2:B799, 0)+Z149, 1), IFERROR(0/0,""))
</f>
        <v>RUN-BEND_2022-01-12_RFR-013</v>
      </c>
      <c r="V149" s="258" t="str">
        <f t="shared" si="5"/>
        <v>RUN-BEND_2022-01-12_RFR-013</v>
      </c>
      <c r="Y149" s="130" t="str">
        <f t="shared" si="6"/>
        <v/>
      </c>
      <c r="Z149" s="49" t="str">
        <f t="shared" si="7"/>
        <v/>
      </c>
      <c r="AA149" s="49" t="str">
        <f t="shared" si="8"/>
        <v/>
      </c>
      <c r="AB149" s="49" t="str">
        <f t="shared" si="9"/>
        <v/>
      </c>
      <c r="AC149" s="20" t="str">
        <f t="shared" ref="AC149:AD149" si="303">IF(_xlfn.ISFORMULA(S149),IFERROR(0/0,""),TRUE)</f>
        <v/>
      </c>
      <c r="AD149" s="20" t="str">
        <f t="shared" si="303"/>
        <v/>
      </c>
      <c r="AE149" s="43"/>
      <c r="AF149" s="62" t="s">
        <v>41</v>
      </c>
      <c r="AG149" s="57" t="str">
        <f t="shared" si="11"/>
        <v/>
      </c>
    </row>
    <row r="150">
      <c r="A150" s="6" t="str">
        <f>IFERROR(__xludf.DUMMYFUNCTION("""COMPUTED_VALUE"""),"MA1077")</f>
        <v>MA1077</v>
      </c>
      <c r="B150" s="204">
        <f>IFERROR(__xludf.DUMMYFUNCTION("""COMPUTED_VALUE"""),44573.0)</f>
        <v>44573</v>
      </c>
      <c r="C150" s="250">
        <f>IFERROR(__xludf.DUMMYFUNCTION("""COMPUTED_VALUE"""),0.3285532407407407)</f>
        <v>0.3285532407</v>
      </c>
      <c r="D150" s="6" t="str">
        <f>IFERROR(__xludf.DUMMYFUNCTION("""COMPUTED_VALUE"""),"SpBEND825522")</f>
        <v>SpBEND825522</v>
      </c>
      <c r="E150" s="251"/>
      <c r="F150" s="251"/>
      <c r="G150" s="251" t="str">
        <f>IFERROR(__xludf.DUMMYFUNCTION("""COMPUTED_VALUE"""),"Negative")</f>
        <v>Negative</v>
      </c>
      <c r="H150" s="264" t="str">
        <f>IFERROR(__xludf.DUMMYFUNCTION("""COMPUTED_VALUE"""),"Negative")</f>
        <v>Negative</v>
      </c>
      <c r="I150" s="263">
        <f>IFERROR(__xludf.DUMMYFUNCTION("""COMPUTED_VALUE"""),44575.0)</f>
        <v>44575</v>
      </c>
      <c r="J150" s="252">
        <f>IFERROR(__xludf.DUMMYFUNCTION("""COMPUTED_VALUE"""),0.48202546296296295)</f>
        <v>0.482025463</v>
      </c>
      <c r="K150" s="56"/>
      <c r="L150" s="6"/>
      <c r="M150" s="61"/>
      <c r="N150" s="61">
        <f>IFERROR(__xludf.DUMMYFUNCTION("""COMPUTED_VALUE"""),1.0)</f>
        <v>1</v>
      </c>
      <c r="O150" s="61" t="str">
        <f t="shared" si="3"/>
        <v/>
      </c>
      <c r="P150" s="253">
        <f>IFERROR(__xludf.DUMMYFUNCTION("""COMPUTED_VALUE"""),2.0)</f>
        <v>2</v>
      </c>
      <c r="Q150" s="254" t="str">
        <f>VLOOKUP($B150,'Run Reconcile'!B$2:O799,14,FALSE)</f>
        <v/>
      </c>
      <c r="R150" s="255" t="str">
        <f t="array" ref="R150">IF($Q150, INDEX('Run Reconcile'!A$2:A799,MATCH(B150,'Run Reconcile'!B$2:B799,0),1),IFERROR(0/0,""))</f>
        <v/>
      </c>
      <c r="S150" s="261" t="str">
        <f t="shared" ref="S150:T150" si="304">IF(COUNTIF(W$2:W799, $A150) &gt; 0,TRUE,IFERROR(0/0,""))</f>
        <v/>
      </c>
      <c r="T150" s="261" t="str">
        <f t="shared" si="304"/>
        <v/>
      </c>
      <c r="U150" s="257" t="str">
        <f t="array" ref="U150">IF(ISBLANK($R150), INDEX('Run Reconcile'!A$2:A799, MATCH($B150, 'Run Reconcile'!B$2:B799, 0)+Z150, 1), IFERROR(0/0,""))
</f>
        <v>RUN-BEND_2022-01-12_RFR-013</v>
      </c>
      <c r="V150" s="258" t="str">
        <f t="shared" si="5"/>
        <v>RUN-BEND_2022-01-12_RFR-013</v>
      </c>
      <c r="Y150" s="130" t="str">
        <f t="shared" si="6"/>
        <v/>
      </c>
      <c r="Z150" s="49" t="str">
        <f t="shared" si="7"/>
        <v/>
      </c>
      <c r="AA150" s="49" t="str">
        <f t="shared" si="8"/>
        <v/>
      </c>
      <c r="AB150" s="49" t="str">
        <f t="shared" si="9"/>
        <v/>
      </c>
      <c r="AC150" s="20" t="str">
        <f t="shared" ref="AC150:AD150" si="305">IF(_xlfn.ISFORMULA(S150),IFERROR(0/0,""),TRUE)</f>
        <v/>
      </c>
      <c r="AD150" s="20" t="str">
        <f t="shared" si="305"/>
        <v/>
      </c>
      <c r="AE150" s="43"/>
      <c r="AF150" s="62" t="s">
        <v>41</v>
      </c>
      <c r="AG150" s="57" t="str">
        <f t="shared" si="11"/>
        <v/>
      </c>
    </row>
    <row r="151">
      <c r="A151" s="6" t="str">
        <f>IFERROR(__xludf.DUMMYFUNCTION("""COMPUTED_VALUE"""),"MA633")</f>
        <v>MA633</v>
      </c>
      <c r="B151" s="204">
        <f>IFERROR(__xludf.DUMMYFUNCTION("""COMPUTED_VALUE"""),44573.0)</f>
        <v>44573</v>
      </c>
      <c r="C151" s="250">
        <f>IFERROR(__xludf.DUMMYFUNCTION("""COMPUTED_VALUE"""),0.3347800925925926)</f>
        <v>0.3347800926</v>
      </c>
      <c r="D151" s="6" t="str">
        <f>IFERROR(__xludf.DUMMYFUNCTION("""COMPUTED_VALUE"""),"SpBEND349435")</f>
        <v>SpBEND349435</v>
      </c>
      <c r="E151" s="251"/>
      <c r="F151" s="251"/>
      <c r="G151" s="251" t="str">
        <f>IFERROR(__xludf.DUMMYFUNCTION("""COMPUTED_VALUE"""),"Negative")</f>
        <v>Negative</v>
      </c>
      <c r="H151" s="262" t="str">
        <f>IFERROR(__xludf.DUMMYFUNCTION("""COMPUTED_VALUE"""),"Negative")</f>
        <v>Negative</v>
      </c>
      <c r="I151" s="204">
        <f>IFERROR(__xludf.DUMMYFUNCTION("""COMPUTED_VALUE"""),44575.0)</f>
        <v>44575</v>
      </c>
      <c r="J151" s="252">
        <f>IFERROR(__xludf.DUMMYFUNCTION("""COMPUTED_VALUE"""),0.48202546296296295)</f>
        <v>0.482025463</v>
      </c>
      <c r="K151" s="56"/>
      <c r="L151" s="6"/>
      <c r="M151" s="61"/>
      <c r="N151" s="61">
        <f>IFERROR(__xludf.DUMMYFUNCTION("""COMPUTED_VALUE"""),1.0)</f>
        <v>1</v>
      </c>
      <c r="O151" s="61" t="str">
        <f t="shared" si="3"/>
        <v/>
      </c>
      <c r="P151" s="253">
        <f>IFERROR(__xludf.DUMMYFUNCTION("""COMPUTED_VALUE"""),2.0)</f>
        <v>2</v>
      </c>
      <c r="Q151" s="254" t="str">
        <f>VLOOKUP($B151,'Run Reconcile'!B$2:O799,14,FALSE)</f>
        <v/>
      </c>
      <c r="R151" s="255" t="str">
        <f t="array" ref="R151">IF($Q151, INDEX('Run Reconcile'!A$2:A799,MATCH(B151,'Run Reconcile'!B$2:B799,0),1),IFERROR(0/0,""))</f>
        <v/>
      </c>
      <c r="S151" s="261" t="str">
        <f t="shared" ref="S151:T151" si="306">IF(COUNTIF(W$2:W799, $A151) &gt; 0,TRUE,IFERROR(0/0,""))</f>
        <v/>
      </c>
      <c r="T151" s="261" t="str">
        <f t="shared" si="306"/>
        <v/>
      </c>
      <c r="U151" s="257" t="str">
        <f t="array" ref="U151">IF(ISBLANK($R151), INDEX('Run Reconcile'!A$2:A799, MATCH($B151, 'Run Reconcile'!B$2:B799, 0)+Z151, 1), IFERROR(0/0,""))
</f>
        <v>RUN-BEND_2022-01-12_RFR-013</v>
      </c>
      <c r="V151" s="258" t="str">
        <f t="shared" si="5"/>
        <v>RUN-BEND_2022-01-12_RFR-013</v>
      </c>
      <c r="Y151" s="130" t="str">
        <f t="shared" si="6"/>
        <v/>
      </c>
      <c r="Z151" s="49" t="str">
        <f t="shared" si="7"/>
        <v/>
      </c>
      <c r="AA151" s="49" t="str">
        <f t="shared" si="8"/>
        <v/>
      </c>
      <c r="AB151" s="49" t="str">
        <f t="shared" si="9"/>
        <v/>
      </c>
      <c r="AC151" s="20" t="str">
        <f t="shared" ref="AC151:AD151" si="307">IF(_xlfn.ISFORMULA(S151),IFERROR(0/0,""),TRUE)</f>
        <v/>
      </c>
      <c r="AD151" s="20" t="str">
        <f t="shared" si="307"/>
        <v/>
      </c>
      <c r="AE151" s="43"/>
      <c r="AF151" s="62" t="s">
        <v>41</v>
      </c>
      <c r="AG151" s="57" t="str">
        <f t="shared" si="11"/>
        <v/>
      </c>
    </row>
    <row r="152">
      <c r="A152" s="6" t="str">
        <f>IFERROR(__xludf.DUMMYFUNCTION("""COMPUTED_VALUE"""),"MA1217")</f>
        <v>MA1217</v>
      </c>
      <c r="B152" s="204">
        <f>IFERROR(__xludf.DUMMYFUNCTION("""COMPUTED_VALUE"""),44573.0)</f>
        <v>44573</v>
      </c>
      <c r="C152" s="250">
        <f>IFERROR(__xludf.DUMMYFUNCTION("""COMPUTED_VALUE"""),0.347650462962963)</f>
        <v>0.347650463</v>
      </c>
      <c r="D152" s="6" t="str">
        <f>IFERROR(__xludf.DUMMYFUNCTION("""COMPUTED_VALUE"""),"SpBEND305944")</f>
        <v>SpBEND305944</v>
      </c>
      <c r="E152" s="251"/>
      <c r="F152" s="251"/>
      <c r="G152" s="251" t="str">
        <f>IFERROR(__xludf.DUMMYFUNCTION("""COMPUTED_VALUE"""),"Negative")</f>
        <v>Negative</v>
      </c>
      <c r="H152" s="262" t="str">
        <f>IFERROR(__xludf.DUMMYFUNCTION("""COMPUTED_VALUE"""),"Negative")</f>
        <v>Negative</v>
      </c>
      <c r="I152" s="204">
        <f>IFERROR(__xludf.DUMMYFUNCTION("""COMPUTED_VALUE"""),44575.0)</f>
        <v>44575</v>
      </c>
      <c r="J152" s="252">
        <f>IFERROR(__xludf.DUMMYFUNCTION("""COMPUTED_VALUE"""),0.48202546296296295)</f>
        <v>0.482025463</v>
      </c>
      <c r="K152" s="56"/>
      <c r="L152" s="6"/>
      <c r="M152" s="61"/>
      <c r="N152" s="61">
        <f>IFERROR(__xludf.DUMMYFUNCTION("""COMPUTED_VALUE"""),1.0)</f>
        <v>1</v>
      </c>
      <c r="O152" s="61" t="str">
        <f t="shared" si="3"/>
        <v/>
      </c>
      <c r="P152" s="253">
        <f>IFERROR(__xludf.DUMMYFUNCTION("""COMPUTED_VALUE"""),2.0)</f>
        <v>2</v>
      </c>
      <c r="Q152" s="254" t="str">
        <f>VLOOKUP($B152,'Run Reconcile'!B$2:O799,14,FALSE)</f>
        <v/>
      </c>
      <c r="R152" s="255" t="str">
        <f t="array" ref="R152">IF($Q152, INDEX('Run Reconcile'!A$2:A799,MATCH(B152,'Run Reconcile'!B$2:B799,0),1),IFERROR(0/0,""))</f>
        <v/>
      </c>
      <c r="S152" s="261" t="str">
        <f t="shared" ref="S152:T152" si="308">IF(COUNTIF(W$2:W799, $A152) &gt; 0,TRUE,IFERROR(0/0,""))</f>
        <v/>
      </c>
      <c r="T152" s="261" t="str">
        <f t="shared" si="308"/>
        <v/>
      </c>
      <c r="U152" s="257" t="str">
        <f t="array" ref="U152">IF(ISBLANK($R152), INDEX('Run Reconcile'!A$2:A799, MATCH($B152, 'Run Reconcile'!B$2:B799, 0)+Z152, 1), IFERROR(0/0,""))
</f>
        <v>RUN-BEND_2022-01-12_RFR-013</v>
      </c>
      <c r="V152" s="258" t="str">
        <f t="shared" si="5"/>
        <v>RUN-BEND_2022-01-12_RFR-013</v>
      </c>
      <c r="Y152" s="130" t="str">
        <f t="shared" si="6"/>
        <v/>
      </c>
      <c r="Z152" s="49" t="str">
        <f t="shared" si="7"/>
        <v/>
      </c>
      <c r="AA152" s="49" t="str">
        <f t="shared" si="8"/>
        <v/>
      </c>
      <c r="AB152" s="49" t="str">
        <f t="shared" si="9"/>
        <v/>
      </c>
      <c r="AC152" s="20" t="str">
        <f t="shared" ref="AC152:AD152" si="309">IF(_xlfn.ISFORMULA(S152),IFERROR(0/0,""),TRUE)</f>
        <v/>
      </c>
      <c r="AD152" s="20" t="str">
        <f t="shared" si="309"/>
        <v/>
      </c>
      <c r="AE152" s="43"/>
      <c r="AF152" s="62" t="s">
        <v>41</v>
      </c>
      <c r="AG152" s="57" t="str">
        <f t="shared" si="11"/>
        <v/>
      </c>
    </row>
    <row r="153">
      <c r="A153" s="6" t="str">
        <f>IFERROR(__xludf.DUMMYFUNCTION("""COMPUTED_VALUE"""),"MA396")</f>
        <v>MA396</v>
      </c>
      <c r="B153" s="204">
        <f>IFERROR(__xludf.DUMMYFUNCTION("""COMPUTED_VALUE"""),44573.0)</f>
        <v>44573</v>
      </c>
      <c r="C153" s="250">
        <f>IFERROR(__xludf.DUMMYFUNCTION("""COMPUTED_VALUE"""),0.3486574074074074)</f>
        <v>0.3486574074</v>
      </c>
      <c r="D153" s="6" t="str">
        <f>IFERROR(__xludf.DUMMYFUNCTION("""COMPUTED_VALUE"""),"SpBEND425753")</f>
        <v>SpBEND425753</v>
      </c>
      <c r="E153" s="251"/>
      <c r="F153" s="251"/>
      <c r="G153" s="251" t="str">
        <f>IFERROR(__xludf.DUMMYFUNCTION("""COMPUTED_VALUE"""),"Negative")</f>
        <v>Negative</v>
      </c>
      <c r="H153" s="262" t="str">
        <f>IFERROR(__xludf.DUMMYFUNCTION("""COMPUTED_VALUE"""),"Negative")</f>
        <v>Negative</v>
      </c>
      <c r="I153" s="204">
        <f>IFERROR(__xludf.DUMMYFUNCTION("""COMPUTED_VALUE"""),44575.0)</f>
        <v>44575</v>
      </c>
      <c r="J153" s="252">
        <f>IFERROR(__xludf.DUMMYFUNCTION("""COMPUTED_VALUE"""),0.48202546296296295)</f>
        <v>0.482025463</v>
      </c>
      <c r="K153" s="56"/>
      <c r="L153" s="6"/>
      <c r="M153" s="61"/>
      <c r="N153" s="61">
        <f>IFERROR(__xludf.DUMMYFUNCTION("""COMPUTED_VALUE"""),1.0)</f>
        <v>1</v>
      </c>
      <c r="O153" s="61" t="str">
        <f t="shared" si="3"/>
        <v/>
      </c>
      <c r="P153" s="253">
        <f>IFERROR(__xludf.DUMMYFUNCTION("""COMPUTED_VALUE"""),2.0)</f>
        <v>2</v>
      </c>
      <c r="Q153" s="254" t="str">
        <f>VLOOKUP($B153,'Run Reconcile'!B$2:O799,14,FALSE)</f>
        <v/>
      </c>
      <c r="R153" s="255" t="str">
        <f t="array" ref="R153">IF($Q153, INDEX('Run Reconcile'!A$2:A799,MATCH(B153,'Run Reconcile'!B$2:B799,0),1),IFERROR(0/0,""))</f>
        <v/>
      </c>
      <c r="S153" s="261" t="str">
        <f t="shared" ref="S153:T153" si="310">IF(COUNTIF(W$2:W799, $A153) &gt; 0,TRUE,IFERROR(0/0,""))</f>
        <v/>
      </c>
      <c r="T153" s="261" t="str">
        <f t="shared" si="310"/>
        <v/>
      </c>
      <c r="U153" s="257" t="str">
        <f t="array" ref="U153">IF(ISBLANK($R153), INDEX('Run Reconcile'!A$2:A799, MATCH($B153, 'Run Reconcile'!B$2:B799, 0)+Z153, 1), IFERROR(0/0,""))
</f>
        <v>RUN-BEND_2022-01-12_RFR-013</v>
      </c>
      <c r="V153" s="258" t="str">
        <f t="shared" si="5"/>
        <v>RUN-BEND_2022-01-12_RFR-013</v>
      </c>
      <c r="Y153" s="130" t="str">
        <f t="shared" si="6"/>
        <v/>
      </c>
      <c r="Z153" s="49" t="str">
        <f t="shared" si="7"/>
        <v/>
      </c>
      <c r="AA153" s="49" t="str">
        <f t="shared" si="8"/>
        <v/>
      </c>
      <c r="AB153" s="49" t="str">
        <f t="shared" si="9"/>
        <v/>
      </c>
      <c r="AC153" s="20" t="str">
        <f t="shared" ref="AC153:AD153" si="311">IF(_xlfn.ISFORMULA(S153),IFERROR(0/0,""),TRUE)</f>
        <v/>
      </c>
      <c r="AD153" s="20" t="str">
        <f t="shared" si="311"/>
        <v/>
      </c>
      <c r="AE153" s="43"/>
      <c r="AF153" s="62" t="s">
        <v>41</v>
      </c>
      <c r="AG153" s="57" t="str">
        <f t="shared" si="11"/>
        <v/>
      </c>
    </row>
    <row r="154">
      <c r="A154" s="6" t="str">
        <f>IFERROR(__xludf.DUMMYFUNCTION("""COMPUTED_VALUE"""),"MA1199")</f>
        <v>MA1199</v>
      </c>
      <c r="B154" s="204">
        <f>IFERROR(__xludf.DUMMYFUNCTION("""COMPUTED_VALUE"""),44573.0)</f>
        <v>44573</v>
      </c>
      <c r="C154" s="250">
        <f>IFERROR(__xludf.DUMMYFUNCTION("""COMPUTED_VALUE"""),0.35030092592592593)</f>
        <v>0.3503009259</v>
      </c>
      <c r="D154" s="6" t="str">
        <f>IFERROR(__xludf.DUMMYFUNCTION("""COMPUTED_VALUE"""),"SpBEND977859")</f>
        <v>SpBEND977859</v>
      </c>
      <c r="E154" s="251"/>
      <c r="F154" s="251"/>
      <c r="G154" s="251" t="str">
        <f>IFERROR(__xludf.DUMMYFUNCTION("""COMPUTED_VALUE"""),"Negative")</f>
        <v>Negative</v>
      </c>
      <c r="H154" s="262" t="str">
        <f>IFERROR(__xludf.DUMMYFUNCTION("""COMPUTED_VALUE"""),"Negative")</f>
        <v>Negative</v>
      </c>
      <c r="I154" s="204">
        <f>IFERROR(__xludf.DUMMYFUNCTION("""COMPUTED_VALUE"""),44575.0)</f>
        <v>44575</v>
      </c>
      <c r="J154" s="252">
        <f>IFERROR(__xludf.DUMMYFUNCTION("""COMPUTED_VALUE"""),0.48203703703703704)</f>
        <v>0.482037037</v>
      </c>
      <c r="K154" s="56"/>
      <c r="L154" s="6"/>
      <c r="M154" s="61"/>
      <c r="N154" s="61">
        <f>IFERROR(__xludf.DUMMYFUNCTION("""COMPUTED_VALUE"""),1.0)</f>
        <v>1</v>
      </c>
      <c r="O154" s="61" t="str">
        <f t="shared" si="3"/>
        <v/>
      </c>
      <c r="P154" s="253">
        <f>IFERROR(__xludf.DUMMYFUNCTION("""COMPUTED_VALUE"""),2.0)</f>
        <v>2</v>
      </c>
      <c r="Q154" s="254" t="str">
        <f>VLOOKUP($B154,'Run Reconcile'!B$2:O799,14,FALSE)</f>
        <v/>
      </c>
      <c r="R154" s="255" t="str">
        <f t="array" ref="R154">IF($Q154, INDEX('Run Reconcile'!A$2:A799,MATCH(B154,'Run Reconcile'!B$2:B799,0),1),IFERROR(0/0,""))</f>
        <v/>
      </c>
      <c r="S154" s="261" t="str">
        <f t="shared" ref="S154:T154" si="312">IF(COUNTIF(W$2:W799, $A154) &gt; 0,TRUE,IFERROR(0/0,""))</f>
        <v/>
      </c>
      <c r="T154" s="261" t="str">
        <f t="shared" si="312"/>
        <v/>
      </c>
      <c r="U154" s="257" t="str">
        <f t="array" ref="U154">IF(ISBLANK($R154), INDEX('Run Reconcile'!A$2:A799, MATCH($B154, 'Run Reconcile'!B$2:B799, 0)+Z154, 1), IFERROR(0/0,""))
</f>
        <v>RUN-BEND_2022-01-12_RFR-013</v>
      </c>
      <c r="V154" s="258" t="str">
        <f t="shared" si="5"/>
        <v>RUN-BEND_2022-01-12_RFR-013</v>
      </c>
      <c r="Y154" s="130" t="str">
        <f t="shared" si="6"/>
        <v/>
      </c>
      <c r="Z154" s="49" t="str">
        <f t="shared" si="7"/>
        <v/>
      </c>
      <c r="AA154" s="49" t="str">
        <f t="shared" si="8"/>
        <v/>
      </c>
      <c r="AB154" s="49" t="str">
        <f t="shared" si="9"/>
        <v/>
      </c>
      <c r="AC154" s="20" t="str">
        <f t="shared" ref="AC154:AD154" si="313">IF(_xlfn.ISFORMULA(S154),IFERROR(0/0,""),TRUE)</f>
        <v/>
      </c>
      <c r="AD154" s="20" t="str">
        <f t="shared" si="313"/>
        <v/>
      </c>
      <c r="AE154" s="43"/>
      <c r="AF154" s="62" t="s">
        <v>41</v>
      </c>
      <c r="AG154" s="57" t="str">
        <f t="shared" si="11"/>
        <v/>
      </c>
    </row>
    <row r="155">
      <c r="A155" s="6" t="str">
        <f>IFERROR(__xludf.DUMMYFUNCTION("""COMPUTED_VALUE"""),"MAX98")</f>
        <v>MAX98</v>
      </c>
      <c r="B155" s="204">
        <f>IFERROR(__xludf.DUMMYFUNCTION("""COMPUTED_VALUE"""),44573.0)</f>
        <v>44573</v>
      </c>
      <c r="C155" s="250">
        <f>IFERROR(__xludf.DUMMYFUNCTION("""COMPUTED_VALUE"""),0.38329861111111113)</f>
        <v>0.3832986111</v>
      </c>
      <c r="D155" s="6" t="str">
        <f>IFERROR(__xludf.DUMMYFUNCTION("""COMPUTED_VALUE"""),"SpBEND394154")</f>
        <v>SpBEND394154</v>
      </c>
      <c r="E155" s="251"/>
      <c r="F155" s="251"/>
      <c r="G155" s="251" t="str">
        <f>IFERROR(__xludf.DUMMYFUNCTION("""COMPUTED_VALUE"""),"Negative")</f>
        <v>Negative</v>
      </c>
      <c r="H155" s="262" t="str">
        <f>IFERROR(__xludf.DUMMYFUNCTION("""COMPUTED_VALUE"""),"Negative")</f>
        <v>Negative</v>
      </c>
      <c r="I155" s="204">
        <f>IFERROR(__xludf.DUMMYFUNCTION("""COMPUTED_VALUE"""),44575.0)</f>
        <v>44575</v>
      </c>
      <c r="J155" s="252">
        <f>IFERROR(__xludf.DUMMYFUNCTION("""COMPUTED_VALUE"""),0.48203703703703704)</f>
        <v>0.482037037</v>
      </c>
      <c r="K155" s="56"/>
      <c r="L155" s="6"/>
      <c r="M155" s="61"/>
      <c r="N155" s="61">
        <f>IFERROR(__xludf.DUMMYFUNCTION("""COMPUTED_VALUE"""),1.0)</f>
        <v>1</v>
      </c>
      <c r="O155" s="61" t="str">
        <f t="shared" si="3"/>
        <v/>
      </c>
      <c r="P155" s="253">
        <f>IFERROR(__xludf.DUMMYFUNCTION("""COMPUTED_VALUE"""),2.0)</f>
        <v>2</v>
      </c>
      <c r="Q155" s="254" t="str">
        <f>VLOOKUP($B155,'Run Reconcile'!B$2:O799,14,FALSE)</f>
        <v/>
      </c>
      <c r="R155" s="255" t="str">
        <f t="array" ref="R155">IF($Q155, INDEX('Run Reconcile'!A$2:A799,MATCH(B155,'Run Reconcile'!B$2:B799,0),1),IFERROR(0/0,""))</f>
        <v/>
      </c>
      <c r="S155" s="261" t="str">
        <f t="shared" ref="S155:T155" si="314">IF(COUNTIF(W$2:W799, $A155) &gt; 0,TRUE,IFERROR(0/0,""))</f>
        <v/>
      </c>
      <c r="T155" s="261" t="str">
        <f t="shared" si="314"/>
        <v/>
      </c>
      <c r="U155" s="257" t="str">
        <f t="array" ref="U155">IF(ISBLANK($R155), INDEX('Run Reconcile'!A$2:A799, MATCH($B155, 'Run Reconcile'!B$2:B799, 0)+Z155, 1), IFERROR(0/0,""))
</f>
        <v>RUN-BEND_2022-01-12_RFR-013</v>
      </c>
      <c r="V155" s="258" t="str">
        <f t="shared" si="5"/>
        <v>RUN-BEND_2022-01-12_RFR-013</v>
      </c>
      <c r="Y155" s="130" t="str">
        <f t="shared" si="6"/>
        <v/>
      </c>
      <c r="Z155" s="49" t="str">
        <f t="shared" si="7"/>
        <v/>
      </c>
      <c r="AA155" s="49" t="str">
        <f t="shared" si="8"/>
        <v/>
      </c>
      <c r="AB155" s="49" t="str">
        <f t="shared" si="9"/>
        <v/>
      </c>
      <c r="AC155" s="20" t="str">
        <f t="shared" ref="AC155:AD155" si="315">IF(_xlfn.ISFORMULA(S155),IFERROR(0/0,""),TRUE)</f>
        <v/>
      </c>
      <c r="AD155" s="20" t="str">
        <f t="shared" si="315"/>
        <v/>
      </c>
      <c r="AE155" s="43"/>
      <c r="AF155" s="62" t="s">
        <v>41</v>
      </c>
      <c r="AG155" s="57" t="str">
        <f t="shared" si="11"/>
        <v/>
      </c>
    </row>
    <row r="156">
      <c r="A156" s="6" t="str">
        <f>IFERROR(__xludf.DUMMYFUNCTION("""COMPUTED_VALUE"""),"MAX20")</f>
        <v>MAX20</v>
      </c>
      <c r="B156" s="204">
        <f>IFERROR(__xludf.DUMMYFUNCTION("""COMPUTED_VALUE"""),44573.0)</f>
        <v>44573</v>
      </c>
      <c r="C156" s="250">
        <f>IFERROR(__xludf.DUMMYFUNCTION("""COMPUTED_VALUE"""),0.38359953703703703)</f>
        <v>0.383599537</v>
      </c>
      <c r="D156" s="6" t="str">
        <f>IFERROR(__xludf.DUMMYFUNCTION("""COMPUTED_VALUE"""),"SpBEND394154")</f>
        <v>SpBEND394154</v>
      </c>
      <c r="E156" s="251"/>
      <c r="F156" s="251"/>
      <c r="G156" s="251" t="str">
        <f>IFERROR(__xludf.DUMMYFUNCTION("""COMPUTED_VALUE"""),"Positive")</f>
        <v>Positive</v>
      </c>
      <c r="H156" s="262" t="str">
        <f>IFERROR(__xludf.DUMMYFUNCTION("""COMPUTED_VALUE"""),"Positive")</f>
        <v>Positive</v>
      </c>
      <c r="I156" s="204">
        <f>IFERROR(__xludf.DUMMYFUNCTION("""COMPUTED_VALUE"""),44579.0)</f>
        <v>44579</v>
      </c>
      <c r="J156" s="252">
        <f>IFERROR(__xludf.DUMMYFUNCTION("""COMPUTED_VALUE"""),0.5015856481481481)</f>
        <v>0.5015856481</v>
      </c>
      <c r="K156" s="56"/>
      <c r="L156" s="6"/>
      <c r="M156" s="61"/>
      <c r="N156" s="61">
        <f>IFERROR(__xludf.DUMMYFUNCTION("""COMPUTED_VALUE"""),1.0)</f>
        <v>1</v>
      </c>
      <c r="O156" s="61" t="str">
        <f t="shared" si="3"/>
        <v/>
      </c>
      <c r="P156" s="253">
        <f>IFERROR(__xludf.DUMMYFUNCTION("""COMPUTED_VALUE"""),6.0)</f>
        <v>6</v>
      </c>
      <c r="Q156" s="254" t="str">
        <f>VLOOKUP($B156,'Run Reconcile'!B$2:O799,14,FALSE)</f>
        <v/>
      </c>
      <c r="R156" s="255" t="str">
        <f t="array" ref="R156">IF($Q156, INDEX('Run Reconcile'!A$2:A799,MATCH(B156,'Run Reconcile'!B$2:B799,0),1),IFERROR(0/0,""))</f>
        <v/>
      </c>
      <c r="S156" s="261" t="str">
        <f t="shared" ref="S156:T156" si="316">IF(COUNTIF(W$2:W799, $A156) &gt; 0,TRUE,IFERROR(0/0,""))</f>
        <v/>
      </c>
      <c r="T156" s="261" t="str">
        <f t="shared" si="316"/>
        <v/>
      </c>
      <c r="U156" s="257" t="str">
        <f t="array" ref="U156">IF(ISBLANK($R156), INDEX('Run Reconcile'!A$2:A799, MATCH($B156, 'Run Reconcile'!B$2:B799, 0)+Z156, 1), IFERROR(0/0,""))
</f>
        <v>RUN-BEND_2022-01-12_RFR-013</v>
      </c>
      <c r="V156" s="258" t="str">
        <f t="shared" si="5"/>
        <v>RUN-BEND_2022-01-12_RFR-013</v>
      </c>
      <c r="Y156" s="130" t="str">
        <f t="shared" si="6"/>
        <v/>
      </c>
      <c r="Z156" s="49" t="str">
        <f t="shared" si="7"/>
        <v/>
      </c>
      <c r="AA156" s="49" t="str">
        <f t="shared" si="8"/>
        <v/>
      </c>
      <c r="AB156" s="49" t="str">
        <f t="shared" si="9"/>
        <v/>
      </c>
      <c r="AC156" s="20" t="str">
        <f t="shared" ref="AC156:AD156" si="317">IF(_xlfn.ISFORMULA(S156),IFERROR(0/0,""),TRUE)</f>
        <v/>
      </c>
      <c r="AD156" s="20" t="str">
        <f t="shared" si="317"/>
        <v/>
      </c>
      <c r="AE156" s="43"/>
      <c r="AF156" s="62" t="s">
        <v>41</v>
      </c>
      <c r="AG156" s="57" t="str">
        <f t="shared" si="11"/>
        <v/>
      </c>
    </row>
    <row r="157">
      <c r="A157" s="6" t="str">
        <f>IFERROR(__xludf.DUMMYFUNCTION("""COMPUTED_VALUE"""),"MAX107")</f>
        <v>MAX107</v>
      </c>
      <c r="B157" s="204">
        <f>IFERROR(__xludf.DUMMYFUNCTION("""COMPUTED_VALUE"""),44573.0)</f>
        <v>44573</v>
      </c>
      <c r="C157" s="250">
        <f>IFERROR(__xludf.DUMMYFUNCTION("""COMPUTED_VALUE"""),0.38538194444444446)</f>
        <v>0.3853819444</v>
      </c>
      <c r="D157" s="6" t="str">
        <f>IFERROR(__xludf.DUMMYFUNCTION("""COMPUTED_VALUE"""),"SpBEND394154")</f>
        <v>SpBEND394154</v>
      </c>
      <c r="E157" s="251"/>
      <c r="F157" s="251"/>
      <c r="G157" s="251" t="str">
        <f>IFERROR(__xludf.DUMMYFUNCTION("""COMPUTED_VALUE"""),"Negative")</f>
        <v>Negative</v>
      </c>
      <c r="H157" s="264" t="str">
        <f>IFERROR(__xludf.DUMMYFUNCTION("""COMPUTED_VALUE"""),"Negative")</f>
        <v>Negative</v>
      </c>
      <c r="I157" s="263">
        <f>IFERROR(__xludf.DUMMYFUNCTION("""COMPUTED_VALUE"""),44575.0)</f>
        <v>44575</v>
      </c>
      <c r="J157" s="252">
        <f>IFERROR(__xludf.DUMMYFUNCTION("""COMPUTED_VALUE"""),0.48203703703703704)</f>
        <v>0.482037037</v>
      </c>
      <c r="K157" s="56"/>
      <c r="L157" s="6"/>
      <c r="M157" s="61"/>
      <c r="N157" s="61">
        <f>IFERROR(__xludf.DUMMYFUNCTION("""COMPUTED_VALUE"""),1.0)</f>
        <v>1</v>
      </c>
      <c r="O157" s="61" t="str">
        <f t="shared" si="3"/>
        <v/>
      </c>
      <c r="P157" s="253">
        <f>IFERROR(__xludf.DUMMYFUNCTION("""COMPUTED_VALUE"""),2.0)</f>
        <v>2</v>
      </c>
      <c r="Q157" s="254" t="str">
        <f>VLOOKUP($B157,'Run Reconcile'!B$2:O799,14,FALSE)</f>
        <v/>
      </c>
      <c r="R157" s="255" t="str">
        <f t="array" ref="R157">IF($Q157, INDEX('Run Reconcile'!A$2:A799,MATCH(B157,'Run Reconcile'!B$2:B799,0),1),IFERROR(0/0,""))</f>
        <v/>
      </c>
      <c r="S157" s="261" t="str">
        <f t="shared" ref="S157:T157" si="318">IF(COUNTIF(W$2:W799, $A157) &gt; 0,TRUE,IFERROR(0/0,""))</f>
        <v/>
      </c>
      <c r="T157" s="261" t="str">
        <f t="shared" si="318"/>
        <v/>
      </c>
      <c r="U157" s="257" t="str">
        <f t="array" ref="U157">IF(ISBLANK($R157), INDEX('Run Reconcile'!A$2:A799, MATCH($B157, 'Run Reconcile'!B$2:B799, 0)+Z157, 1), IFERROR(0/0,""))
</f>
        <v>RUN-BEND_2022-01-12_RFR-013</v>
      </c>
      <c r="V157" s="258" t="str">
        <f t="shared" si="5"/>
        <v>RUN-BEND_2022-01-12_RFR-013</v>
      </c>
      <c r="Y157" s="130" t="str">
        <f t="shared" si="6"/>
        <v/>
      </c>
      <c r="Z157" s="49" t="str">
        <f t="shared" si="7"/>
        <v/>
      </c>
      <c r="AA157" s="49" t="str">
        <f t="shared" si="8"/>
        <v/>
      </c>
      <c r="AB157" s="49" t="str">
        <f t="shared" si="9"/>
        <v/>
      </c>
      <c r="AC157" s="20" t="str">
        <f t="shared" ref="AC157:AD157" si="319">IF(_xlfn.ISFORMULA(S157),IFERROR(0/0,""),TRUE)</f>
        <v/>
      </c>
      <c r="AD157" s="20" t="str">
        <f t="shared" si="319"/>
        <v/>
      </c>
      <c r="AE157" s="43"/>
      <c r="AF157" s="62" t="s">
        <v>41</v>
      </c>
      <c r="AG157" s="57" t="str">
        <f t="shared" si="11"/>
        <v/>
      </c>
    </row>
    <row r="158">
      <c r="A158" s="6" t="str">
        <f>IFERROR(__xludf.DUMMYFUNCTION("""COMPUTED_VALUE"""),"MAX72")</f>
        <v>MAX72</v>
      </c>
      <c r="B158" s="204">
        <f>IFERROR(__xludf.DUMMYFUNCTION("""COMPUTED_VALUE"""),44573.0)</f>
        <v>44573</v>
      </c>
      <c r="C158" s="250">
        <f>IFERROR(__xludf.DUMMYFUNCTION("""COMPUTED_VALUE"""),0.3858564814814815)</f>
        <v>0.3858564815</v>
      </c>
      <c r="D158" s="6" t="str">
        <f>IFERROR(__xludf.DUMMYFUNCTION("""COMPUTED_VALUE"""),"SpBEND394154")</f>
        <v>SpBEND394154</v>
      </c>
      <c r="E158" s="251"/>
      <c r="F158" s="251"/>
      <c r="G158" s="251" t="str">
        <f>IFERROR(__xludf.DUMMYFUNCTION("""COMPUTED_VALUE"""),"Positive")</f>
        <v>Positive</v>
      </c>
      <c r="H158" s="262" t="str">
        <f>IFERROR(__xludf.DUMMYFUNCTION("""COMPUTED_VALUE"""),"Positive")</f>
        <v>Positive</v>
      </c>
      <c r="I158" s="204">
        <f>IFERROR(__xludf.DUMMYFUNCTION("""COMPUTED_VALUE"""),44579.0)</f>
        <v>44579</v>
      </c>
      <c r="J158" s="252">
        <f>IFERROR(__xludf.DUMMYFUNCTION("""COMPUTED_VALUE"""),0.5015856481481481)</f>
        <v>0.5015856481</v>
      </c>
      <c r="K158" s="56"/>
      <c r="L158" s="6"/>
      <c r="M158" s="61"/>
      <c r="N158" s="61">
        <f>IFERROR(__xludf.DUMMYFUNCTION("""COMPUTED_VALUE"""),1.0)</f>
        <v>1</v>
      </c>
      <c r="O158" s="61" t="str">
        <f t="shared" si="3"/>
        <v/>
      </c>
      <c r="P158" s="253">
        <f>IFERROR(__xludf.DUMMYFUNCTION("""COMPUTED_VALUE"""),6.0)</f>
        <v>6</v>
      </c>
      <c r="Q158" s="254" t="str">
        <f>VLOOKUP($B158,'Run Reconcile'!B$2:O799,14,FALSE)</f>
        <v/>
      </c>
      <c r="R158" s="255" t="str">
        <f t="array" ref="R158">IF($Q158, INDEX('Run Reconcile'!A$2:A799,MATCH(B158,'Run Reconcile'!B$2:B799,0),1),IFERROR(0/0,""))</f>
        <v/>
      </c>
      <c r="S158" s="261" t="str">
        <f t="shared" ref="S158:T158" si="320">IF(COUNTIF(W$2:W799, $A158) &gt; 0,TRUE,IFERROR(0/0,""))</f>
        <v/>
      </c>
      <c r="T158" s="261" t="str">
        <f t="shared" si="320"/>
        <v/>
      </c>
      <c r="U158" s="257" t="str">
        <f t="array" ref="U158">IF(ISBLANK($R158), INDEX('Run Reconcile'!A$2:A799, MATCH($B158, 'Run Reconcile'!B$2:B799, 0)+Z158, 1), IFERROR(0/0,""))
</f>
        <v>RUN-BEND_2022-01-12_RFR-013</v>
      </c>
      <c r="V158" s="258" t="str">
        <f t="shared" si="5"/>
        <v>RUN-BEND_2022-01-12_RFR-013</v>
      </c>
      <c r="Y158" s="130" t="str">
        <f t="shared" si="6"/>
        <v/>
      </c>
      <c r="Z158" s="49" t="str">
        <f t="shared" si="7"/>
        <v/>
      </c>
      <c r="AA158" s="49" t="str">
        <f t="shared" si="8"/>
        <v/>
      </c>
      <c r="AB158" s="49" t="str">
        <f t="shared" si="9"/>
        <v/>
      </c>
      <c r="AC158" s="20" t="str">
        <f t="shared" ref="AC158:AD158" si="321">IF(_xlfn.ISFORMULA(S158),IFERROR(0/0,""),TRUE)</f>
        <v/>
      </c>
      <c r="AD158" s="20" t="str">
        <f t="shared" si="321"/>
        <v/>
      </c>
      <c r="AE158" s="43"/>
      <c r="AF158" s="62" t="s">
        <v>41</v>
      </c>
      <c r="AG158" s="57" t="str">
        <f t="shared" si="11"/>
        <v/>
      </c>
    </row>
    <row r="159">
      <c r="A159" s="6" t="str">
        <f>IFERROR(__xludf.DUMMYFUNCTION("""COMPUTED_VALUE"""),"MAX81")</f>
        <v>MAX81</v>
      </c>
      <c r="B159" s="204">
        <f>IFERROR(__xludf.DUMMYFUNCTION("""COMPUTED_VALUE"""),44573.0)</f>
        <v>44573</v>
      </c>
      <c r="C159" s="250">
        <f>IFERROR(__xludf.DUMMYFUNCTION("""COMPUTED_VALUE"""),0.38631944444444444)</f>
        <v>0.3863194444</v>
      </c>
      <c r="D159" s="6" t="str">
        <f>IFERROR(__xludf.DUMMYFUNCTION("""COMPUTED_VALUE"""),"SpBEND394154")</f>
        <v>SpBEND394154</v>
      </c>
      <c r="E159" s="251"/>
      <c r="F159" s="251"/>
      <c r="G159" s="251" t="str">
        <f>IFERROR(__xludf.DUMMYFUNCTION("""COMPUTED_VALUE"""),"Negative")</f>
        <v>Negative</v>
      </c>
      <c r="H159" s="264" t="str">
        <f>IFERROR(__xludf.DUMMYFUNCTION("""COMPUTED_VALUE"""),"Negative")</f>
        <v>Negative</v>
      </c>
      <c r="I159" s="263">
        <f>IFERROR(__xludf.DUMMYFUNCTION("""COMPUTED_VALUE"""),44575.0)</f>
        <v>44575</v>
      </c>
      <c r="J159" s="252">
        <f>IFERROR(__xludf.DUMMYFUNCTION("""COMPUTED_VALUE"""),0.48203703703703704)</f>
        <v>0.482037037</v>
      </c>
      <c r="K159" s="56"/>
      <c r="L159" s="6"/>
      <c r="M159" s="61"/>
      <c r="N159" s="61">
        <f>IFERROR(__xludf.DUMMYFUNCTION("""COMPUTED_VALUE"""),1.0)</f>
        <v>1</v>
      </c>
      <c r="O159" s="61" t="str">
        <f t="shared" si="3"/>
        <v/>
      </c>
      <c r="P159" s="253">
        <f>IFERROR(__xludf.DUMMYFUNCTION("""COMPUTED_VALUE"""),2.0)</f>
        <v>2</v>
      </c>
      <c r="Q159" s="254" t="str">
        <f>VLOOKUP($B159,'Run Reconcile'!B$2:O799,14,FALSE)</f>
        <v/>
      </c>
      <c r="R159" s="255" t="str">
        <f t="array" ref="R159">IF($Q159, INDEX('Run Reconcile'!A$2:A799,MATCH(B159,'Run Reconcile'!B$2:B799,0),1),IFERROR(0/0,""))</f>
        <v/>
      </c>
      <c r="S159" s="261" t="str">
        <f t="shared" ref="S159:T159" si="322">IF(COUNTIF(W$2:W799, $A159) &gt; 0,TRUE,IFERROR(0/0,""))</f>
        <v/>
      </c>
      <c r="T159" s="261" t="str">
        <f t="shared" si="322"/>
        <v/>
      </c>
      <c r="U159" s="257" t="str">
        <f t="array" ref="U159">IF(ISBLANK($R159), INDEX('Run Reconcile'!A$2:A799, MATCH($B159, 'Run Reconcile'!B$2:B799, 0)+Z159, 1), IFERROR(0/0,""))
</f>
        <v>RUN-BEND_2022-01-12_RFR-013</v>
      </c>
      <c r="V159" s="258" t="str">
        <f t="shared" si="5"/>
        <v>RUN-BEND_2022-01-12_RFR-013</v>
      </c>
      <c r="Y159" s="130" t="str">
        <f t="shared" si="6"/>
        <v/>
      </c>
      <c r="Z159" s="49" t="str">
        <f t="shared" si="7"/>
        <v/>
      </c>
      <c r="AA159" s="49" t="str">
        <f t="shared" si="8"/>
        <v/>
      </c>
      <c r="AB159" s="49" t="str">
        <f t="shared" si="9"/>
        <v/>
      </c>
      <c r="AC159" s="20" t="str">
        <f t="shared" ref="AC159:AD159" si="323">IF(_xlfn.ISFORMULA(S159),IFERROR(0/0,""),TRUE)</f>
        <v/>
      </c>
      <c r="AD159" s="20" t="str">
        <f t="shared" si="323"/>
        <v/>
      </c>
      <c r="AE159" s="43"/>
      <c r="AF159" s="62" t="s">
        <v>41</v>
      </c>
      <c r="AG159" s="57" t="str">
        <f t="shared" si="11"/>
        <v/>
      </c>
    </row>
    <row r="160">
      <c r="A160" s="6" t="str">
        <f>IFERROR(__xludf.DUMMYFUNCTION("""COMPUTED_VALUE"""),"MAX36")</f>
        <v>MAX36</v>
      </c>
      <c r="B160" s="204">
        <f>IFERROR(__xludf.DUMMYFUNCTION("""COMPUTED_VALUE"""),44573.0)</f>
        <v>44573</v>
      </c>
      <c r="C160" s="250">
        <f>IFERROR(__xludf.DUMMYFUNCTION("""COMPUTED_VALUE"""),0.3869444444444444)</f>
        <v>0.3869444444</v>
      </c>
      <c r="D160" s="6" t="str">
        <f>IFERROR(__xludf.DUMMYFUNCTION("""COMPUTED_VALUE"""),"SpBEND394154")</f>
        <v>SpBEND394154</v>
      </c>
      <c r="E160" s="251"/>
      <c r="F160" s="251"/>
      <c r="G160" s="251" t="str">
        <f>IFERROR(__xludf.DUMMYFUNCTION("""COMPUTED_VALUE"""),"Positive")</f>
        <v>Positive</v>
      </c>
      <c r="H160" s="262" t="str">
        <f>IFERROR(__xludf.DUMMYFUNCTION("""COMPUTED_VALUE"""),"Positive")</f>
        <v>Positive</v>
      </c>
      <c r="I160" s="204">
        <f>IFERROR(__xludf.DUMMYFUNCTION("""COMPUTED_VALUE"""),44579.0)</f>
        <v>44579</v>
      </c>
      <c r="J160" s="252">
        <f>IFERROR(__xludf.DUMMYFUNCTION("""COMPUTED_VALUE"""),0.5015856481481481)</f>
        <v>0.5015856481</v>
      </c>
      <c r="K160" s="56"/>
      <c r="L160" s="6"/>
      <c r="M160" s="61"/>
      <c r="N160" s="61">
        <f>IFERROR(__xludf.DUMMYFUNCTION("""COMPUTED_VALUE"""),1.0)</f>
        <v>1</v>
      </c>
      <c r="O160" s="61" t="str">
        <f t="shared" si="3"/>
        <v/>
      </c>
      <c r="P160" s="253">
        <f>IFERROR(__xludf.DUMMYFUNCTION("""COMPUTED_VALUE"""),6.0)</f>
        <v>6</v>
      </c>
      <c r="Q160" s="254" t="str">
        <f>VLOOKUP($B160,'Run Reconcile'!B$2:O799,14,FALSE)</f>
        <v/>
      </c>
      <c r="R160" s="255" t="str">
        <f t="array" ref="R160">IF($Q160, INDEX('Run Reconcile'!A$2:A799,MATCH(B160,'Run Reconcile'!B$2:B799,0),1),IFERROR(0/0,""))</f>
        <v/>
      </c>
      <c r="S160" s="261" t="str">
        <f t="shared" ref="S160:T160" si="324">IF(COUNTIF(W$2:W799, $A160) &gt; 0,TRUE,IFERROR(0/0,""))</f>
        <v/>
      </c>
      <c r="T160" s="261" t="str">
        <f t="shared" si="324"/>
        <v/>
      </c>
      <c r="U160" s="257" t="str">
        <f t="array" ref="U160">IF(ISBLANK($R160), INDEX('Run Reconcile'!A$2:A799, MATCH($B160, 'Run Reconcile'!B$2:B799, 0)+Z160, 1), IFERROR(0/0,""))
</f>
        <v>RUN-BEND_2022-01-12_RFR-013</v>
      </c>
      <c r="V160" s="258" t="str">
        <f t="shared" si="5"/>
        <v>RUN-BEND_2022-01-12_RFR-013</v>
      </c>
      <c r="Y160" s="130" t="str">
        <f t="shared" si="6"/>
        <v/>
      </c>
      <c r="Z160" s="49" t="str">
        <f t="shared" si="7"/>
        <v/>
      </c>
      <c r="AA160" s="49" t="str">
        <f t="shared" si="8"/>
        <v/>
      </c>
      <c r="AB160" s="49" t="str">
        <f t="shared" si="9"/>
        <v/>
      </c>
      <c r="AC160" s="20" t="str">
        <f t="shared" ref="AC160:AD160" si="325">IF(_xlfn.ISFORMULA(S160),IFERROR(0/0,""),TRUE)</f>
        <v/>
      </c>
      <c r="AD160" s="20" t="str">
        <f t="shared" si="325"/>
        <v/>
      </c>
      <c r="AE160" s="43"/>
      <c r="AF160" s="62" t="s">
        <v>41</v>
      </c>
      <c r="AG160" s="57" t="str">
        <f t="shared" si="11"/>
        <v/>
      </c>
    </row>
    <row r="161">
      <c r="A161" s="6" t="str">
        <f>IFERROR(__xludf.DUMMYFUNCTION("""COMPUTED_VALUE"""),"MAX104")</f>
        <v>MAX104</v>
      </c>
      <c r="B161" s="204">
        <f>IFERROR(__xludf.DUMMYFUNCTION("""COMPUTED_VALUE"""),44573.0)</f>
        <v>44573</v>
      </c>
      <c r="C161" s="250">
        <f>IFERROR(__xludf.DUMMYFUNCTION("""COMPUTED_VALUE"""),0.3873263888888889)</f>
        <v>0.3873263889</v>
      </c>
      <c r="D161" s="6" t="str">
        <f>IFERROR(__xludf.DUMMYFUNCTION("""COMPUTED_VALUE"""),"SpBEND394154")</f>
        <v>SpBEND394154</v>
      </c>
      <c r="E161" s="251"/>
      <c r="F161" s="251"/>
      <c r="G161" s="251" t="str">
        <f>IFERROR(__xludf.DUMMYFUNCTION("""COMPUTED_VALUE"""),"Negative")</f>
        <v>Negative</v>
      </c>
      <c r="H161" s="264" t="str">
        <f>IFERROR(__xludf.DUMMYFUNCTION("""COMPUTED_VALUE"""),"Negative")</f>
        <v>Negative</v>
      </c>
      <c r="I161" s="263">
        <f>IFERROR(__xludf.DUMMYFUNCTION("""COMPUTED_VALUE"""),44575.0)</f>
        <v>44575</v>
      </c>
      <c r="J161" s="252">
        <f>IFERROR(__xludf.DUMMYFUNCTION("""COMPUTED_VALUE"""),0.48203703703703704)</f>
        <v>0.482037037</v>
      </c>
      <c r="K161" s="56"/>
      <c r="L161" s="6"/>
      <c r="M161" s="61"/>
      <c r="N161" s="61">
        <f>IFERROR(__xludf.DUMMYFUNCTION("""COMPUTED_VALUE"""),1.0)</f>
        <v>1</v>
      </c>
      <c r="O161" s="61" t="str">
        <f t="shared" si="3"/>
        <v/>
      </c>
      <c r="P161" s="253">
        <f>IFERROR(__xludf.DUMMYFUNCTION("""COMPUTED_VALUE"""),2.0)</f>
        <v>2</v>
      </c>
      <c r="Q161" s="254" t="str">
        <f>VLOOKUP($B161,'Run Reconcile'!B$2:O799,14,FALSE)</f>
        <v/>
      </c>
      <c r="R161" s="255" t="str">
        <f t="array" ref="R161">IF($Q161, INDEX('Run Reconcile'!A$2:A799,MATCH(B161,'Run Reconcile'!B$2:B799,0),1),IFERROR(0/0,""))</f>
        <v/>
      </c>
      <c r="S161" s="261" t="str">
        <f t="shared" ref="S161:T161" si="326">IF(COUNTIF(W$2:W799, $A161) &gt; 0,TRUE,IFERROR(0/0,""))</f>
        <v/>
      </c>
      <c r="T161" s="261" t="str">
        <f t="shared" si="326"/>
        <v/>
      </c>
      <c r="U161" s="257" t="str">
        <f t="array" ref="U161">IF(ISBLANK($R161), INDEX('Run Reconcile'!A$2:A799, MATCH($B161, 'Run Reconcile'!B$2:B799, 0)+Z161, 1), IFERROR(0/0,""))
</f>
        <v>RUN-BEND_2022-01-12_RFR-013</v>
      </c>
      <c r="V161" s="258" t="str">
        <f t="shared" si="5"/>
        <v>RUN-BEND_2022-01-12_RFR-013</v>
      </c>
      <c r="Y161" s="130" t="str">
        <f t="shared" si="6"/>
        <v/>
      </c>
      <c r="Z161" s="49" t="str">
        <f t="shared" si="7"/>
        <v/>
      </c>
      <c r="AA161" s="49" t="str">
        <f t="shared" si="8"/>
        <v/>
      </c>
      <c r="AB161" s="49" t="str">
        <f t="shared" si="9"/>
        <v/>
      </c>
      <c r="AC161" s="20" t="str">
        <f t="shared" ref="AC161:AD161" si="327">IF(_xlfn.ISFORMULA(S161),IFERROR(0/0,""),TRUE)</f>
        <v/>
      </c>
      <c r="AD161" s="20" t="str">
        <f t="shared" si="327"/>
        <v/>
      </c>
      <c r="AE161" s="43"/>
      <c r="AF161" s="62" t="s">
        <v>41</v>
      </c>
      <c r="AG161" s="57" t="str">
        <f t="shared" si="11"/>
        <v/>
      </c>
    </row>
    <row r="162">
      <c r="A162" s="6" t="str">
        <f>IFERROR(__xludf.DUMMYFUNCTION("""COMPUTED_VALUE"""),"MA1107")</f>
        <v>MA1107</v>
      </c>
      <c r="B162" s="204">
        <f>IFERROR(__xludf.DUMMYFUNCTION("""COMPUTED_VALUE"""),44573.0)</f>
        <v>44573</v>
      </c>
      <c r="C162" s="250">
        <f>IFERROR(__xludf.DUMMYFUNCTION("""COMPUTED_VALUE"""),0.39944444444444444)</f>
        <v>0.3994444444</v>
      </c>
      <c r="D162" s="6" t="str">
        <f>IFERROR(__xludf.DUMMYFUNCTION("""COMPUTED_VALUE"""),"SpBEND394154")</f>
        <v>SpBEND394154</v>
      </c>
      <c r="E162" s="251"/>
      <c r="F162" s="251"/>
      <c r="G162" s="251" t="str">
        <f>IFERROR(__xludf.DUMMYFUNCTION("""COMPUTED_VALUE"""),"Negative")</f>
        <v>Negative</v>
      </c>
      <c r="H162" s="262" t="str">
        <f>IFERROR(__xludf.DUMMYFUNCTION("""COMPUTED_VALUE"""),"Negative")</f>
        <v>Negative</v>
      </c>
      <c r="I162" s="204">
        <f>IFERROR(__xludf.DUMMYFUNCTION("""COMPUTED_VALUE"""),44575.0)</f>
        <v>44575</v>
      </c>
      <c r="J162" s="252">
        <f>IFERROR(__xludf.DUMMYFUNCTION("""COMPUTED_VALUE"""),0.48204861111111114)</f>
        <v>0.4820486111</v>
      </c>
      <c r="K162" s="56"/>
      <c r="L162" s="6"/>
      <c r="M162" s="61"/>
      <c r="N162" s="61">
        <f>IFERROR(__xludf.DUMMYFUNCTION("""COMPUTED_VALUE"""),1.0)</f>
        <v>1</v>
      </c>
      <c r="O162" s="61" t="str">
        <f t="shared" si="3"/>
        <v/>
      </c>
      <c r="P162" s="253">
        <f>IFERROR(__xludf.DUMMYFUNCTION("""COMPUTED_VALUE"""),2.0)</f>
        <v>2</v>
      </c>
      <c r="Q162" s="254" t="str">
        <f>VLOOKUP($B162,'Run Reconcile'!B$2:O799,14,FALSE)</f>
        <v/>
      </c>
      <c r="R162" s="255" t="str">
        <f t="array" ref="R162">IF($Q162, INDEX('Run Reconcile'!A$2:A799,MATCH(B162,'Run Reconcile'!B$2:B799,0),1),IFERROR(0/0,""))</f>
        <v/>
      </c>
      <c r="S162" s="261" t="str">
        <f t="shared" ref="S162:T162" si="328">IF(COUNTIF(W$2:W799, $A162) &gt; 0,TRUE,IFERROR(0/0,""))</f>
        <v/>
      </c>
      <c r="T162" s="261" t="str">
        <f t="shared" si="328"/>
        <v/>
      </c>
      <c r="U162" s="257" t="str">
        <f t="array" ref="U162">IF(ISBLANK($R162), INDEX('Run Reconcile'!A$2:A799, MATCH($B162, 'Run Reconcile'!B$2:B799, 0)+Z162, 1), IFERROR(0/0,""))
</f>
        <v>RUN-BEND_2022-01-12_RFR-013</v>
      </c>
      <c r="V162" s="258" t="str">
        <f t="shared" si="5"/>
        <v>RUN-BEND_2022-01-12_RFR-013</v>
      </c>
      <c r="Y162" s="130" t="str">
        <f t="shared" si="6"/>
        <v/>
      </c>
      <c r="Z162" s="49" t="str">
        <f t="shared" si="7"/>
        <v/>
      </c>
      <c r="AA162" s="49" t="str">
        <f t="shared" si="8"/>
        <v/>
      </c>
      <c r="AB162" s="49" t="str">
        <f t="shared" si="9"/>
        <v/>
      </c>
      <c r="AC162" s="20" t="str">
        <f t="shared" ref="AC162:AD162" si="329">IF(_xlfn.ISFORMULA(S162),IFERROR(0/0,""),TRUE)</f>
        <v/>
      </c>
      <c r="AD162" s="20" t="str">
        <f t="shared" si="329"/>
        <v/>
      </c>
      <c r="AE162" s="43"/>
      <c r="AF162" s="62" t="s">
        <v>41</v>
      </c>
      <c r="AG162" s="57" t="str">
        <f t="shared" si="11"/>
        <v/>
      </c>
    </row>
    <row r="163">
      <c r="A163" s="6" t="str">
        <f>IFERROR(__xludf.DUMMYFUNCTION("""COMPUTED_VALUE"""),"MA190")</f>
        <v>MA190</v>
      </c>
      <c r="B163" s="204">
        <f>IFERROR(__xludf.DUMMYFUNCTION("""COMPUTED_VALUE"""),44573.0)</f>
        <v>44573</v>
      </c>
      <c r="C163" s="250">
        <f>IFERROR(__xludf.DUMMYFUNCTION("""COMPUTED_VALUE"""),0.4143287037037037)</f>
        <v>0.4143287037</v>
      </c>
      <c r="D163" s="6" t="str">
        <f>IFERROR(__xludf.DUMMYFUNCTION("""COMPUTED_VALUE"""),"SpBEND394154")</f>
        <v>SpBEND394154</v>
      </c>
      <c r="E163" s="251"/>
      <c r="F163" s="251"/>
      <c r="G163" s="251" t="str">
        <f>IFERROR(__xludf.DUMMYFUNCTION("""COMPUTED_VALUE"""),"Negative")</f>
        <v>Negative</v>
      </c>
      <c r="H163" s="262" t="str">
        <f>IFERROR(__xludf.DUMMYFUNCTION("""COMPUTED_VALUE"""),"Negative")</f>
        <v>Negative</v>
      </c>
      <c r="I163" s="204">
        <f>IFERROR(__xludf.DUMMYFUNCTION("""COMPUTED_VALUE"""),44575.0)</f>
        <v>44575</v>
      </c>
      <c r="J163" s="252">
        <f>IFERROR(__xludf.DUMMYFUNCTION("""COMPUTED_VALUE"""),0.48204861111111114)</f>
        <v>0.4820486111</v>
      </c>
      <c r="K163" s="56"/>
      <c r="L163" s="6"/>
      <c r="M163" s="61"/>
      <c r="N163" s="61">
        <f>IFERROR(__xludf.DUMMYFUNCTION("""COMPUTED_VALUE"""),1.0)</f>
        <v>1</v>
      </c>
      <c r="O163" s="61" t="str">
        <f t="shared" si="3"/>
        <v/>
      </c>
      <c r="P163" s="253">
        <f>IFERROR(__xludf.DUMMYFUNCTION("""COMPUTED_VALUE"""),2.0)</f>
        <v>2</v>
      </c>
      <c r="Q163" s="254" t="str">
        <f>VLOOKUP($B163,'Run Reconcile'!B$2:O799,14,FALSE)</f>
        <v/>
      </c>
      <c r="R163" s="255" t="str">
        <f t="array" ref="R163">IF($Q163, INDEX('Run Reconcile'!A$2:A799,MATCH(B163,'Run Reconcile'!B$2:B799,0),1),IFERROR(0/0,""))</f>
        <v/>
      </c>
      <c r="S163" s="261" t="str">
        <f t="shared" ref="S163:T163" si="330">IF(COUNTIF(W$2:W799, $A163) &gt; 0,TRUE,IFERROR(0/0,""))</f>
        <v/>
      </c>
      <c r="T163" s="261" t="str">
        <f t="shared" si="330"/>
        <v/>
      </c>
      <c r="U163" s="257" t="str">
        <f t="array" ref="U163">IF(ISBLANK($R163), INDEX('Run Reconcile'!A$2:A799, MATCH($B163, 'Run Reconcile'!B$2:B799, 0)+Z163, 1), IFERROR(0/0,""))
</f>
        <v>RUN-BEND_2022-01-12_RFR-013</v>
      </c>
      <c r="V163" s="258" t="str">
        <f t="shared" si="5"/>
        <v>RUN-BEND_2022-01-12_RFR-013</v>
      </c>
      <c r="Y163" s="130" t="str">
        <f t="shared" si="6"/>
        <v/>
      </c>
      <c r="Z163" s="49" t="str">
        <f t="shared" si="7"/>
        <v/>
      </c>
      <c r="AA163" s="49" t="str">
        <f t="shared" si="8"/>
        <v/>
      </c>
      <c r="AB163" s="49" t="str">
        <f t="shared" si="9"/>
        <v/>
      </c>
      <c r="AC163" s="20" t="str">
        <f t="shared" ref="AC163:AD163" si="331">IF(_xlfn.ISFORMULA(S163),IFERROR(0/0,""),TRUE)</f>
        <v/>
      </c>
      <c r="AD163" s="20" t="str">
        <f t="shared" si="331"/>
        <v/>
      </c>
      <c r="AE163" s="43"/>
      <c r="AF163" s="62" t="s">
        <v>41</v>
      </c>
      <c r="AG163" s="57" t="str">
        <f t="shared" si="11"/>
        <v/>
      </c>
    </row>
    <row r="164">
      <c r="A164" s="6" t="str">
        <f>IFERROR(__xludf.DUMMYFUNCTION("""COMPUTED_VALUE"""),"MAX92")</f>
        <v>MAX92</v>
      </c>
      <c r="B164" s="204">
        <f>IFERROR(__xludf.DUMMYFUNCTION("""COMPUTED_VALUE"""),44573.0)</f>
        <v>44573</v>
      </c>
      <c r="C164" s="250">
        <f>IFERROR(__xludf.DUMMYFUNCTION("""COMPUTED_VALUE"""),0.42453703703703705)</f>
        <v>0.424537037</v>
      </c>
      <c r="D164" s="6" t="str">
        <f>IFERROR(__xludf.DUMMYFUNCTION("""COMPUTED_VALUE"""),"SpBEND394154")</f>
        <v>SpBEND394154</v>
      </c>
      <c r="E164" s="251"/>
      <c r="F164" s="251"/>
      <c r="G164" s="251" t="str">
        <f>IFERROR(__xludf.DUMMYFUNCTION("""COMPUTED_VALUE"""),"Negative")</f>
        <v>Negative</v>
      </c>
      <c r="H164" s="262" t="str">
        <f>IFERROR(__xludf.DUMMYFUNCTION("""COMPUTED_VALUE"""),"Negative")</f>
        <v>Negative</v>
      </c>
      <c r="I164" s="204">
        <f>IFERROR(__xludf.DUMMYFUNCTION("""COMPUTED_VALUE"""),44575.0)</f>
        <v>44575</v>
      </c>
      <c r="J164" s="252">
        <f>IFERROR(__xludf.DUMMYFUNCTION("""COMPUTED_VALUE"""),0.48204861111111114)</f>
        <v>0.4820486111</v>
      </c>
      <c r="K164" s="56"/>
      <c r="L164" s="6"/>
      <c r="M164" s="61"/>
      <c r="N164" s="61">
        <f>IFERROR(__xludf.DUMMYFUNCTION("""COMPUTED_VALUE"""),1.0)</f>
        <v>1</v>
      </c>
      <c r="O164" s="61" t="str">
        <f t="shared" si="3"/>
        <v/>
      </c>
      <c r="P164" s="253">
        <f>IFERROR(__xludf.DUMMYFUNCTION("""COMPUTED_VALUE"""),2.0)</f>
        <v>2</v>
      </c>
      <c r="Q164" s="254" t="str">
        <f>VLOOKUP($B164,'Run Reconcile'!B$2:O799,14,FALSE)</f>
        <v/>
      </c>
      <c r="R164" s="255" t="str">
        <f t="array" ref="R164">IF($Q164, INDEX('Run Reconcile'!A$2:A799,MATCH(B164,'Run Reconcile'!B$2:B799,0),1),IFERROR(0/0,""))</f>
        <v/>
      </c>
      <c r="S164" s="261" t="str">
        <f t="shared" ref="S164:T164" si="332">IF(COUNTIF(W$2:W799, $A164) &gt; 0,TRUE,IFERROR(0/0,""))</f>
        <v/>
      </c>
      <c r="T164" s="261" t="str">
        <f t="shared" si="332"/>
        <v/>
      </c>
      <c r="U164" s="257" t="str">
        <f t="array" ref="U164">IF(ISBLANK($R164), INDEX('Run Reconcile'!A$2:A799, MATCH($B164, 'Run Reconcile'!B$2:B799, 0)+Z164, 1), IFERROR(0/0,""))
</f>
        <v>RUN-BEND_2022-01-12_RFR-013</v>
      </c>
      <c r="V164" s="258" t="str">
        <f t="shared" si="5"/>
        <v>RUN-BEND_2022-01-12_RFR-013</v>
      </c>
      <c r="Y164" s="130" t="str">
        <f t="shared" si="6"/>
        <v/>
      </c>
      <c r="Z164" s="49" t="str">
        <f t="shared" si="7"/>
        <v/>
      </c>
      <c r="AA164" s="49" t="str">
        <f t="shared" si="8"/>
        <v/>
      </c>
      <c r="AB164" s="49" t="str">
        <f t="shared" si="9"/>
        <v/>
      </c>
      <c r="AC164" s="20" t="str">
        <f t="shared" ref="AC164:AD164" si="333">IF(_xlfn.ISFORMULA(S164),IFERROR(0/0,""),TRUE)</f>
        <v/>
      </c>
      <c r="AD164" s="20" t="str">
        <f t="shared" si="333"/>
        <v/>
      </c>
      <c r="AE164" s="43"/>
      <c r="AF164" s="62" t="s">
        <v>41</v>
      </c>
      <c r="AG164" s="57" t="str">
        <f t="shared" si="11"/>
        <v/>
      </c>
    </row>
    <row r="165">
      <c r="A165" s="6" t="str">
        <f>IFERROR(__xludf.DUMMYFUNCTION("""COMPUTED_VALUE"""),"MA1031")</f>
        <v>MA1031</v>
      </c>
      <c r="B165" s="204">
        <f>IFERROR(__xludf.DUMMYFUNCTION("""COMPUTED_VALUE"""),44573.0)</f>
        <v>44573</v>
      </c>
      <c r="C165" s="250">
        <f>IFERROR(__xludf.DUMMYFUNCTION("""COMPUTED_VALUE"""),0.444224537037037)</f>
        <v>0.444224537</v>
      </c>
      <c r="D165" s="6" t="str">
        <f>IFERROR(__xludf.DUMMYFUNCTION("""COMPUTED_VALUE"""),"SpBEND394154")</f>
        <v>SpBEND394154</v>
      </c>
      <c r="E165" s="251"/>
      <c r="F165" s="251"/>
      <c r="G165" s="251" t="str">
        <f>IFERROR(__xludf.DUMMYFUNCTION("""COMPUTED_VALUE"""),"Negative")</f>
        <v>Negative</v>
      </c>
      <c r="H165" s="262" t="str">
        <f>IFERROR(__xludf.DUMMYFUNCTION("""COMPUTED_VALUE"""),"Negative")</f>
        <v>Negative</v>
      </c>
      <c r="I165" s="204">
        <f>IFERROR(__xludf.DUMMYFUNCTION("""COMPUTED_VALUE"""),44575.0)</f>
        <v>44575</v>
      </c>
      <c r="J165" s="252">
        <f>IFERROR(__xludf.DUMMYFUNCTION("""COMPUTED_VALUE"""),0.48204861111111114)</f>
        <v>0.4820486111</v>
      </c>
      <c r="K165" s="56"/>
      <c r="L165" s="6"/>
      <c r="M165" s="61"/>
      <c r="N165" s="61">
        <f>IFERROR(__xludf.DUMMYFUNCTION("""COMPUTED_VALUE"""),1.0)</f>
        <v>1</v>
      </c>
      <c r="O165" s="61" t="str">
        <f t="shared" si="3"/>
        <v/>
      </c>
      <c r="P165" s="253">
        <f>IFERROR(__xludf.DUMMYFUNCTION("""COMPUTED_VALUE"""),2.0)</f>
        <v>2</v>
      </c>
      <c r="Q165" s="254" t="str">
        <f>VLOOKUP($B165,'Run Reconcile'!B$2:O799,14,FALSE)</f>
        <v/>
      </c>
      <c r="R165" s="255" t="str">
        <f t="array" ref="R165">IF($Q165, INDEX('Run Reconcile'!A$2:A799,MATCH(B165,'Run Reconcile'!B$2:B799,0),1),IFERROR(0/0,""))</f>
        <v/>
      </c>
      <c r="S165" s="261" t="str">
        <f t="shared" ref="S165:T165" si="334">IF(COUNTIF(W$2:W799, $A165) &gt; 0,TRUE,IFERROR(0/0,""))</f>
        <v/>
      </c>
      <c r="T165" s="261" t="str">
        <f t="shared" si="334"/>
        <v/>
      </c>
      <c r="U165" s="257" t="str">
        <f t="array" ref="U165">IF(ISBLANK($R165), INDEX('Run Reconcile'!A$2:A799, MATCH($B165, 'Run Reconcile'!B$2:B799, 0)+Z165, 1), IFERROR(0/0,""))
</f>
        <v>RUN-BEND_2022-01-12_RFR-013</v>
      </c>
      <c r="V165" s="258" t="str">
        <f t="shared" si="5"/>
        <v>RUN-BEND_2022-01-12_RFR-013</v>
      </c>
      <c r="Y165" s="130" t="str">
        <f t="shared" si="6"/>
        <v/>
      </c>
      <c r="Z165" s="49" t="str">
        <f t="shared" si="7"/>
        <v/>
      </c>
      <c r="AA165" s="49" t="str">
        <f t="shared" si="8"/>
        <v/>
      </c>
      <c r="AB165" s="49" t="str">
        <f t="shared" si="9"/>
        <v/>
      </c>
      <c r="AC165" s="20" t="str">
        <f t="shared" ref="AC165:AD165" si="335">IF(_xlfn.ISFORMULA(S165),IFERROR(0/0,""),TRUE)</f>
        <v/>
      </c>
      <c r="AD165" s="20" t="str">
        <f t="shared" si="335"/>
        <v/>
      </c>
      <c r="AE165" s="43"/>
      <c r="AF165" s="62" t="s">
        <v>41</v>
      </c>
      <c r="AG165" s="57" t="str">
        <f t="shared" si="11"/>
        <v/>
      </c>
    </row>
    <row r="166">
      <c r="A166" s="6" t="str">
        <f>IFERROR(__xludf.DUMMYFUNCTION("""COMPUTED_VALUE"""),"MA1062")</f>
        <v>MA1062</v>
      </c>
      <c r="B166" s="204">
        <f>IFERROR(__xludf.DUMMYFUNCTION("""COMPUTED_VALUE"""),44574.0)</f>
        <v>44574</v>
      </c>
      <c r="C166" s="250">
        <f>IFERROR(__xludf.DUMMYFUNCTION("""COMPUTED_VALUE"""),0.5845023148148148)</f>
        <v>0.5845023148</v>
      </c>
      <c r="D166" s="6" t="str">
        <f>IFERROR(__xludf.DUMMYFUNCTION("""COMPUTED_VALUE"""),"SpBEND328905")</f>
        <v>SpBEND328905</v>
      </c>
      <c r="E166" s="251"/>
      <c r="F166" s="251"/>
      <c r="G166" s="251" t="str">
        <f>IFERROR(__xludf.DUMMYFUNCTION("""COMPUTED_VALUE"""),"Positive")</f>
        <v>Positive</v>
      </c>
      <c r="H166" s="262" t="str">
        <f>IFERROR(__xludf.DUMMYFUNCTION("""COMPUTED_VALUE"""),"Positive")</f>
        <v>Positive</v>
      </c>
      <c r="I166" s="204">
        <f>IFERROR(__xludf.DUMMYFUNCTION("""COMPUTED_VALUE"""),44579.0)</f>
        <v>44579</v>
      </c>
      <c r="J166" s="252">
        <f>IFERROR(__xludf.DUMMYFUNCTION("""COMPUTED_VALUE"""),0.5015856481481481)</f>
        <v>0.5015856481</v>
      </c>
      <c r="K166" s="56"/>
      <c r="L166" s="6"/>
      <c r="M166" s="61"/>
      <c r="N166" s="61">
        <f>IFERROR(__xludf.DUMMYFUNCTION("""COMPUTED_VALUE"""),1.0)</f>
        <v>1</v>
      </c>
      <c r="O166" s="61" t="b">
        <f t="shared" si="3"/>
        <v>1</v>
      </c>
      <c r="P166" s="253">
        <f>IFERROR(__xludf.DUMMYFUNCTION("""COMPUTED_VALUE"""),5.0)</f>
        <v>5</v>
      </c>
      <c r="Q166" s="254" t="str">
        <f>VLOOKUP($B166,'Run Reconcile'!B$2:O799,14,FALSE)</f>
        <v/>
      </c>
      <c r="R166" s="255" t="str">
        <f t="array" ref="R166">IF($Q166, INDEX('Run Reconcile'!A$2:A799,MATCH(B166,'Run Reconcile'!B$2:B799,0),1),IFERROR(0/0,""))</f>
        <v/>
      </c>
      <c r="S166" s="261" t="b">
        <f t="shared" ref="S166:T166" si="336">IF(COUNTIF(W$2:W799, $A166) &gt; 0,TRUE,IFERROR(0/0,""))</f>
        <v>1</v>
      </c>
      <c r="T166" s="261" t="str">
        <f t="shared" si="336"/>
        <v/>
      </c>
      <c r="U166" s="257" t="str">
        <f t="array" ref="U166">IF(ISBLANK($R166), INDEX('Run Reconcile'!A$2:A799, MATCH($B166, 'Run Reconcile'!B$2:B799, 0)+Z166, 1), IFERROR(0/0,""))
</f>
        <v>RUN-BEND_2022-01-14_RFR-014</v>
      </c>
      <c r="V166" s="258" t="str">
        <f t="shared" si="5"/>
        <v>RUN-BEND_2022-01-14_RFR-014</v>
      </c>
      <c r="Y166" s="130" t="str">
        <f t="shared" si="6"/>
        <v/>
      </c>
      <c r="Z166" s="49">
        <f t="shared" si="7"/>
        <v>1</v>
      </c>
      <c r="AA166" s="49">
        <f t="shared" si="8"/>
        <v>1</v>
      </c>
      <c r="AB166" s="49" t="str">
        <f t="shared" si="9"/>
        <v/>
      </c>
      <c r="AC166" s="20" t="str">
        <f t="shared" ref="AC166:AD166" si="337">IF(_xlfn.ISFORMULA(S166),IFERROR(0/0,""),TRUE)</f>
        <v/>
      </c>
      <c r="AD166" s="20" t="str">
        <f t="shared" si="337"/>
        <v/>
      </c>
      <c r="AE166" s="43"/>
      <c r="AF166" s="62" t="s">
        <v>42</v>
      </c>
      <c r="AG166" s="57" t="str">
        <f t="shared" si="11"/>
        <v/>
      </c>
    </row>
    <row r="167">
      <c r="A167" s="6" t="str">
        <f>IFERROR(__xludf.DUMMYFUNCTION("""COMPUTED_VALUE"""),"MA1092")</f>
        <v>MA1092</v>
      </c>
      <c r="B167" s="204">
        <f>IFERROR(__xludf.DUMMYFUNCTION("""COMPUTED_VALUE"""),44574.0)</f>
        <v>44574</v>
      </c>
      <c r="C167" s="250">
        <f>IFERROR(__xludf.DUMMYFUNCTION("""COMPUTED_VALUE"""),0.6161342592592592)</f>
        <v>0.6161342593</v>
      </c>
      <c r="D167" s="6" t="str">
        <f>IFERROR(__xludf.DUMMYFUNCTION("""COMPUTED_VALUE"""),"SpBEND328905")</f>
        <v>SpBEND328905</v>
      </c>
      <c r="E167" s="251"/>
      <c r="F167" s="251"/>
      <c r="G167" s="251" t="str">
        <f>IFERROR(__xludf.DUMMYFUNCTION("""COMPUTED_VALUE"""),"Positive")</f>
        <v>Positive</v>
      </c>
      <c r="H167" s="262" t="str">
        <f>IFERROR(__xludf.DUMMYFUNCTION("""COMPUTED_VALUE"""),"Positive")</f>
        <v>Positive</v>
      </c>
      <c r="I167" s="204">
        <f>IFERROR(__xludf.DUMMYFUNCTION("""COMPUTED_VALUE"""),44579.0)</f>
        <v>44579</v>
      </c>
      <c r="J167" s="252">
        <f>IFERROR(__xludf.DUMMYFUNCTION("""COMPUTED_VALUE"""),0.5015856481481481)</f>
        <v>0.5015856481</v>
      </c>
      <c r="K167" s="56"/>
      <c r="L167" s="6"/>
      <c r="M167" s="61"/>
      <c r="N167" s="61">
        <f>IFERROR(__xludf.DUMMYFUNCTION("""COMPUTED_VALUE"""),1.0)</f>
        <v>1</v>
      </c>
      <c r="O167" s="61" t="str">
        <f t="shared" si="3"/>
        <v/>
      </c>
      <c r="P167" s="253">
        <f>IFERROR(__xludf.DUMMYFUNCTION("""COMPUTED_VALUE"""),5.0)</f>
        <v>5</v>
      </c>
      <c r="Q167" s="254" t="str">
        <f>VLOOKUP($B167,'Run Reconcile'!B$2:O799,14,FALSE)</f>
        <v/>
      </c>
      <c r="R167" s="255" t="str">
        <f t="array" ref="R167">IF($Q167, INDEX('Run Reconcile'!A$2:A799,MATCH(B167,'Run Reconcile'!B$2:B799,0),1),IFERROR(0/0,""))</f>
        <v/>
      </c>
      <c r="S167" s="261" t="b">
        <f t="shared" ref="S167:T167" si="338">IF(COUNTIF(W$2:W799, $A167) &gt; 0,TRUE,IFERROR(0/0,""))</f>
        <v>1</v>
      </c>
      <c r="T167" s="261" t="str">
        <f t="shared" si="338"/>
        <v/>
      </c>
      <c r="U167" s="257" t="str">
        <f t="array" ref="U167">IF(ISBLANK($R167), INDEX('Run Reconcile'!A$2:A799, MATCH($B167, 'Run Reconcile'!B$2:B799, 0)+Z167, 1), IFERROR(0/0,""))
</f>
        <v>RUN-BEND_2022-01-14_RFR-014</v>
      </c>
      <c r="V167" s="258" t="str">
        <f t="shared" si="5"/>
        <v>RUN-BEND_2022-01-14_RFR-014</v>
      </c>
      <c r="W167" s="6" t="s">
        <v>384</v>
      </c>
      <c r="Y167" s="130">
        <f t="shared" si="6"/>
        <v>1</v>
      </c>
      <c r="Z167" s="49">
        <f t="shared" si="7"/>
        <v>1</v>
      </c>
      <c r="AA167" s="49">
        <f t="shared" si="8"/>
        <v>1</v>
      </c>
      <c r="AB167" s="49" t="str">
        <f t="shared" si="9"/>
        <v/>
      </c>
      <c r="AC167" s="20" t="str">
        <f t="shared" ref="AC167:AD167" si="339">IF(_xlfn.ISFORMULA(S167),IFERROR(0/0,""),TRUE)</f>
        <v/>
      </c>
      <c r="AD167" s="20" t="str">
        <f t="shared" si="339"/>
        <v/>
      </c>
      <c r="AE167" s="43"/>
      <c r="AF167" s="62" t="s">
        <v>42</v>
      </c>
      <c r="AG167" s="57" t="str">
        <f t="shared" si="11"/>
        <v/>
      </c>
    </row>
    <row r="168">
      <c r="A168" s="6" t="str">
        <f>IFERROR(__xludf.DUMMYFUNCTION("""COMPUTED_VALUE"""),"MA1042")</f>
        <v>MA1042</v>
      </c>
      <c r="B168" s="204">
        <f>IFERROR(__xludf.DUMMYFUNCTION("""COMPUTED_VALUE"""),44574.0)</f>
        <v>44574</v>
      </c>
      <c r="C168" s="250">
        <f>IFERROR(__xludf.DUMMYFUNCTION("""COMPUTED_VALUE"""),0.6712731481481482)</f>
        <v>0.6712731481</v>
      </c>
      <c r="D168" s="6" t="str">
        <f>IFERROR(__xludf.DUMMYFUNCTION("""COMPUTED_VALUE"""),"SpBEND198321")</f>
        <v>SpBEND198321</v>
      </c>
      <c r="E168" s="251"/>
      <c r="F168" s="251"/>
      <c r="G168" s="251" t="str">
        <f>IFERROR(__xludf.DUMMYFUNCTION("""COMPUTED_VALUE"""),"Negative")</f>
        <v>Negative</v>
      </c>
      <c r="H168" s="264" t="str">
        <f>IFERROR(__xludf.DUMMYFUNCTION("""COMPUTED_VALUE"""),"Negative")</f>
        <v>Negative</v>
      </c>
      <c r="I168" s="263">
        <f>IFERROR(__xludf.DUMMYFUNCTION("""COMPUTED_VALUE"""),44575.0)</f>
        <v>44575</v>
      </c>
      <c r="J168" s="252">
        <f>IFERROR(__xludf.DUMMYFUNCTION("""COMPUTED_VALUE"""),0.48204861111111114)</f>
        <v>0.4820486111</v>
      </c>
      <c r="K168" s="56"/>
      <c r="L168" s="6"/>
      <c r="M168" s="61"/>
      <c r="N168" s="61">
        <f>IFERROR(__xludf.DUMMYFUNCTION("""COMPUTED_VALUE"""),1.0)</f>
        <v>1</v>
      </c>
      <c r="O168" s="61" t="str">
        <f t="shared" si="3"/>
        <v/>
      </c>
      <c r="P168" s="253">
        <f>IFERROR(__xludf.DUMMYFUNCTION("""COMPUTED_VALUE"""),1.0)</f>
        <v>1</v>
      </c>
      <c r="Q168" s="254" t="str">
        <f>VLOOKUP($B168,'Run Reconcile'!B$2:O799,14,FALSE)</f>
        <v/>
      </c>
      <c r="R168" s="255" t="str">
        <f t="array" ref="R168">IF($Q168, INDEX('Run Reconcile'!A$2:A799,MATCH(B168,'Run Reconcile'!B$2:B799,0),1),IFERROR(0/0,""))</f>
        <v/>
      </c>
      <c r="S168" s="261" t="b">
        <f t="shared" ref="S168:T168" si="340">IF(COUNTIF(W$2:W799, $A168) &gt; 0,TRUE,IFERROR(0/0,""))</f>
        <v>1</v>
      </c>
      <c r="T168" s="261" t="str">
        <f t="shared" si="340"/>
        <v/>
      </c>
      <c r="U168" s="257" t="str">
        <f t="array" ref="U168">IF(ISBLANK($R168), INDEX('Run Reconcile'!A$2:A799, MATCH($B168, 'Run Reconcile'!B$2:B799, 0)+Z168, 1), IFERROR(0/0,""))
</f>
        <v>RUN-BEND_2022-01-14_RFR-014</v>
      </c>
      <c r="V168" s="258" t="str">
        <f t="shared" si="5"/>
        <v>RUN-BEND_2022-01-14_RFR-014</v>
      </c>
      <c r="W168" s="6" t="s">
        <v>385</v>
      </c>
      <c r="Y168" s="130">
        <f t="shared" si="6"/>
        <v>1</v>
      </c>
      <c r="Z168" s="49">
        <f t="shared" si="7"/>
        <v>1</v>
      </c>
      <c r="AA168" s="49">
        <f t="shared" si="8"/>
        <v>1</v>
      </c>
      <c r="AB168" s="49" t="str">
        <f t="shared" si="9"/>
        <v/>
      </c>
      <c r="AC168" s="20" t="str">
        <f t="shared" ref="AC168:AD168" si="341">IF(_xlfn.ISFORMULA(S168),IFERROR(0/0,""),TRUE)</f>
        <v/>
      </c>
      <c r="AD168" s="20" t="str">
        <f t="shared" si="341"/>
        <v/>
      </c>
      <c r="AE168" s="43"/>
      <c r="AF168" s="62" t="s">
        <v>42</v>
      </c>
      <c r="AG168" s="57" t="str">
        <f t="shared" si="11"/>
        <v/>
      </c>
    </row>
    <row r="169">
      <c r="A169" s="6" t="str">
        <f>IFERROR(__xludf.DUMMYFUNCTION("""COMPUTED_VALUE"""),"MA1112")</f>
        <v>MA1112</v>
      </c>
      <c r="B169" s="204">
        <f>IFERROR(__xludf.DUMMYFUNCTION("""COMPUTED_VALUE"""),44574.0)</f>
        <v>44574</v>
      </c>
      <c r="C169" s="250">
        <f>IFERROR(__xludf.DUMMYFUNCTION("""COMPUTED_VALUE"""),0.8485069444444444)</f>
        <v>0.8485069444</v>
      </c>
      <c r="D169" s="6" t="str">
        <f>IFERROR(__xludf.DUMMYFUNCTION("""COMPUTED_VALUE"""),"SpBEND528248")</f>
        <v>SpBEND528248</v>
      </c>
      <c r="E169" s="251"/>
      <c r="F169" s="251"/>
      <c r="G169" s="251" t="str">
        <f>IFERROR(__xludf.DUMMYFUNCTION("""COMPUTED_VALUE"""),"Negative")</f>
        <v>Negative</v>
      </c>
      <c r="H169" s="264" t="str">
        <f>IFERROR(__xludf.DUMMYFUNCTION("""COMPUTED_VALUE"""),"Negative")</f>
        <v>Negative</v>
      </c>
      <c r="I169" s="263">
        <f>IFERROR(__xludf.DUMMYFUNCTION("""COMPUTED_VALUE"""),44575.0)</f>
        <v>44575</v>
      </c>
      <c r="J169" s="252">
        <f>IFERROR(__xludf.DUMMYFUNCTION("""COMPUTED_VALUE"""),0.48204861111111114)</f>
        <v>0.4820486111</v>
      </c>
      <c r="K169" s="56"/>
      <c r="L169" s="6"/>
      <c r="M169" s="61"/>
      <c r="N169" s="61">
        <f>IFERROR(__xludf.DUMMYFUNCTION("""COMPUTED_VALUE"""),1.0)</f>
        <v>1</v>
      </c>
      <c r="O169" s="61" t="str">
        <f t="shared" si="3"/>
        <v/>
      </c>
      <c r="P169" s="253">
        <f>IFERROR(__xludf.DUMMYFUNCTION("""COMPUTED_VALUE"""),1.0)</f>
        <v>1</v>
      </c>
      <c r="Q169" s="254" t="str">
        <f>VLOOKUP($B169,'Run Reconcile'!B$2:O799,14,FALSE)</f>
        <v/>
      </c>
      <c r="R169" s="255" t="str">
        <f t="array" ref="R169">IF($Q169, INDEX('Run Reconcile'!A$2:A799,MATCH(B169,'Run Reconcile'!B$2:B799,0),1),IFERROR(0/0,""))</f>
        <v/>
      </c>
      <c r="S169" s="261" t="b">
        <f t="shared" ref="S169:T169" si="342">IF(COUNTIF(W$2:W799, $A169) &gt; 0,TRUE,IFERROR(0/0,""))</f>
        <v>1</v>
      </c>
      <c r="T169" s="261" t="str">
        <f t="shared" si="342"/>
        <v/>
      </c>
      <c r="U169" s="257" t="str">
        <f t="array" ref="U169">IF(ISBLANK($R169), INDEX('Run Reconcile'!A$2:A799, MATCH($B169, 'Run Reconcile'!B$2:B799, 0)+Z169, 1), IFERROR(0/0,""))
</f>
        <v>RUN-BEND_2022-01-14_RFR-014</v>
      </c>
      <c r="V169" s="258" t="str">
        <f t="shared" si="5"/>
        <v>RUN-BEND_2022-01-14_RFR-014</v>
      </c>
      <c r="W169" s="6" t="s">
        <v>386</v>
      </c>
      <c r="Y169" s="130">
        <f t="shared" si="6"/>
        <v>1</v>
      </c>
      <c r="Z169" s="49">
        <f t="shared" si="7"/>
        <v>1</v>
      </c>
      <c r="AA169" s="49">
        <f t="shared" si="8"/>
        <v>1</v>
      </c>
      <c r="AB169" s="49" t="str">
        <f t="shared" si="9"/>
        <v/>
      </c>
      <c r="AC169" s="20" t="str">
        <f t="shared" ref="AC169:AD169" si="343">IF(_xlfn.ISFORMULA(S169),IFERROR(0/0,""),TRUE)</f>
        <v/>
      </c>
      <c r="AD169" s="20" t="str">
        <f t="shared" si="343"/>
        <v/>
      </c>
      <c r="AE169" s="43"/>
      <c r="AF169" s="62" t="s">
        <v>42</v>
      </c>
      <c r="AG169" s="57" t="str">
        <f t="shared" si="11"/>
        <v/>
      </c>
    </row>
    <row r="170">
      <c r="A170" s="6" t="str">
        <f>IFERROR(__xludf.DUMMYFUNCTION("""COMPUTED_VALUE"""),"MA1056")</f>
        <v>MA1056</v>
      </c>
      <c r="B170" s="204">
        <f>IFERROR(__xludf.DUMMYFUNCTION("""COMPUTED_VALUE"""),44574.0)</f>
        <v>44574</v>
      </c>
      <c r="C170" s="250">
        <f>IFERROR(__xludf.DUMMYFUNCTION("""COMPUTED_VALUE"""),0.8491666666666666)</f>
        <v>0.8491666667</v>
      </c>
      <c r="D170" s="6" t="str">
        <f>IFERROR(__xludf.DUMMYFUNCTION("""COMPUTED_VALUE"""),"SpBEND528248")</f>
        <v>SpBEND528248</v>
      </c>
      <c r="E170" s="251"/>
      <c r="F170" s="251"/>
      <c r="G170" s="251" t="str">
        <f>IFERROR(__xludf.DUMMYFUNCTION("""COMPUTED_VALUE"""),"Negative")</f>
        <v>Negative</v>
      </c>
      <c r="H170" s="262" t="str">
        <f>IFERROR(__xludf.DUMMYFUNCTION("""COMPUTED_VALUE"""),"Negative")</f>
        <v>Negative</v>
      </c>
      <c r="I170" s="204">
        <f>IFERROR(__xludf.DUMMYFUNCTION("""COMPUTED_VALUE"""),44575.0)</f>
        <v>44575</v>
      </c>
      <c r="J170" s="252">
        <f>IFERROR(__xludf.DUMMYFUNCTION("""COMPUTED_VALUE"""),0.4820601851851852)</f>
        <v>0.4820601852</v>
      </c>
      <c r="K170" s="56"/>
      <c r="L170" s="6"/>
      <c r="M170" s="61"/>
      <c r="N170" s="61">
        <f>IFERROR(__xludf.DUMMYFUNCTION("""COMPUTED_VALUE"""),1.0)</f>
        <v>1</v>
      </c>
      <c r="O170" s="61" t="str">
        <f t="shared" si="3"/>
        <v/>
      </c>
      <c r="P170" s="253">
        <f>IFERROR(__xludf.DUMMYFUNCTION("""COMPUTED_VALUE"""),1.0)</f>
        <v>1</v>
      </c>
      <c r="Q170" s="254" t="str">
        <f>VLOOKUP($B170,'Run Reconcile'!B$2:O799,14,FALSE)</f>
        <v/>
      </c>
      <c r="R170" s="255" t="str">
        <f t="array" ref="R170">IF($Q170, INDEX('Run Reconcile'!A$2:A799,MATCH(B170,'Run Reconcile'!B$2:B799,0),1),IFERROR(0/0,""))</f>
        <v/>
      </c>
      <c r="S170" s="261" t="b">
        <f t="shared" ref="S170:T170" si="344">IF(COUNTIF(W$2:W799, $A170) &gt; 0,TRUE,IFERROR(0/0,""))</f>
        <v>1</v>
      </c>
      <c r="T170" s="261" t="str">
        <f t="shared" si="344"/>
        <v/>
      </c>
      <c r="U170" s="257" t="str">
        <f t="array" ref="U170">IF(ISBLANK($R170), INDEX('Run Reconcile'!A$2:A799, MATCH($B170, 'Run Reconcile'!B$2:B799, 0)+Z170, 1), IFERROR(0/0,""))
</f>
        <v>RUN-BEND_2022-01-14_RFR-014</v>
      </c>
      <c r="V170" s="258" t="str">
        <f t="shared" si="5"/>
        <v>RUN-BEND_2022-01-14_RFR-014</v>
      </c>
      <c r="W170" s="6" t="s">
        <v>387</v>
      </c>
      <c r="Y170" s="130">
        <f t="shared" si="6"/>
        <v>1</v>
      </c>
      <c r="Z170" s="49">
        <f t="shared" si="7"/>
        <v>1</v>
      </c>
      <c r="AA170" s="49">
        <f t="shared" si="8"/>
        <v>1</v>
      </c>
      <c r="AB170" s="49" t="str">
        <f t="shared" si="9"/>
        <v/>
      </c>
      <c r="AC170" s="20" t="str">
        <f t="shared" ref="AC170:AD170" si="345">IF(_xlfn.ISFORMULA(S170),IFERROR(0/0,""),TRUE)</f>
        <v/>
      </c>
      <c r="AD170" s="20" t="str">
        <f t="shared" si="345"/>
        <v/>
      </c>
      <c r="AE170" s="43"/>
      <c r="AF170" s="62" t="s">
        <v>42</v>
      </c>
      <c r="AG170" s="57" t="str">
        <f t="shared" si="11"/>
        <v/>
      </c>
    </row>
    <row r="171">
      <c r="A171" s="6" t="str">
        <f>IFERROR(__xludf.DUMMYFUNCTION("""COMPUTED_VALUE"""),"MA330")</f>
        <v>MA330</v>
      </c>
      <c r="B171" s="204">
        <f>IFERROR(__xludf.DUMMYFUNCTION("""COMPUTED_VALUE"""),44575.0)</f>
        <v>44575</v>
      </c>
      <c r="C171" s="250">
        <f>IFERROR(__xludf.DUMMYFUNCTION("""COMPUTED_VALUE"""),0.22658564814814816)</f>
        <v>0.2265856481</v>
      </c>
      <c r="D171" s="6" t="str">
        <f>IFERROR(__xludf.DUMMYFUNCTION("""COMPUTED_VALUE"""),"SpBEND139816")</f>
        <v>SpBEND139816</v>
      </c>
      <c r="E171" s="251"/>
      <c r="F171" s="251"/>
      <c r="G171" s="251" t="str">
        <f>IFERROR(__xludf.DUMMYFUNCTION("""COMPUTED_VALUE"""),"Negative")</f>
        <v>Negative</v>
      </c>
      <c r="H171" s="262" t="str">
        <f>IFERROR(__xludf.DUMMYFUNCTION("""COMPUTED_VALUE"""),"Negative")</f>
        <v>Negative</v>
      </c>
      <c r="I171" s="204">
        <f>IFERROR(__xludf.DUMMYFUNCTION("""COMPUTED_VALUE"""),44575.0)</f>
        <v>44575</v>
      </c>
      <c r="J171" s="252">
        <f>IFERROR(__xludf.DUMMYFUNCTION("""COMPUTED_VALUE"""),0.4820601851851852)</f>
        <v>0.4820601852</v>
      </c>
      <c r="K171" s="56"/>
      <c r="L171" s="6"/>
      <c r="M171" s="61"/>
      <c r="N171" s="61">
        <f>IFERROR(__xludf.DUMMYFUNCTION("""COMPUTED_VALUE"""),1.0)</f>
        <v>1</v>
      </c>
      <c r="O171" s="61" t="b">
        <f t="shared" si="3"/>
        <v>1</v>
      </c>
      <c r="P171" s="253">
        <f>IFERROR(__xludf.DUMMYFUNCTION("""COMPUTED_VALUE"""),0.0)</f>
        <v>0</v>
      </c>
      <c r="Q171" s="254" t="str">
        <f>VLOOKUP($B171,'Run Reconcile'!B$2:O799,14,FALSE)</f>
        <v/>
      </c>
      <c r="R171" s="255" t="str">
        <f t="array" ref="R171">IF($Q171, INDEX('Run Reconcile'!A$2:A799,MATCH(B171,'Run Reconcile'!B$2:B799,0),1),IFERROR(0/0,""))</f>
        <v/>
      </c>
      <c r="S171" s="261" t="str">
        <f t="shared" ref="S171:T171" si="346">IF(COUNTIF(W$2:W799, $A171) &gt; 0,TRUE,IFERROR(0/0,""))</f>
        <v/>
      </c>
      <c r="T171" s="261" t="str">
        <f t="shared" si="346"/>
        <v/>
      </c>
      <c r="U171" s="257" t="str">
        <f t="array" ref="U171">IF(ISBLANK($R171), INDEX('Run Reconcile'!A$2:A799, MATCH($B171, 'Run Reconcile'!B$2:B799, 0)+Z171, 1), IFERROR(0/0,""))
</f>
        <v>RUN-BEND_2022-01-14_RFR-014</v>
      </c>
      <c r="V171" s="258" t="str">
        <f t="shared" si="5"/>
        <v>RUN-BEND_2022-01-14_RFR-014</v>
      </c>
      <c r="W171" s="6" t="s">
        <v>388</v>
      </c>
      <c r="Y171" s="130">
        <f t="shared" si="6"/>
        <v>1</v>
      </c>
      <c r="Z171" s="49" t="str">
        <f t="shared" si="7"/>
        <v/>
      </c>
      <c r="AA171" s="49" t="str">
        <f t="shared" si="8"/>
        <v/>
      </c>
      <c r="AB171" s="49" t="str">
        <f t="shared" si="9"/>
        <v/>
      </c>
      <c r="AC171" s="20" t="str">
        <f t="shared" ref="AC171:AD171" si="347">IF(_xlfn.ISFORMULA(S171),IFERROR(0/0,""),TRUE)</f>
        <v/>
      </c>
      <c r="AD171" s="20" t="str">
        <f t="shared" si="347"/>
        <v/>
      </c>
      <c r="AE171" s="43"/>
      <c r="AF171" s="62" t="s">
        <v>42</v>
      </c>
      <c r="AG171" s="57" t="str">
        <f t="shared" si="11"/>
        <v/>
      </c>
    </row>
    <row r="172">
      <c r="A172" s="6" t="str">
        <f>IFERROR(__xludf.DUMMYFUNCTION("""COMPUTED_VALUE"""),"MA434")</f>
        <v>MA434</v>
      </c>
      <c r="B172" s="204">
        <f>IFERROR(__xludf.DUMMYFUNCTION("""COMPUTED_VALUE"""),44575.0)</f>
        <v>44575</v>
      </c>
      <c r="C172" s="250">
        <f>IFERROR(__xludf.DUMMYFUNCTION("""COMPUTED_VALUE"""),0.2949421296296296)</f>
        <v>0.2949421296</v>
      </c>
      <c r="D172" s="6" t="str">
        <f>IFERROR(__xludf.DUMMYFUNCTION("""COMPUTED_VALUE"""),"SpBEND385421")</f>
        <v>SpBEND385421</v>
      </c>
      <c r="E172" s="251"/>
      <c r="F172" s="251"/>
      <c r="G172" s="251" t="str">
        <f>IFERROR(__xludf.DUMMYFUNCTION("""COMPUTED_VALUE"""),"Negative")</f>
        <v>Negative</v>
      </c>
      <c r="H172" s="262" t="str">
        <f>IFERROR(__xludf.DUMMYFUNCTION("""COMPUTED_VALUE"""),"Negative")</f>
        <v>Negative</v>
      </c>
      <c r="I172" s="204">
        <f>IFERROR(__xludf.DUMMYFUNCTION("""COMPUTED_VALUE"""),44575.0)</f>
        <v>44575</v>
      </c>
      <c r="J172" s="252">
        <f>IFERROR(__xludf.DUMMYFUNCTION("""COMPUTED_VALUE"""),0.4820601851851852)</f>
        <v>0.4820601852</v>
      </c>
      <c r="K172" s="56"/>
      <c r="L172" s="6"/>
      <c r="M172" s="61"/>
      <c r="N172" s="61">
        <f>IFERROR(__xludf.DUMMYFUNCTION("""COMPUTED_VALUE"""),1.0)</f>
        <v>1</v>
      </c>
      <c r="O172" s="61" t="str">
        <f t="shared" si="3"/>
        <v/>
      </c>
      <c r="P172" s="253">
        <f>IFERROR(__xludf.DUMMYFUNCTION("""COMPUTED_VALUE"""),0.0)</f>
        <v>0</v>
      </c>
      <c r="Q172" s="254" t="str">
        <f>VLOOKUP($B172,'Run Reconcile'!B$2:O799,14,FALSE)</f>
        <v/>
      </c>
      <c r="R172" s="255" t="str">
        <f t="array" ref="R172">IF($Q172, INDEX('Run Reconcile'!A$2:A799,MATCH(B172,'Run Reconcile'!B$2:B799,0),1),IFERROR(0/0,""))</f>
        <v/>
      </c>
      <c r="S172" s="261" t="str">
        <f t="shared" ref="S172:T172" si="348">IF(COUNTIF(W$2:W799, $A172) &gt; 0,TRUE,IFERROR(0/0,""))</f>
        <v/>
      </c>
      <c r="T172" s="261" t="str">
        <f t="shared" si="348"/>
        <v/>
      </c>
      <c r="U172" s="257" t="str">
        <f t="array" ref="U172">IF(ISBLANK($R172), INDEX('Run Reconcile'!A$2:A799, MATCH($B172, 'Run Reconcile'!B$2:B799, 0)+Z172, 1), IFERROR(0/0,""))
</f>
        <v>RUN-BEND_2022-01-14_RFR-014</v>
      </c>
      <c r="V172" s="258" t="str">
        <f t="shared" si="5"/>
        <v>RUN-BEND_2022-01-14_RFR-014</v>
      </c>
      <c r="Y172" s="130" t="str">
        <f t="shared" si="6"/>
        <v/>
      </c>
      <c r="Z172" s="49" t="str">
        <f t="shared" si="7"/>
        <v/>
      </c>
      <c r="AA172" s="49" t="str">
        <f t="shared" si="8"/>
        <v/>
      </c>
      <c r="AB172" s="49" t="str">
        <f t="shared" si="9"/>
        <v/>
      </c>
      <c r="AC172" s="20" t="str">
        <f t="shared" ref="AC172:AD172" si="349">IF(_xlfn.ISFORMULA(S172),IFERROR(0/0,""),TRUE)</f>
        <v/>
      </c>
      <c r="AD172" s="20" t="str">
        <f t="shared" si="349"/>
        <v/>
      </c>
      <c r="AE172" s="43"/>
      <c r="AF172" s="62" t="s">
        <v>42</v>
      </c>
      <c r="AG172" s="57" t="str">
        <f t="shared" si="11"/>
        <v/>
      </c>
    </row>
    <row r="173">
      <c r="A173" s="6" t="str">
        <f>IFERROR(__xludf.DUMMYFUNCTION("""COMPUTED_VALUE"""),"MA711")</f>
        <v>MA711</v>
      </c>
      <c r="B173" s="204">
        <f>IFERROR(__xludf.DUMMYFUNCTION("""COMPUTED_VALUE"""),44575.0)</f>
        <v>44575</v>
      </c>
      <c r="C173" s="250">
        <f>IFERROR(__xludf.DUMMYFUNCTION("""COMPUTED_VALUE"""),0.3110763888888889)</f>
        <v>0.3110763889</v>
      </c>
      <c r="D173" s="6" t="str">
        <f>IFERROR(__xludf.DUMMYFUNCTION("""COMPUTED_VALUE"""),"SpBEND214692")</f>
        <v>SpBEND214692</v>
      </c>
      <c r="E173" s="251"/>
      <c r="F173" s="251"/>
      <c r="G173" s="251" t="str">
        <f>IFERROR(__xludf.DUMMYFUNCTION("""COMPUTED_VALUE"""),"Negative")</f>
        <v>Negative</v>
      </c>
      <c r="H173" s="262" t="str">
        <f>IFERROR(__xludf.DUMMYFUNCTION("""COMPUTED_VALUE"""),"Negative")</f>
        <v>Negative</v>
      </c>
      <c r="I173" s="204">
        <f>IFERROR(__xludf.DUMMYFUNCTION("""COMPUTED_VALUE"""),44575.0)</f>
        <v>44575</v>
      </c>
      <c r="J173" s="252">
        <f>IFERROR(__xludf.DUMMYFUNCTION("""COMPUTED_VALUE"""),0.4820601851851852)</f>
        <v>0.4820601852</v>
      </c>
      <c r="K173" s="56"/>
      <c r="L173" s="6"/>
      <c r="M173" s="61"/>
      <c r="N173" s="61">
        <f>IFERROR(__xludf.DUMMYFUNCTION("""COMPUTED_VALUE"""),1.0)</f>
        <v>1</v>
      </c>
      <c r="O173" s="61" t="str">
        <f t="shared" si="3"/>
        <v/>
      </c>
      <c r="P173" s="253">
        <f>IFERROR(__xludf.DUMMYFUNCTION("""COMPUTED_VALUE"""),0.0)</f>
        <v>0</v>
      </c>
      <c r="Q173" s="254" t="str">
        <f>VLOOKUP($B173,'Run Reconcile'!B$2:O799,14,FALSE)</f>
        <v/>
      </c>
      <c r="R173" s="255" t="str">
        <f t="array" ref="R173">IF($Q173, INDEX('Run Reconcile'!A$2:A799,MATCH(B173,'Run Reconcile'!B$2:B799,0),1),IFERROR(0/0,""))</f>
        <v/>
      </c>
      <c r="S173" s="261" t="str">
        <f t="shared" ref="S173:T173" si="350">IF(COUNTIF(W$2:W799, $A173) &gt; 0,TRUE,IFERROR(0/0,""))</f>
        <v/>
      </c>
      <c r="T173" s="261" t="str">
        <f t="shared" si="350"/>
        <v/>
      </c>
      <c r="U173" s="257" t="str">
        <f t="array" ref="U173">IF(ISBLANK($R173), INDEX('Run Reconcile'!A$2:A799, MATCH($B173, 'Run Reconcile'!B$2:B799, 0)+Z173, 1), IFERROR(0/0,""))
</f>
        <v>RUN-BEND_2022-01-14_RFR-014</v>
      </c>
      <c r="V173" s="258" t="str">
        <f t="shared" si="5"/>
        <v>RUN-BEND_2022-01-14_RFR-014</v>
      </c>
      <c r="Y173" s="130" t="str">
        <f t="shared" si="6"/>
        <v/>
      </c>
      <c r="Z173" s="49" t="str">
        <f t="shared" si="7"/>
        <v/>
      </c>
      <c r="AA173" s="49" t="str">
        <f t="shared" si="8"/>
        <v/>
      </c>
      <c r="AB173" s="49" t="str">
        <f t="shared" si="9"/>
        <v/>
      </c>
      <c r="AC173" s="20" t="str">
        <f t="shared" ref="AC173:AD173" si="351">IF(_xlfn.ISFORMULA(S173),IFERROR(0/0,""),TRUE)</f>
        <v/>
      </c>
      <c r="AD173" s="20" t="str">
        <f t="shared" si="351"/>
        <v/>
      </c>
      <c r="AE173" s="43"/>
      <c r="AF173" s="62" t="s">
        <v>42</v>
      </c>
      <c r="AG173" s="57" t="str">
        <f t="shared" si="11"/>
        <v/>
      </c>
    </row>
    <row r="174">
      <c r="A174" s="6" t="str">
        <f>IFERROR(__xludf.DUMMYFUNCTION("""COMPUTED_VALUE"""),"MA1163")</f>
        <v>MA1163</v>
      </c>
      <c r="B174" s="204">
        <f>IFERROR(__xludf.DUMMYFUNCTION("""COMPUTED_VALUE"""),44575.0)</f>
        <v>44575</v>
      </c>
      <c r="C174" s="250">
        <f>IFERROR(__xludf.DUMMYFUNCTION("""COMPUTED_VALUE"""),0.3111574074074074)</f>
        <v>0.3111574074</v>
      </c>
      <c r="D174" s="6" t="str">
        <f>IFERROR(__xludf.DUMMYFUNCTION("""COMPUTED_VALUE"""),"SpBEND541174")</f>
        <v>SpBEND541174</v>
      </c>
      <c r="E174" s="251"/>
      <c r="F174" s="251"/>
      <c r="G174" s="251" t="str">
        <f>IFERROR(__xludf.DUMMYFUNCTION("""COMPUTED_VALUE"""),"Negative")</f>
        <v>Negative</v>
      </c>
      <c r="H174" s="262" t="str">
        <f>IFERROR(__xludf.DUMMYFUNCTION("""COMPUTED_VALUE"""),"Negative")</f>
        <v>Negative</v>
      </c>
      <c r="I174" s="204">
        <f>IFERROR(__xludf.DUMMYFUNCTION("""COMPUTED_VALUE"""),44575.0)</f>
        <v>44575</v>
      </c>
      <c r="J174" s="252">
        <f>IFERROR(__xludf.DUMMYFUNCTION("""COMPUTED_VALUE"""),0.4820601851851852)</f>
        <v>0.4820601852</v>
      </c>
      <c r="K174" s="56"/>
      <c r="L174" s="6"/>
      <c r="M174" s="61"/>
      <c r="N174" s="61">
        <f>IFERROR(__xludf.DUMMYFUNCTION("""COMPUTED_VALUE"""),1.0)</f>
        <v>1</v>
      </c>
      <c r="O174" s="61" t="str">
        <f t="shared" si="3"/>
        <v/>
      </c>
      <c r="P174" s="253">
        <f>IFERROR(__xludf.DUMMYFUNCTION("""COMPUTED_VALUE"""),0.0)</f>
        <v>0</v>
      </c>
      <c r="Q174" s="254" t="str">
        <f>VLOOKUP($B174,'Run Reconcile'!B$2:O799,14,FALSE)</f>
        <v/>
      </c>
      <c r="R174" s="255" t="str">
        <f t="array" ref="R174">IF($Q174, INDEX('Run Reconcile'!A$2:A799,MATCH(B174,'Run Reconcile'!B$2:B799,0),1),IFERROR(0/0,""))</f>
        <v/>
      </c>
      <c r="S174" s="261" t="str">
        <f t="shared" ref="S174:T174" si="352">IF(COUNTIF(W$2:W799, $A174) &gt; 0,TRUE,IFERROR(0/0,""))</f>
        <v/>
      </c>
      <c r="T174" s="261" t="str">
        <f t="shared" si="352"/>
        <v/>
      </c>
      <c r="U174" s="257" t="str">
        <f t="array" ref="U174">IF(ISBLANK($R174), INDEX('Run Reconcile'!A$2:A799, MATCH($B174, 'Run Reconcile'!B$2:B799, 0)+Z174, 1), IFERROR(0/0,""))
</f>
        <v>RUN-BEND_2022-01-14_RFR-014</v>
      </c>
      <c r="V174" s="258" t="str">
        <f t="shared" si="5"/>
        <v>RUN-BEND_2022-01-14_RFR-014</v>
      </c>
      <c r="Y174" s="130" t="str">
        <f t="shared" si="6"/>
        <v/>
      </c>
      <c r="Z174" s="49" t="str">
        <f t="shared" si="7"/>
        <v/>
      </c>
      <c r="AA174" s="49" t="str">
        <f t="shared" si="8"/>
        <v/>
      </c>
      <c r="AB174" s="49" t="str">
        <f t="shared" si="9"/>
        <v/>
      </c>
      <c r="AC174" s="20" t="str">
        <f t="shared" ref="AC174:AD174" si="353">IF(_xlfn.ISFORMULA(S174),IFERROR(0/0,""),TRUE)</f>
        <v/>
      </c>
      <c r="AD174" s="20" t="str">
        <f t="shared" si="353"/>
        <v/>
      </c>
      <c r="AE174" s="43"/>
      <c r="AF174" s="62" t="s">
        <v>42</v>
      </c>
      <c r="AG174" s="57" t="str">
        <f t="shared" si="11"/>
        <v/>
      </c>
    </row>
    <row r="175">
      <c r="A175" s="6" t="str">
        <f>IFERROR(__xludf.DUMMYFUNCTION("""COMPUTED_VALUE"""),"MA490")</f>
        <v>MA490</v>
      </c>
      <c r="B175" s="204">
        <f>IFERROR(__xludf.DUMMYFUNCTION("""COMPUTED_VALUE"""),44575.0)</f>
        <v>44575</v>
      </c>
      <c r="C175" s="250">
        <f>IFERROR(__xludf.DUMMYFUNCTION("""COMPUTED_VALUE"""),0.3125925925925926)</f>
        <v>0.3125925926</v>
      </c>
      <c r="D175" s="6" t="str">
        <f>IFERROR(__xludf.DUMMYFUNCTION("""COMPUTED_VALUE"""),"SpBEND977859")</f>
        <v>SpBEND977859</v>
      </c>
      <c r="E175" s="251"/>
      <c r="F175" s="251"/>
      <c r="G175" s="251" t="str">
        <f>IFERROR(__xludf.DUMMYFUNCTION("""COMPUTED_VALUE"""),"Negative")</f>
        <v>Negative</v>
      </c>
      <c r="H175" s="262" t="str">
        <f>IFERROR(__xludf.DUMMYFUNCTION("""COMPUTED_VALUE"""),"Negative")</f>
        <v>Negative</v>
      </c>
      <c r="I175" s="204">
        <f>IFERROR(__xludf.DUMMYFUNCTION("""COMPUTED_VALUE"""),44575.0)</f>
        <v>44575</v>
      </c>
      <c r="J175" s="252">
        <f>IFERROR(__xludf.DUMMYFUNCTION("""COMPUTED_VALUE"""),0.4820601851851852)</f>
        <v>0.4820601852</v>
      </c>
      <c r="K175" s="56"/>
      <c r="L175" s="6"/>
      <c r="M175" s="61"/>
      <c r="N175" s="61">
        <f>IFERROR(__xludf.DUMMYFUNCTION("""COMPUTED_VALUE"""),1.0)</f>
        <v>1</v>
      </c>
      <c r="O175" s="61" t="str">
        <f t="shared" si="3"/>
        <v/>
      </c>
      <c r="P175" s="253">
        <f>IFERROR(__xludf.DUMMYFUNCTION("""COMPUTED_VALUE"""),0.0)</f>
        <v>0</v>
      </c>
      <c r="Q175" s="254" t="str">
        <f>VLOOKUP($B175,'Run Reconcile'!B$2:O799,14,FALSE)</f>
        <v/>
      </c>
      <c r="R175" s="255" t="str">
        <f t="array" ref="R175">IF($Q175, INDEX('Run Reconcile'!A$2:A799,MATCH(B175,'Run Reconcile'!B$2:B799,0),1),IFERROR(0/0,""))</f>
        <v/>
      </c>
      <c r="S175" s="261" t="str">
        <f t="shared" ref="S175:T175" si="354">IF(COUNTIF(W$2:W799, $A175) &gt; 0,TRUE,IFERROR(0/0,""))</f>
        <v/>
      </c>
      <c r="T175" s="261" t="str">
        <f t="shared" si="354"/>
        <v/>
      </c>
      <c r="U175" s="257" t="str">
        <f t="array" ref="U175">IF(ISBLANK($R175), INDEX('Run Reconcile'!A$2:A799, MATCH($B175, 'Run Reconcile'!B$2:B799, 0)+Z175, 1), IFERROR(0/0,""))
</f>
        <v>RUN-BEND_2022-01-14_RFR-014</v>
      </c>
      <c r="V175" s="258" t="str">
        <f t="shared" si="5"/>
        <v>RUN-BEND_2022-01-14_RFR-014</v>
      </c>
      <c r="Y175" s="130" t="str">
        <f t="shared" si="6"/>
        <v/>
      </c>
      <c r="Z175" s="49" t="str">
        <f t="shared" si="7"/>
        <v/>
      </c>
      <c r="AA175" s="49" t="str">
        <f t="shared" si="8"/>
        <v/>
      </c>
      <c r="AB175" s="49" t="str">
        <f t="shared" si="9"/>
        <v/>
      </c>
      <c r="AC175" s="20" t="str">
        <f t="shared" ref="AC175:AD175" si="355">IF(_xlfn.ISFORMULA(S175),IFERROR(0/0,""),TRUE)</f>
        <v/>
      </c>
      <c r="AD175" s="20" t="str">
        <f t="shared" si="355"/>
        <v/>
      </c>
      <c r="AE175" s="43"/>
      <c r="AF175" s="62" t="s">
        <v>42</v>
      </c>
      <c r="AG175" s="57" t="str">
        <f t="shared" si="11"/>
        <v/>
      </c>
    </row>
    <row r="176">
      <c r="A176" s="6" t="str">
        <f>IFERROR(__xludf.DUMMYFUNCTION("""COMPUTED_VALUE"""),"MA1243")</f>
        <v>MA1243</v>
      </c>
      <c r="B176" s="204">
        <f>IFERROR(__xludf.DUMMYFUNCTION("""COMPUTED_VALUE"""),44575.0)</f>
        <v>44575</v>
      </c>
      <c r="C176" s="250">
        <f>IFERROR(__xludf.DUMMYFUNCTION("""COMPUTED_VALUE"""),0.3230439814814815)</f>
        <v>0.3230439815</v>
      </c>
      <c r="D176" s="6" t="str">
        <f>IFERROR(__xludf.DUMMYFUNCTION("""COMPUTED_VALUE"""),"SpBEND767550")</f>
        <v>SpBEND767550</v>
      </c>
      <c r="E176" s="251"/>
      <c r="F176" s="251"/>
      <c r="G176" s="251" t="str">
        <f>IFERROR(__xludf.DUMMYFUNCTION("""COMPUTED_VALUE"""),"Positive")</f>
        <v>Positive</v>
      </c>
      <c r="H176" s="262" t="str">
        <f>IFERROR(__xludf.DUMMYFUNCTION("""COMPUTED_VALUE"""),"Positive")</f>
        <v>Positive</v>
      </c>
      <c r="I176" s="204">
        <f>IFERROR(__xludf.DUMMYFUNCTION("""COMPUTED_VALUE"""),44579.0)</f>
        <v>44579</v>
      </c>
      <c r="J176" s="252">
        <f>IFERROR(__xludf.DUMMYFUNCTION("""COMPUTED_VALUE"""),0.5015856481481481)</f>
        <v>0.5015856481</v>
      </c>
      <c r="K176" s="56"/>
      <c r="L176" s="6"/>
      <c r="M176" s="61"/>
      <c r="N176" s="61">
        <f>IFERROR(__xludf.DUMMYFUNCTION("""COMPUTED_VALUE"""),1.0)</f>
        <v>1</v>
      </c>
      <c r="O176" s="61" t="str">
        <f t="shared" si="3"/>
        <v/>
      </c>
      <c r="P176" s="253">
        <f>IFERROR(__xludf.DUMMYFUNCTION("""COMPUTED_VALUE"""),4.0)</f>
        <v>4</v>
      </c>
      <c r="Q176" s="254" t="str">
        <f>VLOOKUP($B176,'Run Reconcile'!B$2:O799,14,FALSE)</f>
        <v/>
      </c>
      <c r="R176" s="255" t="str">
        <f t="array" ref="R176">IF($Q176, INDEX('Run Reconcile'!A$2:A799,MATCH(B176,'Run Reconcile'!B$2:B799,0),1),IFERROR(0/0,""))</f>
        <v/>
      </c>
      <c r="S176" s="261" t="str">
        <f t="shared" ref="S176:T176" si="356">IF(COUNTIF(W$2:W799, $A176) &gt; 0,TRUE,IFERROR(0/0,""))</f>
        <v/>
      </c>
      <c r="T176" s="261" t="str">
        <f t="shared" si="356"/>
        <v/>
      </c>
      <c r="U176" s="257" t="str">
        <f t="array" ref="U176">IF(ISBLANK($R176), INDEX('Run Reconcile'!A$2:A799, MATCH($B176, 'Run Reconcile'!B$2:B799, 0)+Z176, 1), IFERROR(0/0,""))
</f>
        <v>RUN-BEND_2022-01-14_RFR-014</v>
      </c>
      <c r="V176" s="258" t="str">
        <f t="shared" si="5"/>
        <v>RUN-BEND_2022-01-14_RFR-014</v>
      </c>
      <c r="Y176" s="130" t="str">
        <f t="shared" si="6"/>
        <v/>
      </c>
      <c r="Z176" s="49" t="str">
        <f t="shared" si="7"/>
        <v/>
      </c>
      <c r="AA176" s="49" t="str">
        <f t="shared" si="8"/>
        <v/>
      </c>
      <c r="AB176" s="49" t="str">
        <f t="shared" si="9"/>
        <v/>
      </c>
      <c r="AC176" s="20" t="str">
        <f t="shared" ref="AC176:AD176" si="357">IF(_xlfn.ISFORMULA(S176),IFERROR(0/0,""),TRUE)</f>
        <v/>
      </c>
      <c r="AD176" s="20" t="str">
        <f t="shared" si="357"/>
        <v/>
      </c>
      <c r="AE176" s="43"/>
      <c r="AF176" s="62" t="s">
        <v>42</v>
      </c>
      <c r="AG176" s="57" t="str">
        <f t="shared" si="11"/>
        <v/>
      </c>
    </row>
    <row r="177">
      <c r="A177" s="6" t="str">
        <f>IFERROR(__xludf.DUMMYFUNCTION("""COMPUTED_VALUE"""),"MA1034")</f>
        <v>MA1034</v>
      </c>
      <c r="B177" s="204">
        <f>IFERROR(__xludf.DUMMYFUNCTION("""COMPUTED_VALUE"""),44575.0)</f>
        <v>44575</v>
      </c>
      <c r="C177" s="250">
        <f>IFERROR(__xludf.DUMMYFUNCTION("""COMPUTED_VALUE"""),0.3307175925925926)</f>
        <v>0.3307175926</v>
      </c>
      <c r="D177" s="6" t="str">
        <f>IFERROR(__xludf.DUMMYFUNCTION("""COMPUTED_VALUE"""),"SpBEND548976")</f>
        <v>SpBEND548976</v>
      </c>
      <c r="E177" s="251"/>
      <c r="F177" s="251"/>
      <c r="G177" s="251" t="str">
        <f>IFERROR(__xludf.DUMMYFUNCTION("""COMPUTED_VALUE"""),"Negative")</f>
        <v>Negative</v>
      </c>
      <c r="H177" s="262" t="str">
        <f>IFERROR(__xludf.DUMMYFUNCTION("""COMPUTED_VALUE"""),"Negative")</f>
        <v>Negative</v>
      </c>
      <c r="I177" s="204">
        <f>IFERROR(__xludf.DUMMYFUNCTION("""COMPUTED_VALUE"""),44575.0)</f>
        <v>44575</v>
      </c>
      <c r="J177" s="252">
        <f>IFERROR(__xludf.DUMMYFUNCTION("""COMPUTED_VALUE"""),0.4820601851851852)</f>
        <v>0.4820601852</v>
      </c>
      <c r="K177" s="56"/>
      <c r="L177" s="6"/>
      <c r="M177" s="61"/>
      <c r="N177" s="61">
        <f>IFERROR(__xludf.DUMMYFUNCTION("""COMPUTED_VALUE"""),1.0)</f>
        <v>1</v>
      </c>
      <c r="O177" s="61" t="str">
        <f t="shared" si="3"/>
        <v/>
      </c>
      <c r="P177" s="253">
        <f>IFERROR(__xludf.DUMMYFUNCTION("""COMPUTED_VALUE"""),0.0)</f>
        <v>0</v>
      </c>
      <c r="Q177" s="254" t="str">
        <f>VLOOKUP($B177,'Run Reconcile'!B$2:O799,14,FALSE)</f>
        <v/>
      </c>
      <c r="R177" s="255" t="str">
        <f t="array" ref="R177">IF($Q177, INDEX('Run Reconcile'!A$2:A799,MATCH(B177,'Run Reconcile'!B$2:B799,0),1),IFERROR(0/0,""))</f>
        <v/>
      </c>
      <c r="S177" s="261" t="str">
        <f t="shared" ref="S177:T177" si="358">IF(COUNTIF(W$2:W799, $A177) &gt; 0,TRUE,IFERROR(0/0,""))</f>
        <v/>
      </c>
      <c r="T177" s="261" t="str">
        <f t="shared" si="358"/>
        <v/>
      </c>
      <c r="U177" s="257" t="str">
        <f t="array" ref="U177">IF(ISBLANK($R177), INDEX('Run Reconcile'!A$2:A799, MATCH($B177, 'Run Reconcile'!B$2:B799, 0)+Z177, 1), IFERROR(0/0,""))
</f>
        <v>RUN-BEND_2022-01-14_RFR-014</v>
      </c>
      <c r="V177" s="258" t="str">
        <f t="shared" si="5"/>
        <v>RUN-BEND_2022-01-14_RFR-014</v>
      </c>
      <c r="Y177" s="130" t="str">
        <f t="shared" si="6"/>
        <v/>
      </c>
      <c r="Z177" s="49" t="str">
        <f t="shared" si="7"/>
        <v/>
      </c>
      <c r="AA177" s="49" t="str">
        <f t="shared" si="8"/>
        <v/>
      </c>
      <c r="AB177" s="49" t="str">
        <f t="shared" si="9"/>
        <v/>
      </c>
      <c r="AC177" s="20" t="str">
        <f t="shared" ref="AC177:AD177" si="359">IF(_xlfn.ISFORMULA(S177),IFERROR(0/0,""),TRUE)</f>
        <v/>
      </c>
      <c r="AD177" s="20" t="str">
        <f t="shared" si="359"/>
        <v/>
      </c>
      <c r="AE177" s="43"/>
      <c r="AF177" s="62" t="s">
        <v>42</v>
      </c>
      <c r="AG177" s="57" t="str">
        <f t="shared" si="11"/>
        <v/>
      </c>
    </row>
    <row r="178">
      <c r="A178" s="6" t="str">
        <f>IFERROR(__xludf.DUMMYFUNCTION("""COMPUTED_VALUE"""),"MA1186")</f>
        <v>MA1186</v>
      </c>
      <c r="B178" s="204">
        <f>IFERROR(__xludf.DUMMYFUNCTION("""COMPUTED_VALUE"""),44575.0)</f>
        <v>44575</v>
      </c>
      <c r="C178" s="250">
        <f>IFERROR(__xludf.DUMMYFUNCTION("""COMPUTED_VALUE"""),0.3400578703703704)</f>
        <v>0.3400578704</v>
      </c>
      <c r="D178" s="6" t="str">
        <f>IFERROR(__xludf.DUMMYFUNCTION("""COMPUTED_VALUE"""),"SpBEND302553")</f>
        <v>SpBEND302553</v>
      </c>
      <c r="E178" s="251"/>
      <c r="F178" s="251"/>
      <c r="G178" s="251" t="str">
        <f>IFERROR(__xludf.DUMMYFUNCTION("""COMPUTED_VALUE"""),"Positive")</f>
        <v>Positive</v>
      </c>
      <c r="H178" s="264" t="str">
        <f>IFERROR(__xludf.DUMMYFUNCTION("""COMPUTED_VALUE"""),"Positive")</f>
        <v>Positive</v>
      </c>
      <c r="I178" s="263">
        <f>IFERROR(__xludf.DUMMYFUNCTION("""COMPUTED_VALUE"""),44579.0)</f>
        <v>44579</v>
      </c>
      <c r="J178" s="252">
        <f>IFERROR(__xludf.DUMMYFUNCTION("""COMPUTED_VALUE"""),0.5015856481481481)</f>
        <v>0.5015856481</v>
      </c>
      <c r="K178" s="56"/>
      <c r="L178" s="6"/>
      <c r="M178" s="61"/>
      <c r="N178" s="61">
        <f>IFERROR(__xludf.DUMMYFUNCTION("""COMPUTED_VALUE"""),1.0)</f>
        <v>1</v>
      </c>
      <c r="O178" s="61" t="str">
        <f t="shared" si="3"/>
        <v/>
      </c>
      <c r="P178" s="253">
        <f>IFERROR(__xludf.DUMMYFUNCTION("""COMPUTED_VALUE"""),4.0)</f>
        <v>4</v>
      </c>
      <c r="Q178" s="254" t="str">
        <f>VLOOKUP($B178,'Run Reconcile'!B$2:O799,14,FALSE)</f>
        <v/>
      </c>
      <c r="R178" s="255" t="str">
        <f t="array" ref="R178">IF($Q178, INDEX('Run Reconcile'!A$2:A799,MATCH(B178,'Run Reconcile'!B$2:B799,0),1),IFERROR(0/0,""))</f>
        <v/>
      </c>
      <c r="S178" s="261" t="str">
        <f t="shared" ref="S178:T178" si="360">IF(COUNTIF(W$2:W799, $A178) &gt; 0,TRUE,IFERROR(0/0,""))</f>
        <v/>
      </c>
      <c r="T178" s="261" t="str">
        <f t="shared" si="360"/>
        <v/>
      </c>
      <c r="U178" s="257" t="str">
        <f t="array" ref="U178">IF(ISBLANK($R178), INDEX('Run Reconcile'!A$2:A799, MATCH($B178, 'Run Reconcile'!B$2:B799, 0)+Z178, 1), IFERROR(0/0,""))
</f>
        <v>RUN-BEND_2022-01-14_RFR-014</v>
      </c>
      <c r="V178" s="258" t="str">
        <f t="shared" si="5"/>
        <v>RUN-BEND_2022-01-14_RFR-014</v>
      </c>
      <c r="Y178" s="130" t="str">
        <f t="shared" si="6"/>
        <v/>
      </c>
      <c r="Z178" s="49" t="str">
        <f t="shared" si="7"/>
        <v/>
      </c>
      <c r="AA178" s="49" t="str">
        <f t="shared" si="8"/>
        <v/>
      </c>
      <c r="AB178" s="49" t="str">
        <f t="shared" si="9"/>
        <v/>
      </c>
      <c r="AC178" s="20" t="str">
        <f t="shared" ref="AC178:AD178" si="361">IF(_xlfn.ISFORMULA(S178),IFERROR(0/0,""),TRUE)</f>
        <v/>
      </c>
      <c r="AD178" s="20" t="str">
        <f t="shared" si="361"/>
        <v/>
      </c>
      <c r="AE178" s="43"/>
      <c r="AF178" s="62" t="s">
        <v>42</v>
      </c>
      <c r="AG178" s="57" t="str">
        <f t="shared" si="11"/>
        <v/>
      </c>
    </row>
    <row r="179">
      <c r="A179" s="6" t="str">
        <f>IFERROR(__xludf.DUMMYFUNCTION("""COMPUTED_VALUE"""),"MA1166")</f>
        <v>MA1166</v>
      </c>
      <c r="B179" s="204">
        <f>IFERROR(__xludf.DUMMYFUNCTION("""COMPUTED_VALUE"""),44575.0)</f>
        <v>44575</v>
      </c>
      <c r="C179" s="250">
        <f>IFERROR(__xludf.DUMMYFUNCTION("""COMPUTED_VALUE"""),0.3453703703703704)</f>
        <v>0.3453703704</v>
      </c>
      <c r="D179" s="6" t="str">
        <f>IFERROR(__xludf.DUMMYFUNCTION("""COMPUTED_VALUE"""),"SpBEND591184")</f>
        <v>SpBEND591184</v>
      </c>
      <c r="E179" s="251"/>
      <c r="F179" s="251"/>
      <c r="G179" s="251" t="str">
        <f>IFERROR(__xludf.DUMMYFUNCTION("""COMPUTED_VALUE"""),"Negative")</f>
        <v>Negative</v>
      </c>
      <c r="H179" s="262" t="str">
        <f>IFERROR(__xludf.DUMMYFUNCTION("""COMPUTED_VALUE"""),"Negative")</f>
        <v>Negative</v>
      </c>
      <c r="I179" s="204">
        <f>IFERROR(__xludf.DUMMYFUNCTION("""COMPUTED_VALUE"""),44575.0)</f>
        <v>44575</v>
      </c>
      <c r="J179" s="252">
        <f>IFERROR(__xludf.DUMMYFUNCTION("""COMPUTED_VALUE"""),0.4820601851851852)</f>
        <v>0.4820601852</v>
      </c>
      <c r="K179" s="56"/>
      <c r="L179" s="6"/>
      <c r="M179" s="61"/>
      <c r="N179" s="61">
        <f>IFERROR(__xludf.DUMMYFUNCTION("""COMPUTED_VALUE"""),1.0)</f>
        <v>1</v>
      </c>
      <c r="O179" s="61" t="str">
        <f t="shared" si="3"/>
        <v/>
      </c>
      <c r="P179" s="253">
        <f>IFERROR(__xludf.DUMMYFUNCTION("""COMPUTED_VALUE"""),0.0)</f>
        <v>0</v>
      </c>
      <c r="Q179" s="254" t="str">
        <f>VLOOKUP($B179,'Run Reconcile'!B$2:O799,14,FALSE)</f>
        <v/>
      </c>
      <c r="R179" s="255" t="str">
        <f t="array" ref="R179">IF($Q179, INDEX('Run Reconcile'!A$2:A799,MATCH(B179,'Run Reconcile'!B$2:B799,0),1),IFERROR(0/0,""))</f>
        <v/>
      </c>
      <c r="S179" s="261" t="str">
        <f t="shared" ref="S179:T179" si="362">IF(COUNTIF(W$2:W799, $A179) &gt; 0,TRUE,IFERROR(0/0,""))</f>
        <v/>
      </c>
      <c r="T179" s="261" t="str">
        <f t="shared" si="362"/>
        <v/>
      </c>
      <c r="U179" s="257" t="str">
        <f t="array" ref="U179">IF(ISBLANK($R179), INDEX('Run Reconcile'!A$2:A799, MATCH($B179, 'Run Reconcile'!B$2:B799, 0)+Z179, 1), IFERROR(0/0,""))
</f>
        <v>RUN-BEND_2022-01-14_RFR-014</v>
      </c>
      <c r="V179" s="258" t="str">
        <f t="shared" si="5"/>
        <v>RUN-BEND_2022-01-14_RFR-014</v>
      </c>
      <c r="Y179" s="130" t="str">
        <f t="shared" si="6"/>
        <v/>
      </c>
      <c r="Z179" s="49" t="str">
        <f t="shared" si="7"/>
        <v/>
      </c>
      <c r="AA179" s="49" t="str">
        <f t="shared" si="8"/>
        <v/>
      </c>
      <c r="AB179" s="49" t="str">
        <f t="shared" si="9"/>
        <v/>
      </c>
      <c r="AC179" s="20" t="str">
        <f t="shared" ref="AC179:AD179" si="363">IF(_xlfn.ISFORMULA(S179),IFERROR(0/0,""),TRUE)</f>
        <v/>
      </c>
      <c r="AD179" s="20" t="str">
        <f t="shared" si="363"/>
        <v/>
      </c>
      <c r="AE179" s="43"/>
      <c r="AF179" s="62" t="s">
        <v>42</v>
      </c>
      <c r="AG179" s="57" t="str">
        <f t="shared" si="11"/>
        <v/>
      </c>
    </row>
    <row r="180">
      <c r="A180" s="6" t="str">
        <f>IFERROR(__xludf.DUMMYFUNCTION("""COMPUTED_VALUE"""),"MA331")</f>
        <v>MA331</v>
      </c>
      <c r="B180" s="204">
        <f>IFERROR(__xludf.DUMMYFUNCTION("""COMPUTED_VALUE"""),44575.0)</f>
        <v>44575</v>
      </c>
      <c r="C180" s="250">
        <f>IFERROR(__xludf.DUMMYFUNCTION("""COMPUTED_VALUE"""),0.3471180555555556)</f>
        <v>0.3471180556</v>
      </c>
      <c r="D180" s="6" t="str">
        <f>IFERROR(__xludf.DUMMYFUNCTION("""COMPUTED_VALUE"""),"SpBEND425753")</f>
        <v>SpBEND425753</v>
      </c>
      <c r="E180" s="251"/>
      <c r="F180" s="251"/>
      <c r="G180" s="251" t="str">
        <f>IFERROR(__xludf.DUMMYFUNCTION("""COMPUTED_VALUE"""),"Negative")</f>
        <v>Negative</v>
      </c>
      <c r="H180" s="264" t="str">
        <f>IFERROR(__xludf.DUMMYFUNCTION("""COMPUTED_VALUE"""),"Negative")</f>
        <v>Negative</v>
      </c>
      <c r="I180" s="263">
        <f>IFERROR(__xludf.DUMMYFUNCTION("""COMPUTED_VALUE"""),44575.0)</f>
        <v>44575</v>
      </c>
      <c r="J180" s="252">
        <f>IFERROR(__xludf.DUMMYFUNCTION("""COMPUTED_VALUE"""),0.4820601851851852)</f>
        <v>0.4820601852</v>
      </c>
      <c r="K180" s="56"/>
      <c r="L180" s="6"/>
      <c r="M180" s="61"/>
      <c r="N180" s="61">
        <f>IFERROR(__xludf.DUMMYFUNCTION("""COMPUTED_VALUE"""),1.0)</f>
        <v>1</v>
      </c>
      <c r="O180" s="61" t="str">
        <f t="shared" si="3"/>
        <v/>
      </c>
      <c r="P180" s="253">
        <f>IFERROR(__xludf.DUMMYFUNCTION("""COMPUTED_VALUE"""),0.0)</f>
        <v>0</v>
      </c>
      <c r="Q180" s="254" t="str">
        <f>VLOOKUP($B180,'Run Reconcile'!B$2:O799,14,FALSE)</f>
        <v/>
      </c>
      <c r="R180" s="255" t="str">
        <f t="array" ref="R180">IF($Q180, INDEX('Run Reconcile'!A$2:A799,MATCH(B180,'Run Reconcile'!B$2:B799,0),1),IFERROR(0/0,""))</f>
        <v/>
      </c>
      <c r="S180" s="261" t="str">
        <f t="shared" ref="S180:T180" si="364">IF(COUNTIF(W$2:W799, $A180) &gt; 0,TRUE,IFERROR(0/0,""))</f>
        <v/>
      </c>
      <c r="T180" s="261" t="str">
        <f t="shared" si="364"/>
        <v/>
      </c>
      <c r="U180" s="257" t="str">
        <f t="array" ref="U180">IF(ISBLANK($R180), INDEX('Run Reconcile'!A$2:A799, MATCH($B180, 'Run Reconcile'!B$2:B799, 0)+Z180, 1), IFERROR(0/0,""))
</f>
        <v>RUN-BEND_2022-01-14_RFR-014</v>
      </c>
      <c r="V180" s="258" t="str">
        <f t="shared" si="5"/>
        <v>RUN-BEND_2022-01-14_RFR-014</v>
      </c>
      <c r="Y180" s="130" t="str">
        <f t="shared" si="6"/>
        <v/>
      </c>
      <c r="Z180" s="49" t="str">
        <f t="shared" si="7"/>
        <v/>
      </c>
      <c r="AA180" s="49" t="str">
        <f t="shared" si="8"/>
        <v/>
      </c>
      <c r="AB180" s="49" t="str">
        <f t="shared" si="9"/>
        <v/>
      </c>
      <c r="AC180" s="20" t="str">
        <f t="shared" ref="AC180:AD180" si="365">IF(_xlfn.ISFORMULA(S180),IFERROR(0/0,""),TRUE)</f>
        <v/>
      </c>
      <c r="AD180" s="20" t="str">
        <f t="shared" si="365"/>
        <v/>
      </c>
      <c r="AE180" s="43"/>
      <c r="AF180" s="62" t="s">
        <v>42</v>
      </c>
      <c r="AG180" s="57" t="str">
        <f t="shared" si="11"/>
        <v/>
      </c>
    </row>
    <row r="181">
      <c r="A181" s="6" t="str">
        <f>IFERROR(__xludf.DUMMYFUNCTION("""COMPUTED_VALUE"""),"MA641")</f>
        <v>MA641</v>
      </c>
      <c r="B181" s="204">
        <f>IFERROR(__xludf.DUMMYFUNCTION("""COMPUTED_VALUE"""),44575.0)</f>
        <v>44575</v>
      </c>
      <c r="C181" s="250">
        <f>IFERROR(__xludf.DUMMYFUNCTION("""COMPUTED_VALUE"""),0.3519097222222222)</f>
        <v>0.3519097222</v>
      </c>
      <c r="D181" s="6" t="str">
        <f>IFERROR(__xludf.DUMMYFUNCTION("""COMPUTED_VALUE"""),"SpBEND481988")</f>
        <v>SpBEND481988</v>
      </c>
      <c r="E181" s="251"/>
      <c r="F181" s="251"/>
      <c r="G181" s="251" t="str">
        <f>IFERROR(__xludf.DUMMYFUNCTION("""COMPUTED_VALUE"""),"Negative")</f>
        <v>Negative</v>
      </c>
      <c r="H181" s="262" t="str">
        <f>IFERROR(__xludf.DUMMYFUNCTION("""COMPUTED_VALUE"""),"Negative")</f>
        <v>Negative</v>
      </c>
      <c r="I181" s="204">
        <f>IFERROR(__xludf.DUMMYFUNCTION("""COMPUTED_VALUE"""),44575.0)</f>
        <v>44575</v>
      </c>
      <c r="J181" s="252">
        <f>IFERROR(__xludf.DUMMYFUNCTION("""COMPUTED_VALUE"""),0.4820601851851852)</f>
        <v>0.4820601852</v>
      </c>
      <c r="K181" s="56"/>
      <c r="L181" s="6"/>
      <c r="M181" s="61"/>
      <c r="N181" s="61">
        <f>IFERROR(__xludf.DUMMYFUNCTION("""COMPUTED_VALUE"""),1.0)</f>
        <v>1</v>
      </c>
      <c r="O181" s="61" t="str">
        <f t="shared" si="3"/>
        <v/>
      </c>
      <c r="P181" s="253">
        <f>IFERROR(__xludf.DUMMYFUNCTION("""COMPUTED_VALUE"""),0.0)</f>
        <v>0</v>
      </c>
      <c r="Q181" s="254" t="str">
        <f>VLOOKUP($B181,'Run Reconcile'!B$2:O799,14,FALSE)</f>
        <v/>
      </c>
      <c r="R181" s="255" t="str">
        <f t="array" ref="R181">IF($Q181, INDEX('Run Reconcile'!A$2:A799,MATCH(B181,'Run Reconcile'!B$2:B799,0),1),IFERROR(0/0,""))</f>
        <v/>
      </c>
      <c r="S181" s="261" t="str">
        <f t="shared" ref="S181:T181" si="366">IF(COUNTIF(W$2:W799, $A181) &gt; 0,TRUE,IFERROR(0/0,""))</f>
        <v/>
      </c>
      <c r="T181" s="261" t="str">
        <f t="shared" si="366"/>
        <v/>
      </c>
      <c r="U181" s="257" t="str">
        <f t="array" ref="U181">IF(ISBLANK($R181), INDEX('Run Reconcile'!A$2:A799, MATCH($B181, 'Run Reconcile'!B$2:B799, 0)+Z181, 1), IFERROR(0/0,""))
</f>
        <v>RUN-BEND_2022-01-14_RFR-014</v>
      </c>
      <c r="V181" s="258" t="str">
        <f t="shared" si="5"/>
        <v>RUN-BEND_2022-01-14_RFR-014</v>
      </c>
      <c r="Y181" s="130" t="str">
        <f t="shared" si="6"/>
        <v/>
      </c>
      <c r="Z181" s="49" t="str">
        <f t="shared" si="7"/>
        <v/>
      </c>
      <c r="AA181" s="49" t="str">
        <f t="shared" si="8"/>
        <v/>
      </c>
      <c r="AB181" s="49" t="str">
        <f t="shared" si="9"/>
        <v/>
      </c>
      <c r="AC181" s="20" t="str">
        <f t="shared" ref="AC181:AD181" si="367">IF(_xlfn.ISFORMULA(S181),IFERROR(0/0,""),TRUE)</f>
        <v/>
      </c>
      <c r="AD181" s="20" t="str">
        <f t="shared" si="367"/>
        <v/>
      </c>
      <c r="AE181" s="43"/>
      <c r="AF181" s="62" t="s">
        <v>42</v>
      </c>
      <c r="AG181" s="57" t="str">
        <f t="shared" si="11"/>
        <v/>
      </c>
    </row>
    <row r="182">
      <c r="A182" s="6" t="str">
        <f>IFERROR(__xludf.DUMMYFUNCTION("""COMPUTED_VALUE"""),"MA286")</f>
        <v>MA286</v>
      </c>
      <c r="B182" s="204">
        <f>IFERROR(__xludf.DUMMYFUNCTION("""COMPUTED_VALUE"""),44575.0)</f>
        <v>44575</v>
      </c>
      <c r="C182" s="250">
        <f>IFERROR(__xludf.DUMMYFUNCTION("""COMPUTED_VALUE"""),0.35594907407407406)</f>
        <v>0.3559490741</v>
      </c>
      <c r="D182" s="6" t="str">
        <f>IFERROR(__xludf.DUMMYFUNCTION("""COMPUTED_VALUE"""),"SpBEND264858")</f>
        <v>SpBEND264858</v>
      </c>
      <c r="E182" s="251"/>
      <c r="F182" s="251"/>
      <c r="G182" s="251" t="str">
        <f>IFERROR(__xludf.DUMMYFUNCTION("""COMPUTED_VALUE"""),"Negative")</f>
        <v>Negative</v>
      </c>
      <c r="H182" s="262" t="str">
        <f>IFERROR(__xludf.DUMMYFUNCTION("""COMPUTED_VALUE"""),"Negative")</f>
        <v>Negative</v>
      </c>
      <c r="I182" s="204">
        <f>IFERROR(__xludf.DUMMYFUNCTION("""COMPUTED_VALUE"""),44575.0)</f>
        <v>44575</v>
      </c>
      <c r="J182" s="252">
        <f>IFERROR(__xludf.DUMMYFUNCTION("""COMPUTED_VALUE"""),0.4820601851851852)</f>
        <v>0.4820601852</v>
      </c>
      <c r="K182" s="56"/>
      <c r="L182" s="6"/>
      <c r="M182" s="61"/>
      <c r="N182" s="61">
        <f>IFERROR(__xludf.DUMMYFUNCTION("""COMPUTED_VALUE"""),1.0)</f>
        <v>1</v>
      </c>
      <c r="O182" s="61" t="str">
        <f t="shared" si="3"/>
        <v/>
      </c>
      <c r="P182" s="253">
        <f>IFERROR(__xludf.DUMMYFUNCTION("""COMPUTED_VALUE"""),0.0)</f>
        <v>0</v>
      </c>
      <c r="Q182" s="254" t="str">
        <f>VLOOKUP($B182,'Run Reconcile'!B$2:O799,14,FALSE)</f>
        <v/>
      </c>
      <c r="R182" s="255" t="str">
        <f t="array" ref="R182">IF($Q182, INDEX('Run Reconcile'!A$2:A799,MATCH(B182,'Run Reconcile'!B$2:B799,0),1),IFERROR(0/0,""))</f>
        <v/>
      </c>
      <c r="S182" s="261" t="str">
        <f t="shared" ref="S182:T182" si="368">IF(COUNTIF(W$2:W799, $A182) &gt; 0,TRUE,IFERROR(0/0,""))</f>
        <v/>
      </c>
      <c r="T182" s="261" t="str">
        <f t="shared" si="368"/>
        <v/>
      </c>
      <c r="U182" s="257" t="str">
        <f t="array" ref="U182">IF(ISBLANK($R182), INDEX('Run Reconcile'!A$2:A799, MATCH($B182, 'Run Reconcile'!B$2:B799, 0)+Z182, 1), IFERROR(0/0,""))
</f>
        <v>RUN-BEND_2022-01-14_RFR-014</v>
      </c>
      <c r="V182" s="258" t="str">
        <f t="shared" si="5"/>
        <v>RUN-BEND_2022-01-14_RFR-014</v>
      </c>
      <c r="Y182" s="130" t="str">
        <f t="shared" si="6"/>
        <v/>
      </c>
      <c r="Z182" s="49" t="str">
        <f t="shared" si="7"/>
        <v/>
      </c>
      <c r="AA182" s="49" t="str">
        <f t="shared" si="8"/>
        <v/>
      </c>
      <c r="AB182" s="49" t="str">
        <f t="shared" si="9"/>
        <v/>
      </c>
      <c r="AC182" s="20" t="str">
        <f t="shared" ref="AC182:AD182" si="369">IF(_xlfn.ISFORMULA(S182),IFERROR(0/0,""),TRUE)</f>
        <v/>
      </c>
      <c r="AD182" s="20" t="str">
        <f t="shared" si="369"/>
        <v/>
      </c>
      <c r="AE182" s="43"/>
      <c r="AF182" s="62" t="s">
        <v>42</v>
      </c>
      <c r="AG182" s="57" t="str">
        <f t="shared" si="11"/>
        <v/>
      </c>
    </row>
    <row r="183">
      <c r="A183" s="6" t="str">
        <f>IFERROR(__xludf.DUMMYFUNCTION("""COMPUTED_VALUE"""),"MAX110")</f>
        <v>MAX110</v>
      </c>
      <c r="B183" s="204">
        <f>IFERROR(__xludf.DUMMYFUNCTION("""COMPUTED_VALUE"""),44575.0)</f>
        <v>44575</v>
      </c>
      <c r="C183" s="250">
        <f>IFERROR(__xludf.DUMMYFUNCTION("""COMPUTED_VALUE"""),0.3859722222222222)</f>
        <v>0.3859722222</v>
      </c>
      <c r="D183" s="6" t="str">
        <f>IFERROR(__xludf.DUMMYFUNCTION("""COMPUTED_VALUE"""),"SpBEND394154")</f>
        <v>SpBEND394154</v>
      </c>
      <c r="E183" s="251"/>
      <c r="F183" s="251"/>
      <c r="G183" s="251" t="str">
        <f>IFERROR(__xludf.DUMMYFUNCTION("""COMPUTED_VALUE"""),"Positive")</f>
        <v>Positive</v>
      </c>
      <c r="H183" s="262" t="str">
        <f>IFERROR(__xludf.DUMMYFUNCTION("""COMPUTED_VALUE"""),"Positive")</f>
        <v>Positive</v>
      </c>
      <c r="I183" s="204">
        <f>IFERROR(__xludf.DUMMYFUNCTION("""COMPUTED_VALUE"""),44579.0)</f>
        <v>44579</v>
      </c>
      <c r="J183" s="252">
        <f>IFERROR(__xludf.DUMMYFUNCTION("""COMPUTED_VALUE"""),0.5015856481481481)</f>
        <v>0.5015856481</v>
      </c>
      <c r="K183" s="56"/>
      <c r="L183" s="6"/>
      <c r="M183" s="61"/>
      <c r="N183" s="61">
        <f>IFERROR(__xludf.DUMMYFUNCTION("""COMPUTED_VALUE"""),1.0)</f>
        <v>1</v>
      </c>
      <c r="O183" s="61" t="str">
        <f t="shared" si="3"/>
        <v/>
      </c>
      <c r="P183" s="253">
        <f>IFERROR(__xludf.DUMMYFUNCTION("""COMPUTED_VALUE"""),4.0)</f>
        <v>4</v>
      </c>
      <c r="Q183" s="254" t="str">
        <f>VLOOKUP($B183,'Run Reconcile'!B$2:O799,14,FALSE)</f>
        <v/>
      </c>
      <c r="R183" s="255" t="str">
        <f t="array" ref="R183">IF($Q183, INDEX('Run Reconcile'!A$2:A799,MATCH(B183,'Run Reconcile'!B$2:B799,0),1),IFERROR(0/0,""))</f>
        <v/>
      </c>
      <c r="S183" s="261" t="str">
        <f t="shared" ref="S183:T183" si="370">IF(COUNTIF(W$2:W799, $A183) &gt; 0,TRUE,IFERROR(0/0,""))</f>
        <v/>
      </c>
      <c r="T183" s="261" t="str">
        <f t="shared" si="370"/>
        <v/>
      </c>
      <c r="U183" s="257" t="str">
        <f t="array" ref="U183">IF(ISBLANK($R183), INDEX('Run Reconcile'!A$2:A799, MATCH($B183, 'Run Reconcile'!B$2:B799, 0)+Z183, 1), IFERROR(0/0,""))
</f>
        <v>RUN-BEND_2022-01-14_RFR-014</v>
      </c>
      <c r="V183" s="258" t="str">
        <f t="shared" si="5"/>
        <v>RUN-BEND_2022-01-14_RFR-014</v>
      </c>
      <c r="Y183" s="130" t="str">
        <f t="shared" si="6"/>
        <v/>
      </c>
      <c r="Z183" s="49" t="str">
        <f t="shared" si="7"/>
        <v/>
      </c>
      <c r="AA183" s="49" t="str">
        <f t="shared" si="8"/>
        <v/>
      </c>
      <c r="AB183" s="49" t="str">
        <f t="shared" si="9"/>
        <v/>
      </c>
      <c r="AC183" s="20" t="str">
        <f t="shared" ref="AC183:AD183" si="371">IF(_xlfn.ISFORMULA(S183),IFERROR(0/0,""),TRUE)</f>
        <v/>
      </c>
      <c r="AD183" s="20" t="str">
        <f t="shared" si="371"/>
        <v/>
      </c>
      <c r="AE183" s="43"/>
      <c r="AF183" s="62" t="s">
        <v>42</v>
      </c>
      <c r="AG183" s="57" t="str">
        <f t="shared" si="11"/>
        <v/>
      </c>
    </row>
    <row r="184">
      <c r="A184" s="6" t="str">
        <f>IFERROR(__xludf.DUMMYFUNCTION("""COMPUTED_VALUE"""),"MA1058")</f>
        <v>MA1058</v>
      </c>
      <c r="B184" s="204">
        <f>IFERROR(__xludf.DUMMYFUNCTION("""COMPUTED_VALUE"""),44575.0)</f>
        <v>44575</v>
      </c>
      <c r="C184" s="250">
        <f>IFERROR(__xludf.DUMMYFUNCTION("""COMPUTED_VALUE"""),0.38623842592592594)</f>
        <v>0.3862384259</v>
      </c>
      <c r="D184" s="6" t="str">
        <f>IFERROR(__xludf.DUMMYFUNCTION("""COMPUTED_VALUE"""),"SpBEND394154")</f>
        <v>SpBEND394154</v>
      </c>
      <c r="E184" s="251"/>
      <c r="F184" s="251"/>
      <c r="G184" s="251" t="str">
        <f>IFERROR(__xludf.DUMMYFUNCTION("""COMPUTED_VALUE"""),"Positive")</f>
        <v>Positive</v>
      </c>
      <c r="H184" s="262" t="str">
        <f>IFERROR(__xludf.DUMMYFUNCTION("""COMPUTED_VALUE"""),"Positive")</f>
        <v>Positive</v>
      </c>
      <c r="I184" s="204">
        <f>IFERROR(__xludf.DUMMYFUNCTION("""COMPUTED_VALUE"""),44579.0)</f>
        <v>44579</v>
      </c>
      <c r="J184" s="252">
        <f>IFERROR(__xludf.DUMMYFUNCTION("""COMPUTED_VALUE"""),0.5015856481481481)</f>
        <v>0.5015856481</v>
      </c>
      <c r="K184" s="56"/>
      <c r="L184" s="6" t="str">
        <f>IFERROR(__xludf.DUMMYFUNCTION("""COMPUTED_VALUE"""),"RT Jan26 nothing else seems off so conclude it's 2 swabs from the same person. OLD NOTE: review - same person, positive twice on same day")</f>
        <v>RT Jan26 nothing else seems off so conclude it's 2 swabs from the same person. OLD NOTE: review - same person, positive twice on same day</v>
      </c>
      <c r="M184" s="61"/>
      <c r="N184" s="61">
        <f>IFERROR(__xludf.DUMMYFUNCTION("""COMPUTED_VALUE"""),1.0)</f>
        <v>1</v>
      </c>
      <c r="O184" s="61" t="str">
        <f t="shared" si="3"/>
        <v/>
      </c>
      <c r="P184" s="253">
        <f>IFERROR(__xludf.DUMMYFUNCTION("""COMPUTED_VALUE"""),4.0)</f>
        <v>4</v>
      </c>
      <c r="Q184" s="254" t="str">
        <f>VLOOKUP($B184,'Run Reconcile'!B$2:O799,14,FALSE)</f>
        <v/>
      </c>
      <c r="R184" s="255" t="str">
        <f t="array" ref="R184">IF($Q184, INDEX('Run Reconcile'!A$2:A799,MATCH(B184,'Run Reconcile'!B$2:B799,0),1),IFERROR(0/0,""))</f>
        <v/>
      </c>
      <c r="S184" s="261" t="str">
        <f t="shared" ref="S184:T184" si="372">IF(COUNTIF(W$2:W799, $A184) &gt; 0,TRUE,IFERROR(0/0,""))</f>
        <v/>
      </c>
      <c r="T184" s="261" t="str">
        <f t="shared" si="372"/>
        <v/>
      </c>
      <c r="U184" s="257" t="str">
        <f t="array" ref="U184">IF(ISBLANK($R184), INDEX('Run Reconcile'!A$2:A799, MATCH($B184, 'Run Reconcile'!B$2:B799, 0)+Z184, 1), IFERROR(0/0,""))
</f>
        <v>RUN-BEND_2022-01-14_RFR-014</v>
      </c>
      <c r="V184" s="258" t="str">
        <f t="shared" si="5"/>
        <v>RUN-BEND_2022-01-14_RFR-014</v>
      </c>
      <c r="Y184" s="130" t="str">
        <f t="shared" si="6"/>
        <v/>
      </c>
      <c r="Z184" s="49" t="str">
        <f t="shared" si="7"/>
        <v/>
      </c>
      <c r="AA184" s="49" t="str">
        <f t="shared" si="8"/>
        <v/>
      </c>
      <c r="AB184" s="49" t="str">
        <f t="shared" si="9"/>
        <v/>
      </c>
      <c r="AC184" s="20" t="str">
        <f t="shared" ref="AC184:AD184" si="373">IF(_xlfn.ISFORMULA(S184),IFERROR(0/0,""),TRUE)</f>
        <v/>
      </c>
      <c r="AD184" s="20" t="str">
        <f t="shared" si="373"/>
        <v/>
      </c>
      <c r="AE184" s="43"/>
      <c r="AF184" s="62" t="s">
        <v>42</v>
      </c>
      <c r="AG184" s="57" t="str">
        <f t="shared" si="11"/>
        <v/>
      </c>
    </row>
    <row r="185">
      <c r="A185" s="6" t="str">
        <f>IFERROR(__xludf.DUMMYFUNCTION("""COMPUTED_VALUE"""),"MAX84")</f>
        <v>MAX84</v>
      </c>
      <c r="B185" s="204">
        <f>IFERROR(__xludf.DUMMYFUNCTION("""COMPUTED_VALUE"""),44575.0)</f>
        <v>44575</v>
      </c>
      <c r="C185" s="250">
        <f>IFERROR(__xludf.DUMMYFUNCTION("""COMPUTED_VALUE"""),0.3866550925925926)</f>
        <v>0.3866550926</v>
      </c>
      <c r="D185" s="6" t="str">
        <f>IFERROR(__xludf.DUMMYFUNCTION("""COMPUTED_VALUE"""),"SpBEND394154")</f>
        <v>SpBEND394154</v>
      </c>
      <c r="E185" s="251"/>
      <c r="F185" s="251"/>
      <c r="G185" s="251" t="str">
        <f>IFERROR(__xludf.DUMMYFUNCTION("""COMPUTED_VALUE"""),"Positive")</f>
        <v>Positive</v>
      </c>
      <c r="H185" s="264" t="str">
        <f>IFERROR(__xludf.DUMMYFUNCTION("""COMPUTED_VALUE"""),"Positive")</f>
        <v>Positive</v>
      </c>
      <c r="I185" s="263">
        <f>IFERROR(__xludf.DUMMYFUNCTION("""COMPUTED_VALUE"""),44579.0)</f>
        <v>44579</v>
      </c>
      <c r="J185" s="252">
        <f>IFERROR(__xludf.DUMMYFUNCTION("""COMPUTED_VALUE"""),0.5015856481481481)</f>
        <v>0.5015856481</v>
      </c>
      <c r="K185" s="56"/>
      <c r="L185" s="6" t="str">
        <f>IFERROR(__xludf.DUMMYFUNCTION("""COMPUTED_VALUE"""),"RT Jan26 nothing else seems off so conclude it's 2 swabs from the same person. OLD NOTE: review - same person, positive twice on same day")</f>
        <v>RT Jan26 nothing else seems off so conclude it's 2 swabs from the same person. OLD NOTE: review - same person, positive twice on same day</v>
      </c>
      <c r="M185" s="61"/>
      <c r="N185" s="61">
        <f>IFERROR(__xludf.DUMMYFUNCTION("""COMPUTED_VALUE"""),1.0)</f>
        <v>1</v>
      </c>
      <c r="O185" s="61" t="str">
        <f t="shared" si="3"/>
        <v/>
      </c>
      <c r="P185" s="253">
        <f>IFERROR(__xludf.DUMMYFUNCTION("""COMPUTED_VALUE"""),4.0)</f>
        <v>4</v>
      </c>
      <c r="Q185" s="254" t="str">
        <f>VLOOKUP($B185,'Run Reconcile'!B$2:O799,14,FALSE)</f>
        <v/>
      </c>
      <c r="R185" s="255" t="str">
        <f t="array" ref="R185">IF($Q185, INDEX('Run Reconcile'!A$2:A799,MATCH(B185,'Run Reconcile'!B$2:B799,0),1),IFERROR(0/0,""))</f>
        <v/>
      </c>
      <c r="S185" s="261" t="str">
        <f t="shared" ref="S185:T185" si="374">IF(COUNTIF(W$2:W799, $A185) &gt; 0,TRUE,IFERROR(0/0,""))</f>
        <v/>
      </c>
      <c r="T185" s="261" t="str">
        <f t="shared" si="374"/>
        <v/>
      </c>
      <c r="U185" s="257" t="str">
        <f t="array" ref="U185">IF(ISBLANK($R185), INDEX('Run Reconcile'!A$2:A799, MATCH($B185, 'Run Reconcile'!B$2:B799, 0)+Z185, 1), IFERROR(0/0,""))
</f>
        <v>RUN-BEND_2022-01-14_RFR-014</v>
      </c>
      <c r="V185" s="258" t="str">
        <f t="shared" si="5"/>
        <v>RUN-BEND_2022-01-14_RFR-014</v>
      </c>
      <c r="Y185" s="130" t="str">
        <f t="shared" si="6"/>
        <v/>
      </c>
      <c r="Z185" s="49" t="str">
        <f t="shared" si="7"/>
        <v/>
      </c>
      <c r="AA185" s="49" t="str">
        <f t="shared" si="8"/>
        <v/>
      </c>
      <c r="AB185" s="49" t="str">
        <f t="shared" si="9"/>
        <v/>
      </c>
      <c r="AC185" s="20" t="str">
        <f t="shared" ref="AC185:AD185" si="375">IF(_xlfn.ISFORMULA(S185),IFERROR(0/0,""),TRUE)</f>
        <v/>
      </c>
      <c r="AD185" s="20" t="str">
        <f t="shared" si="375"/>
        <v/>
      </c>
      <c r="AE185" s="43"/>
      <c r="AF185" s="62" t="s">
        <v>42</v>
      </c>
      <c r="AG185" s="57" t="str">
        <f t="shared" si="11"/>
        <v/>
      </c>
    </row>
    <row r="186">
      <c r="A186" s="6" t="str">
        <f>IFERROR(__xludf.DUMMYFUNCTION("""COMPUTED_VALUE"""),"MAX97")</f>
        <v>MAX97</v>
      </c>
      <c r="B186" s="204">
        <f>IFERROR(__xludf.DUMMYFUNCTION("""COMPUTED_VALUE"""),44575.0)</f>
        <v>44575</v>
      </c>
      <c r="C186" s="250">
        <f>IFERROR(__xludf.DUMMYFUNCTION("""COMPUTED_VALUE"""),0.38960648148148147)</f>
        <v>0.3896064815</v>
      </c>
      <c r="D186" s="6" t="str">
        <f>IFERROR(__xludf.DUMMYFUNCTION("""COMPUTED_VALUE"""),"SpBEND394154")</f>
        <v>SpBEND394154</v>
      </c>
      <c r="E186" s="251"/>
      <c r="F186" s="251"/>
      <c r="G186" s="251" t="str">
        <f>IFERROR(__xludf.DUMMYFUNCTION("""COMPUTED_VALUE"""),"Negative")</f>
        <v>Negative</v>
      </c>
      <c r="H186" s="264" t="str">
        <f>IFERROR(__xludf.DUMMYFUNCTION("""COMPUTED_VALUE"""),"Negative")</f>
        <v>Negative</v>
      </c>
      <c r="I186" s="263">
        <f>IFERROR(__xludf.DUMMYFUNCTION("""COMPUTED_VALUE"""),44575.0)</f>
        <v>44575</v>
      </c>
      <c r="J186" s="252">
        <f>IFERROR(__xludf.DUMMYFUNCTION("""COMPUTED_VALUE"""),0.4820601851851852)</f>
        <v>0.4820601852</v>
      </c>
      <c r="K186" s="56"/>
      <c r="L186" s="6"/>
      <c r="M186" s="61"/>
      <c r="N186" s="61">
        <f>IFERROR(__xludf.DUMMYFUNCTION("""COMPUTED_VALUE"""),1.0)</f>
        <v>1</v>
      </c>
      <c r="O186" s="61" t="str">
        <f t="shared" si="3"/>
        <v/>
      </c>
      <c r="P186" s="253">
        <f>IFERROR(__xludf.DUMMYFUNCTION("""COMPUTED_VALUE"""),0.0)</f>
        <v>0</v>
      </c>
      <c r="Q186" s="254" t="str">
        <f>VLOOKUP($B186,'Run Reconcile'!B$2:O799,14,FALSE)</f>
        <v/>
      </c>
      <c r="R186" s="255" t="str">
        <f t="array" ref="R186">IF($Q186, INDEX('Run Reconcile'!A$2:A799,MATCH(B186,'Run Reconcile'!B$2:B799,0),1),IFERROR(0/0,""))</f>
        <v/>
      </c>
      <c r="S186" s="261" t="str">
        <f t="shared" ref="S186:T186" si="376">IF(COUNTIF(W$2:W799, $A186) &gt; 0,TRUE,IFERROR(0/0,""))</f>
        <v/>
      </c>
      <c r="T186" s="261" t="str">
        <f t="shared" si="376"/>
        <v/>
      </c>
      <c r="U186" s="257" t="str">
        <f t="array" ref="U186">IF(ISBLANK($R186), INDEX('Run Reconcile'!A$2:A799, MATCH($B186, 'Run Reconcile'!B$2:B799, 0)+Z186, 1), IFERROR(0/0,""))
</f>
        <v>RUN-BEND_2022-01-14_RFR-014</v>
      </c>
      <c r="V186" s="258" t="str">
        <f t="shared" si="5"/>
        <v>RUN-BEND_2022-01-14_RFR-014</v>
      </c>
      <c r="Y186" s="130" t="str">
        <f t="shared" si="6"/>
        <v/>
      </c>
      <c r="Z186" s="49" t="str">
        <f t="shared" si="7"/>
        <v/>
      </c>
      <c r="AA186" s="49" t="str">
        <f t="shared" si="8"/>
        <v/>
      </c>
      <c r="AB186" s="49" t="str">
        <f t="shared" si="9"/>
        <v/>
      </c>
      <c r="AC186" s="20" t="str">
        <f t="shared" ref="AC186:AD186" si="377">IF(_xlfn.ISFORMULA(S186),IFERROR(0/0,""),TRUE)</f>
        <v/>
      </c>
      <c r="AD186" s="20" t="str">
        <f t="shared" si="377"/>
        <v/>
      </c>
      <c r="AE186" s="43"/>
      <c r="AF186" s="62" t="s">
        <v>42</v>
      </c>
      <c r="AG186" s="57" t="str">
        <f t="shared" si="11"/>
        <v/>
      </c>
    </row>
    <row r="187">
      <c r="A187" s="6" t="str">
        <f>IFERROR(__xludf.DUMMYFUNCTION("""COMPUTED_VALUE"""),"MA477")</f>
        <v>MA477</v>
      </c>
      <c r="B187" s="204">
        <f>IFERROR(__xludf.DUMMYFUNCTION("""COMPUTED_VALUE"""),44575.0)</f>
        <v>44575</v>
      </c>
      <c r="C187" s="250">
        <f>IFERROR(__xludf.DUMMYFUNCTION("""COMPUTED_VALUE"""),0.40739583333333335)</f>
        <v>0.4073958333</v>
      </c>
      <c r="D187" s="6" t="str">
        <f>IFERROR(__xludf.DUMMYFUNCTION("""COMPUTED_VALUE"""),"SpBEND394154")</f>
        <v>SpBEND394154</v>
      </c>
      <c r="E187" s="251"/>
      <c r="F187" s="251"/>
      <c r="G187" s="251" t="str">
        <f>IFERROR(__xludf.DUMMYFUNCTION("""COMPUTED_VALUE"""),"Negative")</f>
        <v>Negative</v>
      </c>
      <c r="H187" s="264" t="str">
        <f>IFERROR(__xludf.DUMMYFUNCTION("""COMPUTED_VALUE"""),"Negative")</f>
        <v>Negative</v>
      </c>
      <c r="I187" s="263">
        <f>IFERROR(__xludf.DUMMYFUNCTION("""COMPUTED_VALUE"""),44575.0)</f>
        <v>44575</v>
      </c>
      <c r="J187" s="252">
        <f>IFERROR(__xludf.DUMMYFUNCTION("""COMPUTED_VALUE"""),0.4820601851851852)</f>
        <v>0.4820601852</v>
      </c>
      <c r="K187" s="56"/>
      <c r="L187" s="6"/>
      <c r="M187" s="61"/>
      <c r="N187" s="61">
        <f>IFERROR(__xludf.DUMMYFUNCTION("""COMPUTED_VALUE"""),1.0)</f>
        <v>1</v>
      </c>
      <c r="O187" s="61" t="str">
        <f t="shared" si="3"/>
        <v/>
      </c>
      <c r="P187" s="253">
        <f>IFERROR(__xludf.DUMMYFUNCTION("""COMPUTED_VALUE"""),0.0)</f>
        <v>0</v>
      </c>
      <c r="Q187" s="254" t="str">
        <f>VLOOKUP($B187,'Run Reconcile'!B$2:O799,14,FALSE)</f>
        <v/>
      </c>
      <c r="R187" s="255" t="str">
        <f t="array" ref="R187">IF($Q187, INDEX('Run Reconcile'!A$2:A799,MATCH(B187,'Run Reconcile'!B$2:B799,0),1),IFERROR(0/0,""))</f>
        <v/>
      </c>
      <c r="S187" s="261" t="str">
        <f t="shared" ref="S187:T187" si="378">IF(COUNTIF(W$2:W799, $A187) &gt; 0,TRUE,IFERROR(0/0,""))</f>
        <v/>
      </c>
      <c r="T187" s="261" t="str">
        <f t="shared" si="378"/>
        <v/>
      </c>
      <c r="U187" s="257" t="str">
        <f t="array" ref="U187">IF(ISBLANK($R187), INDEX('Run Reconcile'!A$2:A799, MATCH($B187, 'Run Reconcile'!B$2:B799, 0)+Z187, 1), IFERROR(0/0,""))
</f>
        <v>RUN-BEND_2022-01-14_RFR-014</v>
      </c>
      <c r="V187" s="258" t="str">
        <f t="shared" si="5"/>
        <v>RUN-BEND_2022-01-14_RFR-014</v>
      </c>
      <c r="Y187" s="130" t="str">
        <f t="shared" si="6"/>
        <v/>
      </c>
      <c r="Z187" s="49" t="str">
        <f t="shared" si="7"/>
        <v/>
      </c>
      <c r="AA187" s="49" t="str">
        <f t="shared" si="8"/>
        <v/>
      </c>
      <c r="AB187" s="49" t="str">
        <f t="shared" si="9"/>
        <v/>
      </c>
      <c r="AC187" s="20" t="str">
        <f t="shared" ref="AC187:AD187" si="379">IF(_xlfn.ISFORMULA(S187),IFERROR(0/0,""),TRUE)</f>
        <v/>
      </c>
      <c r="AD187" s="20" t="str">
        <f t="shared" si="379"/>
        <v/>
      </c>
      <c r="AE187" s="43"/>
      <c r="AF187" s="62" t="s">
        <v>42</v>
      </c>
      <c r="AG187" s="57" t="str">
        <f t="shared" si="11"/>
        <v/>
      </c>
    </row>
    <row r="188">
      <c r="A188" s="6" t="str">
        <f>IFERROR(__xludf.DUMMYFUNCTION("""COMPUTED_VALUE"""),"MA355")</f>
        <v>MA355</v>
      </c>
      <c r="B188" s="204">
        <f>IFERROR(__xludf.DUMMYFUNCTION("""COMPUTED_VALUE"""),44578.0)</f>
        <v>44578</v>
      </c>
      <c r="C188" s="250">
        <f>IFERROR(__xludf.DUMMYFUNCTION("""COMPUTED_VALUE"""),0.35052083333333334)</f>
        <v>0.3505208333</v>
      </c>
      <c r="D188" s="6" t="str">
        <f>IFERROR(__xludf.DUMMYFUNCTION("""COMPUTED_VALUE"""),"SpBEND721986")</f>
        <v>SpBEND721986</v>
      </c>
      <c r="E188" s="251"/>
      <c r="F188" s="251"/>
      <c r="G188" s="251" t="str">
        <f>IFERROR(__xludf.DUMMYFUNCTION("""COMPUTED_VALUE"""),"Negative")</f>
        <v>Negative</v>
      </c>
      <c r="H188" s="262" t="str">
        <f>IFERROR(__xludf.DUMMYFUNCTION("""COMPUTED_VALUE"""),"Negative")</f>
        <v>Negative</v>
      </c>
      <c r="I188" s="204">
        <f>IFERROR(__xludf.DUMMYFUNCTION("""COMPUTED_VALUE"""),44580.0)</f>
        <v>44580</v>
      </c>
      <c r="J188" s="252">
        <f>IFERROR(__xludf.DUMMYFUNCTION("""COMPUTED_VALUE"""),0.5079976851851852)</f>
        <v>0.5079976852</v>
      </c>
      <c r="K188" s="56"/>
      <c r="L188" s="6"/>
      <c r="M188" s="61"/>
      <c r="N188" s="61">
        <f>IFERROR(__xludf.DUMMYFUNCTION("""COMPUTED_VALUE"""),1.0)</f>
        <v>1</v>
      </c>
      <c r="O188" s="61" t="b">
        <f t="shared" si="3"/>
        <v>1</v>
      </c>
      <c r="P188" s="253">
        <f>IFERROR(__xludf.DUMMYFUNCTION("""COMPUTED_VALUE"""),2.0)</f>
        <v>2</v>
      </c>
      <c r="Q188" s="254" t="str">
        <f>VLOOKUP($B188,'Run Reconcile'!B$2:O799,14,FALSE)</f>
        <v/>
      </c>
      <c r="R188" s="255" t="str">
        <f t="array" ref="R188">IF($Q188, INDEX('Run Reconcile'!A$2:A799,MATCH(B188,'Run Reconcile'!B$2:B799,0),1),IFERROR(0/0,""))</f>
        <v/>
      </c>
      <c r="S188" s="261" t="b">
        <f t="shared" ref="S188:T188" si="380">IF(COUNTIF(W$2:W799, $A188) &gt; 0,TRUE,IFERROR(0/0,""))</f>
        <v>1</v>
      </c>
      <c r="T188" s="261" t="str">
        <f t="shared" si="380"/>
        <v/>
      </c>
      <c r="U188" s="257" t="str">
        <f t="array" ref="U188">IF(ISBLANK($R188), INDEX('Run Reconcile'!A$2:A799, MATCH($B188, 'Run Reconcile'!B$2:B799, 0)+Z188, 1), IFERROR(0/0,""))
</f>
        <v>RUN-BEND_2022-01-19_RFR-015</v>
      </c>
      <c r="V188" s="265" t="s">
        <v>44</v>
      </c>
      <c r="W188" s="6" t="s">
        <v>389</v>
      </c>
      <c r="Y188" s="120">
        <v>2.0</v>
      </c>
      <c r="Z188" s="49">
        <f t="shared" si="7"/>
        <v>2</v>
      </c>
      <c r="AA188" s="49">
        <f t="shared" si="8"/>
        <v>2</v>
      </c>
      <c r="AB188" s="49" t="str">
        <f t="shared" si="9"/>
        <v/>
      </c>
      <c r="AC188" s="20" t="str">
        <f t="shared" ref="AC188:AD188" si="381">IF(_xlfn.ISFORMULA(S188),IFERROR(0/0,""),TRUE)</f>
        <v/>
      </c>
      <c r="AD188" s="20" t="str">
        <f t="shared" si="381"/>
        <v/>
      </c>
      <c r="AE188" s="43"/>
      <c r="AF188" s="86" t="s">
        <v>43</v>
      </c>
      <c r="AG188" s="57" t="b">
        <f t="shared" si="11"/>
        <v>0</v>
      </c>
    </row>
    <row r="189">
      <c r="A189" s="6" t="str">
        <f>IFERROR(__xludf.DUMMYFUNCTION("""COMPUTED_VALUE"""),"MA638")</f>
        <v>MA638</v>
      </c>
      <c r="B189" s="204">
        <f>IFERROR(__xludf.DUMMYFUNCTION("""COMPUTED_VALUE"""),44579.0)</f>
        <v>44579</v>
      </c>
      <c r="C189" s="250">
        <f>IFERROR(__xludf.DUMMYFUNCTION("""COMPUTED_VALUE"""),0.2984837962962963)</f>
        <v>0.2984837963</v>
      </c>
      <c r="D189" s="6" t="str">
        <f>IFERROR(__xludf.DUMMYFUNCTION("""COMPUTED_VALUE"""),"SpBEND136234")</f>
        <v>SpBEND136234</v>
      </c>
      <c r="E189" s="251"/>
      <c r="F189" s="251"/>
      <c r="G189" s="251" t="str">
        <f>IFERROR(__xludf.DUMMYFUNCTION("""COMPUTED_VALUE"""),"Negative")</f>
        <v>Negative</v>
      </c>
      <c r="H189" s="262" t="str">
        <f>IFERROR(__xludf.DUMMYFUNCTION("""COMPUTED_VALUE"""),"Negative")</f>
        <v>Negative</v>
      </c>
      <c r="I189" s="204">
        <f>IFERROR(__xludf.DUMMYFUNCTION("""COMPUTED_VALUE"""),44580.0)</f>
        <v>44580</v>
      </c>
      <c r="J189" s="252">
        <f>IFERROR(__xludf.DUMMYFUNCTION("""COMPUTED_VALUE"""),0.5079976851851852)</f>
        <v>0.5079976852</v>
      </c>
      <c r="K189" s="56"/>
      <c r="L189" s="6"/>
      <c r="M189" s="61"/>
      <c r="N189" s="61">
        <f>IFERROR(__xludf.DUMMYFUNCTION("""COMPUTED_VALUE"""),1.0)</f>
        <v>1</v>
      </c>
      <c r="O189" s="61" t="b">
        <f t="shared" si="3"/>
        <v>1</v>
      </c>
      <c r="P189" s="253">
        <f>IFERROR(__xludf.DUMMYFUNCTION("""COMPUTED_VALUE"""),1.0)</f>
        <v>1</v>
      </c>
      <c r="Q189" s="254" t="str">
        <f>VLOOKUP($B189,'Run Reconcile'!B$2:O799,14,FALSE)</f>
        <v/>
      </c>
      <c r="R189" s="255" t="str">
        <f t="array" ref="R189">IF($Q189, INDEX('Run Reconcile'!A$2:A799,MATCH(B189,'Run Reconcile'!B$2:B799,0),1),IFERROR(0/0,""))</f>
        <v/>
      </c>
      <c r="S189" s="261" t="b">
        <f t="shared" ref="S189:T189" si="382">IF(COUNTIF(W$2:W799, $A189) &gt; 0,TRUE,IFERROR(0/0,""))</f>
        <v>1</v>
      </c>
      <c r="T189" s="261" t="b">
        <f t="shared" si="382"/>
        <v>1</v>
      </c>
      <c r="U189" s="257" t="str">
        <f t="array" ref="U189">IF(ISBLANK($R189), INDEX('Run Reconcile'!A$2:A799, MATCH($B189, 'Run Reconcile'!B$2:B799, 0)+Z189, 1), IFERROR(0/0,""))
</f>
        <v>RUN-BEND_2022-01-19_RFR-016</v>
      </c>
      <c r="V189" s="266" t="s">
        <v>43</v>
      </c>
      <c r="W189" s="6" t="s">
        <v>390</v>
      </c>
      <c r="X189" s="6" t="s">
        <v>390</v>
      </c>
      <c r="Y189" s="120">
        <v>2.0</v>
      </c>
      <c r="Z189" s="49">
        <f t="shared" si="7"/>
        <v>2</v>
      </c>
      <c r="AA189" s="49">
        <f t="shared" si="8"/>
        <v>2</v>
      </c>
      <c r="AB189" s="49">
        <f t="shared" si="9"/>
        <v>2</v>
      </c>
      <c r="AC189" s="20" t="str">
        <f t="shared" ref="AC189:AD189" si="383">IF(_xlfn.ISFORMULA(S189),IFERROR(0/0,""),TRUE)</f>
        <v/>
      </c>
      <c r="AD189" s="20" t="str">
        <f t="shared" si="383"/>
        <v/>
      </c>
      <c r="AE189" s="43"/>
      <c r="AF189" s="86" t="s">
        <v>44</v>
      </c>
      <c r="AG189" s="57" t="b">
        <f t="shared" si="11"/>
        <v>0</v>
      </c>
    </row>
    <row r="190">
      <c r="A190" s="6" t="str">
        <f>IFERROR(__xludf.DUMMYFUNCTION("""COMPUTED_VALUE"""),"MA1109")</f>
        <v>MA1109</v>
      </c>
      <c r="B190" s="204">
        <f>IFERROR(__xludf.DUMMYFUNCTION("""COMPUTED_VALUE"""),44579.0)</f>
        <v>44579</v>
      </c>
      <c r="C190" s="250">
        <f>IFERROR(__xludf.DUMMYFUNCTION("""COMPUTED_VALUE"""),0.3022685185185185)</f>
        <v>0.3022685185</v>
      </c>
      <c r="D190" s="6" t="str">
        <f>IFERROR(__xludf.DUMMYFUNCTION("""COMPUTED_VALUE"""),"SpBEND743940")</f>
        <v>SpBEND743940</v>
      </c>
      <c r="E190" s="251"/>
      <c r="F190" s="251"/>
      <c r="G190" s="251" t="str">
        <f>IFERROR(__xludf.DUMMYFUNCTION("""COMPUTED_VALUE"""),"Negative")</f>
        <v>Negative</v>
      </c>
      <c r="H190" s="262" t="str">
        <f>IFERROR(__xludf.DUMMYFUNCTION("""COMPUTED_VALUE"""),"Negative")</f>
        <v>Negative</v>
      </c>
      <c r="I190" s="204">
        <f>IFERROR(__xludf.DUMMYFUNCTION("""COMPUTED_VALUE"""),44580.0)</f>
        <v>44580</v>
      </c>
      <c r="J190" s="252">
        <f>IFERROR(__xludf.DUMMYFUNCTION("""COMPUTED_VALUE"""),0.5079976851851852)</f>
        <v>0.5079976852</v>
      </c>
      <c r="K190" s="56"/>
      <c r="L190" s="6"/>
      <c r="M190" s="61"/>
      <c r="N190" s="61">
        <f>IFERROR(__xludf.DUMMYFUNCTION("""COMPUTED_VALUE"""),1.0)</f>
        <v>1</v>
      </c>
      <c r="O190" s="61" t="str">
        <f t="shared" si="3"/>
        <v/>
      </c>
      <c r="P190" s="253">
        <f>IFERROR(__xludf.DUMMYFUNCTION("""COMPUTED_VALUE"""),1.0)</f>
        <v>1</v>
      </c>
      <c r="Q190" s="254" t="str">
        <f>VLOOKUP($B190,'Run Reconcile'!B$2:O799,14,FALSE)</f>
        <v/>
      </c>
      <c r="R190" s="255" t="str">
        <f t="array" ref="R190">IF($Q190, INDEX('Run Reconcile'!A$2:A799,MATCH(B190,'Run Reconcile'!B$2:B799,0),1),IFERROR(0/0,""))</f>
        <v/>
      </c>
      <c r="S190" s="261" t="b">
        <f t="shared" ref="S190:T190" si="384">IF(COUNTIF(W$2:W799, $A190) &gt; 0,TRUE,IFERROR(0/0,""))</f>
        <v>1</v>
      </c>
      <c r="T190" s="261" t="b">
        <f t="shared" si="384"/>
        <v>1</v>
      </c>
      <c r="U190" s="257" t="str">
        <f t="array" ref="U190">IF(ISBLANK($R190), INDEX('Run Reconcile'!A$2:A799, MATCH($B190, 'Run Reconcile'!B$2:B799, 0)+Z190, 1), IFERROR(0/0,""))
</f>
        <v>RUN-BEND_2022-01-19_RFR-016</v>
      </c>
      <c r="V190" s="266" t="s">
        <v>43</v>
      </c>
      <c r="W190" s="6" t="s">
        <v>391</v>
      </c>
      <c r="X190" s="6" t="s">
        <v>391</v>
      </c>
      <c r="Y190" s="120">
        <v>2.0</v>
      </c>
      <c r="Z190" s="49">
        <f t="shared" si="7"/>
        <v>2</v>
      </c>
      <c r="AA190" s="49">
        <f t="shared" si="8"/>
        <v>2</v>
      </c>
      <c r="AB190" s="49">
        <f t="shared" si="9"/>
        <v>2</v>
      </c>
      <c r="AC190" s="20" t="str">
        <f t="shared" ref="AC190:AD190" si="385">IF(_xlfn.ISFORMULA(S190),IFERROR(0/0,""),TRUE)</f>
        <v/>
      </c>
      <c r="AD190" s="20" t="str">
        <f t="shared" si="385"/>
        <v/>
      </c>
      <c r="AE190" s="43"/>
      <c r="AF190" s="86" t="s">
        <v>44</v>
      </c>
      <c r="AG190" s="57" t="b">
        <f t="shared" si="11"/>
        <v>0</v>
      </c>
    </row>
    <row r="191">
      <c r="A191" s="6" t="str">
        <f>IFERROR(__xludf.DUMMYFUNCTION("""COMPUTED_VALUE"""),"MA1274")</f>
        <v>MA1274</v>
      </c>
      <c r="B191" s="204">
        <f>IFERROR(__xludf.DUMMYFUNCTION("""COMPUTED_VALUE"""),44579.0)</f>
        <v>44579</v>
      </c>
      <c r="C191" s="250">
        <f>IFERROR(__xludf.DUMMYFUNCTION("""COMPUTED_VALUE"""),0.3112847222222222)</f>
        <v>0.3112847222</v>
      </c>
      <c r="D191" s="6" t="str">
        <f>IFERROR(__xludf.DUMMYFUNCTION("""COMPUTED_VALUE"""),"SpBEND139816")</f>
        <v>SpBEND139816</v>
      </c>
      <c r="E191" s="251"/>
      <c r="F191" s="251"/>
      <c r="G191" s="251" t="str">
        <f>IFERROR(__xludf.DUMMYFUNCTION("""COMPUTED_VALUE"""),"Inconclusive")</f>
        <v>Inconclusive</v>
      </c>
      <c r="H191" s="262" t="str">
        <f>IFERROR(__xludf.DUMMYFUNCTION("""COMPUTED_VALUE"""),"Negative")</f>
        <v>Negative</v>
      </c>
      <c r="I191" s="204">
        <f>IFERROR(__xludf.DUMMYFUNCTION("""COMPUTED_VALUE"""),44579.0)</f>
        <v>44579</v>
      </c>
      <c r="J191" s="252">
        <f>IFERROR(__xludf.DUMMYFUNCTION("""COMPUTED_VALUE"""),0.5014930555555556)</f>
        <v>0.5014930556</v>
      </c>
      <c r="K191" s="56">
        <f>IFERROR(__xludf.DUMMYFUNCTION("""COMPUTED_VALUE"""),2.5)</f>
        <v>2.5</v>
      </c>
      <c r="L191" s="6" t="str">
        <f>IFERROR(__xludf.DUMMYFUNCTION("""COMPUTED_VALUE""")," Inconclusive to Negative based on RFR Audit (RT JAN26)")</f>
        <v> Inconclusive to Negative based on RFR Audit (RT JAN26)</v>
      </c>
      <c r="M191" s="61"/>
      <c r="N191" s="61">
        <f>IFERROR(__xludf.DUMMYFUNCTION("""COMPUTED_VALUE"""),1.0)</f>
        <v>1</v>
      </c>
      <c r="O191" s="61" t="str">
        <f t="shared" si="3"/>
        <v/>
      </c>
      <c r="P191" s="253">
        <f>IFERROR(__xludf.DUMMYFUNCTION("""COMPUTED_VALUE"""),0.0)</f>
        <v>0</v>
      </c>
      <c r="Q191" s="254" t="str">
        <f>VLOOKUP($B191,'Run Reconcile'!B$2:O799,14,FALSE)</f>
        <v/>
      </c>
      <c r="R191" s="255" t="str">
        <f t="array" ref="R191">IF($Q191, INDEX('Run Reconcile'!A$2:A799,MATCH(B191,'Run Reconcile'!B$2:B799,0),1),IFERROR(0/0,""))</f>
        <v/>
      </c>
      <c r="S191" s="261" t="b">
        <f t="shared" ref="S191:T191" si="386">IF(COUNTIF(W$2:W799, $A191) &gt; 0,TRUE,IFERROR(0/0,""))</f>
        <v>1</v>
      </c>
      <c r="T191" s="261" t="b">
        <f t="shared" si="386"/>
        <v>1</v>
      </c>
      <c r="U191" s="257" t="str">
        <f t="array" ref="U191">IF(ISBLANK($R191), INDEX('Run Reconcile'!A$2:A799, MATCH($B191, 'Run Reconcile'!B$2:B799, 0)+Z191, 1), IFERROR(0/0,""))
</f>
        <v>RUN-BEND_2022-01-19_RFR-016</v>
      </c>
      <c r="V191" s="266" t="s">
        <v>43</v>
      </c>
      <c r="W191" s="6" t="s">
        <v>392</v>
      </c>
      <c r="X191" s="6" t="s">
        <v>392</v>
      </c>
      <c r="Y191" s="120">
        <v>2.0</v>
      </c>
      <c r="Z191" s="49">
        <f t="shared" si="7"/>
        <v>2</v>
      </c>
      <c r="AA191" s="49">
        <f t="shared" si="8"/>
        <v>2</v>
      </c>
      <c r="AB191" s="49">
        <f t="shared" si="9"/>
        <v>2</v>
      </c>
      <c r="AC191" s="20" t="str">
        <f t="shared" ref="AC191:AD191" si="387">IF(_xlfn.ISFORMULA(S191),IFERROR(0/0,""),TRUE)</f>
        <v/>
      </c>
      <c r="AD191" s="20" t="str">
        <f t="shared" si="387"/>
        <v/>
      </c>
      <c r="AE191" s="43"/>
      <c r="AF191" s="86" t="s">
        <v>44</v>
      </c>
      <c r="AG191" s="57" t="b">
        <f t="shared" si="11"/>
        <v>0</v>
      </c>
    </row>
    <row r="192">
      <c r="A192" s="6" t="str">
        <f>IFERROR(__xludf.DUMMYFUNCTION("""COMPUTED_VALUE"""),"MA1100")</f>
        <v>MA1100</v>
      </c>
      <c r="B192" s="204">
        <f>IFERROR(__xludf.DUMMYFUNCTION("""COMPUTED_VALUE"""),44579.0)</f>
        <v>44579</v>
      </c>
      <c r="C192" s="250">
        <f>IFERROR(__xludf.DUMMYFUNCTION("""COMPUTED_VALUE"""),0.3162037037037037)</f>
        <v>0.3162037037</v>
      </c>
      <c r="D192" s="6" t="str">
        <f>IFERROR(__xludf.DUMMYFUNCTION("""COMPUTED_VALUE"""),"SpBEND528248")</f>
        <v>SpBEND528248</v>
      </c>
      <c r="E192" s="251"/>
      <c r="F192" s="251"/>
      <c r="G192" s="251" t="str">
        <f>IFERROR(__xludf.DUMMYFUNCTION("""COMPUTED_VALUE"""),"Negative")</f>
        <v>Negative</v>
      </c>
      <c r="H192" s="262" t="str">
        <f>IFERROR(__xludf.DUMMYFUNCTION("""COMPUTED_VALUE"""),"Negative")</f>
        <v>Negative</v>
      </c>
      <c r="I192" s="204">
        <f>IFERROR(__xludf.DUMMYFUNCTION("""COMPUTED_VALUE"""),44580.0)</f>
        <v>44580</v>
      </c>
      <c r="J192" s="252">
        <f>IFERROR(__xludf.DUMMYFUNCTION("""COMPUTED_VALUE"""),0.5080092592592592)</f>
        <v>0.5080092593</v>
      </c>
      <c r="K192" s="56"/>
      <c r="L192" s="6"/>
      <c r="M192" s="61"/>
      <c r="N192" s="61">
        <f>IFERROR(__xludf.DUMMYFUNCTION("""COMPUTED_VALUE"""),1.0)</f>
        <v>1</v>
      </c>
      <c r="O192" s="61" t="str">
        <f t="shared" si="3"/>
        <v/>
      </c>
      <c r="P192" s="253">
        <f>IFERROR(__xludf.DUMMYFUNCTION("""COMPUTED_VALUE"""),1.0)</f>
        <v>1</v>
      </c>
      <c r="Q192" s="254" t="str">
        <f>VLOOKUP($B192,'Run Reconcile'!B$2:O799,14,FALSE)</f>
        <v/>
      </c>
      <c r="R192" s="255" t="str">
        <f t="array" ref="R192">IF($Q192, INDEX('Run Reconcile'!A$2:A799,MATCH(B192,'Run Reconcile'!B$2:B799,0),1),IFERROR(0/0,""))</f>
        <v/>
      </c>
      <c r="S192" s="261" t="b">
        <f t="shared" ref="S192:T192" si="388">IF(COUNTIF(W$2:W799, $A192) &gt; 0,TRUE,IFERROR(0/0,""))</f>
        <v>1</v>
      </c>
      <c r="T192" s="261" t="b">
        <f t="shared" si="388"/>
        <v>1</v>
      </c>
      <c r="U192" s="257" t="str">
        <f t="array" ref="U192">IF(ISBLANK($R192), INDEX('Run Reconcile'!A$2:A799, MATCH($B192, 'Run Reconcile'!B$2:B799, 0)+Z192, 1), IFERROR(0/0,""))
</f>
        <v>RUN-BEND_2022-01-19_RFR-016</v>
      </c>
      <c r="V192" s="266" t="s">
        <v>43</v>
      </c>
      <c r="W192" s="6" t="s">
        <v>393</v>
      </c>
      <c r="X192" s="6" t="s">
        <v>393</v>
      </c>
      <c r="Y192" s="120">
        <v>2.0</v>
      </c>
      <c r="Z192" s="49">
        <f t="shared" si="7"/>
        <v>2</v>
      </c>
      <c r="AA192" s="49">
        <f t="shared" si="8"/>
        <v>2</v>
      </c>
      <c r="AB192" s="49">
        <f t="shared" si="9"/>
        <v>2</v>
      </c>
      <c r="AC192" s="20" t="str">
        <f t="shared" ref="AC192:AD192" si="389">IF(_xlfn.ISFORMULA(S192),IFERROR(0/0,""),TRUE)</f>
        <v/>
      </c>
      <c r="AD192" s="20" t="str">
        <f t="shared" si="389"/>
        <v/>
      </c>
      <c r="AE192" s="43"/>
      <c r="AF192" s="86" t="s">
        <v>44</v>
      </c>
      <c r="AG192" s="57" t="b">
        <f t="shared" si="11"/>
        <v>0</v>
      </c>
    </row>
    <row r="193">
      <c r="A193" s="6" t="str">
        <f>IFERROR(__xludf.DUMMYFUNCTION("""COMPUTED_VALUE"""),"MA1145")</f>
        <v>MA1145</v>
      </c>
      <c r="B193" s="204">
        <f>IFERROR(__xludf.DUMMYFUNCTION("""COMPUTED_VALUE"""),44579.0)</f>
        <v>44579</v>
      </c>
      <c r="C193" s="250">
        <f>IFERROR(__xludf.DUMMYFUNCTION("""COMPUTED_VALUE"""),0.3205324074074074)</f>
        <v>0.3205324074</v>
      </c>
      <c r="D193" s="6" t="str">
        <f>IFERROR(__xludf.DUMMYFUNCTION("""COMPUTED_VALUE"""),"SpBEND302553")</f>
        <v>SpBEND302553</v>
      </c>
      <c r="E193" s="251"/>
      <c r="F193" s="251"/>
      <c r="G193" s="251" t="str">
        <f>IFERROR(__xludf.DUMMYFUNCTION("""COMPUTED_VALUE"""),"Negative")</f>
        <v>Negative</v>
      </c>
      <c r="H193" s="262" t="str">
        <f>IFERROR(__xludf.DUMMYFUNCTION("""COMPUTED_VALUE"""),"Negative")</f>
        <v>Negative</v>
      </c>
      <c r="I193" s="204">
        <f>IFERROR(__xludf.DUMMYFUNCTION("""COMPUTED_VALUE"""),44580.0)</f>
        <v>44580</v>
      </c>
      <c r="J193" s="252">
        <f>IFERROR(__xludf.DUMMYFUNCTION("""COMPUTED_VALUE"""),0.5080092592592592)</f>
        <v>0.5080092593</v>
      </c>
      <c r="K193" s="56"/>
      <c r="L193" s="6"/>
      <c r="M193" s="61"/>
      <c r="N193" s="61">
        <f>IFERROR(__xludf.DUMMYFUNCTION("""COMPUTED_VALUE"""),1.0)</f>
        <v>1</v>
      </c>
      <c r="O193" s="61" t="str">
        <f t="shared" si="3"/>
        <v/>
      </c>
      <c r="P193" s="253">
        <f>IFERROR(__xludf.DUMMYFUNCTION("""COMPUTED_VALUE"""),1.0)</f>
        <v>1</v>
      </c>
      <c r="Q193" s="254" t="str">
        <f>VLOOKUP($B193,'Run Reconcile'!B$2:O799,14,FALSE)</f>
        <v/>
      </c>
      <c r="R193" s="255" t="str">
        <f t="array" ref="R193">IF($Q193, INDEX('Run Reconcile'!A$2:A799,MATCH(B193,'Run Reconcile'!B$2:B799,0),1),IFERROR(0/0,""))</f>
        <v/>
      </c>
      <c r="S193" s="261" t="b">
        <f t="shared" ref="S193:T193" si="390">IF(COUNTIF(W$2:W799, $A193) &gt; 0,TRUE,IFERROR(0/0,""))</f>
        <v>1</v>
      </c>
      <c r="T193" s="261" t="b">
        <f t="shared" si="390"/>
        <v>1</v>
      </c>
      <c r="U193" s="257" t="str">
        <f t="array" ref="U193">IF(ISBLANK($R193), INDEX('Run Reconcile'!A$2:A799, MATCH($B193, 'Run Reconcile'!B$2:B799, 0)+Z193, 1), IFERROR(0/0,""))
</f>
        <v>RUN-BEND_2022-01-19_RFR-016</v>
      </c>
      <c r="V193" s="266" t="s">
        <v>43</v>
      </c>
      <c r="W193" s="6" t="s">
        <v>394</v>
      </c>
      <c r="X193" s="6" t="s">
        <v>394</v>
      </c>
      <c r="Y193" s="120">
        <v>2.0</v>
      </c>
      <c r="Z193" s="49">
        <f t="shared" si="7"/>
        <v>2</v>
      </c>
      <c r="AA193" s="49">
        <f t="shared" si="8"/>
        <v>2</v>
      </c>
      <c r="AB193" s="49">
        <f t="shared" si="9"/>
        <v>2</v>
      </c>
      <c r="AC193" s="20" t="str">
        <f t="shared" ref="AC193:AD193" si="391">IF(_xlfn.ISFORMULA(S193),IFERROR(0/0,""),TRUE)</f>
        <v/>
      </c>
      <c r="AD193" s="20" t="str">
        <f t="shared" si="391"/>
        <v/>
      </c>
      <c r="AE193" s="43"/>
      <c r="AF193" s="86" t="s">
        <v>44</v>
      </c>
      <c r="AG193" s="57" t="b">
        <f t="shared" si="11"/>
        <v>0</v>
      </c>
    </row>
    <row r="194">
      <c r="A194" s="6" t="str">
        <f>IFERROR(__xludf.DUMMYFUNCTION("""COMPUTED_VALUE"""),"MA655")</f>
        <v>MA655</v>
      </c>
      <c r="B194" s="204">
        <f>IFERROR(__xludf.DUMMYFUNCTION("""COMPUTED_VALUE"""),44579.0)</f>
        <v>44579</v>
      </c>
      <c r="C194" s="250">
        <f>IFERROR(__xludf.DUMMYFUNCTION("""COMPUTED_VALUE"""),0.32251157407407405)</f>
        <v>0.3225115741</v>
      </c>
      <c r="D194" s="6" t="str">
        <f>IFERROR(__xludf.DUMMYFUNCTION("""COMPUTED_VALUE"""),"SpBEND184203")</f>
        <v>SpBEND184203</v>
      </c>
      <c r="E194" s="251"/>
      <c r="F194" s="251"/>
      <c r="G194" s="251" t="str">
        <f>IFERROR(__xludf.DUMMYFUNCTION("""COMPUTED_VALUE"""),"Positive")</f>
        <v>Positive</v>
      </c>
      <c r="H194" s="267" t="str">
        <f>IFERROR(__xludf.DUMMYFUNCTION("""COMPUTED_VALUE"""),"Positive")</f>
        <v>Positive</v>
      </c>
      <c r="I194" s="268">
        <f>IFERROR(__xludf.DUMMYFUNCTION("""COMPUTED_VALUE"""),44579.0)</f>
        <v>44579</v>
      </c>
      <c r="J194" s="252">
        <f>IFERROR(__xludf.DUMMYFUNCTION("""COMPUTED_VALUE"""),0.5015972222222222)</f>
        <v>0.5015972222</v>
      </c>
      <c r="K194" s="56"/>
      <c r="L194" s="6"/>
      <c r="M194" s="61"/>
      <c r="N194" s="61">
        <f>IFERROR(__xludf.DUMMYFUNCTION("""COMPUTED_VALUE"""),1.0)</f>
        <v>1</v>
      </c>
      <c r="O194" s="61" t="str">
        <f t="shared" si="3"/>
        <v/>
      </c>
      <c r="P194" s="253">
        <f>IFERROR(__xludf.DUMMYFUNCTION("""COMPUTED_VALUE"""),0.0)</f>
        <v>0</v>
      </c>
      <c r="Q194" s="254" t="str">
        <f>VLOOKUP($B194,'Run Reconcile'!B$2:O799,14,FALSE)</f>
        <v/>
      </c>
      <c r="R194" s="255" t="str">
        <f t="array" ref="R194">IF($Q194, INDEX('Run Reconcile'!A$2:A799,MATCH(B194,'Run Reconcile'!B$2:B799,0),1),IFERROR(0/0,""))</f>
        <v/>
      </c>
      <c r="S194" s="261" t="b">
        <f t="shared" ref="S194:T194" si="392">IF(COUNTIF(W$2:W799, $A194) &gt; 0,TRUE,IFERROR(0/0,""))</f>
        <v>1</v>
      </c>
      <c r="T194" s="261" t="b">
        <f t="shared" si="392"/>
        <v>1</v>
      </c>
      <c r="U194" s="257" t="str">
        <f t="array" ref="U194">IF(ISBLANK($R194), INDEX('Run Reconcile'!A$2:A799, MATCH($B194, 'Run Reconcile'!B$2:B799, 0)+Z194, 1), IFERROR(0/0,""))
</f>
        <v>RUN-BEND_2022-01-19_RFR-016</v>
      </c>
      <c r="V194" s="266" t="s">
        <v>43</v>
      </c>
      <c r="W194" s="6" t="s">
        <v>395</v>
      </c>
      <c r="X194" s="6" t="s">
        <v>395</v>
      </c>
      <c r="Y194" s="120">
        <v>2.0</v>
      </c>
      <c r="Z194" s="49">
        <f t="shared" si="7"/>
        <v>2</v>
      </c>
      <c r="AA194" s="49">
        <f t="shared" si="8"/>
        <v>2</v>
      </c>
      <c r="AB194" s="49">
        <f t="shared" si="9"/>
        <v>2</v>
      </c>
      <c r="AC194" s="20" t="str">
        <f t="shared" ref="AC194:AD194" si="393">IF(_xlfn.ISFORMULA(S194),IFERROR(0/0,""),TRUE)</f>
        <v/>
      </c>
      <c r="AD194" s="20" t="str">
        <f t="shared" si="393"/>
        <v/>
      </c>
      <c r="AE194" s="43"/>
      <c r="AF194" s="86" t="s">
        <v>44</v>
      </c>
      <c r="AG194" s="57" t="b">
        <f t="shared" si="11"/>
        <v>0</v>
      </c>
    </row>
    <row r="195">
      <c r="A195" s="6" t="str">
        <f>IFERROR(__xludf.DUMMYFUNCTION("""COMPUTED_VALUE"""),"MA645")</f>
        <v>MA645</v>
      </c>
      <c r="B195" s="204">
        <f>IFERROR(__xludf.DUMMYFUNCTION("""COMPUTED_VALUE"""),44579.0)</f>
        <v>44579</v>
      </c>
      <c r="C195" s="250">
        <f>IFERROR(__xludf.DUMMYFUNCTION("""COMPUTED_VALUE"""),0.3232175925925926)</f>
        <v>0.3232175926</v>
      </c>
      <c r="D195" s="6" t="str">
        <f>IFERROR(__xludf.DUMMYFUNCTION("""COMPUTED_VALUE"""),"SpBEND643855")</f>
        <v>SpBEND643855</v>
      </c>
      <c r="E195" s="251"/>
      <c r="F195" s="251"/>
      <c r="G195" s="251" t="str">
        <f>IFERROR(__xludf.DUMMYFUNCTION("""COMPUTED_VALUE"""),"Negative")</f>
        <v>Negative</v>
      </c>
      <c r="H195" s="262" t="str">
        <f>IFERROR(__xludf.DUMMYFUNCTION("""COMPUTED_VALUE"""),"Negative")</f>
        <v>Negative</v>
      </c>
      <c r="I195" s="204">
        <f>IFERROR(__xludf.DUMMYFUNCTION("""COMPUTED_VALUE"""),44580.0)</f>
        <v>44580</v>
      </c>
      <c r="J195" s="252">
        <f>IFERROR(__xludf.DUMMYFUNCTION("""COMPUTED_VALUE"""),0.5080092592592592)</f>
        <v>0.5080092593</v>
      </c>
      <c r="K195" s="56"/>
      <c r="L195" s="6"/>
      <c r="M195" s="61"/>
      <c r="N195" s="61">
        <f>IFERROR(__xludf.DUMMYFUNCTION("""COMPUTED_VALUE"""),1.0)</f>
        <v>1</v>
      </c>
      <c r="O195" s="61" t="str">
        <f t="shared" si="3"/>
        <v/>
      </c>
      <c r="P195" s="253">
        <f>IFERROR(__xludf.DUMMYFUNCTION("""COMPUTED_VALUE"""),1.0)</f>
        <v>1</v>
      </c>
      <c r="Q195" s="254" t="str">
        <f>VLOOKUP($B195,'Run Reconcile'!B$2:O799,14,FALSE)</f>
        <v/>
      </c>
      <c r="R195" s="255" t="str">
        <f t="array" ref="R195">IF($Q195, INDEX('Run Reconcile'!A$2:A799,MATCH(B195,'Run Reconcile'!B$2:B799,0),1),IFERROR(0/0,""))</f>
        <v/>
      </c>
      <c r="S195" s="261" t="b">
        <f t="shared" ref="S195:T195" si="394">IF(COUNTIF(W$2:W799, $A195) &gt; 0,TRUE,IFERROR(0/0,""))</f>
        <v>1</v>
      </c>
      <c r="T195" s="261" t="b">
        <f t="shared" si="394"/>
        <v>1</v>
      </c>
      <c r="U195" s="257" t="str">
        <f t="array" ref="U195">IF(ISBLANK($R195), INDEX('Run Reconcile'!A$2:A799, MATCH($B195, 'Run Reconcile'!B$2:B799, 0)+Z195, 1), IFERROR(0/0,""))
</f>
        <v>RUN-BEND_2022-01-19_RFR-016</v>
      </c>
      <c r="V195" s="266" t="s">
        <v>43</v>
      </c>
      <c r="W195" s="6" t="s">
        <v>396</v>
      </c>
      <c r="X195" s="6" t="s">
        <v>396</v>
      </c>
      <c r="Y195" s="120">
        <v>2.0</v>
      </c>
      <c r="Z195" s="49">
        <f t="shared" si="7"/>
        <v>2</v>
      </c>
      <c r="AA195" s="49">
        <f t="shared" si="8"/>
        <v>2</v>
      </c>
      <c r="AB195" s="49">
        <f t="shared" si="9"/>
        <v>2</v>
      </c>
      <c r="AC195" s="20" t="str">
        <f t="shared" ref="AC195:AD195" si="395">IF(_xlfn.ISFORMULA(S195),IFERROR(0/0,""),TRUE)</f>
        <v/>
      </c>
      <c r="AD195" s="20" t="str">
        <f t="shared" si="395"/>
        <v/>
      </c>
      <c r="AE195" s="43"/>
      <c r="AF195" s="86" t="s">
        <v>44</v>
      </c>
      <c r="AG195" s="57" t="b">
        <f t="shared" si="11"/>
        <v>0</v>
      </c>
    </row>
    <row r="196">
      <c r="A196" s="6" t="str">
        <f>IFERROR(__xludf.DUMMYFUNCTION("""COMPUTED_VALUE"""),"MA627")</f>
        <v>MA627</v>
      </c>
      <c r="B196" s="204">
        <f>IFERROR(__xludf.DUMMYFUNCTION("""COMPUTED_VALUE"""),44579.0)</f>
        <v>44579</v>
      </c>
      <c r="C196" s="250">
        <f>IFERROR(__xludf.DUMMYFUNCTION("""COMPUTED_VALUE"""),0.3233101851851852)</f>
        <v>0.3233101852</v>
      </c>
      <c r="D196" s="6" t="str">
        <f>IFERROR(__xludf.DUMMYFUNCTION("""COMPUTED_VALUE"""),"SpBEND996809")</f>
        <v>SpBEND996809</v>
      </c>
      <c r="E196" s="251"/>
      <c r="F196" s="251"/>
      <c r="G196" s="251" t="str">
        <f>IFERROR(__xludf.DUMMYFUNCTION("""COMPUTED_VALUE"""),"Negative")</f>
        <v>Negative</v>
      </c>
      <c r="H196" s="262" t="str">
        <f>IFERROR(__xludf.DUMMYFUNCTION("""COMPUTED_VALUE"""),"Negative")</f>
        <v>Negative</v>
      </c>
      <c r="I196" s="204">
        <f>IFERROR(__xludf.DUMMYFUNCTION("""COMPUTED_VALUE"""),44580.0)</f>
        <v>44580</v>
      </c>
      <c r="J196" s="252">
        <f>IFERROR(__xludf.DUMMYFUNCTION("""COMPUTED_VALUE"""),0.5080092592592592)</f>
        <v>0.5080092593</v>
      </c>
      <c r="K196" s="56"/>
      <c r="L196" s="6"/>
      <c r="M196" s="61"/>
      <c r="N196" s="61">
        <f>IFERROR(__xludf.DUMMYFUNCTION("""COMPUTED_VALUE"""),1.0)</f>
        <v>1</v>
      </c>
      <c r="O196" s="61" t="str">
        <f t="shared" si="3"/>
        <v/>
      </c>
      <c r="P196" s="253">
        <f>IFERROR(__xludf.DUMMYFUNCTION("""COMPUTED_VALUE"""),1.0)</f>
        <v>1</v>
      </c>
      <c r="Q196" s="254" t="str">
        <f>VLOOKUP($B196,'Run Reconcile'!B$2:O799,14,FALSE)</f>
        <v/>
      </c>
      <c r="R196" s="255" t="str">
        <f t="array" ref="R196">IF($Q196, INDEX('Run Reconcile'!A$2:A799,MATCH(B196,'Run Reconcile'!B$2:B799,0),1),IFERROR(0/0,""))</f>
        <v/>
      </c>
      <c r="S196" s="261" t="b">
        <f t="shared" ref="S196:T196" si="396">IF(COUNTIF(W$2:W799, $A196) &gt; 0,TRUE,IFERROR(0/0,""))</f>
        <v>1</v>
      </c>
      <c r="T196" s="261" t="b">
        <f t="shared" si="396"/>
        <v>1</v>
      </c>
      <c r="U196" s="257" t="str">
        <f t="array" ref="U196">IF(ISBLANK($R196), INDEX('Run Reconcile'!A$2:A799, MATCH($B196, 'Run Reconcile'!B$2:B799, 0)+Z196, 1), IFERROR(0/0,""))
</f>
        <v>RUN-BEND_2022-01-19_RFR-016</v>
      </c>
      <c r="V196" s="266" t="s">
        <v>43</v>
      </c>
      <c r="W196" s="6" t="s">
        <v>397</v>
      </c>
      <c r="X196" s="6" t="s">
        <v>397</v>
      </c>
      <c r="Y196" s="120">
        <v>2.0</v>
      </c>
      <c r="Z196" s="49">
        <f t="shared" si="7"/>
        <v>2</v>
      </c>
      <c r="AA196" s="49">
        <f t="shared" si="8"/>
        <v>2</v>
      </c>
      <c r="AB196" s="49">
        <f t="shared" si="9"/>
        <v>2</v>
      </c>
      <c r="AC196" s="20" t="str">
        <f t="shared" ref="AC196:AD196" si="397">IF(_xlfn.ISFORMULA(S196),IFERROR(0/0,""),TRUE)</f>
        <v/>
      </c>
      <c r="AD196" s="20" t="str">
        <f t="shared" si="397"/>
        <v/>
      </c>
      <c r="AE196" s="43"/>
      <c r="AF196" s="86" t="s">
        <v>44</v>
      </c>
      <c r="AG196" s="57" t="b">
        <f t="shared" si="11"/>
        <v>0</v>
      </c>
    </row>
    <row r="197">
      <c r="A197" s="6" t="str">
        <f>IFERROR(__xludf.DUMMYFUNCTION("""COMPUTED_VALUE"""),"MA295")</f>
        <v>MA295</v>
      </c>
      <c r="B197" s="204">
        <f>IFERROR(__xludf.DUMMYFUNCTION("""COMPUTED_VALUE"""),44579.0)</f>
        <v>44579</v>
      </c>
      <c r="C197" s="250">
        <f>IFERROR(__xludf.DUMMYFUNCTION("""COMPUTED_VALUE"""),0.3278935185185185)</f>
        <v>0.3278935185</v>
      </c>
      <c r="D197" s="6" t="str">
        <f>IFERROR(__xludf.DUMMYFUNCTION("""COMPUTED_VALUE"""),"SpBEND953422")</f>
        <v>SpBEND953422</v>
      </c>
      <c r="E197" s="251"/>
      <c r="F197" s="251"/>
      <c r="G197" s="251" t="str">
        <f>IFERROR(__xludf.DUMMYFUNCTION("""COMPUTED_VALUE"""),"Negative")</f>
        <v>Negative</v>
      </c>
      <c r="H197" s="264" t="str">
        <f>IFERROR(__xludf.DUMMYFUNCTION("""COMPUTED_VALUE"""),"Negative")</f>
        <v>Negative</v>
      </c>
      <c r="I197" s="263">
        <f>IFERROR(__xludf.DUMMYFUNCTION("""COMPUTED_VALUE"""),44580.0)</f>
        <v>44580</v>
      </c>
      <c r="J197" s="252">
        <f>IFERROR(__xludf.DUMMYFUNCTION("""COMPUTED_VALUE"""),0.5080092592592592)</f>
        <v>0.5080092593</v>
      </c>
      <c r="K197" s="56"/>
      <c r="L197" s="6"/>
      <c r="M197" s="61"/>
      <c r="N197" s="61">
        <f>IFERROR(__xludf.DUMMYFUNCTION("""COMPUTED_VALUE"""),1.0)</f>
        <v>1</v>
      </c>
      <c r="O197" s="61" t="str">
        <f t="shared" si="3"/>
        <v/>
      </c>
      <c r="P197" s="253">
        <f>IFERROR(__xludf.DUMMYFUNCTION("""COMPUTED_VALUE"""),1.0)</f>
        <v>1</v>
      </c>
      <c r="Q197" s="254" t="str">
        <f>VLOOKUP($B197,'Run Reconcile'!B$2:O799,14,FALSE)</f>
        <v/>
      </c>
      <c r="R197" s="255" t="str">
        <f t="array" ref="R197">IF($Q197, INDEX('Run Reconcile'!A$2:A799,MATCH(B197,'Run Reconcile'!B$2:B799,0),1),IFERROR(0/0,""))</f>
        <v/>
      </c>
      <c r="S197" s="261" t="b">
        <f t="shared" ref="S197:T197" si="398">IF(COUNTIF(W$2:W799, $A197) &gt; 0,TRUE,IFERROR(0/0,""))</f>
        <v>1</v>
      </c>
      <c r="T197" s="261" t="b">
        <f t="shared" si="398"/>
        <v>1</v>
      </c>
      <c r="U197" s="257" t="str">
        <f t="array" ref="U197">IF(ISBLANK($R197), INDEX('Run Reconcile'!A$2:A799, MATCH($B197, 'Run Reconcile'!B$2:B799, 0)+Z197, 1), IFERROR(0/0,""))
</f>
        <v>RUN-BEND_2022-01-19_RFR-016</v>
      </c>
      <c r="V197" s="266" t="s">
        <v>43</v>
      </c>
      <c r="W197" s="6" t="s">
        <v>398</v>
      </c>
      <c r="X197" s="6" t="s">
        <v>398</v>
      </c>
      <c r="Y197" s="120">
        <v>2.0</v>
      </c>
      <c r="Z197" s="49">
        <f t="shared" si="7"/>
        <v>2</v>
      </c>
      <c r="AA197" s="49">
        <f t="shared" si="8"/>
        <v>2</v>
      </c>
      <c r="AB197" s="49">
        <f t="shared" si="9"/>
        <v>2</v>
      </c>
      <c r="AC197" s="20" t="str">
        <f t="shared" ref="AC197:AD197" si="399">IF(_xlfn.ISFORMULA(S197),IFERROR(0/0,""),TRUE)</f>
        <v/>
      </c>
      <c r="AD197" s="20" t="str">
        <f t="shared" si="399"/>
        <v/>
      </c>
      <c r="AE197" s="43"/>
      <c r="AF197" s="86" t="s">
        <v>44</v>
      </c>
      <c r="AG197" s="57" t="b">
        <f t="shared" si="11"/>
        <v>0</v>
      </c>
    </row>
    <row r="198">
      <c r="A198" s="6" t="str">
        <f>IFERROR(__xludf.DUMMYFUNCTION("""COMPUTED_VALUE"""),"MA302")</f>
        <v>MA302</v>
      </c>
      <c r="B198" s="204">
        <f>IFERROR(__xludf.DUMMYFUNCTION("""COMPUTED_VALUE"""),44579.0)</f>
        <v>44579</v>
      </c>
      <c r="C198" s="250">
        <f>IFERROR(__xludf.DUMMYFUNCTION("""COMPUTED_VALUE"""),0.32914351851851853)</f>
        <v>0.3291435185</v>
      </c>
      <c r="D198" s="6" t="str">
        <f>IFERROR(__xludf.DUMMYFUNCTION("""COMPUTED_VALUE"""),"SpBEND425753")</f>
        <v>SpBEND425753</v>
      </c>
      <c r="E198" s="251"/>
      <c r="F198" s="251"/>
      <c r="G198" s="251" t="str">
        <f>IFERROR(__xludf.DUMMYFUNCTION("""COMPUTED_VALUE"""),"Negative")</f>
        <v>Negative</v>
      </c>
      <c r="H198" s="262" t="str">
        <f>IFERROR(__xludf.DUMMYFUNCTION("""COMPUTED_VALUE"""),"Negative")</f>
        <v>Negative</v>
      </c>
      <c r="I198" s="204">
        <f>IFERROR(__xludf.DUMMYFUNCTION("""COMPUTED_VALUE"""),44580.0)</f>
        <v>44580</v>
      </c>
      <c r="J198" s="252">
        <f>IFERROR(__xludf.DUMMYFUNCTION("""COMPUTED_VALUE"""),0.5080092592592592)</f>
        <v>0.5080092593</v>
      </c>
      <c r="K198" s="56"/>
      <c r="L198" s="6"/>
      <c r="M198" s="61"/>
      <c r="N198" s="61">
        <f>IFERROR(__xludf.DUMMYFUNCTION("""COMPUTED_VALUE"""),1.0)</f>
        <v>1</v>
      </c>
      <c r="O198" s="61" t="str">
        <f t="shared" si="3"/>
        <v/>
      </c>
      <c r="P198" s="253">
        <f>IFERROR(__xludf.DUMMYFUNCTION("""COMPUTED_VALUE"""),1.0)</f>
        <v>1</v>
      </c>
      <c r="Q198" s="254" t="str">
        <f>VLOOKUP($B198,'Run Reconcile'!B$2:O799,14,FALSE)</f>
        <v/>
      </c>
      <c r="R198" s="255" t="str">
        <f t="array" ref="R198">IF($Q198, INDEX('Run Reconcile'!A$2:A799,MATCH(B198,'Run Reconcile'!B$2:B799,0),1),IFERROR(0/0,""))</f>
        <v/>
      </c>
      <c r="S198" s="261" t="b">
        <f t="shared" ref="S198:T198" si="400">IF(COUNTIF(W$2:W799, $A198) &gt; 0,TRUE,IFERROR(0/0,""))</f>
        <v>1</v>
      </c>
      <c r="T198" s="261" t="b">
        <f t="shared" si="400"/>
        <v>1</v>
      </c>
      <c r="U198" s="257" t="str">
        <f t="array" ref="U198">IF(ISBLANK($R198), INDEX('Run Reconcile'!A$2:A799, MATCH($B198, 'Run Reconcile'!B$2:B799, 0)+Z198, 1), IFERROR(0/0,""))
</f>
        <v>RUN-BEND_2022-01-19_RFR-016</v>
      </c>
      <c r="V198" s="266" t="s">
        <v>43</v>
      </c>
      <c r="W198" s="6" t="s">
        <v>399</v>
      </c>
      <c r="X198" s="6" t="s">
        <v>399</v>
      </c>
      <c r="Y198" s="120">
        <v>2.0</v>
      </c>
      <c r="Z198" s="49">
        <f t="shared" si="7"/>
        <v>2</v>
      </c>
      <c r="AA198" s="49">
        <f t="shared" si="8"/>
        <v>2</v>
      </c>
      <c r="AB198" s="49">
        <f t="shared" si="9"/>
        <v>2</v>
      </c>
      <c r="AC198" s="20" t="str">
        <f t="shared" ref="AC198:AD198" si="401">IF(_xlfn.ISFORMULA(S198),IFERROR(0/0,""),TRUE)</f>
        <v/>
      </c>
      <c r="AD198" s="20" t="str">
        <f t="shared" si="401"/>
        <v/>
      </c>
      <c r="AE198" s="43"/>
      <c r="AF198" s="86" t="s">
        <v>44</v>
      </c>
      <c r="AG198" s="57" t="b">
        <f t="shared" si="11"/>
        <v>0</v>
      </c>
    </row>
    <row r="199">
      <c r="A199" s="6" t="str">
        <f>IFERROR(__xludf.DUMMYFUNCTION("""COMPUTED_VALUE"""),"MAX68")</f>
        <v>MAX68</v>
      </c>
      <c r="B199" s="204">
        <f>IFERROR(__xludf.DUMMYFUNCTION("""COMPUTED_VALUE"""),44579.0)</f>
        <v>44579</v>
      </c>
      <c r="C199" s="250">
        <f>IFERROR(__xludf.DUMMYFUNCTION("""COMPUTED_VALUE"""),0.33091435185185186)</f>
        <v>0.3309143519</v>
      </c>
      <c r="D199" s="6" t="str">
        <f>IFERROR(__xludf.DUMMYFUNCTION("""COMPUTED_VALUE"""),"SpBEND845568")</f>
        <v>SpBEND845568</v>
      </c>
      <c r="E199" s="251"/>
      <c r="F199" s="251"/>
      <c r="G199" s="251" t="str">
        <f>IFERROR(__xludf.DUMMYFUNCTION("""COMPUTED_VALUE"""),"Positive")</f>
        <v>Positive</v>
      </c>
      <c r="H199" s="262" t="str">
        <f>IFERROR(__xludf.DUMMYFUNCTION("""COMPUTED_VALUE"""),"Positive")</f>
        <v>Positive</v>
      </c>
      <c r="I199" s="204">
        <f>IFERROR(__xludf.DUMMYFUNCTION("""COMPUTED_VALUE"""),44579.0)</f>
        <v>44579</v>
      </c>
      <c r="J199" s="252">
        <f>IFERROR(__xludf.DUMMYFUNCTION("""COMPUTED_VALUE"""),0.5015972222222222)</f>
        <v>0.5015972222</v>
      </c>
      <c r="K199" s="56"/>
      <c r="L199" s="6"/>
      <c r="M199" s="61"/>
      <c r="N199" s="61">
        <f>IFERROR(__xludf.DUMMYFUNCTION("""COMPUTED_VALUE"""),1.0)</f>
        <v>1</v>
      </c>
      <c r="O199" s="61" t="str">
        <f t="shared" si="3"/>
        <v/>
      </c>
      <c r="P199" s="253">
        <f>IFERROR(__xludf.DUMMYFUNCTION("""COMPUTED_VALUE"""),0.0)</f>
        <v>0</v>
      </c>
      <c r="Q199" s="254" t="str">
        <f>VLOOKUP($B199,'Run Reconcile'!B$2:O799,14,FALSE)</f>
        <v/>
      </c>
      <c r="R199" s="255" t="str">
        <f t="array" ref="R199">IF($Q199, INDEX('Run Reconcile'!A$2:A799,MATCH(B199,'Run Reconcile'!B$2:B799,0),1),IFERROR(0/0,""))</f>
        <v/>
      </c>
      <c r="S199" s="261" t="b">
        <f t="shared" ref="S199:T199" si="402">IF(COUNTIF(W$2:W799, $A199) &gt; 0,TRUE,IFERROR(0/0,""))</f>
        <v>1</v>
      </c>
      <c r="T199" s="261" t="b">
        <f t="shared" si="402"/>
        <v>1</v>
      </c>
      <c r="U199" s="257" t="str">
        <f t="array" ref="U199">IF(ISBLANK($R199), INDEX('Run Reconcile'!A$2:A799, MATCH($B199, 'Run Reconcile'!B$2:B799, 0)+Z199, 1), IFERROR(0/0,""))
</f>
        <v>RUN-BEND_2022-01-19_RFR-016</v>
      </c>
      <c r="V199" s="266" t="s">
        <v>43</v>
      </c>
      <c r="W199" s="6" t="s">
        <v>400</v>
      </c>
      <c r="X199" s="6" t="s">
        <v>400</v>
      </c>
      <c r="Y199" s="120">
        <v>2.0</v>
      </c>
      <c r="Z199" s="49">
        <f t="shared" si="7"/>
        <v>2</v>
      </c>
      <c r="AA199" s="49">
        <f t="shared" si="8"/>
        <v>2</v>
      </c>
      <c r="AB199" s="49">
        <f t="shared" si="9"/>
        <v>2</v>
      </c>
      <c r="AC199" s="20" t="str">
        <f t="shared" ref="AC199:AD199" si="403">IF(_xlfn.ISFORMULA(S199),IFERROR(0/0,""),TRUE)</f>
        <v/>
      </c>
      <c r="AD199" s="20" t="str">
        <f t="shared" si="403"/>
        <v/>
      </c>
      <c r="AE199" s="43"/>
      <c r="AF199" s="86" t="s">
        <v>44</v>
      </c>
      <c r="AG199" s="57" t="b">
        <f t="shared" si="11"/>
        <v>0</v>
      </c>
    </row>
    <row r="200">
      <c r="A200" s="6" t="str">
        <f>IFERROR(__xludf.DUMMYFUNCTION("""COMPUTED_VALUE"""),"MA657")</f>
        <v>MA657</v>
      </c>
      <c r="B200" s="204">
        <f>IFERROR(__xludf.DUMMYFUNCTION("""COMPUTED_VALUE"""),44579.0)</f>
        <v>44579</v>
      </c>
      <c r="C200" s="250">
        <f>IFERROR(__xludf.DUMMYFUNCTION("""COMPUTED_VALUE"""),0.33101851851851855)</f>
        <v>0.3310185185</v>
      </c>
      <c r="D200" s="6" t="str">
        <f>IFERROR(__xludf.DUMMYFUNCTION("""COMPUTED_VALUE"""),"SpBEND713650")</f>
        <v>SpBEND713650</v>
      </c>
      <c r="E200" s="251"/>
      <c r="F200" s="251"/>
      <c r="G200" s="251" t="str">
        <f>IFERROR(__xludf.DUMMYFUNCTION("""COMPUTED_VALUE"""),"Negative")</f>
        <v>Negative</v>
      </c>
      <c r="H200" s="262" t="str">
        <f>IFERROR(__xludf.DUMMYFUNCTION("""COMPUTED_VALUE"""),"Negative")</f>
        <v>Negative</v>
      </c>
      <c r="I200" s="204">
        <f>IFERROR(__xludf.DUMMYFUNCTION("""COMPUTED_VALUE"""),44580.0)</f>
        <v>44580</v>
      </c>
      <c r="J200" s="252">
        <f>IFERROR(__xludf.DUMMYFUNCTION("""COMPUTED_VALUE"""),0.5080092592592592)</f>
        <v>0.5080092593</v>
      </c>
      <c r="K200" s="56"/>
      <c r="L200" s="6"/>
      <c r="M200" s="61"/>
      <c r="N200" s="61">
        <f>IFERROR(__xludf.DUMMYFUNCTION("""COMPUTED_VALUE"""),1.0)</f>
        <v>1</v>
      </c>
      <c r="O200" s="61" t="str">
        <f t="shared" si="3"/>
        <v/>
      </c>
      <c r="P200" s="253">
        <f>IFERROR(__xludf.DUMMYFUNCTION("""COMPUTED_VALUE"""),1.0)</f>
        <v>1</v>
      </c>
      <c r="Q200" s="254" t="str">
        <f>VLOOKUP($B200,'Run Reconcile'!B$2:O799,14,FALSE)</f>
        <v/>
      </c>
      <c r="R200" s="255" t="str">
        <f t="array" ref="R200">IF($Q200, INDEX('Run Reconcile'!A$2:A799,MATCH(B200,'Run Reconcile'!B$2:B799,0),1),IFERROR(0/0,""))</f>
        <v/>
      </c>
      <c r="S200" s="261" t="b">
        <f t="shared" ref="S200:T200" si="404">IF(COUNTIF(W$2:W799, $A200) &gt; 0,TRUE,IFERROR(0/0,""))</f>
        <v>1</v>
      </c>
      <c r="T200" s="261" t="b">
        <f t="shared" si="404"/>
        <v>1</v>
      </c>
      <c r="U200" s="257" t="str">
        <f t="array" ref="U200">IF(ISBLANK($R200), INDEX('Run Reconcile'!A$2:A799, MATCH($B200, 'Run Reconcile'!B$2:B799, 0)+Z200, 1), IFERROR(0/0,""))
</f>
        <v>RUN-BEND_2022-01-19_RFR-016</v>
      </c>
      <c r="V200" s="266" t="s">
        <v>43</v>
      </c>
      <c r="W200" s="6" t="s">
        <v>401</v>
      </c>
      <c r="X200" s="6" t="s">
        <v>401</v>
      </c>
      <c r="Y200" s="120">
        <v>2.0</v>
      </c>
      <c r="Z200" s="49">
        <f t="shared" si="7"/>
        <v>2</v>
      </c>
      <c r="AA200" s="49">
        <f t="shared" si="8"/>
        <v>2</v>
      </c>
      <c r="AB200" s="49">
        <f t="shared" si="9"/>
        <v>2</v>
      </c>
      <c r="AC200" s="20" t="str">
        <f t="shared" ref="AC200:AD200" si="405">IF(_xlfn.ISFORMULA(S200),IFERROR(0/0,""),TRUE)</f>
        <v/>
      </c>
      <c r="AD200" s="20" t="str">
        <f t="shared" si="405"/>
        <v/>
      </c>
      <c r="AE200" s="43"/>
      <c r="AF200" s="86" t="s">
        <v>44</v>
      </c>
      <c r="AG200" s="57" t="b">
        <f t="shared" si="11"/>
        <v>0</v>
      </c>
    </row>
    <row r="201">
      <c r="A201" s="6" t="str">
        <f>IFERROR(__xludf.DUMMYFUNCTION("""COMPUTED_VALUE"""),"MA431")</f>
        <v>MA431</v>
      </c>
      <c r="B201" s="204">
        <f>IFERROR(__xludf.DUMMYFUNCTION("""COMPUTED_VALUE"""),44579.0)</f>
        <v>44579</v>
      </c>
      <c r="C201" s="250">
        <f>IFERROR(__xludf.DUMMYFUNCTION("""COMPUTED_VALUE"""),0.33121527777777776)</f>
        <v>0.3312152778</v>
      </c>
      <c r="D201" s="6" t="str">
        <f>IFERROR(__xludf.DUMMYFUNCTION("""COMPUTED_VALUE"""),"SpBEND842248")</f>
        <v>SpBEND842248</v>
      </c>
      <c r="E201" s="251"/>
      <c r="F201" s="251"/>
      <c r="G201" s="251" t="str">
        <f>IFERROR(__xludf.DUMMYFUNCTION("""COMPUTED_VALUE"""),"Negative")</f>
        <v>Negative</v>
      </c>
      <c r="H201" s="262" t="str">
        <f>IFERROR(__xludf.DUMMYFUNCTION("""COMPUTED_VALUE"""),"Negative")</f>
        <v>Negative</v>
      </c>
      <c r="I201" s="204">
        <f>IFERROR(__xludf.DUMMYFUNCTION("""COMPUTED_VALUE"""),44580.0)</f>
        <v>44580</v>
      </c>
      <c r="J201" s="252">
        <f>IFERROR(__xludf.DUMMYFUNCTION("""COMPUTED_VALUE"""),0.5080092592592592)</f>
        <v>0.5080092593</v>
      </c>
      <c r="K201" s="56"/>
      <c r="L201" s="6"/>
      <c r="M201" s="61"/>
      <c r="N201" s="61">
        <f>IFERROR(__xludf.DUMMYFUNCTION("""COMPUTED_VALUE"""),1.0)</f>
        <v>1</v>
      </c>
      <c r="O201" s="61" t="str">
        <f t="shared" si="3"/>
        <v/>
      </c>
      <c r="P201" s="253">
        <f>IFERROR(__xludf.DUMMYFUNCTION("""COMPUTED_VALUE"""),1.0)</f>
        <v>1</v>
      </c>
      <c r="Q201" s="254" t="str">
        <f>VLOOKUP($B201,'Run Reconcile'!B$2:O799,14,FALSE)</f>
        <v/>
      </c>
      <c r="R201" s="255" t="str">
        <f t="array" ref="R201">IF($Q201, INDEX('Run Reconcile'!A$2:A799,MATCH(B201,'Run Reconcile'!B$2:B799,0),1),IFERROR(0/0,""))</f>
        <v/>
      </c>
      <c r="S201" s="261" t="b">
        <f t="shared" ref="S201:T201" si="406">IF(COUNTIF(W$2:W799, $A201) &gt; 0,TRUE,IFERROR(0/0,""))</f>
        <v>1</v>
      </c>
      <c r="T201" s="261" t="b">
        <f t="shared" si="406"/>
        <v>1</v>
      </c>
      <c r="U201" s="257" t="str">
        <f t="array" ref="U201">IF(ISBLANK($R201), INDEX('Run Reconcile'!A$2:A799, MATCH($B201, 'Run Reconcile'!B$2:B799, 0)+Z201, 1), IFERROR(0/0,""))
</f>
        <v>RUN-BEND_2022-01-19_RFR-016</v>
      </c>
      <c r="V201" s="266" t="s">
        <v>43</v>
      </c>
      <c r="W201" s="6" t="s">
        <v>402</v>
      </c>
      <c r="X201" s="6" t="s">
        <v>402</v>
      </c>
      <c r="Y201" s="120">
        <v>2.0</v>
      </c>
      <c r="Z201" s="49">
        <f t="shared" si="7"/>
        <v>2</v>
      </c>
      <c r="AA201" s="49">
        <f t="shared" si="8"/>
        <v>2</v>
      </c>
      <c r="AB201" s="49">
        <f t="shared" si="9"/>
        <v>2</v>
      </c>
      <c r="AC201" s="20" t="str">
        <f t="shared" ref="AC201:AD201" si="407">IF(_xlfn.ISFORMULA(S201),IFERROR(0/0,""),TRUE)</f>
        <v/>
      </c>
      <c r="AD201" s="20" t="str">
        <f t="shared" si="407"/>
        <v/>
      </c>
      <c r="AE201" s="43"/>
      <c r="AF201" s="86" t="s">
        <v>44</v>
      </c>
      <c r="AG201" s="57" t="b">
        <f t="shared" si="11"/>
        <v>0</v>
      </c>
    </row>
    <row r="202">
      <c r="A202" s="6" t="str">
        <f>IFERROR(__xludf.DUMMYFUNCTION("""COMPUTED_VALUE"""),"MA458")</f>
        <v>MA458</v>
      </c>
      <c r="B202" s="204">
        <f>IFERROR(__xludf.DUMMYFUNCTION("""COMPUTED_VALUE"""),44579.0)</f>
        <v>44579</v>
      </c>
      <c r="C202" s="250">
        <f>IFERROR(__xludf.DUMMYFUNCTION("""COMPUTED_VALUE"""),0.3317824074074074)</f>
        <v>0.3317824074</v>
      </c>
      <c r="D202" s="6" t="str">
        <f>IFERROR(__xludf.DUMMYFUNCTION("""COMPUTED_VALUE"""),"SpBEND349435")</f>
        <v>SpBEND349435</v>
      </c>
      <c r="E202" s="251"/>
      <c r="F202" s="251"/>
      <c r="G202" s="251" t="str">
        <f>IFERROR(__xludf.DUMMYFUNCTION("""COMPUTED_VALUE"""),"Negative")</f>
        <v>Negative</v>
      </c>
      <c r="H202" s="264" t="str">
        <f>IFERROR(__xludf.DUMMYFUNCTION("""COMPUTED_VALUE"""),"Negative")</f>
        <v>Negative</v>
      </c>
      <c r="I202" s="263">
        <f>IFERROR(__xludf.DUMMYFUNCTION("""COMPUTED_VALUE"""),44580.0)</f>
        <v>44580</v>
      </c>
      <c r="J202" s="252">
        <f>IFERROR(__xludf.DUMMYFUNCTION("""COMPUTED_VALUE"""),0.5080092592592592)</f>
        <v>0.5080092593</v>
      </c>
      <c r="K202" s="56"/>
      <c r="L202" s="6"/>
      <c r="M202" s="61"/>
      <c r="N202" s="61">
        <f>IFERROR(__xludf.DUMMYFUNCTION("""COMPUTED_VALUE"""),1.0)</f>
        <v>1</v>
      </c>
      <c r="O202" s="61" t="str">
        <f t="shared" si="3"/>
        <v/>
      </c>
      <c r="P202" s="253">
        <f>IFERROR(__xludf.DUMMYFUNCTION("""COMPUTED_VALUE"""),1.0)</f>
        <v>1</v>
      </c>
      <c r="Q202" s="254" t="str">
        <f>VLOOKUP($B202,'Run Reconcile'!B$2:O799,14,FALSE)</f>
        <v/>
      </c>
      <c r="R202" s="255" t="str">
        <f t="array" ref="R202">IF($Q202, INDEX('Run Reconcile'!A$2:A799,MATCH(B202,'Run Reconcile'!B$2:B799,0),1),IFERROR(0/0,""))</f>
        <v/>
      </c>
      <c r="S202" s="261" t="b">
        <f t="shared" ref="S202:T202" si="408">IF(COUNTIF(W$2:W799, $A202) &gt; 0,TRUE,IFERROR(0/0,""))</f>
        <v>1</v>
      </c>
      <c r="T202" s="261" t="b">
        <f t="shared" si="408"/>
        <v>1</v>
      </c>
      <c r="U202" s="257" t="str">
        <f t="array" ref="U202">IF(ISBLANK($R202), INDEX('Run Reconcile'!A$2:A799, MATCH($B202, 'Run Reconcile'!B$2:B799, 0)+Z202, 1), IFERROR(0/0,""))
</f>
        <v>RUN-BEND_2022-01-19_RFR-016</v>
      </c>
      <c r="V202" s="266" t="s">
        <v>43</v>
      </c>
      <c r="W202" s="6" t="s">
        <v>403</v>
      </c>
      <c r="X202" s="6" t="s">
        <v>403</v>
      </c>
      <c r="Y202" s="120">
        <v>2.0</v>
      </c>
      <c r="Z202" s="49">
        <f t="shared" si="7"/>
        <v>2</v>
      </c>
      <c r="AA202" s="49">
        <f t="shared" si="8"/>
        <v>2</v>
      </c>
      <c r="AB202" s="49">
        <f t="shared" si="9"/>
        <v>2</v>
      </c>
      <c r="AC202" s="20" t="str">
        <f t="shared" ref="AC202:AD202" si="409">IF(_xlfn.ISFORMULA(S202),IFERROR(0/0,""),TRUE)</f>
        <v/>
      </c>
      <c r="AD202" s="20" t="str">
        <f t="shared" si="409"/>
        <v/>
      </c>
      <c r="AE202" s="43"/>
      <c r="AF202" s="86" t="s">
        <v>44</v>
      </c>
      <c r="AG202" s="57" t="b">
        <f t="shared" si="11"/>
        <v>0</v>
      </c>
    </row>
    <row r="203">
      <c r="A203" s="6" t="str">
        <f>IFERROR(__xludf.DUMMYFUNCTION("""COMPUTED_VALUE"""),"MA629")</f>
        <v>MA629</v>
      </c>
      <c r="B203" s="204">
        <f>IFERROR(__xludf.DUMMYFUNCTION("""COMPUTED_VALUE"""),44579.0)</f>
        <v>44579</v>
      </c>
      <c r="C203" s="250">
        <f>IFERROR(__xludf.DUMMYFUNCTION("""COMPUTED_VALUE"""),0.332025462962963)</f>
        <v>0.332025463</v>
      </c>
      <c r="D203" s="6" t="str">
        <f>IFERROR(__xludf.DUMMYFUNCTION("""COMPUTED_VALUE"""),"SpBEND292554")</f>
        <v>SpBEND292554</v>
      </c>
      <c r="E203" s="251"/>
      <c r="F203" s="251"/>
      <c r="G203" s="251" t="str">
        <f>IFERROR(__xludf.DUMMYFUNCTION("""COMPUTED_VALUE"""),"Negative")</f>
        <v>Negative</v>
      </c>
      <c r="H203" s="262" t="str">
        <f>IFERROR(__xludf.DUMMYFUNCTION("""COMPUTED_VALUE"""),"Negative")</f>
        <v>Negative</v>
      </c>
      <c r="I203" s="204">
        <f>IFERROR(__xludf.DUMMYFUNCTION("""COMPUTED_VALUE"""),44580.0)</f>
        <v>44580</v>
      </c>
      <c r="J203" s="252">
        <f>IFERROR(__xludf.DUMMYFUNCTION("""COMPUTED_VALUE"""),0.5080092592592592)</f>
        <v>0.5080092593</v>
      </c>
      <c r="K203" s="56"/>
      <c r="L203" s="6"/>
      <c r="M203" s="61"/>
      <c r="N203" s="61">
        <f>IFERROR(__xludf.DUMMYFUNCTION("""COMPUTED_VALUE"""),1.0)</f>
        <v>1</v>
      </c>
      <c r="O203" s="61" t="str">
        <f t="shared" si="3"/>
        <v/>
      </c>
      <c r="P203" s="253">
        <f>IFERROR(__xludf.DUMMYFUNCTION("""COMPUTED_VALUE"""),1.0)</f>
        <v>1</v>
      </c>
      <c r="Q203" s="254" t="str">
        <f>VLOOKUP($B203,'Run Reconcile'!B$2:O799,14,FALSE)</f>
        <v/>
      </c>
      <c r="R203" s="255" t="str">
        <f t="array" ref="R203">IF($Q203, INDEX('Run Reconcile'!A$2:A799,MATCH(B203,'Run Reconcile'!B$2:B799,0),1),IFERROR(0/0,""))</f>
        <v/>
      </c>
      <c r="S203" s="261" t="b">
        <f t="shared" ref="S203:T203" si="410">IF(COUNTIF(W$2:W799, $A203) &gt; 0,TRUE,IFERROR(0/0,""))</f>
        <v>1</v>
      </c>
      <c r="T203" s="261" t="b">
        <f t="shared" si="410"/>
        <v>1</v>
      </c>
      <c r="U203" s="257" t="str">
        <f t="array" ref="U203">IF(ISBLANK($R203), INDEX('Run Reconcile'!A$2:A799, MATCH($B203, 'Run Reconcile'!B$2:B799, 0)+Z203, 1), IFERROR(0/0,""))
</f>
        <v>RUN-BEND_2022-01-19_RFR-016</v>
      </c>
      <c r="V203" s="266" t="s">
        <v>43</v>
      </c>
      <c r="W203" s="6" t="s">
        <v>404</v>
      </c>
      <c r="X203" s="6" t="s">
        <v>404</v>
      </c>
      <c r="Y203" s="120">
        <v>2.0</v>
      </c>
      <c r="Z203" s="49">
        <f t="shared" si="7"/>
        <v>2</v>
      </c>
      <c r="AA203" s="49">
        <f t="shared" si="8"/>
        <v>2</v>
      </c>
      <c r="AB203" s="49">
        <f t="shared" si="9"/>
        <v>2</v>
      </c>
      <c r="AC203" s="20" t="str">
        <f t="shared" ref="AC203:AD203" si="411">IF(_xlfn.ISFORMULA(S203),IFERROR(0/0,""),TRUE)</f>
        <v/>
      </c>
      <c r="AD203" s="20" t="str">
        <f t="shared" si="411"/>
        <v/>
      </c>
      <c r="AE203" s="43"/>
      <c r="AF203" s="86" t="s">
        <v>44</v>
      </c>
      <c r="AG203" s="57" t="b">
        <f t="shared" si="11"/>
        <v>0</v>
      </c>
    </row>
    <row r="204">
      <c r="A204" s="6" t="str">
        <f>IFERROR(__xludf.DUMMYFUNCTION("""COMPUTED_VALUE"""),"MA652")</f>
        <v>MA652</v>
      </c>
      <c r="B204" s="204">
        <f>IFERROR(__xludf.DUMMYFUNCTION("""COMPUTED_VALUE"""),44579.0)</f>
        <v>44579</v>
      </c>
      <c r="C204" s="250">
        <f>IFERROR(__xludf.DUMMYFUNCTION("""COMPUTED_VALUE"""),0.3321296296296296)</f>
        <v>0.3321296296</v>
      </c>
      <c r="D204" s="6" t="str">
        <f>IFERROR(__xludf.DUMMYFUNCTION("""COMPUTED_VALUE"""),"SpBEND617677")</f>
        <v>SpBEND617677</v>
      </c>
      <c r="E204" s="251"/>
      <c r="F204" s="251"/>
      <c r="G204" s="251" t="str">
        <f>IFERROR(__xludf.DUMMYFUNCTION("""COMPUTED_VALUE"""),"Negative")</f>
        <v>Negative</v>
      </c>
      <c r="H204" s="262" t="str">
        <f>IFERROR(__xludf.DUMMYFUNCTION("""COMPUTED_VALUE"""),"Negative")</f>
        <v>Negative</v>
      </c>
      <c r="I204" s="204">
        <f>IFERROR(__xludf.DUMMYFUNCTION("""COMPUTED_VALUE"""),44580.0)</f>
        <v>44580</v>
      </c>
      <c r="J204" s="252">
        <f>IFERROR(__xludf.DUMMYFUNCTION("""COMPUTED_VALUE"""),0.5080092592592592)</f>
        <v>0.5080092593</v>
      </c>
      <c r="K204" s="56"/>
      <c r="L204" s="6"/>
      <c r="M204" s="61"/>
      <c r="N204" s="61">
        <f>IFERROR(__xludf.DUMMYFUNCTION("""COMPUTED_VALUE"""),1.0)</f>
        <v>1</v>
      </c>
      <c r="O204" s="61" t="str">
        <f t="shared" si="3"/>
        <v/>
      </c>
      <c r="P204" s="253">
        <f>IFERROR(__xludf.DUMMYFUNCTION("""COMPUTED_VALUE"""),1.0)</f>
        <v>1</v>
      </c>
      <c r="Q204" s="254" t="str">
        <f>VLOOKUP($B204,'Run Reconcile'!B$2:O799,14,FALSE)</f>
        <v/>
      </c>
      <c r="R204" s="255" t="str">
        <f t="array" ref="R204">IF($Q204, INDEX('Run Reconcile'!A$2:A799,MATCH(B204,'Run Reconcile'!B$2:B799,0),1),IFERROR(0/0,""))</f>
        <v/>
      </c>
      <c r="S204" s="261" t="b">
        <f t="shared" ref="S204:T204" si="412">IF(COUNTIF(W$2:W799, $A204) &gt; 0,TRUE,IFERROR(0/0,""))</f>
        <v>1</v>
      </c>
      <c r="T204" s="261" t="b">
        <f t="shared" si="412"/>
        <v>1</v>
      </c>
      <c r="U204" s="257" t="str">
        <f t="array" ref="U204">IF(ISBLANK($R204), INDEX('Run Reconcile'!A$2:A799, MATCH($B204, 'Run Reconcile'!B$2:B799, 0)+Z204, 1), IFERROR(0/0,""))
</f>
        <v>RUN-BEND_2022-01-19_RFR-016</v>
      </c>
      <c r="V204" s="266" t="s">
        <v>43</v>
      </c>
      <c r="W204" s="6" t="s">
        <v>405</v>
      </c>
      <c r="X204" s="6" t="s">
        <v>405</v>
      </c>
      <c r="Y204" s="120">
        <v>2.0</v>
      </c>
      <c r="Z204" s="49">
        <f t="shared" si="7"/>
        <v>2</v>
      </c>
      <c r="AA204" s="49">
        <f t="shared" si="8"/>
        <v>2</v>
      </c>
      <c r="AB204" s="49">
        <f t="shared" si="9"/>
        <v>2</v>
      </c>
      <c r="AC204" s="20" t="str">
        <f t="shared" ref="AC204:AD204" si="413">IF(_xlfn.ISFORMULA(S204),IFERROR(0/0,""),TRUE)</f>
        <v/>
      </c>
      <c r="AD204" s="20" t="str">
        <f t="shared" si="413"/>
        <v/>
      </c>
      <c r="AE204" s="43"/>
      <c r="AF204" s="86" t="s">
        <v>44</v>
      </c>
      <c r="AG204" s="57" t="b">
        <f t="shared" si="11"/>
        <v>0</v>
      </c>
    </row>
    <row r="205">
      <c r="A205" s="6" t="str">
        <f>IFERROR(__xludf.DUMMYFUNCTION("""COMPUTED_VALUE"""),"MA650")</f>
        <v>MA650</v>
      </c>
      <c r="B205" s="204">
        <f>IFERROR(__xludf.DUMMYFUNCTION("""COMPUTED_VALUE"""),44579.0)</f>
        <v>44579</v>
      </c>
      <c r="C205" s="250">
        <f>IFERROR(__xludf.DUMMYFUNCTION("""COMPUTED_VALUE"""),0.3324884259259259)</f>
        <v>0.3324884259</v>
      </c>
      <c r="D205" s="6" t="str">
        <f>IFERROR(__xludf.DUMMYFUNCTION("""COMPUTED_VALUE"""),"SpBEND768497")</f>
        <v>SpBEND768497</v>
      </c>
      <c r="E205" s="251"/>
      <c r="F205" s="251"/>
      <c r="G205" s="251" t="str">
        <f>IFERROR(__xludf.DUMMYFUNCTION("""COMPUTED_VALUE"""),"Negative")</f>
        <v>Negative</v>
      </c>
      <c r="H205" s="262" t="str">
        <f>IFERROR(__xludf.DUMMYFUNCTION("""COMPUTED_VALUE"""),"Negative")</f>
        <v>Negative</v>
      </c>
      <c r="I205" s="204">
        <f>IFERROR(__xludf.DUMMYFUNCTION("""COMPUTED_VALUE"""),44580.0)</f>
        <v>44580</v>
      </c>
      <c r="J205" s="252">
        <f>IFERROR(__xludf.DUMMYFUNCTION("""COMPUTED_VALUE"""),0.5080092592592592)</f>
        <v>0.5080092593</v>
      </c>
      <c r="K205" s="56"/>
      <c r="L205" s="6"/>
      <c r="M205" s="61"/>
      <c r="N205" s="61">
        <f>IFERROR(__xludf.DUMMYFUNCTION("""COMPUTED_VALUE"""),1.0)</f>
        <v>1</v>
      </c>
      <c r="O205" s="61" t="str">
        <f t="shared" si="3"/>
        <v/>
      </c>
      <c r="P205" s="253">
        <f>IFERROR(__xludf.DUMMYFUNCTION("""COMPUTED_VALUE"""),1.0)</f>
        <v>1</v>
      </c>
      <c r="Q205" s="254" t="str">
        <f>VLOOKUP($B205,'Run Reconcile'!B$2:O799,14,FALSE)</f>
        <v/>
      </c>
      <c r="R205" s="255" t="str">
        <f t="array" ref="R205">IF($Q205, INDEX('Run Reconcile'!A$2:A799,MATCH(B205,'Run Reconcile'!B$2:B799,0),1),IFERROR(0/0,""))</f>
        <v/>
      </c>
      <c r="S205" s="261" t="b">
        <f t="shared" ref="S205:T205" si="414">IF(COUNTIF(W$2:W799, $A205) &gt; 0,TRUE,IFERROR(0/0,""))</f>
        <v>1</v>
      </c>
      <c r="T205" s="261" t="b">
        <f t="shared" si="414"/>
        <v>1</v>
      </c>
      <c r="U205" s="257" t="str">
        <f t="array" ref="U205">IF(ISBLANK($R205), INDEX('Run Reconcile'!A$2:A799, MATCH($B205, 'Run Reconcile'!B$2:B799, 0)+Z205, 1), IFERROR(0/0,""))
</f>
        <v>RUN-BEND_2022-01-19_RFR-016</v>
      </c>
      <c r="V205" s="266" t="s">
        <v>43</v>
      </c>
      <c r="W205" s="6" t="s">
        <v>406</v>
      </c>
      <c r="X205" s="6" t="s">
        <v>406</v>
      </c>
      <c r="Y205" s="120">
        <v>2.0</v>
      </c>
      <c r="Z205" s="49">
        <f t="shared" si="7"/>
        <v>2</v>
      </c>
      <c r="AA205" s="49">
        <f t="shared" si="8"/>
        <v>2</v>
      </c>
      <c r="AB205" s="49">
        <f t="shared" si="9"/>
        <v>2</v>
      </c>
      <c r="AC205" s="20" t="str">
        <f t="shared" ref="AC205:AD205" si="415">IF(_xlfn.ISFORMULA(S205),IFERROR(0/0,""),TRUE)</f>
        <v/>
      </c>
      <c r="AD205" s="20" t="str">
        <f t="shared" si="415"/>
        <v/>
      </c>
      <c r="AE205" s="43"/>
      <c r="AF205" s="86" t="s">
        <v>44</v>
      </c>
      <c r="AG205" s="57" t="b">
        <f t="shared" si="11"/>
        <v>0</v>
      </c>
    </row>
    <row r="206">
      <c r="A206" s="6" t="str">
        <f>IFERROR(__xludf.DUMMYFUNCTION("""COMPUTED_VALUE"""),"MA656")</f>
        <v>MA656</v>
      </c>
      <c r="B206" s="204">
        <f>IFERROR(__xludf.DUMMYFUNCTION("""COMPUTED_VALUE"""),44579.0)</f>
        <v>44579</v>
      </c>
      <c r="C206" s="250">
        <f>IFERROR(__xludf.DUMMYFUNCTION("""COMPUTED_VALUE"""),0.3325462962962963)</f>
        <v>0.3325462963</v>
      </c>
      <c r="D206" s="6" t="str">
        <f>IFERROR(__xludf.DUMMYFUNCTION("""COMPUTED_VALUE"""),"SpBEND747592")</f>
        <v>SpBEND747592</v>
      </c>
      <c r="E206" s="251"/>
      <c r="F206" s="251"/>
      <c r="G206" s="251" t="str">
        <f>IFERROR(__xludf.DUMMYFUNCTION("""COMPUTED_VALUE"""),"Negative")</f>
        <v>Negative</v>
      </c>
      <c r="H206" s="262" t="str">
        <f>IFERROR(__xludf.DUMMYFUNCTION("""COMPUTED_VALUE"""),"Negative")</f>
        <v>Negative</v>
      </c>
      <c r="I206" s="204">
        <f>IFERROR(__xludf.DUMMYFUNCTION("""COMPUTED_VALUE"""),44580.0)</f>
        <v>44580</v>
      </c>
      <c r="J206" s="252">
        <f>IFERROR(__xludf.DUMMYFUNCTION("""COMPUTED_VALUE"""),0.5080092592592592)</f>
        <v>0.5080092593</v>
      </c>
      <c r="K206" s="56"/>
      <c r="L206" s="6"/>
      <c r="M206" s="61"/>
      <c r="N206" s="61">
        <f>IFERROR(__xludf.DUMMYFUNCTION("""COMPUTED_VALUE"""),1.0)</f>
        <v>1</v>
      </c>
      <c r="O206" s="61" t="str">
        <f t="shared" si="3"/>
        <v/>
      </c>
      <c r="P206" s="253">
        <f>IFERROR(__xludf.DUMMYFUNCTION("""COMPUTED_VALUE"""),1.0)</f>
        <v>1</v>
      </c>
      <c r="Q206" s="254" t="str">
        <f>VLOOKUP($B206,'Run Reconcile'!B$2:O799,14,FALSE)</f>
        <v/>
      </c>
      <c r="R206" s="255" t="str">
        <f t="array" ref="R206">IF($Q206, INDEX('Run Reconcile'!A$2:A799,MATCH(B206,'Run Reconcile'!B$2:B799,0),1),IFERROR(0/0,""))</f>
        <v/>
      </c>
      <c r="S206" s="261" t="b">
        <f t="shared" ref="S206:T206" si="416">IF(COUNTIF(W$2:W799, $A206) &gt; 0,TRUE,IFERROR(0/0,""))</f>
        <v>1</v>
      </c>
      <c r="T206" s="261" t="b">
        <f t="shared" si="416"/>
        <v>1</v>
      </c>
      <c r="U206" s="257" t="str">
        <f t="array" ref="U206">IF(ISBLANK($R206), INDEX('Run Reconcile'!A$2:A799, MATCH($B206, 'Run Reconcile'!B$2:B799, 0)+Z206, 1), IFERROR(0/0,""))
</f>
        <v>RUN-BEND_2022-01-19_RFR-016</v>
      </c>
      <c r="V206" s="266" t="s">
        <v>43</v>
      </c>
      <c r="W206" s="6" t="s">
        <v>407</v>
      </c>
      <c r="X206" s="6" t="s">
        <v>407</v>
      </c>
      <c r="Y206" s="120">
        <v>2.0</v>
      </c>
      <c r="Z206" s="49">
        <f t="shared" si="7"/>
        <v>2</v>
      </c>
      <c r="AA206" s="49">
        <f t="shared" si="8"/>
        <v>2</v>
      </c>
      <c r="AB206" s="49">
        <f t="shared" si="9"/>
        <v>2</v>
      </c>
      <c r="AC206" s="20" t="str">
        <f t="shared" ref="AC206:AD206" si="417">IF(_xlfn.ISFORMULA(S206),IFERROR(0/0,""),TRUE)</f>
        <v/>
      </c>
      <c r="AD206" s="20" t="str">
        <f t="shared" si="417"/>
        <v/>
      </c>
      <c r="AE206" s="43"/>
      <c r="AF206" s="86" t="s">
        <v>44</v>
      </c>
      <c r="AG206" s="57" t="b">
        <f t="shared" si="11"/>
        <v>0</v>
      </c>
    </row>
    <row r="207">
      <c r="A207" s="6" t="str">
        <f>IFERROR(__xludf.DUMMYFUNCTION("""COMPUTED_VALUE"""),"MA1124")</f>
        <v>MA1124</v>
      </c>
      <c r="B207" s="204">
        <f>IFERROR(__xludf.DUMMYFUNCTION("""COMPUTED_VALUE"""),44579.0)</f>
        <v>44579</v>
      </c>
      <c r="C207" s="250">
        <f>IFERROR(__xludf.DUMMYFUNCTION("""COMPUTED_VALUE"""),0.34042824074074074)</f>
        <v>0.3404282407</v>
      </c>
      <c r="D207" s="6" t="str">
        <f>IFERROR(__xludf.DUMMYFUNCTION("""COMPUTED_VALUE"""),"SpBEND825522")</f>
        <v>SpBEND825522</v>
      </c>
      <c r="E207" s="251"/>
      <c r="F207" s="251"/>
      <c r="G207" s="251" t="str">
        <f>IFERROR(__xludf.DUMMYFUNCTION("""COMPUTED_VALUE"""),"Negative")</f>
        <v>Negative</v>
      </c>
      <c r="H207" s="262" t="str">
        <f>IFERROR(__xludf.DUMMYFUNCTION("""COMPUTED_VALUE"""),"Negative")</f>
        <v>Negative</v>
      </c>
      <c r="I207" s="204">
        <f>IFERROR(__xludf.DUMMYFUNCTION("""COMPUTED_VALUE"""),44580.0)</f>
        <v>44580</v>
      </c>
      <c r="J207" s="252">
        <f>IFERROR(__xludf.DUMMYFUNCTION("""COMPUTED_VALUE"""),0.5080092592592592)</f>
        <v>0.5080092593</v>
      </c>
      <c r="K207" s="56"/>
      <c r="L207" s="6"/>
      <c r="M207" s="61"/>
      <c r="N207" s="61">
        <f>IFERROR(__xludf.DUMMYFUNCTION("""COMPUTED_VALUE"""),1.0)</f>
        <v>1</v>
      </c>
      <c r="O207" s="61" t="str">
        <f t="shared" si="3"/>
        <v/>
      </c>
      <c r="P207" s="253">
        <f>IFERROR(__xludf.DUMMYFUNCTION("""COMPUTED_VALUE"""),1.0)</f>
        <v>1</v>
      </c>
      <c r="Q207" s="254" t="str">
        <f>VLOOKUP($B207,'Run Reconcile'!B$2:O799,14,FALSE)</f>
        <v/>
      </c>
      <c r="R207" s="255" t="str">
        <f t="array" ref="R207">IF($Q207, INDEX('Run Reconcile'!A$2:A799,MATCH(B207,'Run Reconcile'!B$2:B799,0),1),IFERROR(0/0,""))</f>
        <v/>
      </c>
      <c r="S207" s="261" t="b">
        <f t="shared" ref="S207:T207" si="418">IF(COUNTIF(W$2:W799, $A207) &gt; 0,TRUE,IFERROR(0/0,""))</f>
        <v>1</v>
      </c>
      <c r="T207" s="261" t="b">
        <f t="shared" si="418"/>
        <v>1</v>
      </c>
      <c r="U207" s="257" t="str">
        <f t="array" ref="U207">IF(ISBLANK($R207), INDEX('Run Reconcile'!A$2:A799, MATCH($B207, 'Run Reconcile'!B$2:B799, 0)+Z207, 1), IFERROR(0/0,""))
</f>
        <v>RUN-BEND_2022-01-19_RFR-016</v>
      </c>
      <c r="V207" s="266" t="s">
        <v>43</v>
      </c>
      <c r="W207" s="6" t="s">
        <v>408</v>
      </c>
      <c r="X207" s="6" t="s">
        <v>408</v>
      </c>
      <c r="Y207" s="120">
        <v>2.0</v>
      </c>
      <c r="Z207" s="49">
        <f t="shared" si="7"/>
        <v>2</v>
      </c>
      <c r="AA207" s="49">
        <f t="shared" si="8"/>
        <v>2</v>
      </c>
      <c r="AB207" s="49">
        <f t="shared" si="9"/>
        <v>2</v>
      </c>
      <c r="AC207" s="20" t="str">
        <f t="shared" ref="AC207:AD207" si="419">IF(_xlfn.ISFORMULA(S207),IFERROR(0/0,""),TRUE)</f>
        <v/>
      </c>
      <c r="AD207" s="20" t="str">
        <f t="shared" si="419"/>
        <v/>
      </c>
      <c r="AE207" s="43"/>
      <c r="AF207" s="86" t="s">
        <v>44</v>
      </c>
      <c r="AG207" s="57" t="b">
        <f t="shared" si="11"/>
        <v>0</v>
      </c>
    </row>
    <row r="208">
      <c r="A208" s="6" t="str">
        <f>IFERROR(__xludf.DUMMYFUNCTION("""COMPUTED_VALUE"""),"MA386")</f>
        <v>MA386</v>
      </c>
      <c r="B208" s="204">
        <f>IFERROR(__xludf.DUMMYFUNCTION("""COMPUTED_VALUE"""),44579.0)</f>
        <v>44579</v>
      </c>
      <c r="C208" s="250">
        <f>IFERROR(__xludf.DUMMYFUNCTION("""COMPUTED_VALUE"""),0.3413888888888889)</f>
        <v>0.3413888889</v>
      </c>
      <c r="D208" s="6" t="str">
        <f>IFERROR(__xludf.DUMMYFUNCTION("""COMPUTED_VALUE"""),"SpBEND183210")</f>
        <v>SpBEND183210</v>
      </c>
      <c r="E208" s="251"/>
      <c r="F208" s="251"/>
      <c r="G208" s="251" t="str">
        <f>IFERROR(__xludf.DUMMYFUNCTION("""COMPUTED_VALUE"""),"Negative")</f>
        <v>Negative</v>
      </c>
      <c r="H208" s="262" t="str">
        <f>IFERROR(__xludf.DUMMYFUNCTION("""COMPUTED_VALUE"""),"Negative")</f>
        <v>Negative</v>
      </c>
      <c r="I208" s="204">
        <f>IFERROR(__xludf.DUMMYFUNCTION("""COMPUTED_VALUE"""),44580.0)</f>
        <v>44580</v>
      </c>
      <c r="J208" s="252">
        <f>IFERROR(__xludf.DUMMYFUNCTION("""COMPUTED_VALUE"""),0.5080208333333334)</f>
        <v>0.5080208333</v>
      </c>
      <c r="K208" s="56"/>
      <c r="L208" s="6"/>
      <c r="M208" s="61"/>
      <c r="N208" s="61">
        <f>IFERROR(__xludf.DUMMYFUNCTION("""COMPUTED_VALUE"""),1.0)</f>
        <v>1</v>
      </c>
      <c r="O208" s="61" t="str">
        <f t="shared" si="3"/>
        <v/>
      </c>
      <c r="P208" s="253">
        <f>IFERROR(__xludf.DUMMYFUNCTION("""COMPUTED_VALUE"""),1.0)</f>
        <v>1</v>
      </c>
      <c r="Q208" s="254" t="str">
        <f>VLOOKUP($B208,'Run Reconcile'!B$2:O799,14,FALSE)</f>
        <v/>
      </c>
      <c r="R208" s="255" t="str">
        <f t="array" ref="R208">IF($Q208, INDEX('Run Reconcile'!A$2:A799,MATCH(B208,'Run Reconcile'!B$2:B799,0),1),IFERROR(0/0,""))</f>
        <v/>
      </c>
      <c r="S208" s="261" t="b">
        <f t="shared" ref="S208:T208" si="420">IF(COUNTIF(W$2:W799, $A208) &gt; 0,TRUE,IFERROR(0/0,""))</f>
        <v>1</v>
      </c>
      <c r="T208" s="261" t="b">
        <f t="shared" si="420"/>
        <v>1</v>
      </c>
      <c r="U208" s="257" t="str">
        <f t="array" ref="U208">IF(ISBLANK($R208), INDEX('Run Reconcile'!A$2:A799, MATCH($B208, 'Run Reconcile'!B$2:B799, 0)+Z208, 1), IFERROR(0/0,""))
</f>
        <v>RUN-BEND_2022-01-19_RFR-016</v>
      </c>
      <c r="V208" s="266" t="s">
        <v>43</v>
      </c>
      <c r="W208" s="6" t="s">
        <v>409</v>
      </c>
      <c r="X208" s="6" t="s">
        <v>409</v>
      </c>
      <c r="Y208" s="120">
        <v>2.0</v>
      </c>
      <c r="Z208" s="49">
        <f t="shared" si="7"/>
        <v>2</v>
      </c>
      <c r="AA208" s="49">
        <f t="shared" si="8"/>
        <v>2</v>
      </c>
      <c r="AB208" s="49">
        <f t="shared" si="9"/>
        <v>2</v>
      </c>
      <c r="AC208" s="20" t="str">
        <f t="shared" ref="AC208:AD208" si="421">IF(_xlfn.ISFORMULA(S208),IFERROR(0/0,""),TRUE)</f>
        <v/>
      </c>
      <c r="AD208" s="20" t="str">
        <f t="shared" si="421"/>
        <v/>
      </c>
      <c r="AE208" s="43"/>
      <c r="AF208" s="86" t="s">
        <v>44</v>
      </c>
      <c r="AG208" s="57" t="b">
        <f t="shared" si="11"/>
        <v>0</v>
      </c>
    </row>
    <row r="209">
      <c r="A209" s="6" t="str">
        <f>IFERROR(__xludf.DUMMYFUNCTION("""COMPUTED_VALUE"""),"MA1165")</f>
        <v>MA1165</v>
      </c>
      <c r="B209" s="204">
        <f>IFERROR(__xludf.DUMMYFUNCTION("""COMPUTED_VALUE"""),44579.0)</f>
        <v>44579</v>
      </c>
      <c r="C209" s="250">
        <f>IFERROR(__xludf.DUMMYFUNCTION("""COMPUTED_VALUE"""),0.34629629629629627)</f>
        <v>0.3462962963</v>
      </c>
      <c r="D209" s="6" t="str">
        <f>IFERROR(__xludf.DUMMYFUNCTION("""COMPUTED_VALUE"""),"SpBEND541174")</f>
        <v>SpBEND541174</v>
      </c>
      <c r="E209" s="251"/>
      <c r="F209" s="251"/>
      <c r="G209" s="251" t="str">
        <f>IFERROR(__xludf.DUMMYFUNCTION("""COMPUTED_VALUE"""),"Negative")</f>
        <v>Negative</v>
      </c>
      <c r="H209" s="262" t="str">
        <f>IFERROR(__xludf.DUMMYFUNCTION("""COMPUTED_VALUE"""),"Negative")</f>
        <v>Negative</v>
      </c>
      <c r="I209" s="204">
        <f>IFERROR(__xludf.DUMMYFUNCTION("""COMPUTED_VALUE"""),44580.0)</f>
        <v>44580</v>
      </c>
      <c r="J209" s="252">
        <f>IFERROR(__xludf.DUMMYFUNCTION("""COMPUTED_VALUE"""),0.5080208333333334)</f>
        <v>0.5080208333</v>
      </c>
      <c r="K209" s="56"/>
      <c r="L209" s="6"/>
      <c r="M209" s="61"/>
      <c r="N209" s="61">
        <f>IFERROR(__xludf.DUMMYFUNCTION("""COMPUTED_VALUE"""),1.0)</f>
        <v>1</v>
      </c>
      <c r="O209" s="61" t="str">
        <f t="shared" si="3"/>
        <v/>
      </c>
      <c r="P209" s="253">
        <f>IFERROR(__xludf.DUMMYFUNCTION("""COMPUTED_VALUE"""),1.0)</f>
        <v>1</v>
      </c>
      <c r="Q209" s="254" t="str">
        <f>VLOOKUP($B209,'Run Reconcile'!B$2:O799,14,FALSE)</f>
        <v/>
      </c>
      <c r="R209" s="255" t="str">
        <f t="array" ref="R209">IF($Q209, INDEX('Run Reconcile'!A$2:A799,MATCH(B209,'Run Reconcile'!B$2:B799,0),1),IFERROR(0/0,""))</f>
        <v/>
      </c>
      <c r="S209" s="261" t="b">
        <f t="shared" ref="S209:T209" si="422">IF(COUNTIF(W$2:W799, $A209) &gt; 0,TRUE,IFERROR(0/0,""))</f>
        <v>1</v>
      </c>
      <c r="T209" s="261" t="b">
        <f t="shared" si="422"/>
        <v>1</v>
      </c>
      <c r="U209" s="257" t="str">
        <f t="array" ref="U209">IF(ISBLANK($R209), INDEX('Run Reconcile'!A$2:A799, MATCH($B209, 'Run Reconcile'!B$2:B799, 0)+Z209, 1), IFERROR(0/0,""))
</f>
        <v>RUN-BEND_2022-01-19_RFR-016</v>
      </c>
      <c r="V209" s="266" t="s">
        <v>43</v>
      </c>
      <c r="W209" s="6" t="s">
        <v>410</v>
      </c>
      <c r="X209" s="6" t="s">
        <v>410</v>
      </c>
      <c r="Y209" s="120">
        <v>2.0</v>
      </c>
      <c r="Z209" s="49">
        <f t="shared" si="7"/>
        <v>2</v>
      </c>
      <c r="AA209" s="49">
        <f t="shared" si="8"/>
        <v>2</v>
      </c>
      <c r="AB209" s="49">
        <f t="shared" si="9"/>
        <v>2</v>
      </c>
      <c r="AC209" s="20" t="str">
        <f t="shared" ref="AC209:AD209" si="423">IF(_xlfn.ISFORMULA(S209),IFERROR(0/0,""),TRUE)</f>
        <v/>
      </c>
      <c r="AD209" s="20" t="str">
        <f t="shared" si="423"/>
        <v/>
      </c>
      <c r="AE209" s="43"/>
      <c r="AF209" s="86" t="s">
        <v>44</v>
      </c>
      <c r="AG209" s="57" t="b">
        <f t="shared" si="11"/>
        <v>0</v>
      </c>
    </row>
    <row r="210">
      <c r="A210" s="6" t="str">
        <f>IFERROR(__xludf.DUMMYFUNCTION("""COMPUTED_VALUE"""),"MA262")</f>
        <v>MA262</v>
      </c>
      <c r="B210" s="204">
        <f>IFERROR(__xludf.DUMMYFUNCTION("""COMPUTED_VALUE"""),44579.0)</f>
        <v>44579</v>
      </c>
      <c r="C210" s="250">
        <f>IFERROR(__xludf.DUMMYFUNCTION("""COMPUTED_VALUE"""),0.3482060185185185)</f>
        <v>0.3482060185</v>
      </c>
      <c r="D210" s="6" t="str">
        <f>IFERROR(__xludf.DUMMYFUNCTION("""COMPUTED_VALUE"""),"SpBEND918395")</f>
        <v>SpBEND918395</v>
      </c>
      <c r="E210" s="251"/>
      <c r="F210" s="251"/>
      <c r="G210" s="251" t="str">
        <f>IFERROR(__xludf.DUMMYFUNCTION("""COMPUTED_VALUE"""),"Negative")</f>
        <v>Negative</v>
      </c>
      <c r="H210" s="262" t="str">
        <f>IFERROR(__xludf.DUMMYFUNCTION("""COMPUTED_VALUE"""),"Negative")</f>
        <v>Negative</v>
      </c>
      <c r="I210" s="204">
        <f>IFERROR(__xludf.DUMMYFUNCTION("""COMPUTED_VALUE"""),44580.0)</f>
        <v>44580</v>
      </c>
      <c r="J210" s="252">
        <f>IFERROR(__xludf.DUMMYFUNCTION("""COMPUTED_VALUE"""),0.5080208333333334)</f>
        <v>0.5080208333</v>
      </c>
      <c r="K210" s="56"/>
      <c r="L210" s="6"/>
      <c r="M210" s="61"/>
      <c r="N210" s="61">
        <f>IFERROR(__xludf.DUMMYFUNCTION("""COMPUTED_VALUE"""),1.0)</f>
        <v>1</v>
      </c>
      <c r="O210" s="61" t="str">
        <f t="shared" si="3"/>
        <v/>
      </c>
      <c r="P210" s="253">
        <f>IFERROR(__xludf.DUMMYFUNCTION("""COMPUTED_VALUE"""),1.0)</f>
        <v>1</v>
      </c>
      <c r="Q210" s="254" t="str">
        <f>VLOOKUP($B210,'Run Reconcile'!B$2:O799,14,FALSE)</f>
        <v/>
      </c>
      <c r="R210" s="255" t="str">
        <f t="array" ref="R210">IF($Q210, INDEX('Run Reconcile'!A$2:A799,MATCH(B210,'Run Reconcile'!B$2:B799,0),1),IFERROR(0/0,""))</f>
        <v/>
      </c>
      <c r="S210" s="261" t="b">
        <f t="shared" ref="S210:T210" si="424">IF(COUNTIF(W$2:W799, $A210) &gt; 0,TRUE,IFERROR(0/0,""))</f>
        <v>1</v>
      </c>
      <c r="T210" s="261" t="b">
        <f t="shared" si="424"/>
        <v>1</v>
      </c>
      <c r="U210" s="257" t="str">
        <f t="array" ref="U210">IF(ISBLANK($R210), INDEX('Run Reconcile'!A$2:A799, MATCH($B210, 'Run Reconcile'!B$2:B799, 0)+Z210, 1), IFERROR(0/0,""))
</f>
        <v>RUN-BEND_2022-01-19_RFR-016</v>
      </c>
      <c r="V210" s="266" t="s">
        <v>43</v>
      </c>
      <c r="W210" s="6" t="s">
        <v>411</v>
      </c>
      <c r="X210" s="6" t="s">
        <v>411</v>
      </c>
      <c r="Y210" s="120">
        <v>2.0</v>
      </c>
      <c r="Z210" s="49">
        <f t="shared" si="7"/>
        <v>2</v>
      </c>
      <c r="AA210" s="49">
        <f t="shared" si="8"/>
        <v>2</v>
      </c>
      <c r="AB210" s="49">
        <f t="shared" si="9"/>
        <v>2</v>
      </c>
      <c r="AC210" s="20" t="str">
        <f t="shared" ref="AC210:AD210" si="425">IF(_xlfn.ISFORMULA(S210),IFERROR(0/0,""),TRUE)</f>
        <v/>
      </c>
      <c r="AD210" s="20" t="str">
        <f t="shared" si="425"/>
        <v/>
      </c>
      <c r="AE210" s="43"/>
      <c r="AF210" s="86" t="s">
        <v>44</v>
      </c>
      <c r="AG210" s="57" t="b">
        <f t="shared" si="11"/>
        <v>0</v>
      </c>
    </row>
    <row r="211">
      <c r="A211" s="6" t="str">
        <f>IFERROR(__xludf.DUMMYFUNCTION("""COMPUTED_VALUE"""),"MA1184")</f>
        <v>MA1184</v>
      </c>
      <c r="B211" s="204">
        <f>IFERROR(__xludf.DUMMYFUNCTION("""COMPUTED_VALUE"""),44579.0)</f>
        <v>44579</v>
      </c>
      <c r="C211" s="250">
        <f>IFERROR(__xludf.DUMMYFUNCTION("""COMPUTED_VALUE"""),0.34877314814814814)</f>
        <v>0.3487731481</v>
      </c>
      <c r="D211" s="6" t="str">
        <f>IFERROR(__xludf.DUMMYFUNCTION("""COMPUTED_VALUE"""),"SpBEND652059")</f>
        <v>SpBEND652059</v>
      </c>
      <c r="E211" s="251"/>
      <c r="F211" s="251"/>
      <c r="G211" s="251" t="str">
        <f>IFERROR(__xludf.DUMMYFUNCTION("""COMPUTED_VALUE"""),"Negative")</f>
        <v>Negative</v>
      </c>
      <c r="H211" s="262" t="str">
        <f>IFERROR(__xludf.DUMMYFUNCTION("""COMPUTED_VALUE"""),"Negative")</f>
        <v>Negative</v>
      </c>
      <c r="I211" s="204">
        <f>IFERROR(__xludf.DUMMYFUNCTION("""COMPUTED_VALUE"""),44580.0)</f>
        <v>44580</v>
      </c>
      <c r="J211" s="252">
        <f>IFERROR(__xludf.DUMMYFUNCTION("""COMPUTED_VALUE"""),0.5080208333333334)</f>
        <v>0.5080208333</v>
      </c>
      <c r="K211" s="56"/>
      <c r="L211" s="6"/>
      <c r="M211" s="61"/>
      <c r="N211" s="61">
        <f>IFERROR(__xludf.DUMMYFUNCTION("""COMPUTED_VALUE"""),1.0)</f>
        <v>1</v>
      </c>
      <c r="O211" s="61" t="str">
        <f t="shared" si="3"/>
        <v/>
      </c>
      <c r="P211" s="253">
        <f>IFERROR(__xludf.DUMMYFUNCTION("""COMPUTED_VALUE"""),1.0)</f>
        <v>1</v>
      </c>
      <c r="Q211" s="254" t="str">
        <f>VLOOKUP($B211,'Run Reconcile'!B$2:O799,14,FALSE)</f>
        <v/>
      </c>
      <c r="R211" s="255" t="str">
        <f t="array" ref="R211">IF($Q211, INDEX('Run Reconcile'!A$2:A799,MATCH(B211,'Run Reconcile'!B$2:B799,0),1),IFERROR(0/0,""))</f>
        <v/>
      </c>
      <c r="S211" s="261" t="b">
        <f t="shared" ref="S211:T211" si="426">IF(COUNTIF(W$2:W799, $A211) &gt; 0,TRUE,IFERROR(0/0,""))</f>
        <v>1</v>
      </c>
      <c r="T211" s="261" t="b">
        <f t="shared" si="426"/>
        <v>1</v>
      </c>
      <c r="U211" s="257" t="str">
        <f t="array" ref="U211">IF(ISBLANK($R211), INDEX('Run Reconcile'!A$2:A799, MATCH($B211, 'Run Reconcile'!B$2:B799, 0)+Z211, 1), IFERROR(0/0,""))
</f>
        <v>RUN-BEND_2022-01-19_RFR-016</v>
      </c>
      <c r="V211" s="266" t="s">
        <v>43</v>
      </c>
      <c r="W211" s="6" t="s">
        <v>412</v>
      </c>
      <c r="X211" s="6" t="s">
        <v>412</v>
      </c>
      <c r="Y211" s="120">
        <v>2.0</v>
      </c>
      <c r="Z211" s="49">
        <f t="shared" si="7"/>
        <v>2</v>
      </c>
      <c r="AA211" s="49">
        <f t="shared" si="8"/>
        <v>2</v>
      </c>
      <c r="AB211" s="49">
        <f t="shared" si="9"/>
        <v>2</v>
      </c>
      <c r="AC211" s="20" t="str">
        <f t="shared" ref="AC211:AD211" si="427">IF(_xlfn.ISFORMULA(S211),IFERROR(0/0,""),TRUE)</f>
        <v/>
      </c>
      <c r="AD211" s="20" t="str">
        <f t="shared" si="427"/>
        <v/>
      </c>
      <c r="AE211" s="43"/>
      <c r="AF211" s="86" t="s">
        <v>44</v>
      </c>
      <c r="AG211" s="57" t="b">
        <f t="shared" si="11"/>
        <v>0</v>
      </c>
    </row>
    <row r="212">
      <c r="A212" s="6" t="str">
        <f>IFERROR(__xludf.DUMMYFUNCTION("""COMPUTED_VALUE"""),"MA1150")</f>
        <v>MA1150</v>
      </c>
      <c r="B212" s="204">
        <f>IFERROR(__xludf.DUMMYFUNCTION("""COMPUTED_VALUE"""),44579.0)</f>
        <v>44579</v>
      </c>
      <c r="C212" s="250">
        <f>IFERROR(__xludf.DUMMYFUNCTION("""COMPUTED_VALUE"""),0.35052083333333334)</f>
        <v>0.3505208333</v>
      </c>
      <c r="D212" s="6" t="str">
        <f>IFERROR(__xludf.DUMMYFUNCTION("""COMPUTED_VALUE"""),"SpBEND652059")</f>
        <v>SpBEND652059</v>
      </c>
      <c r="E212" s="251"/>
      <c r="F212" s="251"/>
      <c r="G212" s="251" t="str">
        <f>IFERROR(__xludf.DUMMYFUNCTION("""COMPUTED_VALUE"""),"Negative")</f>
        <v>Negative</v>
      </c>
      <c r="H212" s="262" t="str">
        <f>IFERROR(__xludf.DUMMYFUNCTION("""COMPUTED_VALUE"""),"Negative")</f>
        <v>Negative</v>
      </c>
      <c r="I212" s="204">
        <f>IFERROR(__xludf.DUMMYFUNCTION("""COMPUTED_VALUE"""),44580.0)</f>
        <v>44580</v>
      </c>
      <c r="J212" s="252">
        <f>IFERROR(__xludf.DUMMYFUNCTION("""COMPUTED_VALUE"""),0.5080208333333334)</f>
        <v>0.5080208333</v>
      </c>
      <c r="K212" s="56"/>
      <c r="L212" s="6"/>
      <c r="M212" s="61"/>
      <c r="N212" s="61">
        <f>IFERROR(__xludf.DUMMYFUNCTION("""COMPUTED_VALUE"""),1.0)</f>
        <v>1</v>
      </c>
      <c r="O212" s="61" t="str">
        <f t="shared" si="3"/>
        <v/>
      </c>
      <c r="P212" s="253">
        <f>IFERROR(__xludf.DUMMYFUNCTION("""COMPUTED_VALUE"""),1.0)</f>
        <v>1</v>
      </c>
      <c r="Q212" s="254" t="str">
        <f>VLOOKUP($B212,'Run Reconcile'!B$2:O799,14,FALSE)</f>
        <v/>
      </c>
      <c r="R212" s="255" t="str">
        <f t="array" ref="R212">IF($Q212, INDEX('Run Reconcile'!A$2:A799,MATCH(B212,'Run Reconcile'!B$2:B799,0),1),IFERROR(0/0,""))</f>
        <v/>
      </c>
      <c r="S212" s="261" t="b">
        <f t="shared" ref="S212:T212" si="428">IF(COUNTIF(W$2:W799, $A212) &gt; 0,TRUE,IFERROR(0/0,""))</f>
        <v>1</v>
      </c>
      <c r="T212" s="261" t="b">
        <f t="shared" si="428"/>
        <v>1</v>
      </c>
      <c r="U212" s="257" t="str">
        <f t="array" ref="U212">IF(ISBLANK($R212), INDEX('Run Reconcile'!A$2:A799, MATCH($B212, 'Run Reconcile'!B$2:B799, 0)+Z212, 1), IFERROR(0/0,""))
</f>
        <v>RUN-BEND_2022-01-19_RFR-016</v>
      </c>
      <c r="V212" s="266" t="s">
        <v>43</v>
      </c>
      <c r="W212" s="6" t="s">
        <v>413</v>
      </c>
      <c r="X212" s="6" t="s">
        <v>413</v>
      </c>
      <c r="Y212" s="120">
        <v>2.0</v>
      </c>
      <c r="Z212" s="49">
        <f t="shared" si="7"/>
        <v>2</v>
      </c>
      <c r="AA212" s="49">
        <f t="shared" si="8"/>
        <v>2</v>
      </c>
      <c r="AB212" s="49">
        <f t="shared" si="9"/>
        <v>2</v>
      </c>
      <c r="AC212" s="20" t="str">
        <f t="shared" ref="AC212:AD212" si="429">IF(_xlfn.ISFORMULA(S212),IFERROR(0/0,""),TRUE)</f>
        <v/>
      </c>
      <c r="AD212" s="20" t="str">
        <f t="shared" si="429"/>
        <v/>
      </c>
      <c r="AE212" s="43"/>
      <c r="AF212" s="86" t="s">
        <v>44</v>
      </c>
      <c r="AG212" s="57" t="b">
        <f t="shared" si="11"/>
        <v>0</v>
      </c>
    </row>
    <row r="213">
      <c r="A213" s="6" t="str">
        <f>IFERROR(__xludf.DUMMYFUNCTION("""COMPUTED_VALUE"""),"MA1253")</f>
        <v>MA1253</v>
      </c>
      <c r="B213" s="204">
        <f>IFERROR(__xludf.DUMMYFUNCTION("""COMPUTED_VALUE"""),44579.0)</f>
        <v>44579</v>
      </c>
      <c r="C213" s="250">
        <f>IFERROR(__xludf.DUMMYFUNCTION("""COMPUTED_VALUE"""),0.36159722222222224)</f>
        <v>0.3615972222</v>
      </c>
      <c r="D213" s="6" t="str">
        <f>IFERROR(__xludf.DUMMYFUNCTION("""COMPUTED_VALUE"""),"SpBEND305944")</f>
        <v>SpBEND305944</v>
      </c>
      <c r="E213" s="251"/>
      <c r="F213" s="251"/>
      <c r="G213" s="251" t="str">
        <f>IFERROR(__xludf.DUMMYFUNCTION("""COMPUTED_VALUE"""),"Negative")</f>
        <v>Negative</v>
      </c>
      <c r="H213" s="262" t="str">
        <f>IFERROR(__xludf.DUMMYFUNCTION("""COMPUTED_VALUE"""),"Negative")</f>
        <v>Negative</v>
      </c>
      <c r="I213" s="204">
        <f>IFERROR(__xludf.DUMMYFUNCTION("""COMPUTED_VALUE"""),44580.0)</f>
        <v>44580</v>
      </c>
      <c r="J213" s="252">
        <f>IFERROR(__xludf.DUMMYFUNCTION("""COMPUTED_VALUE"""),0.5080208333333334)</f>
        <v>0.5080208333</v>
      </c>
      <c r="K213" s="56"/>
      <c r="L213" s="6"/>
      <c r="M213" s="61"/>
      <c r="N213" s="61">
        <f>IFERROR(__xludf.DUMMYFUNCTION("""COMPUTED_VALUE"""),1.0)</f>
        <v>1</v>
      </c>
      <c r="O213" s="61" t="str">
        <f t="shared" si="3"/>
        <v/>
      </c>
      <c r="P213" s="253">
        <f>IFERROR(__xludf.DUMMYFUNCTION("""COMPUTED_VALUE"""),1.0)</f>
        <v>1</v>
      </c>
      <c r="Q213" s="254" t="str">
        <f>VLOOKUP($B213,'Run Reconcile'!B$2:O799,14,FALSE)</f>
        <v/>
      </c>
      <c r="R213" s="255" t="str">
        <f t="array" ref="R213">IF($Q213, INDEX('Run Reconcile'!A$2:A799,MATCH(B213,'Run Reconcile'!B$2:B799,0),1),IFERROR(0/0,""))</f>
        <v/>
      </c>
      <c r="S213" s="261" t="b">
        <f t="shared" ref="S213:T213" si="430">IF(COUNTIF(W$2:W799, $A213) &gt; 0,TRUE,IFERROR(0/0,""))</f>
        <v>1</v>
      </c>
      <c r="T213" s="261" t="b">
        <f t="shared" si="430"/>
        <v>1</v>
      </c>
      <c r="U213" s="257" t="str">
        <f t="array" ref="U213">IF(ISBLANK($R213), INDEX('Run Reconcile'!A$2:A799, MATCH($B213, 'Run Reconcile'!B$2:B799, 0)+Z213, 1), IFERROR(0/0,""))
</f>
        <v>RUN-BEND_2022-01-19_RFR-016</v>
      </c>
      <c r="V213" s="266" t="s">
        <v>43</v>
      </c>
      <c r="W213" s="6" t="s">
        <v>414</v>
      </c>
      <c r="X213" s="6" t="s">
        <v>414</v>
      </c>
      <c r="Y213" s="120">
        <v>2.0</v>
      </c>
      <c r="Z213" s="49">
        <f t="shared" si="7"/>
        <v>2</v>
      </c>
      <c r="AA213" s="49">
        <f t="shared" si="8"/>
        <v>2</v>
      </c>
      <c r="AB213" s="49">
        <f t="shared" si="9"/>
        <v>2</v>
      </c>
      <c r="AC213" s="20" t="str">
        <f t="shared" ref="AC213:AD213" si="431">IF(_xlfn.ISFORMULA(S213),IFERROR(0/0,""),TRUE)</f>
        <v/>
      </c>
      <c r="AD213" s="20" t="str">
        <f t="shared" si="431"/>
        <v/>
      </c>
      <c r="AE213" s="43"/>
      <c r="AF213" s="86" t="s">
        <v>44</v>
      </c>
      <c r="AG213" s="57" t="b">
        <f t="shared" si="11"/>
        <v>0</v>
      </c>
    </row>
    <row r="214">
      <c r="A214" s="6" t="str">
        <f>IFERROR(__xludf.DUMMYFUNCTION("""COMPUTED_VALUE"""),"MAX44")</f>
        <v>MAX44</v>
      </c>
      <c r="B214" s="204">
        <f>IFERROR(__xludf.DUMMYFUNCTION("""COMPUTED_VALUE"""),44579.0)</f>
        <v>44579</v>
      </c>
      <c r="C214" s="250">
        <f>IFERROR(__xludf.DUMMYFUNCTION("""COMPUTED_VALUE"""),0.40466435185185184)</f>
        <v>0.4046643519</v>
      </c>
      <c r="D214" s="6" t="str">
        <f>IFERROR(__xludf.DUMMYFUNCTION("""COMPUTED_VALUE"""),"SpBEND198321")</f>
        <v>SpBEND198321</v>
      </c>
      <c r="E214" s="251"/>
      <c r="F214" s="251"/>
      <c r="G214" s="251" t="str">
        <f>IFERROR(__xludf.DUMMYFUNCTION("""COMPUTED_VALUE"""),"Positive")</f>
        <v>Positive</v>
      </c>
      <c r="H214" s="262" t="str">
        <f>IFERROR(__xludf.DUMMYFUNCTION("""COMPUTED_VALUE"""),"Positive")</f>
        <v>Positive</v>
      </c>
      <c r="I214" s="204">
        <f>IFERROR(__xludf.DUMMYFUNCTION("""COMPUTED_VALUE"""),44579.0)</f>
        <v>44579</v>
      </c>
      <c r="J214" s="252">
        <f>IFERROR(__xludf.DUMMYFUNCTION("""COMPUTED_VALUE"""),0.5015972222222222)</f>
        <v>0.5015972222</v>
      </c>
      <c r="K214" s="56"/>
      <c r="L214" s="6"/>
      <c r="M214" s="61"/>
      <c r="N214" s="61">
        <f>IFERROR(__xludf.DUMMYFUNCTION("""COMPUTED_VALUE"""),1.0)</f>
        <v>1</v>
      </c>
      <c r="O214" s="61" t="str">
        <f t="shared" si="3"/>
        <v/>
      </c>
      <c r="P214" s="253">
        <f>IFERROR(__xludf.DUMMYFUNCTION("""COMPUTED_VALUE"""),0.0)</f>
        <v>0</v>
      </c>
      <c r="Q214" s="254" t="str">
        <f>VLOOKUP($B214,'Run Reconcile'!B$2:O799,14,FALSE)</f>
        <v/>
      </c>
      <c r="R214" s="255" t="str">
        <f t="array" ref="R214">IF($Q214, INDEX('Run Reconcile'!A$2:A799,MATCH(B214,'Run Reconcile'!B$2:B799,0),1),IFERROR(0/0,""))</f>
        <v/>
      </c>
      <c r="S214" s="261" t="b">
        <f t="shared" ref="S214:T214" si="432">IF(COUNTIF(W$2:W799, $A214) &gt; 0,TRUE,IFERROR(0/0,""))</f>
        <v>1</v>
      </c>
      <c r="T214" s="261" t="b">
        <f t="shared" si="432"/>
        <v>1</v>
      </c>
      <c r="U214" s="257" t="str">
        <f t="array" ref="U214">IF(ISBLANK($R214), INDEX('Run Reconcile'!A$2:A799, MATCH($B214, 'Run Reconcile'!B$2:B799, 0)+Z214, 1), IFERROR(0/0,""))
</f>
        <v>RUN-BEND_2022-01-19_RFR-016</v>
      </c>
      <c r="V214" s="266" t="s">
        <v>43</v>
      </c>
      <c r="W214" s="6" t="s">
        <v>415</v>
      </c>
      <c r="X214" s="6" t="s">
        <v>415</v>
      </c>
      <c r="Y214" s="120">
        <v>2.0</v>
      </c>
      <c r="Z214" s="49">
        <f t="shared" si="7"/>
        <v>2</v>
      </c>
      <c r="AA214" s="49">
        <f t="shared" si="8"/>
        <v>2</v>
      </c>
      <c r="AB214" s="49">
        <f t="shared" si="9"/>
        <v>2</v>
      </c>
      <c r="AC214" s="20" t="str">
        <f t="shared" ref="AC214:AD214" si="433">IF(_xlfn.ISFORMULA(S214),IFERROR(0/0,""),TRUE)</f>
        <v/>
      </c>
      <c r="AD214" s="20" t="str">
        <f t="shared" si="433"/>
        <v/>
      </c>
      <c r="AE214" s="43"/>
      <c r="AF214" s="86" t="s">
        <v>44</v>
      </c>
      <c r="AG214" s="57" t="b">
        <f t="shared" si="11"/>
        <v>0</v>
      </c>
    </row>
    <row r="215">
      <c r="A215" s="6" t="str">
        <f>IFERROR(__xludf.DUMMYFUNCTION("""COMPUTED_VALUE"""),"MA1248")</f>
        <v>MA1248</v>
      </c>
      <c r="B215" s="204">
        <f>IFERROR(__xludf.DUMMYFUNCTION("""COMPUTED_VALUE"""),44579.0)</f>
        <v>44579</v>
      </c>
      <c r="C215" s="250">
        <f>IFERROR(__xludf.DUMMYFUNCTION("""COMPUTED_VALUE"""),0.41303240740740743)</f>
        <v>0.4130324074</v>
      </c>
      <c r="D215" s="6" t="str">
        <f>IFERROR(__xludf.DUMMYFUNCTION("""COMPUTED_VALUE"""),"SpBEND394154")</f>
        <v>SpBEND394154</v>
      </c>
      <c r="E215" s="251"/>
      <c r="F215" s="251"/>
      <c r="G215" s="251" t="str">
        <f>IFERROR(__xludf.DUMMYFUNCTION("""COMPUTED_VALUE"""),"Negative")</f>
        <v>Negative</v>
      </c>
      <c r="H215" s="262" t="str">
        <f>IFERROR(__xludf.DUMMYFUNCTION("""COMPUTED_VALUE"""),"Negative")</f>
        <v>Negative</v>
      </c>
      <c r="I215" s="204">
        <f>IFERROR(__xludf.DUMMYFUNCTION("""COMPUTED_VALUE"""),44580.0)</f>
        <v>44580</v>
      </c>
      <c r="J215" s="252">
        <f>IFERROR(__xludf.DUMMYFUNCTION("""COMPUTED_VALUE"""),0.5080208333333334)</f>
        <v>0.5080208333</v>
      </c>
      <c r="K215" s="56"/>
      <c r="L215" s="6"/>
      <c r="M215" s="61"/>
      <c r="N215" s="61">
        <f>IFERROR(__xludf.DUMMYFUNCTION("""COMPUTED_VALUE"""),1.0)</f>
        <v>1</v>
      </c>
      <c r="O215" s="61" t="str">
        <f t="shared" si="3"/>
        <v/>
      </c>
      <c r="P215" s="253">
        <f>IFERROR(__xludf.DUMMYFUNCTION("""COMPUTED_VALUE"""),1.0)</f>
        <v>1</v>
      </c>
      <c r="Q215" s="254" t="str">
        <f>VLOOKUP($B215,'Run Reconcile'!B$2:O799,14,FALSE)</f>
        <v/>
      </c>
      <c r="R215" s="255" t="str">
        <f t="array" ref="R215">IF($Q215, INDEX('Run Reconcile'!A$2:A799,MATCH(B215,'Run Reconcile'!B$2:B799,0),1),IFERROR(0/0,""))</f>
        <v/>
      </c>
      <c r="S215" s="261" t="b">
        <f t="shared" ref="S215:T215" si="434">IF(COUNTIF(W$2:W799, $A215) &gt; 0,TRUE,IFERROR(0/0,""))</f>
        <v>1</v>
      </c>
      <c r="T215" s="261" t="b">
        <f t="shared" si="434"/>
        <v>1</v>
      </c>
      <c r="U215" s="257" t="str">
        <f t="array" ref="U215">IF(ISBLANK($R215), INDEX('Run Reconcile'!A$2:A799, MATCH($B215, 'Run Reconcile'!B$2:B799, 0)+Z215, 1), IFERROR(0/0,""))
</f>
        <v>RUN-BEND_2022-01-19_RFR-016</v>
      </c>
      <c r="V215" s="266" t="s">
        <v>43</v>
      </c>
      <c r="W215" s="6" t="s">
        <v>416</v>
      </c>
      <c r="X215" s="6" t="s">
        <v>416</v>
      </c>
      <c r="Y215" s="120">
        <v>2.0</v>
      </c>
      <c r="Z215" s="49">
        <f t="shared" si="7"/>
        <v>2</v>
      </c>
      <c r="AA215" s="49">
        <f t="shared" si="8"/>
        <v>2</v>
      </c>
      <c r="AB215" s="49">
        <f t="shared" si="9"/>
        <v>2</v>
      </c>
      <c r="AC215" s="20" t="str">
        <f t="shared" ref="AC215:AD215" si="435">IF(_xlfn.ISFORMULA(S215),IFERROR(0/0,""),TRUE)</f>
        <v/>
      </c>
      <c r="AD215" s="20" t="str">
        <f t="shared" si="435"/>
        <v/>
      </c>
      <c r="AE215" s="43"/>
      <c r="AF215" s="86" t="s">
        <v>44</v>
      </c>
      <c r="AG215" s="57" t="b">
        <f t="shared" si="11"/>
        <v>0</v>
      </c>
    </row>
    <row r="216">
      <c r="A216" s="6" t="str">
        <f>IFERROR(__xludf.DUMMYFUNCTION("""COMPUTED_VALUE"""),"MA422")</f>
        <v>MA422</v>
      </c>
      <c r="B216" s="204">
        <f>IFERROR(__xludf.DUMMYFUNCTION("""COMPUTED_VALUE"""),44579.0)</f>
        <v>44579</v>
      </c>
      <c r="C216" s="250">
        <f>IFERROR(__xludf.DUMMYFUNCTION("""COMPUTED_VALUE"""),0.41333333333333333)</f>
        <v>0.4133333333</v>
      </c>
      <c r="D216" s="6" t="str">
        <f>IFERROR(__xludf.DUMMYFUNCTION("""COMPUTED_VALUE"""),"SpBEND394154")</f>
        <v>SpBEND394154</v>
      </c>
      <c r="E216" s="251"/>
      <c r="F216" s="251"/>
      <c r="G216" s="251" t="str">
        <f>IFERROR(__xludf.DUMMYFUNCTION("""COMPUTED_VALUE"""),"Positive")</f>
        <v>Positive</v>
      </c>
      <c r="H216" s="262" t="str">
        <f>IFERROR(__xludf.DUMMYFUNCTION("""COMPUTED_VALUE"""),"Positive")</f>
        <v>Positive</v>
      </c>
      <c r="I216" s="204">
        <f>IFERROR(__xludf.DUMMYFUNCTION("""COMPUTED_VALUE"""),44579.0)</f>
        <v>44579</v>
      </c>
      <c r="J216" s="252">
        <f>IFERROR(__xludf.DUMMYFUNCTION("""COMPUTED_VALUE"""),0.5015972222222222)</f>
        <v>0.5015972222</v>
      </c>
      <c r="K216" s="56"/>
      <c r="L216" s="6"/>
      <c r="M216" s="61"/>
      <c r="N216" s="61">
        <f>IFERROR(__xludf.DUMMYFUNCTION("""COMPUTED_VALUE"""),1.0)</f>
        <v>1</v>
      </c>
      <c r="O216" s="61" t="str">
        <f t="shared" si="3"/>
        <v/>
      </c>
      <c r="P216" s="253">
        <f>IFERROR(__xludf.DUMMYFUNCTION("""COMPUTED_VALUE"""),0.0)</f>
        <v>0</v>
      </c>
      <c r="Q216" s="254" t="str">
        <f>VLOOKUP($B216,'Run Reconcile'!B$2:O799,14,FALSE)</f>
        <v/>
      </c>
      <c r="R216" s="255" t="str">
        <f t="array" ref="R216">IF($Q216, INDEX('Run Reconcile'!A$2:A799,MATCH(B216,'Run Reconcile'!B$2:B799,0),1),IFERROR(0/0,""))</f>
        <v/>
      </c>
      <c r="S216" s="261" t="b">
        <f t="shared" ref="S216:T216" si="436">IF(COUNTIF(W$2:W799, $A216) &gt; 0,TRUE,IFERROR(0/0,""))</f>
        <v>1</v>
      </c>
      <c r="T216" s="261" t="b">
        <f t="shared" si="436"/>
        <v>1</v>
      </c>
      <c r="U216" s="257" t="str">
        <f t="array" ref="U216">IF(ISBLANK($R216), INDEX('Run Reconcile'!A$2:A799, MATCH($B216, 'Run Reconcile'!B$2:B799, 0)+Z216, 1), IFERROR(0/0,""))
</f>
        <v>RUN-BEND_2022-01-19_RFR-016</v>
      </c>
      <c r="V216" s="266" t="s">
        <v>43</v>
      </c>
      <c r="W216" s="6" t="s">
        <v>417</v>
      </c>
      <c r="X216" s="6" t="s">
        <v>417</v>
      </c>
      <c r="Y216" s="120">
        <v>2.0</v>
      </c>
      <c r="Z216" s="49">
        <f t="shared" si="7"/>
        <v>2</v>
      </c>
      <c r="AA216" s="49">
        <f t="shared" si="8"/>
        <v>2</v>
      </c>
      <c r="AB216" s="49">
        <f t="shared" si="9"/>
        <v>2</v>
      </c>
      <c r="AC216" s="20" t="str">
        <f t="shared" ref="AC216:AD216" si="437">IF(_xlfn.ISFORMULA(S216),IFERROR(0/0,""),TRUE)</f>
        <v/>
      </c>
      <c r="AD216" s="20" t="str">
        <f t="shared" si="437"/>
        <v/>
      </c>
      <c r="AE216" s="43"/>
      <c r="AF216" s="86" t="s">
        <v>44</v>
      </c>
      <c r="AG216" s="57" t="b">
        <f t="shared" si="11"/>
        <v>0</v>
      </c>
    </row>
    <row r="217">
      <c r="A217" s="6" t="str">
        <f>IFERROR(__xludf.DUMMYFUNCTION("""COMPUTED_VALUE"""),"MA1146")</f>
        <v>MA1146</v>
      </c>
      <c r="B217" s="204">
        <f>IFERROR(__xludf.DUMMYFUNCTION("""COMPUTED_VALUE"""),44579.0)</f>
        <v>44579</v>
      </c>
      <c r="C217" s="250">
        <f>IFERROR(__xludf.DUMMYFUNCTION("""COMPUTED_VALUE"""),0.41368055555555555)</f>
        <v>0.4136805556</v>
      </c>
      <c r="D217" s="6" t="str">
        <f>IFERROR(__xludf.DUMMYFUNCTION("""COMPUTED_VALUE"""),"SpBEND394154")</f>
        <v>SpBEND394154</v>
      </c>
      <c r="E217" s="251"/>
      <c r="F217" s="251"/>
      <c r="G217" s="251" t="str">
        <f>IFERROR(__xludf.DUMMYFUNCTION("""COMPUTED_VALUE"""),"Positive")</f>
        <v>Positive</v>
      </c>
      <c r="H217" s="264" t="str">
        <f>IFERROR(__xludf.DUMMYFUNCTION("""COMPUTED_VALUE"""),"Positive")</f>
        <v>Positive</v>
      </c>
      <c r="I217" s="263">
        <f>IFERROR(__xludf.DUMMYFUNCTION("""COMPUTED_VALUE"""),44579.0)</f>
        <v>44579</v>
      </c>
      <c r="J217" s="252">
        <f>IFERROR(__xludf.DUMMYFUNCTION("""COMPUTED_VALUE"""),0.5015972222222222)</f>
        <v>0.5015972222</v>
      </c>
      <c r="K217" s="56"/>
      <c r="L217" s="6"/>
      <c r="M217" s="61"/>
      <c r="N217" s="61">
        <f>IFERROR(__xludf.DUMMYFUNCTION("""COMPUTED_VALUE"""),1.0)</f>
        <v>1</v>
      </c>
      <c r="O217" s="61" t="str">
        <f t="shared" si="3"/>
        <v/>
      </c>
      <c r="P217" s="253">
        <f>IFERROR(__xludf.DUMMYFUNCTION("""COMPUTED_VALUE"""),0.0)</f>
        <v>0</v>
      </c>
      <c r="Q217" s="254" t="str">
        <f>VLOOKUP($B217,'Run Reconcile'!B$2:O799,14,FALSE)</f>
        <v/>
      </c>
      <c r="R217" s="255" t="str">
        <f t="array" ref="R217">IF($Q217, INDEX('Run Reconcile'!A$2:A799,MATCH(B217,'Run Reconcile'!B$2:B799,0),1),IFERROR(0/0,""))</f>
        <v/>
      </c>
      <c r="S217" s="261" t="b">
        <f t="shared" ref="S217:T217" si="438">IF(COUNTIF(W$2:W799, $A217) &gt; 0,TRUE,IFERROR(0/0,""))</f>
        <v>1</v>
      </c>
      <c r="T217" s="261" t="b">
        <f t="shared" si="438"/>
        <v>1</v>
      </c>
      <c r="U217" s="257" t="str">
        <f t="array" ref="U217">IF(ISBLANK($R217), INDEX('Run Reconcile'!A$2:A799, MATCH($B217, 'Run Reconcile'!B$2:B799, 0)+Z217, 1), IFERROR(0/0,""))
</f>
        <v>RUN-BEND_2022-01-19_RFR-016</v>
      </c>
      <c r="V217" s="266" t="s">
        <v>43</v>
      </c>
      <c r="W217" s="6" t="s">
        <v>418</v>
      </c>
      <c r="X217" s="6" t="s">
        <v>418</v>
      </c>
      <c r="Y217" s="120">
        <v>2.0</v>
      </c>
      <c r="Z217" s="49">
        <f t="shared" si="7"/>
        <v>2</v>
      </c>
      <c r="AA217" s="49">
        <f t="shared" si="8"/>
        <v>2</v>
      </c>
      <c r="AB217" s="49">
        <f t="shared" si="9"/>
        <v>2</v>
      </c>
      <c r="AC217" s="20" t="str">
        <f t="shared" ref="AC217:AD217" si="439">IF(_xlfn.ISFORMULA(S217),IFERROR(0/0,""),TRUE)</f>
        <v/>
      </c>
      <c r="AD217" s="20" t="str">
        <f t="shared" si="439"/>
        <v/>
      </c>
      <c r="AE217" s="43"/>
      <c r="AF217" s="86" t="s">
        <v>44</v>
      </c>
      <c r="AG217" s="57" t="b">
        <f t="shared" si="11"/>
        <v>0</v>
      </c>
    </row>
    <row r="218">
      <c r="A218" s="6" t="str">
        <f>IFERROR(__xludf.DUMMYFUNCTION("""COMPUTED_VALUE"""),"MA1162")</f>
        <v>MA1162</v>
      </c>
      <c r="B218" s="204">
        <f>IFERROR(__xludf.DUMMYFUNCTION("""COMPUTED_VALUE"""),44579.0)</f>
        <v>44579</v>
      </c>
      <c r="C218" s="250">
        <f>IFERROR(__xludf.DUMMYFUNCTION("""COMPUTED_VALUE"""),0.4140740740740741)</f>
        <v>0.4140740741</v>
      </c>
      <c r="D218" s="6" t="str">
        <f>IFERROR(__xludf.DUMMYFUNCTION("""COMPUTED_VALUE"""),"SpBEND394154")</f>
        <v>SpBEND394154</v>
      </c>
      <c r="E218" s="251"/>
      <c r="F218" s="251"/>
      <c r="G218" s="251" t="str">
        <f>IFERROR(__xludf.DUMMYFUNCTION("""COMPUTED_VALUE"""),"Positive")</f>
        <v>Positive</v>
      </c>
      <c r="H218" s="262" t="str">
        <f>IFERROR(__xludf.DUMMYFUNCTION("""COMPUTED_VALUE"""),"Positive")</f>
        <v>Positive</v>
      </c>
      <c r="I218" s="204">
        <f>IFERROR(__xludf.DUMMYFUNCTION("""COMPUTED_VALUE"""),44579.0)</f>
        <v>44579</v>
      </c>
      <c r="J218" s="252">
        <f>IFERROR(__xludf.DUMMYFUNCTION("""COMPUTED_VALUE"""),0.5015972222222222)</f>
        <v>0.5015972222</v>
      </c>
      <c r="K218" s="56"/>
      <c r="L218" s="6"/>
      <c r="M218" s="61"/>
      <c r="N218" s="61">
        <f>IFERROR(__xludf.DUMMYFUNCTION("""COMPUTED_VALUE"""),1.0)</f>
        <v>1</v>
      </c>
      <c r="O218" s="61" t="str">
        <f t="shared" si="3"/>
        <v/>
      </c>
      <c r="P218" s="253">
        <f>IFERROR(__xludf.DUMMYFUNCTION("""COMPUTED_VALUE"""),0.0)</f>
        <v>0</v>
      </c>
      <c r="Q218" s="254" t="str">
        <f>VLOOKUP($B218,'Run Reconcile'!B$2:O799,14,FALSE)</f>
        <v/>
      </c>
      <c r="R218" s="255" t="str">
        <f t="array" ref="R218">IF($Q218, INDEX('Run Reconcile'!A$2:A799,MATCH(B218,'Run Reconcile'!B$2:B799,0),1),IFERROR(0/0,""))</f>
        <v/>
      </c>
      <c r="S218" s="261" t="b">
        <f t="shared" ref="S218:T218" si="440">IF(COUNTIF(W$2:W799, $A218) &gt; 0,TRUE,IFERROR(0/0,""))</f>
        <v>1</v>
      </c>
      <c r="T218" s="261" t="b">
        <f t="shared" si="440"/>
        <v>1</v>
      </c>
      <c r="U218" s="257" t="str">
        <f t="array" ref="U218">IF(ISBLANK($R218), INDEX('Run Reconcile'!A$2:A799, MATCH($B218, 'Run Reconcile'!B$2:B799, 0)+Z218, 1), IFERROR(0/0,""))
</f>
        <v>RUN-BEND_2022-01-19_RFR-016</v>
      </c>
      <c r="V218" s="266" t="s">
        <v>43</v>
      </c>
      <c r="W218" s="6" t="s">
        <v>419</v>
      </c>
      <c r="X218" s="6" t="s">
        <v>419</v>
      </c>
      <c r="Y218" s="120">
        <v>2.0</v>
      </c>
      <c r="Z218" s="49">
        <f t="shared" si="7"/>
        <v>2</v>
      </c>
      <c r="AA218" s="49">
        <f t="shared" si="8"/>
        <v>2</v>
      </c>
      <c r="AB218" s="49">
        <f t="shared" si="9"/>
        <v>2</v>
      </c>
      <c r="AC218" s="20" t="str">
        <f t="shared" ref="AC218:AD218" si="441">IF(_xlfn.ISFORMULA(S218),IFERROR(0/0,""),TRUE)</f>
        <v/>
      </c>
      <c r="AD218" s="20" t="str">
        <f t="shared" si="441"/>
        <v/>
      </c>
      <c r="AE218" s="43"/>
      <c r="AF218" s="86" t="s">
        <v>44</v>
      </c>
      <c r="AG218" s="57" t="b">
        <f t="shared" si="11"/>
        <v>0</v>
      </c>
    </row>
    <row r="219">
      <c r="A219" s="6" t="str">
        <f>IFERROR(__xludf.DUMMYFUNCTION("""COMPUTED_VALUE"""),"MA547")</f>
        <v>MA547</v>
      </c>
      <c r="B219" s="204">
        <f>IFERROR(__xludf.DUMMYFUNCTION("""COMPUTED_VALUE"""),44579.0)</f>
        <v>44579</v>
      </c>
      <c r="C219" s="250">
        <f>IFERROR(__xludf.DUMMYFUNCTION("""COMPUTED_VALUE"""),0.41445601851851854)</f>
        <v>0.4144560185</v>
      </c>
      <c r="D219" s="6" t="str">
        <f>IFERROR(__xludf.DUMMYFUNCTION("""COMPUTED_VALUE"""),"SpBEND394154")</f>
        <v>SpBEND394154</v>
      </c>
      <c r="E219" s="251"/>
      <c r="F219" s="251"/>
      <c r="G219" s="251" t="str">
        <f>IFERROR(__xludf.DUMMYFUNCTION("""COMPUTED_VALUE"""),"Positive")</f>
        <v>Positive</v>
      </c>
      <c r="H219" s="264" t="str">
        <f>IFERROR(__xludf.DUMMYFUNCTION("""COMPUTED_VALUE"""),"Positive")</f>
        <v>Positive</v>
      </c>
      <c r="I219" s="263">
        <f>IFERROR(__xludf.DUMMYFUNCTION("""COMPUTED_VALUE"""),44579.0)</f>
        <v>44579</v>
      </c>
      <c r="J219" s="252">
        <f>IFERROR(__xludf.DUMMYFUNCTION("""COMPUTED_VALUE"""),0.5015972222222222)</f>
        <v>0.5015972222</v>
      </c>
      <c r="K219" s="56"/>
      <c r="L219" s="6"/>
      <c r="M219" s="61"/>
      <c r="N219" s="61">
        <f>IFERROR(__xludf.DUMMYFUNCTION("""COMPUTED_VALUE"""),1.0)</f>
        <v>1</v>
      </c>
      <c r="O219" s="61" t="str">
        <f t="shared" si="3"/>
        <v/>
      </c>
      <c r="P219" s="253">
        <f>IFERROR(__xludf.DUMMYFUNCTION("""COMPUTED_VALUE"""),0.0)</f>
        <v>0</v>
      </c>
      <c r="Q219" s="254" t="str">
        <f>VLOOKUP($B219,'Run Reconcile'!B$2:O799,14,FALSE)</f>
        <v/>
      </c>
      <c r="R219" s="255" t="str">
        <f t="array" ref="R219">IF($Q219, INDEX('Run Reconcile'!A$2:A799,MATCH(B219,'Run Reconcile'!B$2:B799,0),1),IFERROR(0/0,""))</f>
        <v/>
      </c>
      <c r="S219" s="261" t="b">
        <f t="shared" ref="S219:T219" si="442">IF(COUNTIF(W$2:W799, $A219) &gt; 0,TRUE,IFERROR(0/0,""))</f>
        <v>1</v>
      </c>
      <c r="T219" s="261" t="b">
        <f t="shared" si="442"/>
        <v>1</v>
      </c>
      <c r="U219" s="257" t="str">
        <f t="array" ref="U219">IF(ISBLANK($R219), INDEX('Run Reconcile'!A$2:A799, MATCH($B219, 'Run Reconcile'!B$2:B799, 0)+Z219, 1), IFERROR(0/0,""))
</f>
        <v>RUN-BEND_2022-01-19_RFR-016</v>
      </c>
      <c r="V219" s="266" t="s">
        <v>43</v>
      </c>
      <c r="W219" s="6" t="s">
        <v>420</v>
      </c>
      <c r="X219" s="6" t="s">
        <v>420</v>
      </c>
      <c r="Y219" s="120">
        <v>2.0</v>
      </c>
      <c r="Z219" s="49">
        <f t="shared" si="7"/>
        <v>2</v>
      </c>
      <c r="AA219" s="49">
        <f t="shared" si="8"/>
        <v>2</v>
      </c>
      <c r="AB219" s="49">
        <f t="shared" si="9"/>
        <v>2</v>
      </c>
      <c r="AC219" s="20" t="str">
        <f t="shared" ref="AC219:AD219" si="443">IF(_xlfn.ISFORMULA(S219),IFERROR(0/0,""),TRUE)</f>
        <v/>
      </c>
      <c r="AD219" s="20" t="str">
        <f t="shared" si="443"/>
        <v/>
      </c>
      <c r="AE219" s="43"/>
      <c r="AF219" s="86" t="s">
        <v>44</v>
      </c>
      <c r="AG219" s="57" t="b">
        <f t="shared" si="11"/>
        <v>0</v>
      </c>
    </row>
    <row r="220">
      <c r="A220" s="6" t="str">
        <f>IFERROR(__xludf.DUMMYFUNCTION("""COMPUTED_VALUE"""),"MA1037")</f>
        <v>MA1037</v>
      </c>
      <c r="B220" s="204">
        <f>IFERROR(__xludf.DUMMYFUNCTION("""COMPUTED_VALUE"""),44579.0)</f>
        <v>44579</v>
      </c>
      <c r="C220" s="250">
        <f>IFERROR(__xludf.DUMMYFUNCTION("""COMPUTED_VALUE"""),0.4153472222222222)</f>
        <v>0.4153472222</v>
      </c>
      <c r="D220" s="6" t="str">
        <f>IFERROR(__xludf.DUMMYFUNCTION("""COMPUTED_VALUE"""),"SpBEND394154")</f>
        <v>SpBEND394154</v>
      </c>
      <c r="E220" s="251"/>
      <c r="F220" s="251"/>
      <c r="G220" s="251" t="str">
        <f>IFERROR(__xludf.DUMMYFUNCTION("""COMPUTED_VALUE"""),"Positive")</f>
        <v>Positive</v>
      </c>
      <c r="H220" s="264" t="str">
        <f>IFERROR(__xludf.DUMMYFUNCTION("""COMPUTED_VALUE"""),"Positive")</f>
        <v>Positive</v>
      </c>
      <c r="I220" s="263">
        <f>IFERROR(__xludf.DUMMYFUNCTION("""COMPUTED_VALUE"""),44579.0)</f>
        <v>44579</v>
      </c>
      <c r="J220" s="252">
        <f>IFERROR(__xludf.DUMMYFUNCTION("""COMPUTED_VALUE"""),0.5015972222222222)</f>
        <v>0.5015972222</v>
      </c>
      <c r="K220" s="56"/>
      <c r="L220" s="6"/>
      <c r="M220" s="61"/>
      <c r="N220" s="61">
        <f>IFERROR(__xludf.DUMMYFUNCTION("""COMPUTED_VALUE"""),1.0)</f>
        <v>1</v>
      </c>
      <c r="O220" s="61" t="str">
        <f t="shared" si="3"/>
        <v/>
      </c>
      <c r="P220" s="253">
        <f>IFERROR(__xludf.DUMMYFUNCTION("""COMPUTED_VALUE"""),0.0)</f>
        <v>0</v>
      </c>
      <c r="Q220" s="254" t="str">
        <f>VLOOKUP($B220,'Run Reconcile'!B$2:O799,14,FALSE)</f>
        <v/>
      </c>
      <c r="R220" s="255" t="str">
        <f t="array" ref="R220">IF($Q220, INDEX('Run Reconcile'!A$2:A799,MATCH(B220,'Run Reconcile'!B$2:B799,0),1),IFERROR(0/0,""))</f>
        <v/>
      </c>
      <c r="S220" s="261" t="b">
        <f t="shared" ref="S220:T220" si="444">IF(COUNTIF(W$2:W799, $A220) &gt; 0,TRUE,IFERROR(0/0,""))</f>
        <v>1</v>
      </c>
      <c r="T220" s="261" t="b">
        <f t="shared" si="444"/>
        <v>1</v>
      </c>
      <c r="U220" s="257" t="str">
        <f t="array" ref="U220">IF(ISBLANK($R220), INDEX('Run Reconcile'!A$2:A799, MATCH($B220, 'Run Reconcile'!B$2:B799, 0)+Z220, 1), IFERROR(0/0,""))
</f>
        <v>RUN-BEND_2022-01-19_RFR-016</v>
      </c>
      <c r="V220" s="266" t="s">
        <v>43</v>
      </c>
      <c r="W220" s="6" t="s">
        <v>421</v>
      </c>
      <c r="X220" s="6" t="s">
        <v>421</v>
      </c>
      <c r="Y220" s="120">
        <v>2.0</v>
      </c>
      <c r="Z220" s="49">
        <f t="shared" si="7"/>
        <v>2</v>
      </c>
      <c r="AA220" s="49">
        <f t="shared" si="8"/>
        <v>2</v>
      </c>
      <c r="AB220" s="49">
        <f t="shared" si="9"/>
        <v>2</v>
      </c>
      <c r="AC220" s="20" t="str">
        <f t="shared" ref="AC220:AD220" si="445">IF(_xlfn.ISFORMULA(S220),IFERROR(0/0,""),TRUE)</f>
        <v/>
      </c>
      <c r="AD220" s="20" t="str">
        <f t="shared" si="445"/>
        <v/>
      </c>
      <c r="AE220" s="43"/>
      <c r="AF220" s="86" t="s">
        <v>44</v>
      </c>
      <c r="AG220" s="57" t="b">
        <f t="shared" si="11"/>
        <v>0</v>
      </c>
    </row>
    <row r="221">
      <c r="A221" s="6" t="str">
        <f>IFERROR(__xludf.DUMMYFUNCTION("""COMPUTED_VALUE"""),"MA446")</f>
        <v>MA446</v>
      </c>
      <c r="B221" s="204">
        <f>IFERROR(__xludf.DUMMYFUNCTION("""COMPUTED_VALUE"""),44579.0)</f>
        <v>44579</v>
      </c>
      <c r="C221" s="250">
        <f>IFERROR(__xludf.DUMMYFUNCTION("""COMPUTED_VALUE"""),0.4159259259259259)</f>
        <v>0.4159259259</v>
      </c>
      <c r="D221" s="6" t="str">
        <f>IFERROR(__xludf.DUMMYFUNCTION("""COMPUTED_VALUE"""),"SpBEND394154")</f>
        <v>SpBEND394154</v>
      </c>
      <c r="E221" s="251"/>
      <c r="F221" s="251"/>
      <c r="G221" s="251" t="str">
        <f>IFERROR(__xludf.DUMMYFUNCTION("""COMPUTED_VALUE"""),"Positive")</f>
        <v>Positive</v>
      </c>
      <c r="H221" s="264" t="str">
        <f>IFERROR(__xludf.DUMMYFUNCTION("""COMPUTED_VALUE"""),"Positive")</f>
        <v>Positive</v>
      </c>
      <c r="I221" s="263">
        <f>IFERROR(__xludf.DUMMYFUNCTION("""COMPUTED_VALUE"""),44579.0)</f>
        <v>44579</v>
      </c>
      <c r="J221" s="252">
        <f>IFERROR(__xludf.DUMMYFUNCTION("""COMPUTED_VALUE"""),0.5015972222222222)</f>
        <v>0.5015972222</v>
      </c>
      <c r="K221" s="56"/>
      <c r="L221" s="6"/>
      <c r="M221" s="61"/>
      <c r="N221" s="61">
        <f>IFERROR(__xludf.DUMMYFUNCTION("""COMPUTED_VALUE"""),1.0)</f>
        <v>1</v>
      </c>
      <c r="O221" s="61" t="str">
        <f t="shared" si="3"/>
        <v/>
      </c>
      <c r="P221" s="253">
        <f>IFERROR(__xludf.DUMMYFUNCTION("""COMPUTED_VALUE"""),0.0)</f>
        <v>0</v>
      </c>
      <c r="Q221" s="254" t="str">
        <f>VLOOKUP($B221,'Run Reconcile'!B$2:O799,14,FALSE)</f>
        <v/>
      </c>
      <c r="R221" s="255" t="str">
        <f t="array" ref="R221">IF($Q221, INDEX('Run Reconcile'!A$2:A799,MATCH(B221,'Run Reconcile'!B$2:B799,0),1),IFERROR(0/0,""))</f>
        <v/>
      </c>
      <c r="S221" s="261" t="b">
        <f t="shared" ref="S221:T221" si="446">IF(COUNTIF(W$2:W799, $A221) &gt; 0,TRUE,IFERROR(0/0,""))</f>
        <v>1</v>
      </c>
      <c r="T221" s="261" t="b">
        <f t="shared" si="446"/>
        <v>1</v>
      </c>
      <c r="U221" s="257" t="str">
        <f t="array" ref="U221">IF(ISBLANK($R221), INDEX('Run Reconcile'!A$2:A799, MATCH($B221, 'Run Reconcile'!B$2:B799, 0)+Z221, 1), IFERROR(0/0,""))
</f>
        <v>RUN-BEND_2022-01-19_RFR-016</v>
      </c>
      <c r="V221" s="266" t="s">
        <v>43</v>
      </c>
      <c r="W221" s="6" t="s">
        <v>422</v>
      </c>
      <c r="X221" s="6" t="s">
        <v>422</v>
      </c>
      <c r="Y221" s="120">
        <v>2.0</v>
      </c>
      <c r="Z221" s="49">
        <f t="shared" si="7"/>
        <v>2</v>
      </c>
      <c r="AA221" s="49">
        <f t="shared" si="8"/>
        <v>2</v>
      </c>
      <c r="AB221" s="49">
        <f t="shared" si="9"/>
        <v>2</v>
      </c>
      <c r="AC221" s="20" t="str">
        <f t="shared" ref="AC221:AD221" si="447">IF(_xlfn.ISFORMULA(S221),IFERROR(0/0,""),TRUE)</f>
        <v/>
      </c>
      <c r="AD221" s="20" t="str">
        <f t="shared" si="447"/>
        <v/>
      </c>
      <c r="AE221" s="43"/>
      <c r="AF221" s="86" t="s">
        <v>44</v>
      </c>
      <c r="AG221" s="57" t="b">
        <f t="shared" si="11"/>
        <v>0</v>
      </c>
    </row>
    <row r="222">
      <c r="A222" s="6" t="str">
        <f>IFERROR(__xludf.DUMMYFUNCTION("""COMPUTED_VALUE"""),"MAX90")</f>
        <v>MAX90</v>
      </c>
      <c r="B222" s="204">
        <f>IFERROR(__xludf.DUMMYFUNCTION("""COMPUTED_VALUE"""),44580.0)</f>
        <v>44580</v>
      </c>
      <c r="C222" s="250">
        <f>IFERROR(__xludf.DUMMYFUNCTION("""COMPUTED_VALUE"""),0.2888310185185185)</f>
        <v>0.2888310185</v>
      </c>
      <c r="D222" s="6" t="str">
        <f>IFERROR(__xludf.DUMMYFUNCTION("""COMPUTED_VALUE"""),"SpBEND394154")</f>
        <v>SpBEND394154</v>
      </c>
      <c r="E222" s="251"/>
      <c r="F222" s="251"/>
      <c r="G222" s="251" t="str">
        <f>IFERROR(__xludf.DUMMYFUNCTION("""COMPUTED_VALUE"""),"Negative")</f>
        <v>Negative</v>
      </c>
      <c r="H222" s="264" t="str">
        <f>IFERROR(__xludf.DUMMYFUNCTION("""COMPUTED_VALUE"""),"Negative")</f>
        <v>Negative</v>
      </c>
      <c r="I222" s="263">
        <f>IFERROR(__xludf.DUMMYFUNCTION("""COMPUTED_VALUE"""),44580.0)</f>
        <v>44580</v>
      </c>
      <c r="J222" s="252">
        <f>IFERROR(__xludf.DUMMYFUNCTION("""COMPUTED_VALUE"""),0.5080208333333334)</f>
        <v>0.5080208333</v>
      </c>
      <c r="K222" s="56"/>
      <c r="L222" s="6"/>
      <c r="M222" s="61"/>
      <c r="N222" s="61">
        <f>IFERROR(__xludf.DUMMYFUNCTION("""COMPUTED_VALUE"""),1.0)</f>
        <v>1</v>
      </c>
      <c r="O222" s="61" t="b">
        <f t="shared" si="3"/>
        <v>1</v>
      </c>
      <c r="P222" s="253">
        <f>IFERROR(__xludf.DUMMYFUNCTION("""COMPUTED_VALUE"""),0.0)</f>
        <v>0</v>
      </c>
      <c r="Q222" s="254" t="str">
        <f>VLOOKUP($B222,'Run Reconcile'!B$2:O799,14,FALSE)</f>
        <v/>
      </c>
      <c r="R222" s="255" t="str">
        <f t="array" ref="R222">IF($Q222, INDEX('Run Reconcile'!A$2:A799,MATCH(B222,'Run Reconcile'!B$2:B799,0),1),IFERROR(0/0,""))</f>
        <v/>
      </c>
      <c r="S222" s="261" t="str">
        <f t="shared" ref="S222:T222" si="448">IF(COUNTIF(W$2:W799, $A222) &gt; 0,TRUE,IFERROR(0/0,""))</f>
        <v/>
      </c>
      <c r="T222" s="261" t="str">
        <f t="shared" si="448"/>
        <v/>
      </c>
      <c r="U222" s="257" t="str">
        <f t="array" ref="U222">IF(ISBLANK($R222), INDEX('Run Reconcile'!A$2:A799, MATCH($B222, 'Run Reconcile'!B$2:B799, 0)+Z222, 1), IFERROR(0/0,""))
</f>
        <v>RUN-BEND_2022-01-19_RFR-015</v>
      </c>
      <c r="V222" s="265" t="s">
        <v>44</v>
      </c>
      <c r="Y222" s="130" t="str">
        <f t="shared" ref="Y222:Y235" si="451">IF(AND(ISBLANK(W222),ISBLANK(X222)),IFERROR(0/0,""),1)</f>
        <v/>
      </c>
      <c r="Z222" s="49" t="str">
        <f t="shared" si="7"/>
        <v/>
      </c>
      <c r="AA222" s="49" t="str">
        <f t="shared" si="8"/>
        <v/>
      </c>
      <c r="AB222" s="49" t="str">
        <f t="shared" si="9"/>
        <v/>
      </c>
      <c r="AC222" s="20" t="str">
        <f t="shared" ref="AC222:AD222" si="449">IF(_xlfn.ISFORMULA(S222),IFERROR(0/0,""),TRUE)</f>
        <v/>
      </c>
      <c r="AD222" s="20" t="str">
        <f t="shared" si="449"/>
        <v/>
      </c>
      <c r="AE222" s="43"/>
      <c r="AF222" s="86" t="s">
        <v>43</v>
      </c>
      <c r="AG222" s="57" t="b">
        <f t="shared" si="11"/>
        <v>0</v>
      </c>
    </row>
    <row r="223">
      <c r="A223" s="6" t="str">
        <f>IFERROR(__xludf.DUMMYFUNCTION("""COMPUTED_VALUE"""),"MAX62")</f>
        <v>MAX62</v>
      </c>
      <c r="B223" s="204">
        <f>IFERROR(__xludf.DUMMYFUNCTION("""COMPUTED_VALUE"""),44580.0)</f>
        <v>44580</v>
      </c>
      <c r="C223" s="250">
        <f>IFERROR(__xludf.DUMMYFUNCTION("""COMPUTED_VALUE"""),0.2900578703703704)</f>
        <v>0.2900578704</v>
      </c>
      <c r="D223" s="6" t="str">
        <f>IFERROR(__xludf.DUMMYFUNCTION("""COMPUTED_VALUE"""),"SpBEND394154")</f>
        <v>SpBEND394154</v>
      </c>
      <c r="E223" s="251"/>
      <c r="F223" s="251"/>
      <c r="G223" s="251" t="str">
        <f>IFERROR(__xludf.DUMMYFUNCTION("""COMPUTED_VALUE"""),"Negative")</f>
        <v>Negative</v>
      </c>
      <c r="H223" s="264" t="str">
        <f>IFERROR(__xludf.DUMMYFUNCTION("""COMPUTED_VALUE"""),"Negative")</f>
        <v>Negative</v>
      </c>
      <c r="I223" s="263">
        <f>IFERROR(__xludf.DUMMYFUNCTION("""COMPUTED_VALUE"""),44580.0)</f>
        <v>44580</v>
      </c>
      <c r="J223" s="252">
        <f>IFERROR(__xludf.DUMMYFUNCTION("""COMPUTED_VALUE"""),0.5080208333333334)</f>
        <v>0.5080208333</v>
      </c>
      <c r="K223" s="56"/>
      <c r="L223" s="6"/>
      <c r="M223" s="61"/>
      <c r="N223" s="61">
        <f>IFERROR(__xludf.DUMMYFUNCTION("""COMPUTED_VALUE"""),1.0)</f>
        <v>1</v>
      </c>
      <c r="O223" s="61" t="str">
        <f t="shared" si="3"/>
        <v/>
      </c>
      <c r="P223" s="253">
        <f>IFERROR(__xludf.DUMMYFUNCTION("""COMPUTED_VALUE"""),0.0)</f>
        <v>0</v>
      </c>
      <c r="Q223" s="254" t="str">
        <f>VLOOKUP($B223,'Run Reconcile'!B$2:O799,14,FALSE)</f>
        <v/>
      </c>
      <c r="R223" s="255" t="str">
        <f t="array" ref="R223">IF($Q223, INDEX('Run Reconcile'!A$2:A799,MATCH(B223,'Run Reconcile'!B$2:B799,0),1),IFERROR(0/0,""))</f>
        <v/>
      </c>
      <c r="S223" s="261" t="str">
        <f t="shared" ref="S223:T223" si="450">IF(COUNTIF(W$2:W799, $A223) &gt; 0,TRUE,IFERROR(0/0,""))</f>
        <v/>
      </c>
      <c r="T223" s="261" t="str">
        <f t="shared" si="450"/>
        <v/>
      </c>
      <c r="U223" s="257" t="str">
        <f t="array" ref="U223">IF(ISBLANK($R223), INDEX('Run Reconcile'!A$2:A799, MATCH($B223, 'Run Reconcile'!B$2:B799, 0)+Z223, 1), IFERROR(0/0,""))
</f>
        <v>RUN-BEND_2022-01-19_RFR-015</v>
      </c>
      <c r="V223" s="265" t="s">
        <v>44</v>
      </c>
      <c r="Y223" s="130" t="str">
        <f t="shared" si="451"/>
        <v/>
      </c>
      <c r="Z223" s="49" t="str">
        <f t="shared" si="7"/>
        <v/>
      </c>
      <c r="AA223" s="49" t="str">
        <f t="shared" si="8"/>
        <v/>
      </c>
      <c r="AB223" s="49" t="str">
        <f t="shared" si="9"/>
        <v/>
      </c>
      <c r="AC223" s="20" t="str">
        <f t="shared" ref="AC223:AD223" si="452">IF(_xlfn.ISFORMULA(S223),IFERROR(0/0,""),TRUE)</f>
        <v/>
      </c>
      <c r="AD223" s="20" t="str">
        <f t="shared" si="452"/>
        <v/>
      </c>
      <c r="AE223" s="43"/>
      <c r="AF223" s="86" t="s">
        <v>43</v>
      </c>
      <c r="AG223" s="57" t="b">
        <f t="shared" si="11"/>
        <v>0</v>
      </c>
    </row>
    <row r="224">
      <c r="A224" s="6" t="str">
        <f>IFERROR(__xludf.DUMMYFUNCTION("""COMPUTED_VALUE"""),"MA727")</f>
        <v>MA727</v>
      </c>
      <c r="B224" s="204">
        <f>IFERROR(__xludf.DUMMYFUNCTION("""COMPUTED_VALUE"""),44580.0)</f>
        <v>44580</v>
      </c>
      <c r="C224" s="250">
        <f>IFERROR(__xludf.DUMMYFUNCTION("""COMPUTED_VALUE"""),0.29824074074074075)</f>
        <v>0.2982407407</v>
      </c>
      <c r="D224" s="6" t="str">
        <f>IFERROR(__xludf.DUMMYFUNCTION("""COMPUTED_VALUE"""),"SpBEND587584")</f>
        <v>SpBEND587584</v>
      </c>
      <c r="E224" s="251"/>
      <c r="F224" s="251"/>
      <c r="G224" s="251" t="str">
        <f>IFERROR(__xludf.DUMMYFUNCTION("""COMPUTED_VALUE"""),"Negative")</f>
        <v>Negative</v>
      </c>
      <c r="H224" s="264" t="str">
        <f>IFERROR(__xludf.DUMMYFUNCTION("""COMPUTED_VALUE"""),"Negative")</f>
        <v>Negative</v>
      </c>
      <c r="I224" s="263">
        <f>IFERROR(__xludf.DUMMYFUNCTION("""COMPUTED_VALUE"""),44580.0)</f>
        <v>44580</v>
      </c>
      <c r="J224" s="252">
        <f>IFERROR(__xludf.DUMMYFUNCTION("""COMPUTED_VALUE"""),0.5080208333333334)</f>
        <v>0.5080208333</v>
      </c>
      <c r="K224" s="56"/>
      <c r="L224" s="6"/>
      <c r="M224" s="61"/>
      <c r="N224" s="61">
        <f>IFERROR(__xludf.DUMMYFUNCTION("""COMPUTED_VALUE"""),1.0)</f>
        <v>1</v>
      </c>
      <c r="O224" s="61" t="str">
        <f t="shared" si="3"/>
        <v/>
      </c>
      <c r="P224" s="253">
        <f>IFERROR(__xludf.DUMMYFUNCTION("""COMPUTED_VALUE"""),0.0)</f>
        <v>0</v>
      </c>
      <c r="Q224" s="254" t="str">
        <f>VLOOKUP($B224,'Run Reconcile'!B$2:O799,14,FALSE)</f>
        <v/>
      </c>
      <c r="R224" s="255" t="str">
        <f t="array" ref="R224">IF($Q224, INDEX('Run Reconcile'!A$2:A799,MATCH(B224,'Run Reconcile'!B$2:B799,0),1),IFERROR(0/0,""))</f>
        <v/>
      </c>
      <c r="S224" s="261" t="str">
        <f t="shared" ref="S224:T224" si="453">IF(COUNTIF(W$2:W799, $A224) &gt; 0,TRUE,IFERROR(0/0,""))</f>
        <v/>
      </c>
      <c r="T224" s="261" t="str">
        <f t="shared" si="453"/>
        <v/>
      </c>
      <c r="U224" s="257" t="str">
        <f t="array" ref="U224">IF(ISBLANK($R224), INDEX('Run Reconcile'!A$2:A799, MATCH($B224, 'Run Reconcile'!B$2:B799, 0)+Z224, 1), IFERROR(0/0,""))
</f>
        <v>RUN-BEND_2022-01-19_RFR-015</v>
      </c>
      <c r="V224" s="265" t="s">
        <v>44</v>
      </c>
      <c r="Y224" s="130" t="str">
        <f t="shared" si="451"/>
        <v/>
      </c>
      <c r="Z224" s="49" t="str">
        <f t="shared" si="7"/>
        <v/>
      </c>
      <c r="AA224" s="49" t="str">
        <f t="shared" si="8"/>
        <v/>
      </c>
      <c r="AB224" s="49" t="str">
        <f t="shared" si="9"/>
        <v/>
      </c>
      <c r="AC224" s="20" t="str">
        <f t="shared" ref="AC224:AD224" si="454">IF(_xlfn.ISFORMULA(S224),IFERROR(0/0,""),TRUE)</f>
        <v/>
      </c>
      <c r="AD224" s="20" t="str">
        <f t="shared" si="454"/>
        <v/>
      </c>
      <c r="AE224" s="43"/>
      <c r="AF224" s="86" t="s">
        <v>43</v>
      </c>
      <c r="AG224" s="57" t="b">
        <f t="shared" si="11"/>
        <v>0</v>
      </c>
    </row>
    <row r="225">
      <c r="A225" s="6" t="str">
        <f>IFERROR(__xludf.DUMMYFUNCTION("""COMPUTED_VALUE"""),"MA1115")</f>
        <v>MA1115</v>
      </c>
      <c r="B225" s="204">
        <f>IFERROR(__xludf.DUMMYFUNCTION("""COMPUTED_VALUE"""),44580.0)</f>
        <v>44580</v>
      </c>
      <c r="C225" s="250">
        <f>IFERROR(__xludf.DUMMYFUNCTION("""COMPUTED_VALUE"""),0.3460648148148148)</f>
        <v>0.3460648148</v>
      </c>
      <c r="D225" s="6" t="str">
        <f>IFERROR(__xludf.DUMMYFUNCTION("""COMPUTED_VALUE"""),"SpBEND708976")</f>
        <v>SpBEND708976</v>
      </c>
      <c r="E225" s="251"/>
      <c r="F225" s="251"/>
      <c r="G225" s="251" t="str">
        <f>IFERROR(__xludf.DUMMYFUNCTION("""COMPUTED_VALUE"""),"Positive")</f>
        <v>Positive</v>
      </c>
      <c r="H225" s="262" t="str">
        <f>IFERROR(__xludf.DUMMYFUNCTION("""COMPUTED_VALUE"""),"Positive")</f>
        <v>Positive</v>
      </c>
      <c r="I225" s="204">
        <f>IFERROR(__xludf.DUMMYFUNCTION("""COMPUTED_VALUE"""),44580.0)</f>
        <v>44580</v>
      </c>
      <c r="J225" s="252">
        <f>IFERROR(__xludf.DUMMYFUNCTION("""COMPUTED_VALUE"""),0.5073611111111112)</f>
        <v>0.5073611111</v>
      </c>
      <c r="K225" s="56"/>
      <c r="L225" s="6"/>
      <c r="M225" s="61"/>
      <c r="N225" s="61">
        <f>IFERROR(__xludf.DUMMYFUNCTION("""COMPUTED_VALUE"""),1.0)</f>
        <v>1</v>
      </c>
      <c r="O225" s="61" t="str">
        <f t="shared" si="3"/>
        <v/>
      </c>
      <c r="P225" s="253">
        <f>IFERROR(__xludf.DUMMYFUNCTION("""COMPUTED_VALUE"""),0.0)</f>
        <v>0</v>
      </c>
      <c r="Q225" s="254"/>
      <c r="R225" s="255"/>
      <c r="S225" s="261" t="str">
        <f t="shared" ref="S225:T225" si="455">IF(COUNTIF(W$2:W799, $A225) &gt; 0,TRUE,IFERROR(0/0,""))</f>
        <v/>
      </c>
      <c r="T225" s="261" t="str">
        <f t="shared" si="455"/>
        <v/>
      </c>
      <c r="U225" s="257" t="str">
        <f t="array" ref="U225">IF(ISBLANK($R225), INDEX('Run Reconcile'!A$2:A799, MATCH($B225, 'Run Reconcile'!B$2:B799, 0)+Z225, 1), IFERROR(0/0,""))
</f>
        <v>RUN-BEND_2022-01-19_RFR-015</v>
      </c>
      <c r="V225" s="265" t="s">
        <v>44</v>
      </c>
      <c r="Y225" s="130" t="str">
        <f t="shared" si="451"/>
        <v/>
      </c>
      <c r="Z225" s="49" t="str">
        <f t="shared" si="7"/>
        <v/>
      </c>
      <c r="AA225" s="49" t="str">
        <f t="shared" si="8"/>
        <v/>
      </c>
      <c r="AB225" s="49" t="str">
        <f t="shared" si="9"/>
        <v/>
      </c>
      <c r="AC225" s="20" t="str">
        <f t="shared" ref="AC225:AD225" si="456">IF(_xlfn.ISFORMULA(S225),IFERROR(0/0,""),TRUE)</f>
        <v/>
      </c>
      <c r="AD225" s="20" t="str">
        <f t="shared" si="456"/>
        <v/>
      </c>
      <c r="AE225" s="43"/>
      <c r="AF225" s="86" t="s">
        <v>43</v>
      </c>
      <c r="AG225" s="57" t="b">
        <f t="shared" si="11"/>
        <v>0</v>
      </c>
    </row>
    <row r="226">
      <c r="A226" s="6" t="str">
        <f>IFERROR(__xludf.DUMMYFUNCTION("""COMPUTED_VALUE"""),"MAX56")</f>
        <v>MAX56</v>
      </c>
      <c r="B226" s="204">
        <f>IFERROR(__xludf.DUMMYFUNCTION("""COMPUTED_VALUE"""),44580.0)</f>
        <v>44580</v>
      </c>
      <c r="C226" s="250">
        <f>IFERROR(__xludf.DUMMYFUNCTION("""COMPUTED_VALUE"""),0.40792824074074074)</f>
        <v>0.4079282407</v>
      </c>
      <c r="D226" s="6" t="str">
        <f>IFERROR(__xludf.DUMMYFUNCTION("""COMPUTED_VALUE"""),"SpBEND394154")</f>
        <v>SpBEND394154</v>
      </c>
      <c r="E226" s="251"/>
      <c r="F226" s="251"/>
      <c r="G226" s="251" t="str">
        <f>IFERROR(__xludf.DUMMYFUNCTION("""COMPUTED_VALUE"""),"Negative")</f>
        <v>Negative</v>
      </c>
      <c r="H226" s="262" t="str">
        <f>IFERROR(__xludf.DUMMYFUNCTION("""COMPUTED_VALUE"""),"Negative")</f>
        <v>Negative</v>
      </c>
      <c r="I226" s="204">
        <f>IFERROR(__xludf.DUMMYFUNCTION("""COMPUTED_VALUE"""),44580.0)</f>
        <v>44580</v>
      </c>
      <c r="J226" s="252">
        <f>IFERROR(__xludf.DUMMYFUNCTION("""COMPUTED_VALUE"""),0.5080208333333334)</f>
        <v>0.5080208333</v>
      </c>
      <c r="K226" s="56"/>
      <c r="L226" s="6"/>
      <c r="M226" s="61"/>
      <c r="N226" s="61">
        <f>IFERROR(__xludf.DUMMYFUNCTION("""COMPUTED_VALUE"""),1.0)</f>
        <v>1</v>
      </c>
      <c r="O226" s="61" t="str">
        <f t="shared" si="3"/>
        <v/>
      </c>
      <c r="P226" s="253">
        <f>IFERROR(__xludf.DUMMYFUNCTION("""COMPUTED_VALUE"""),0.0)</f>
        <v>0</v>
      </c>
      <c r="Q226" s="254"/>
      <c r="R226" s="255"/>
      <c r="S226" s="261" t="str">
        <f t="shared" ref="S226:T226" si="457">IF(COUNTIF(W$2:W799, $A226) &gt; 0,TRUE,IFERROR(0/0,""))</f>
        <v/>
      </c>
      <c r="T226" s="261" t="str">
        <f t="shared" si="457"/>
        <v/>
      </c>
      <c r="U226" s="257" t="str">
        <f t="array" ref="U226">IF(ISBLANK($R226), INDEX('Run Reconcile'!A$2:A799, MATCH($B226, 'Run Reconcile'!B$2:B799, 0)+Z226, 1), IFERROR(0/0,""))
</f>
        <v>RUN-BEND_2022-01-19_RFR-015</v>
      </c>
      <c r="V226" s="265" t="s">
        <v>44</v>
      </c>
      <c r="Y226" s="130" t="str">
        <f t="shared" si="451"/>
        <v/>
      </c>
      <c r="Z226" s="49" t="str">
        <f t="shared" si="7"/>
        <v/>
      </c>
      <c r="AA226" s="49" t="str">
        <f t="shared" si="8"/>
        <v/>
      </c>
      <c r="AB226" s="49" t="str">
        <f t="shared" si="9"/>
        <v/>
      </c>
      <c r="AC226" s="20" t="str">
        <f t="shared" ref="AC226:AD226" si="458">IF(_xlfn.ISFORMULA(S226),IFERROR(0/0,""),TRUE)</f>
        <v/>
      </c>
      <c r="AD226" s="20" t="str">
        <f t="shared" si="458"/>
        <v/>
      </c>
      <c r="AE226" s="43"/>
      <c r="AF226" s="86" t="s">
        <v>43</v>
      </c>
      <c r="AG226" s="57" t="b">
        <f t="shared" si="11"/>
        <v>0</v>
      </c>
    </row>
    <row r="227">
      <c r="A227" s="6" t="str">
        <f>IFERROR(__xludf.DUMMYFUNCTION("""COMPUTED_VALUE"""),"MAX4")</f>
        <v>MAX4</v>
      </c>
      <c r="B227" s="204">
        <f>IFERROR(__xludf.DUMMYFUNCTION("""COMPUTED_VALUE"""),44580.0)</f>
        <v>44580</v>
      </c>
      <c r="C227" s="250">
        <f>IFERROR(__xludf.DUMMYFUNCTION("""COMPUTED_VALUE"""),0.41006944444444443)</f>
        <v>0.4100694444</v>
      </c>
      <c r="D227" s="6" t="str">
        <f>IFERROR(__xludf.DUMMYFUNCTION("""COMPUTED_VALUE"""),"SpBEND394154")</f>
        <v>SpBEND394154</v>
      </c>
      <c r="E227" s="251"/>
      <c r="F227" s="251"/>
      <c r="G227" s="251" t="str">
        <f>IFERROR(__xludf.DUMMYFUNCTION("""COMPUTED_VALUE"""),"Negative")</f>
        <v>Negative</v>
      </c>
      <c r="H227" s="262" t="str">
        <f>IFERROR(__xludf.DUMMYFUNCTION("""COMPUTED_VALUE"""),"Negative")</f>
        <v>Negative</v>
      </c>
      <c r="I227" s="204">
        <f>IFERROR(__xludf.DUMMYFUNCTION("""COMPUTED_VALUE"""),44580.0)</f>
        <v>44580</v>
      </c>
      <c r="J227" s="252">
        <f>IFERROR(__xludf.DUMMYFUNCTION("""COMPUTED_VALUE"""),0.5080208333333334)</f>
        <v>0.5080208333</v>
      </c>
      <c r="K227" s="56"/>
      <c r="L227" s="6"/>
      <c r="M227" s="61"/>
      <c r="N227" s="61">
        <f>IFERROR(__xludf.DUMMYFUNCTION("""COMPUTED_VALUE"""),1.0)</f>
        <v>1</v>
      </c>
      <c r="O227" s="61" t="str">
        <f t="shared" si="3"/>
        <v/>
      </c>
      <c r="P227" s="253">
        <f>IFERROR(__xludf.DUMMYFUNCTION("""COMPUTED_VALUE"""),0.0)</f>
        <v>0</v>
      </c>
      <c r="Q227" s="254"/>
      <c r="R227" s="255"/>
      <c r="S227" s="261" t="str">
        <f t="shared" ref="S227:T227" si="459">IF(COUNTIF(W$2:W799, $A227) &gt; 0,TRUE,IFERROR(0/0,""))</f>
        <v/>
      </c>
      <c r="T227" s="261" t="str">
        <f t="shared" si="459"/>
        <v/>
      </c>
      <c r="U227" s="257" t="str">
        <f t="array" ref="U227">IF(ISBLANK($R227), INDEX('Run Reconcile'!A$2:A799, MATCH($B227, 'Run Reconcile'!B$2:B799, 0)+Z227, 1), IFERROR(0/0,""))
</f>
        <v>RUN-BEND_2022-01-19_RFR-015</v>
      </c>
      <c r="V227" s="265" t="s">
        <v>44</v>
      </c>
      <c r="Y227" s="130" t="str">
        <f t="shared" si="451"/>
        <v/>
      </c>
      <c r="Z227" s="49" t="str">
        <f t="shared" si="7"/>
        <v/>
      </c>
      <c r="AA227" s="49" t="str">
        <f t="shared" si="8"/>
        <v/>
      </c>
      <c r="AB227" s="49" t="str">
        <f t="shared" si="9"/>
        <v/>
      </c>
      <c r="AC227" s="20" t="str">
        <f t="shared" ref="AC227:AD227" si="460">IF(_xlfn.ISFORMULA(S227),IFERROR(0/0,""),TRUE)</f>
        <v/>
      </c>
      <c r="AD227" s="20" t="str">
        <f t="shared" si="460"/>
        <v/>
      </c>
      <c r="AE227" s="43"/>
      <c r="AF227" s="86" t="s">
        <v>43</v>
      </c>
      <c r="AG227" s="57" t="b">
        <f t="shared" si="11"/>
        <v>0</v>
      </c>
    </row>
    <row r="228">
      <c r="A228" s="6" t="str">
        <f>IFERROR(__xludf.DUMMYFUNCTION("""COMPUTED_VALUE"""),"MA383")</f>
        <v>MA383</v>
      </c>
      <c r="B228" s="204">
        <f>IFERROR(__xludf.DUMMYFUNCTION("""COMPUTED_VALUE"""),44580.0)</f>
        <v>44580</v>
      </c>
      <c r="C228" s="250">
        <f>IFERROR(__xludf.DUMMYFUNCTION("""COMPUTED_VALUE"""),0.41456018518518517)</f>
        <v>0.4145601852</v>
      </c>
      <c r="D228" s="6" t="str">
        <f>IFERROR(__xludf.DUMMYFUNCTION("""COMPUTED_VALUE"""),"SpBEND394154")</f>
        <v>SpBEND394154</v>
      </c>
      <c r="E228" s="251"/>
      <c r="F228" s="251"/>
      <c r="G228" s="251" t="str">
        <f>IFERROR(__xludf.DUMMYFUNCTION("""COMPUTED_VALUE"""),"Positive")</f>
        <v>Positive</v>
      </c>
      <c r="H228" s="262" t="str">
        <f>IFERROR(__xludf.DUMMYFUNCTION("""COMPUTED_VALUE"""),"Positive")</f>
        <v>Positive</v>
      </c>
      <c r="I228" s="204">
        <f>IFERROR(__xludf.DUMMYFUNCTION("""COMPUTED_VALUE"""),44580.0)</f>
        <v>44580</v>
      </c>
      <c r="J228" s="252">
        <f>IFERROR(__xludf.DUMMYFUNCTION("""COMPUTED_VALUE"""),0.5073611111111112)</f>
        <v>0.5073611111</v>
      </c>
      <c r="K228" s="56"/>
      <c r="L228" s="6"/>
      <c r="M228" s="61"/>
      <c r="N228" s="61">
        <f>IFERROR(__xludf.DUMMYFUNCTION("""COMPUTED_VALUE"""),1.0)</f>
        <v>1</v>
      </c>
      <c r="O228" s="61" t="str">
        <f t="shared" si="3"/>
        <v/>
      </c>
      <c r="P228" s="253">
        <f>IFERROR(__xludf.DUMMYFUNCTION("""COMPUTED_VALUE"""),0.0)</f>
        <v>0</v>
      </c>
      <c r="Q228" s="254"/>
      <c r="R228" s="255"/>
      <c r="S228" s="261" t="str">
        <f t="shared" ref="S228:T228" si="461">IF(COUNTIF(W$2:W799, $A228) &gt; 0,TRUE,IFERROR(0/0,""))</f>
        <v/>
      </c>
      <c r="T228" s="261" t="str">
        <f t="shared" si="461"/>
        <v/>
      </c>
      <c r="U228" s="257" t="str">
        <f t="array" ref="U228">IF(ISBLANK($R228), INDEX('Run Reconcile'!A$2:A799, MATCH($B228, 'Run Reconcile'!B$2:B799, 0)+Z228, 1), IFERROR(0/0,""))
</f>
        <v>RUN-BEND_2022-01-19_RFR-015</v>
      </c>
      <c r="V228" s="265" t="s">
        <v>44</v>
      </c>
      <c r="Y228" s="130" t="str">
        <f t="shared" si="451"/>
        <v/>
      </c>
      <c r="Z228" s="49" t="str">
        <f t="shared" si="7"/>
        <v/>
      </c>
      <c r="AA228" s="49" t="str">
        <f t="shared" si="8"/>
        <v/>
      </c>
      <c r="AB228" s="49" t="str">
        <f t="shared" si="9"/>
        <v/>
      </c>
      <c r="AC228" s="20" t="str">
        <f t="shared" ref="AC228:AD228" si="462">IF(_xlfn.ISFORMULA(S228),IFERROR(0/0,""),TRUE)</f>
        <v/>
      </c>
      <c r="AD228" s="20" t="str">
        <f t="shared" si="462"/>
        <v/>
      </c>
      <c r="AE228" s="43"/>
      <c r="AF228" s="86" t="s">
        <v>43</v>
      </c>
      <c r="AG228" s="57" t="b">
        <f t="shared" si="11"/>
        <v>0</v>
      </c>
    </row>
    <row r="229">
      <c r="A229" s="6" t="str">
        <f>IFERROR(__xludf.DUMMYFUNCTION("""COMPUTED_VALUE"""),"MA372")</f>
        <v>MA372</v>
      </c>
      <c r="B229" s="204">
        <f>IFERROR(__xludf.DUMMYFUNCTION("""COMPUTED_VALUE"""),44580.0)</f>
        <v>44580</v>
      </c>
      <c r="C229" s="250">
        <f>IFERROR(__xludf.DUMMYFUNCTION("""COMPUTED_VALUE"""),0.415)</f>
        <v>0.415</v>
      </c>
      <c r="D229" s="6" t="str">
        <f>IFERROR(__xludf.DUMMYFUNCTION("""COMPUTED_VALUE"""),"SpBEND394154")</f>
        <v>SpBEND394154</v>
      </c>
      <c r="E229" s="251"/>
      <c r="F229" s="251"/>
      <c r="G229" s="251" t="str">
        <f>IFERROR(__xludf.DUMMYFUNCTION("""COMPUTED_VALUE"""),"Positive")</f>
        <v>Positive</v>
      </c>
      <c r="H229" s="262" t="str">
        <f>IFERROR(__xludf.DUMMYFUNCTION("""COMPUTED_VALUE"""),"Positive")</f>
        <v>Positive</v>
      </c>
      <c r="I229" s="204">
        <f>IFERROR(__xludf.DUMMYFUNCTION("""COMPUTED_VALUE"""),44580.0)</f>
        <v>44580</v>
      </c>
      <c r="J229" s="252">
        <f>IFERROR(__xludf.DUMMYFUNCTION("""COMPUTED_VALUE"""),0.5073726851851852)</f>
        <v>0.5073726852</v>
      </c>
      <c r="K229" s="56"/>
      <c r="L229" s="6"/>
      <c r="M229" s="61"/>
      <c r="N229" s="61">
        <f>IFERROR(__xludf.DUMMYFUNCTION("""COMPUTED_VALUE"""),1.0)</f>
        <v>1</v>
      </c>
      <c r="O229" s="61" t="str">
        <f t="shared" si="3"/>
        <v/>
      </c>
      <c r="P229" s="253">
        <f>IFERROR(__xludf.DUMMYFUNCTION("""COMPUTED_VALUE"""),0.0)</f>
        <v>0</v>
      </c>
      <c r="Q229" s="254"/>
      <c r="R229" s="255"/>
      <c r="S229" s="261" t="str">
        <f t="shared" ref="S229:T229" si="463">IF(COUNTIF(W$2:W799, $A229) &gt; 0,TRUE,IFERROR(0/0,""))</f>
        <v/>
      </c>
      <c r="T229" s="261" t="str">
        <f t="shared" si="463"/>
        <v/>
      </c>
      <c r="U229" s="257" t="str">
        <f t="array" ref="U229">IF(ISBLANK($R229), INDEX('Run Reconcile'!A$2:A799, MATCH($B229, 'Run Reconcile'!B$2:B799, 0)+Z229, 1), IFERROR(0/0,""))
</f>
        <v>RUN-BEND_2022-01-19_RFR-015</v>
      </c>
      <c r="V229" s="265" t="s">
        <v>44</v>
      </c>
      <c r="Y229" s="130" t="str">
        <f t="shared" si="451"/>
        <v/>
      </c>
      <c r="Z229" s="49" t="str">
        <f t="shared" si="7"/>
        <v/>
      </c>
      <c r="AA229" s="49" t="str">
        <f t="shared" si="8"/>
        <v/>
      </c>
      <c r="AB229" s="49" t="str">
        <f t="shared" si="9"/>
        <v/>
      </c>
      <c r="AC229" s="20" t="str">
        <f t="shared" ref="AC229:AD229" si="464">IF(_xlfn.ISFORMULA(S229),IFERROR(0/0,""),TRUE)</f>
        <v/>
      </c>
      <c r="AD229" s="20" t="str">
        <f t="shared" si="464"/>
        <v/>
      </c>
      <c r="AE229" s="43"/>
      <c r="AF229" s="86" t="s">
        <v>43</v>
      </c>
      <c r="AG229" s="57" t="b">
        <f t="shared" si="11"/>
        <v>0</v>
      </c>
    </row>
    <row r="230">
      <c r="A230" s="6" t="str">
        <f>IFERROR(__xludf.DUMMYFUNCTION("""COMPUTED_VALUE"""),"MA303")</f>
        <v>MA303</v>
      </c>
      <c r="B230" s="204">
        <f>IFERROR(__xludf.DUMMYFUNCTION("""COMPUTED_VALUE"""),44580.0)</f>
        <v>44580</v>
      </c>
      <c r="C230" s="250">
        <f>IFERROR(__xludf.DUMMYFUNCTION("""COMPUTED_VALUE"""),0.4154398148148148)</f>
        <v>0.4154398148</v>
      </c>
      <c r="D230" s="6" t="str">
        <f>IFERROR(__xludf.DUMMYFUNCTION("""COMPUTED_VALUE"""),"SpBEND394154")</f>
        <v>SpBEND394154</v>
      </c>
      <c r="E230" s="251"/>
      <c r="F230" s="251"/>
      <c r="G230" s="251" t="str">
        <f>IFERROR(__xludf.DUMMYFUNCTION("""COMPUTED_VALUE"""),"Positive")</f>
        <v>Positive</v>
      </c>
      <c r="H230" s="262" t="str">
        <f>IFERROR(__xludf.DUMMYFUNCTION("""COMPUTED_VALUE"""),"Positive")</f>
        <v>Positive</v>
      </c>
      <c r="I230" s="204">
        <f>IFERROR(__xludf.DUMMYFUNCTION("""COMPUTED_VALUE"""),44580.0)</f>
        <v>44580</v>
      </c>
      <c r="J230" s="252">
        <f>IFERROR(__xludf.DUMMYFUNCTION("""COMPUTED_VALUE"""),0.5073726851851852)</f>
        <v>0.5073726852</v>
      </c>
      <c r="K230" s="56"/>
      <c r="L230" s="6"/>
      <c r="M230" s="61"/>
      <c r="N230" s="61">
        <f>IFERROR(__xludf.DUMMYFUNCTION("""COMPUTED_VALUE"""),1.0)</f>
        <v>1</v>
      </c>
      <c r="O230" s="61" t="str">
        <f t="shared" si="3"/>
        <v/>
      </c>
      <c r="P230" s="253">
        <f>IFERROR(__xludf.DUMMYFUNCTION("""COMPUTED_VALUE"""),0.0)</f>
        <v>0</v>
      </c>
      <c r="Q230" s="254"/>
      <c r="R230" s="255"/>
      <c r="S230" s="261" t="str">
        <f t="shared" ref="S230:T230" si="465">IF(COUNTIF(W$2:W799, $A230) &gt; 0,TRUE,IFERROR(0/0,""))</f>
        <v/>
      </c>
      <c r="T230" s="261" t="str">
        <f t="shared" si="465"/>
        <v/>
      </c>
      <c r="U230" s="257" t="str">
        <f t="array" ref="U230">IF(ISBLANK($R230), INDEX('Run Reconcile'!A$2:A799, MATCH($B230, 'Run Reconcile'!B$2:B799, 0)+Z230, 1), IFERROR(0/0,""))
</f>
        <v>RUN-BEND_2022-01-19_RFR-015</v>
      </c>
      <c r="V230" s="265" t="s">
        <v>44</v>
      </c>
      <c r="Y230" s="130" t="str">
        <f t="shared" si="451"/>
        <v/>
      </c>
      <c r="Z230" s="49" t="str">
        <f t="shared" si="7"/>
        <v/>
      </c>
      <c r="AA230" s="49" t="str">
        <f t="shared" si="8"/>
        <v/>
      </c>
      <c r="AB230" s="49" t="str">
        <f t="shared" si="9"/>
        <v/>
      </c>
      <c r="AC230" s="20" t="str">
        <f t="shared" ref="AC230:AD230" si="466">IF(_xlfn.ISFORMULA(S230),IFERROR(0/0,""),TRUE)</f>
        <v/>
      </c>
      <c r="AD230" s="20" t="str">
        <f t="shared" si="466"/>
        <v/>
      </c>
      <c r="AE230" s="43"/>
      <c r="AF230" s="86" t="s">
        <v>43</v>
      </c>
      <c r="AG230" s="57" t="b">
        <f t="shared" si="11"/>
        <v>0</v>
      </c>
    </row>
    <row r="231">
      <c r="A231" s="6" t="str">
        <f>IFERROR(__xludf.DUMMYFUNCTION("""COMPUTED_VALUE"""),"MA420")</f>
        <v>MA420</v>
      </c>
      <c r="B231" s="204">
        <f>IFERROR(__xludf.DUMMYFUNCTION("""COMPUTED_VALUE"""),44580.0)</f>
        <v>44580</v>
      </c>
      <c r="C231" s="250">
        <f>IFERROR(__xludf.DUMMYFUNCTION("""COMPUTED_VALUE"""),0.42681712962962964)</f>
        <v>0.4268171296</v>
      </c>
      <c r="D231" s="6" t="str">
        <f>IFERROR(__xludf.DUMMYFUNCTION("""COMPUTED_VALUE"""),"SpBEND953422")</f>
        <v>SpBEND953422</v>
      </c>
      <c r="E231" s="251"/>
      <c r="F231" s="251"/>
      <c r="G231" s="251" t="str">
        <f>IFERROR(__xludf.DUMMYFUNCTION("""COMPUTED_VALUE"""),"Negative")</f>
        <v>Negative</v>
      </c>
      <c r="H231" s="262" t="str">
        <f>IFERROR(__xludf.DUMMYFUNCTION("""COMPUTED_VALUE"""),"Negative")</f>
        <v>Negative</v>
      </c>
      <c r="I231" s="204">
        <f>IFERROR(__xludf.DUMMYFUNCTION("""COMPUTED_VALUE"""),44580.0)</f>
        <v>44580</v>
      </c>
      <c r="J231" s="252">
        <f>IFERROR(__xludf.DUMMYFUNCTION("""COMPUTED_VALUE"""),0.5080324074074074)</f>
        <v>0.5080324074</v>
      </c>
      <c r="K231" s="56"/>
      <c r="L231" s="6"/>
      <c r="M231" s="61"/>
      <c r="N231" s="61">
        <f>IFERROR(__xludf.DUMMYFUNCTION("""COMPUTED_VALUE"""),1.0)</f>
        <v>1</v>
      </c>
      <c r="O231" s="61" t="str">
        <f t="shared" si="3"/>
        <v/>
      </c>
      <c r="P231" s="253">
        <f>IFERROR(__xludf.DUMMYFUNCTION("""COMPUTED_VALUE"""),0.0)</f>
        <v>0</v>
      </c>
      <c r="Q231" s="254"/>
      <c r="R231" s="255"/>
      <c r="S231" s="261" t="str">
        <f t="shared" ref="S231:T231" si="467">IF(COUNTIF(W$2:W799, $A231) &gt; 0,TRUE,IFERROR(0/0,""))</f>
        <v/>
      </c>
      <c r="T231" s="261" t="str">
        <f t="shared" si="467"/>
        <v/>
      </c>
      <c r="U231" s="257" t="str">
        <f t="array" ref="U231">IF(ISBLANK($R231), INDEX('Run Reconcile'!A$2:A799, MATCH($B231, 'Run Reconcile'!B$2:B799, 0)+Z231, 1), IFERROR(0/0,""))
</f>
        <v>RUN-BEND_2022-01-19_RFR-015</v>
      </c>
      <c r="V231" s="265" t="s">
        <v>44</v>
      </c>
      <c r="Y231" s="130" t="str">
        <f t="shared" si="451"/>
        <v/>
      </c>
      <c r="Z231" s="49" t="str">
        <f t="shared" si="7"/>
        <v/>
      </c>
      <c r="AA231" s="49" t="str">
        <f t="shared" si="8"/>
        <v/>
      </c>
      <c r="AB231" s="49" t="str">
        <f t="shared" si="9"/>
        <v/>
      </c>
      <c r="AC231" s="20" t="str">
        <f t="shared" ref="AC231:AD231" si="468">IF(_xlfn.ISFORMULA(S231),IFERROR(0/0,""),TRUE)</f>
        <v/>
      </c>
      <c r="AD231" s="20" t="str">
        <f t="shared" si="468"/>
        <v/>
      </c>
      <c r="AE231" s="43"/>
      <c r="AF231" s="86" t="s">
        <v>43</v>
      </c>
      <c r="AG231" s="57" t="b">
        <f t="shared" si="11"/>
        <v>0</v>
      </c>
    </row>
    <row r="232">
      <c r="A232" s="6" t="str">
        <f>IFERROR(__xludf.DUMMYFUNCTION("""COMPUTED_VALUE"""),"MAX76")</f>
        <v>MAX76</v>
      </c>
      <c r="B232" s="204">
        <f>IFERROR(__xludf.DUMMYFUNCTION("""COMPUTED_VALUE"""),44580.0)</f>
        <v>44580</v>
      </c>
      <c r="C232" s="250">
        <f>IFERROR(__xludf.DUMMYFUNCTION("""COMPUTED_VALUE"""),0.43203703703703705)</f>
        <v>0.432037037</v>
      </c>
      <c r="D232" s="6" t="str">
        <f>IFERROR(__xludf.DUMMYFUNCTION("""COMPUTED_VALUE"""),"SpBEND394154")</f>
        <v>SpBEND394154</v>
      </c>
      <c r="E232" s="251"/>
      <c r="F232" s="251"/>
      <c r="G232" s="251" t="str">
        <f>IFERROR(__xludf.DUMMYFUNCTION("""COMPUTED_VALUE"""),"Positive")</f>
        <v>Positive</v>
      </c>
      <c r="H232" s="262" t="str">
        <f>IFERROR(__xludf.DUMMYFUNCTION("""COMPUTED_VALUE"""),"Positive")</f>
        <v>Positive</v>
      </c>
      <c r="I232" s="204">
        <f>IFERROR(__xludf.DUMMYFUNCTION("""COMPUTED_VALUE"""),44580.0)</f>
        <v>44580</v>
      </c>
      <c r="J232" s="252">
        <f>IFERROR(__xludf.DUMMYFUNCTION("""COMPUTED_VALUE"""),0.5073726851851852)</f>
        <v>0.5073726852</v>
      </c>
      <c r="K232" s="56"/>
      <c r="L232" s="6"/>
      <c r="M232" s="61"/>
      <c r="N232" s="61">
        <f>IFERROR(__xludf.DUMMYFUNCTION("""COMPUTED_VALUE"""),1.0)</f>
        <v>1</v>
      </c>
      <c r="O232" s="61" t="str">
        <f t="shared" si="3"/>
        <v/>
      </c>
      <c r="P232" s="253">
        <f>IFERROR(__xludf.DUMMYFUNCTION("""COMPUTED_VALUE"""),0.0)</f>
        <v>0</v>
      </c>
      <c r="Q232" s="254"/>
      <c r="R232" s="255"/>
      <c r="S232" s="261" t="str">
        <f t="shared" ref="S232:T232" si="469">IF(COUNTIF(W$2:W799, $A232) &gt; 0,TRUE,IFERROR(0/0,""))</f>
        <v/>
      </c>
      <c r="T232" s="261" t="str">
        <f t="shared" si="469"/>
        <v/>
      </c>
      <c r="U232" s="257" t="str">
        <f t="array" ref="U232">IF(ISBLANK($R232), INDEX('Run Reconcile'!A$2:A799, MATCH($B232, 'Run Reconcile'!B$2:B799, 0)+Z232, 1), IFERROR(0/0,""))
</f>
        <v>RUN-BEND_2022-01-19_RFR-015</v>
      </c>
      <c r="V232" s="265" t="s">
        <v>44</v>
      </c>
      <c r="Y232" s="130" t="str">
        <f t="shared" si="451"/>
        <v/>
      </c>
      <c r="Z232" s="49" t="str">
        <f t="shared" si="7"/>
        <v/>
      </c>
      <c r="AA232" s="49" t="str">
        <f t="shared" si="8"/>
        <v/>
      </c>
      <c r="AB232" s="49" t="str">
        <f t="shared" si="9"/>
        <v/>
      </c>
      <c r="AC232" s="20" t="str">
        <f t="shared" ref="AC232:AD232" si="470">IF(_xlfn.ISFORMULA(S232),IFERROR(0/0,""),TRUE)</f>
        <v/>
      </c>
      <c r="AD232" s="20" t="str">
        <f t="shared" si="470"/>
        <v/>
      </c>
      <c r="AE232" s="43"/>
      <c r="AF232" s="86" t="s">
        <v>43</v>
      </c>
      <c r="AG232" s="57" t="b">
        <f t="shared" si="11"/>
        <v>0</v>
      </c>
    </row>
    <row r="233">
      <c r="A233" s="6" t="str">
        <f>IFERROR(__xludf.DUMMYFUNCTION("""COMPUTED_VALUE"""),"MA1252")</f>
        <v>MA1252</v>
      </c>
      <c r="B233" s="204">
        <f>IFERROR(__xludf.DUMMYFUNCTION("""COMPUTED_VALUE"""),44580.0)</f>
        <v>44580</v>
      </c>
      <c r="C233" s="250">
        <f>IFERROR(__xludf.DUMMYFUNCTION("""COMPUTED_VALUE"""),0.4405208333333333)</f>
        <v>0.4405208333</v>
      </c>
      <c r="D233" s="6" t="str">
        <f>IFERROR(__xludf.DUMMYFUNCTION("""COMPUTED_VALUE"""),"SpBEND394154")</f>
        <v>SpBEND394154</v>
      </c>
      <c r="E233" s="251"/>
      <c r="F233" s="251"/>
      <c r="G233" s="251" t="str">
        <f>IFERROR(__xludf.DUMMYFUNCTION("""COMPUTED_VALUE"""),"Positive")</f>
        <v>Positive</v>
      </c>
      <c r="H233" s="262" t="str">
        <f>IFERROR(__xludf.DUMMYFUNCTION("""COMPUTED_VALUE"""),"Positive")</f>
        <v>Positive</v>
      </c>
      <c r="I233" s="204">
        <f>IFERROR(__xludf.DUMMYFUNCTION("""COMPUTED_VALUE"""),44580.0)</f>
        <v>44580</v>
      </c>
      <c r="J233" s="252">
        <f>IFERROR(__xludf.DUMMYFUNCTION("""COMPUTED_VALUE"""),0.5073726851851852)</f>
        <v>0.5073726852</v>
      </c>
      <c r="K233" s="56"/>
      <c r="L233" s="6"/>
      <c r="M233" s="61"/>
      <c r="N233" s="61">
        <f>IFERROR(__xludf.DUMMYFUNCTION("""COMPUTED_VALUE"""),1.0)</f>
        <v>1</v>
      </c>
      <c r="O233" s="61" t="str">
        <f t="shared" si="3"/>
        <v/>
      </c>
      <c r="P233" s="253">
        <f>IFERROR(__xludf.DUMMYFUNCTION("""COMPUTED_VALUE"""),0.0)</f>
        <v>0</v>
      </c>
      <c r="Q233" s="254"/>
      <c r="R233" s="255"/>
      <c r="S233" s="261" t="str">
        <f t="shared" ref="S233:T233" si="471">IF(COUNTIF(W$2:W799, $A233) &gt; 0,TRUE,IFERROR(0/0,""))</f>
        <v/>
      </c>
      <c r="T233" s="261" t="str">
        <f t="shared" si="471"/>
        <v/>
      </c>
      <c r="U233" s="257" t="str">
        <f t="array" ref="U233">IF(ISBLANK($R233), INDEX('Run Reconcile'!A$2:A799, MATCH($B233, 'Run Reconcile'!B$2:B799, 0)+Z233, 1), IFERROR(0/0,""))
</f>
        <v>RUN-BEND_2022-01-19_RFR-015</v>
      </c>
      <c r="V233" s="265" t="s">
        <v>44</v>
      </c>
      <c r="Y233" s="130" t="str">
        <f t="shared" si="451"/>
        <v/>
      </c>
      <c r="Z233" s="49" t="str">
        <f t="shared" si="7"/>
        <v/>
      </c>
      <c r="AA233" s="49" t="str">
        <f t="shared" si="8"/>
        <v/>
      </c>
      <c r="AB233" s="49" t="str">
        <f t="shared" si="9"/>
        <v/>
      </c>
      <c r="AC233" s="20" t="str">
        <f t="shared" ref="AC233:AD233" si="472">IF(_xlfn.ISFORMULA(S233),IFERROR(0/0,""),TRUE)</f>
        <v/>
      </c>
      <c r="AD233" s="20" t="str">
        <f t="shared" si="472"/>
        <v/>
      </c>
      <c r="AE233" s="43"/>
      <c r="AF233" s="86" t="s">
        <v>43</v>
      </c>
      <c r="AG233" s="57" t="b">
        <f t="shared" si="11"/>
        <v>0</v>
      </c>
    </row>
    <row r="234">
      <c r="A234" s="6" t="str">
        <f>IFERROR(__xludf.DUMMYFUNCTION("""COMPUTED_VALUE"""),"MA198")</f>
        <v>MA198</v>
      </c>
      <c r="B234" s="204">
        <f>IFERROR(__xludf.DUMMYFUNCTION("""COMPUTED_VALUE"""),44580.0)</f>
        <v>44580</v>
      </c>
      <c r="C234" s="250">
        <f>IFERROR(__xludf.DUMMYFUNCTION("""COMPUTED_VALUE"""),0.4436689814814815)</f>
        <v>0.4436689815</v>
      </c>
      <c r="D234" s="6" t="str">
        <f>IFERROR(__xludf.DUMMYFUNCTION("""COMPUTED_VALUE"""),"SpBEND394154")</f>
        <v>SpBEND394154</v>
      </c>
      <c r="E234" s="251"/>
      <c r="F234" s="251"/>
      <c r="G234" s="251" t="str">
        <f>IFERROR(__xludf.DUMMYFUNCTION("""COMPUTED_VALUE"""),"Negative")</f>
        <v>Negative</v>
      </c>
      <c r="H234" s="262" t="str">
        <f>IFERROR(__xludf.DUMMYFUNCTION("""COMPUTED_VALUE"""),"Negative")</f>
        <v>Negative</v>
      </c>
      <c r="I234" s="204">
        <f>IFERROR(__xludf.DUMMYFUNCTION("""COMPUTED_VALUE"""),44580.0)</f>
        <v>44580</v>
      </c>
      <c r="J234" s="252">
        <f>IFERROR(__xludf.DUMMYFUNCTION("""COMPUTED_VALUE"""),0.5080324074074074)</f>
        <v>0.5080324074</v>
      </c>
      <c r="K234" s="56"/>
      <c r="L234" s="6"/>
      <c r="M234" s="61"/>
      <c r="N234" s="61">
        <f>IFERROR(__xludf.DUMMYFUNCTION("""COMPUTED_VALUE"""),1.0)</f>
        <v>1</v>
      </c>
      <c r="O234" s="61" t="str">
        <f t="shared" si="3"/>
        <v/>
      </c>
      <c r="P234" s="253">
        <f>IFERROR(__xludf.DUMMYFUNCTION("""COMPUTED_VALUE"""),0.0)</f>
        <v>0</v>
      </c>
      <c r="Q234" s="254"/>
      <c r="R234" s="255"/>
      <c r="S234" s="261" t="str">
        <f t="shared" ref="S234:T234" si="473">IF(COUNTIF(W$2:W799, $A234) &gt; 0,TRUE,IFERROR(0/0,""))</f>
        <v/>
      </c>
      <c r="T234" s="261" t="str">
        <f t="shared" si="473"/>
        <v/>
      </c>
      <c r="U234" s="257" t="str">
        <f t="array" ref="U234">IF(ISBLANK($R234), INDEX('Run Reconcile'!A$2:A799, MATCH($B234, 'Run Reconcile'!B$2:B799, 0)+Z234, 1), IFERROR(0/0,""))
</f>
        <v>RUN-BEND_2022-01-19_RFR-015</v>
      </c>
      <c r="V234" s="265" t="s">
        <v>44</v>
      </c>
      <c r="Y234" s="130" t="str">
        <f t="shared" si="451"/>
        <v/>
      </c>
      <c r="Z234" s="49" t="str">
        <f t="shared" si="7"/>
        <v/>
      </c>
      <c r="AA234" s="49" t="str">
        <f t="shared" si="8"/>
        <v/>
      </c>
      <c r="AB234" s="49" t="str">
        <f t="shared" si="9"/>
        <v/>
      </c>
      <c r="AC234" s="20" t="str">
        <f t="shared" ref="AC234:AD234" si="474">IF(_xlfn.ISFORMULA(S234),IFERROR(0/0,""),TRUE)</f>
        <v/>
      </c>
      <c r="AD234" s="20" t="str">
        <f t="shared" si="474"/>
        <v/>
      </c>
      <c r="AE234" s="43"/>
      <c r="AF234" s="86" t="s">
        <v>43</v>
      </c>
      <c r="AG234" s="57" t="b">
        <f t="shared" si="11"/>
        <v>0</v>
      </c>
    </row>
    <row r="235">
      <c r="A235" s="6" t="str">
        <f>IFERROR(__xludf.DUMMYFUNCTION("""COMPUTED_VALUE"""),"MAX114")</f>
        <v>MAX114</v>
      </c>
      <c r="B235" s="204">
        <f>IFERROR(__xludf.DUMMYFUNCTION("""COMPUTED_VALUE"""),44580.0)</f>
        <v>44580</v>
      </c>
      <c r="C235" s="250">
        <f>IFERROR(__xludf.DUMMYFUNCTION("""COMPUTED_VALUE"""),0.4467476851851852)</f>
        <v>0.4467476852</v>
      </c>
      <c r="D235" s="6" t="str">
        <f>IFERROR(__xludf.DUMMYFUNCTION("""COMPUTED_VALUE"""),"SpBEND394154")</f>
        <v>SpBEND394154</v>
      </c>
      <c r="E235" s="251"/>
      <c r="F235" s="251"/>
      <c r="G235" s="251" t="str">
        <f>IFERROR(__xludf.DUMMYFUNCTION("""COMPUTED_VALUE"""),"Negative")</f>
        <v>Negative</v>
      </c>
      <c r="H235" s="262" t="str">
        <f>IFERROR(__xludf.DUMMYFUNCTION("""COMPUTED_VALUE"""),"Negative")</f>
        <v>Negative</v>
      </c>
      <c r="I235" s="204">
        <f>IFERROR(__xludf.DUMMYFUNCTION("""COMPUTED_VALUE"""),44580.0)</f>
        <v>44580</v>
      </c>
      <c r="J235" s="252">
        <f>IFERROR(__xludf.DUMMYFUNCTION("""COMPUTED_VALUE"""),0.5080324074074074)</f>
        <v>0.5080324074</v>
      </c>
      <c r="K235" s="56"/>
      <c r="L235" s="6"/>
      <c r="M235" s="61"/>
      <c r="N235" s="61">
        <f>IFERROR(__xludf.DUMMYFUNCTION("""COMPUTED_VALUE"""),1.0)</f>
        <v>1</v>
      </c>
      <c r="O235" s="61" t="str">
        <f t="shared" si="3"/>
        <v/>
      </c>
      <c r="P235" s="253">
        <f>IFERROR(__xludf.DUMMYFUNCTION("""COMPUTED_VALUE"""),0.0)</f>
        <v>0</v>
      </c>
      <c r="Q235" s="254"/>
      <c r="R235" s="255"/>
      <c r="S235" s="261" t="str">
        <f t="shared" ref="S235:T235" si="475">IF(COUNTIF(W$2:W799, $A235) &gt; 0,TRUE,IFERROR(0/0,""))</f>
        <v/>
      </c>
      <c r="T235" s="261" t="str">
        <f t="shared" si="475"/>
        <v/>
      </c>
      <c r="U235" s="257" t="str">
        <f t="array" ref="U235">IF(ISBLANK($R235), INDEX('Run Reconcile'!A$2:A799, MATCH($B235, 'Run Reconcile'!B$2:B799, 0)+Z235, 1), IFERROR(0/0,""))
</f>
        <v>RUN-BEND_2022-01-19_RFR-015</v>
      </c>
      <c r="V235" s="265" t="s">
        <v>44</v>
      </c>
      <c r="Y235" s="130" t="str">
        <f t="shared" si="451"/>
        <v/>
      </c>
      <c r="Z235" s="49" t="str">
        <f t="shared" si="7"/>
        <v/>
      </c>
      <c r="AA235" s="49" t="str">
        <f t="shared" si="8"/>
        <v/>
      </c>
      <c r="AB235" s="49" t="str">
        <f t="shared" si="9"/>
        <v/>
      </c>
      <c r="AC235" s="20" t="str">
        <f t="shared" ref="AC235:AD235" si="476">IF(_xlfn.ISFORMULA(S235),IFERROR(0/0,""),TRUE)</f>
        <v/>
      </c>
      <c r="AD235" s="20" t="str">
        <f t="shared" si="476"/>
        <v/>
      </c>
      <c r="AE235" s="43"/>
      <c r="AF235" s="86" t="s">
        <v>43</v>
      </c>
      <c r="AG235" s="57" t="b">
        <f t="shared" si="11"/>
        <v>0</v>
      </c>
    </row>
    <row r="236">
      <c r="A236" s="6" t="str">
        <f>IFERROR(__xludf.DUMMYFUNCTION("""COMPUTED_VALUE"""),"MA278")</f>
        <v>MA278</v>
      </c>
      <c r="B236" s="204">
        <f>IFERROR(__xludf.DUMMYFUNCTION("""COMPUTED_VALUE"""),44581.0)</f>
        <v>44581</v>
      </c>
      <c r="C236" s="250">
        <f>IFERROR(__xludf.DUMMYFUNCTION("""COMPUTED_VALUE"""),0.31288194444444445)</f>
        <v>0.3128819444</v>
      </c>
      <c r="D236" s="6" t="str">
        <f>IFERROR(__xludf.DUMMYFUNCTION("""COMPUTED_VALUE"""),"SpBEND302553")</f>
        <v>SpBEND302553</v>
      </c>
      <c r="E236" s="251"/>
      <c r="F236" s="251"/>
      <c r="G236" s="251" t="str">
        <f>IFERROR(__xludf.DUMMYFUNCTION("""COMPUTED_VALUE"""),"Positive")</f>
        <v>Positive</v>
      </c>
      <c r="H236" s="262" t="str">
        <f>IFERROR(__xludf.DUMMYFUNCTION("""COMPUTED_VALUE"""),"Positive")</f>
        <v>Positive</v>
      </c>
      <c r="I236" s="204">
        <f>IFERROR(__xludf.DUMMYFUNCTION("""COMPUTED_VALUE"""),44582.0)</f>
        <v>44582</v>
      </c>
      <c r="J236" s="252">
        <f>IFERROR(__xludf.DUMMYFUNCTION("""COMPUTED_VALUE"""),0.4883912037037037)</f>
        <v>0.4883912037</v>
      </c>
      <c r="K236" s="56"/>
      <c r="L236" s="6"/>
      <c r="M236" s="61"/>
      <c r="N236" s="61">
        <f>IFERROR(__xludf.DUMMYFUNCTION("""COMPUTED_VALUE"""),1.0)</f>
        <v>1</v>
      </c>
      <c r="O236" s="61" t="b">
        <f t="shared" si="3"/>
        <v>1</v>
      </c>
      <c r="P236" s="253">
        <f>IFERROR(__xludf.DUMMYFUNCTION("""COMPUTED_VALUE"""),1.0)</f>
        <v>1</v>
      </c>
      <c r="Q236" s="254"/>
      <c r="R236" s="255"/>
      <c r="S236" s="261" t="b">
        <f t="shared" ref="S236:T236" si="477">IF(COUNTIF(W$2:W799, $A236) &gt; 0,TRUE,IFERROR(0/0,""))</f>
        <v>1</v>
      </c>
      <c r="T236" s="261" t="str">
        <f t="shared" si="477"/>
        <v/>
      </c>
      <c r="U236" s="257" t="str">
        <f t="array" ref="U236">IF(ISBLANK($R236), INDEX('Run Reconcile'!A$2:A799, MATCH($B236, 'Run Reconcile'!B$2:B799, 0)+Z236, 1), IFERROR(0/0,""))
</f>
        <v>RUN-BEND_2022-01-21_RFR-017</v>
      </c>
      <c r="V236" s="258" t="str">
        <f t="shared" ref="V236:V768" si="480">CONCATENATE($R236,$U236)</f>
        <v>RUN-BEND_2022-01-21_RFR-017</v>
      </c>
      <c r="W236" s="6" t="s">
        <v>423</v>
      </c>
      <c r="Y236" s="130">
        <f>IF(AND(ISBLANK(#REF!),ISBLANK(X236)),IFERROR(0/0,""),1)</f>
        <v>1</v>
      </c>
      <c r="Z236" s="49">
        <f t="shared" si="7"/>
        <v>1</v>
      </c>
      <c r="AA236" s="49">
        <f t="shared" si="8"/>
        <v>1</v>
      </c>
      <c r="AB236" s="49" t="str">
        <f t="shared" si="9"/>
        <v/>
      </c>
      <c r="AC236" s="20" t="str">
        <f t="shared" ref="AC236:AD236" si="478">IF(_xlfn.ISFORMULA(S236),IFERROR(0/0,""),TRUE)</f>
        <v/>
      </c>
      <c r="AD236" s="20" t="str">
        <f t="shared" si="478"/>
        <v/>
      </c>
      <c r="AE236" s="43"/>
      <c r="AF236" s="62" t="s">
        <v>45</v>
      </c>
      <c r="AG236" s="57" t="str">
        <f t="shared" si="11"/>
        <v/>
      </c>
    </row>
    <row r="237">
      <c r="A237" s="6" t="str">
        <f>IFERROR(__xludf.DUMMYFUNCTION("""COMPUTED_VALUE"""),"MA1021")</f>
        <v>MA1021</v>
      </c>
      <c r="B237" s="204">
        <f>IFERROR(__xludf.DUMMYFUNCTION("""COMPUTED_VALUE"""),44582.0)</f>
        <v>44582</v>
      </c>
      <c r="C237" s="250">
        <f>IFERROR(__xludf.DUMMYFUNCTION("""COMPUTED_VALUE"""),0.26828703703703705)</f>
        <v>0.268287037</v>
      </c>
      <c r="D237" s="6" t="str">
        <f>IFERROR(__xludf.DUMMYFUNCTION("""COMPUTED_VALUE"""),"SpBEND548976")</f>
        <v>SpBEND548976</v>
      </c>
      <c r="E237" s="251"/>
      <c r="F237" s="251"/>
      <c r="G237" s="251" t="str">
        <f>IFERROR(__xludf.DUMMYFUNCTION("""COMPUTED_VALUE"""),"Negative")</f>
        <v>Negative</v>
      </c>
      <c r="H237" s="262" t="str">
        <f>IFERROR(__xludf.DUMMYFUNCTION("""COMPUTED_VALUE"""),"Negative")</f>
        <v>Negative</v>
      </c>
      <c r="I237" s="204">
        <f>IFERROR(__xludf.DUMMYFUNCTION("""COMPUTED_VALUE"""),44582.0)</f>
        <v>44582</v>
      </c>
      <c r="J237" s="252">
        <f>IFERROR(__xludf.DUMMYFUNCTION("""COMPUTED_VALUE"""),0.4883912037037037)</f>
        <v>0.4883912037</v>
      </c>
      <c r="K237" s="56"/>
      <c r="L237" s="6"/>
      <c r="M237" s="61"/>
      <c r="N237" s="61">
        <f>IFERROR(__xludf.DUMMYFUNCTION("""COMPUTED_VALUE"""),1.0)</f>
        <v>1</v>
      </c>
      <c r="O237" s="61" t="b">
        <f t="shared" si="3"/>
        <v>1</v>
      </c>
      <c r="P237" s="253">
        <f>IFERROR(__xludf.DUMMYFUNCTION("""COMPUTED_VALUE"""),0.0)</f>
        <v>0</v>
      </c>
      <c r="Q237" s="254"/>
      <c r="R237" s="255"/>
      <c r="S237" s="261" t="str">
        <f t="shared" ref="S237:T237" si="479">IF(COUNTIF(W$2:W799, $A237) &gt; 0,TRUE,IFERROR(0/0,""))</f>
        <v/>
      </c>
      <c r="T237" s="261" t="str">
        <f t="shared" si="479"/>
        <v/>
      </c>
      <c r="U237" s="257" t="str">
        <f t="array" ref="U237">IF(ISBLANK($R237), INDEX('Run Reconcile'!A$2:A799, MATCH($B237, 'Run Reconcile'!B$2:B799, 0)+Z237, 1), IFERROR(0/0,""))
</f>
        <v>RUN-BEND_2022-01-21_RFR-017</v>
      </c>
      <c r="V237" s="258" t="str">
        <f t="shared" si="480"/>
        <v>RUN-BEND_2022-01-21_RFR-017</v>
      </c>
      <c r="Y237" s="130" t="str">
        <f>IF(AND(ISBLANK(W237),ISBLANK(X237)),IFERROR(0/0,""),1)</f>
        <v/>
      </c>
      <c r="Z237" s="49" t="str">
        <f t="shared" si="7"/>
        <v/>
      </c>
      <c r="AA237" s="49" t="str">
        <f t="shared" si="8"/>
        <v/>
      </c>
      <c r="AB237" s="49" t="str">
        <f t="shared" si="9"/>
        <v/>
      </c>
      <c r="AC237" s="20" t="str">
        <f t="shared" ref="AC237:AD237" si="481">IF(_xlfn.ISFORMULA(S237),IFERROR(0/0,""),TRUE)</f>
        <v/>
      </c>
      <c r="AD237" s="20" t="str">
        <f t="shared" si="481"/>
        <v/>
      </c>
      <c r="AE237" s="43"/>
      <c r="AF237" s="62" t="s">
        <v>45</v>
      </c>
      <c r="AG237" s="57" t="str">
        <f t="shared" si="11"/>
        <v/>
      </c>
    </row>
    <row r="238">
      <c r="A238" s="6" t="str">
        <f>IFERROR(__xludf.DUMMYFUNCTION("""COMPUTED_VALUE"""),"MAX80")</f>
        <v>MAX80</v>
      </c>
      <c r="B238" s="204">
        <f>IFERROR(__xludf.DUMMYFUNCTION("""COMPUTED_VALUE"""),44582.0)</f>
        <v>44582</v>
      </c>
      <c r="C238" s="250">
        <f>IFERROR(__xludf.DUMMYFUNCTION("""COMPUTED_VALUE"""),0.28474537037037034)</f>
        <v>0.2847453704</v>
      </c>
      <c r="D238" s="6" t="str">
        <f>IFERROR(__xludf.DUMMYFUNCTION("""COMPUTED_VALUE"""),"SpBEND845568")</f>
        <v>SpBEND845568</v>
      </c>
      <c r="E238" s="251"/>
      <c r="F238" s="251"/>
      <c r="G238" s="251" t="str">
        <f>IFERROR(__xludf.DUMMYFUNCTION("""COMPUTED_VALUE"""),"Positive")</f>
        <v>Positive</v>
      </c>
      <c r="H238" s="262" t="str">
        <f>IFERROR(__xludf.DUMMYFUNCTION("""COMPUTED_VALUE"""),"Positive")</f>
        <v>Positive</v>
      </c>
      <c r="I238" s="204">
        <f>IFERROR(__xludf.DUMMYFUNCTION("""COMPUTED_VALUE"""),44582.0)</f>
        <v>44582</v>
      </c>
      <c r="J238" s="252">
        <f>IFERROR(__xludf.DUMMYFUNCTION("""COMPUTED_VALUE"""),0.4884027777777778)</f>
        <v>0.4884027778</v>
      </c>
      <c r="K238" s="56"/>
      <c r="L238" s="6"/>
      <c r="M238" s="61"/>
      <c r="N238" s="61">
        <f>IFERROR(__xludf.DUMMYFUNCTION("""COMPUTED_VALUE"""),1.0)</f>
        <v>1</v>
      </c>
      <c r="O238" s="61" t="str">
        <f t="shared" si="3"/>
        <v/>
      </c>
      <c r="P238" s="253">
        <f>IFERROR(__xludf.DUMMYFUNCTION("""COMPUTED_VALUE"""),0.0)</f>
        <v>0</v>
      </c>
      <c r="Q238" s="254"/>
      <c r="R238" s="255"/>
      <c r="S238" s="261" t="str">
        <f t="shared" ref="S238:T238" si="482">IF(COUNTIF(W$2:W799, $A238) &gt; 0,TRUE,IFERROR(0/0,""))</f>
        <v/>
      </c>
      <c r="T238" s="261" t="str">
        <f t="shared" si="482"/>
        <v/>
      </c>
      <c r="U238" s="257" t="str">
        <f t="array" ref="U238">IF(ISBLANK($R238), INDEX('Run Reconcile'!A$2:A799, MATCH($B238, 'Run Reconcile'!B$2:B799, 0)+Z238, 1), IFERROR(0/0,""))
</f>
        <v>RUN-BEND_2022-01-21_RFR-017</v>
      </c>
      <c r="V238" s="258" t="str">
        <f t="shared" si="480"/>
        <v>RUN-BEND_2022-01-21_RFR-017</v>
      </c>
      <c r="Y238" s="130">
        <f>IF(AND(ISBLANK(W236),ISBLANK(X238)),IFERROR(0/0,""),1)</f>
        <v>1</v>
      </c>
      <c r="Z238" s="49" t="str">
        <f t="shared" si="7"/>
        <v/>
      </c>
      <c r="AA238" s="49" t="str">
        <f t="shared" si="8"/>
        <v/>
      </c>
      <c r="AB238" s="49" t="str">
        <f t="shared" si="9"/>
        <v/>
      </c>
      <c r="AC238" s="20" t="str">
        <f t="shared" ref="AC238:AD238" si="483">IF(_xlfn.ISFORMULA(S238),IFERROR(0/0,""),TRUE)</f>
        <v/>
      </c>
      <c r="AD238" s="20" t="str">
        <f t="shared" si="483"/>
        <v/>
      </c>
      <c r="AE238" s="43"/>
      <c r="AF238" s="62" t="s">
        <v>45</v>
      </c>
      <c r="AG238" s="57" t="str">
        <f t="shared" si="11"/>
        <v/>
      </c>
    </row>
    <row r="239">
      <c r="A239" s="6" t="str">
        <f>IFERROR(__xludf.DUMMYFUNCTION("""COMPUTED_VALUE"""),"MAX89")</f>
        <v>MAX89</v>
      </c>
      <c r="B239" s="204">
        <f>IFERROR(__xludf.DUMMYFUNCTION("""COMPUTED_VALUE"""),44582.0)</f>
        <v>44582</v>
      </c>
      <c r="C239" s="250">
        <f>IFERROR(__xludf.DUMMYFUNCTION("""COMPUTED_VALUE"""),0.28693287037037035)</f>
        <v>0.2869328704</v>
      </c>
      <c r="D239" s="6" t="str">
        <f>IFERROR(__xludf.DUMMYFUNCTION("""COMPUTED_VALUE"""),"SpBEND845568")</f>
        <v>SpBEND845568</v>
      </c>
      <c r="E239" s="251"/>
      <c r="F239" s="251"/>
      <c r="G239" s="251" t="str">
        <f>IFERROR(__xludf.DUMMYFUNCTION("""COMPUTED_VALUE"""),"Positive")</f>
        <v>Positive</v>
      </c>
      <c r="H239" s="264" t="str">
        <f>IFERROR(__xludf.DUMMYFUNCTION("""COMPUTED_VALUE"""),"Positive")</f>
        <v>Positive</v>
      </c>
      <c r="I239" s="263">
        <f>IFERROR(__xludf.DUMMYFUNCTION("""COMPUTED_VALUE"""),44582.0)</f>
        <v>44582</v>
      </c>
      <c r="J239" s="252">
        <f>IFERROR(__xludf.DUMMYFUNCTION("""COMPUTED_VALUE"""),0.4884027777777778)</f>
        <v>0.4884027778</v>
      </c>
      <c r="K239" s="56"/>
      <c r="L239" s="6"/>
      <c r="M239" s="61"/>
      <c r="N239" s="61">
        <f>IFERROR(__xludf.DUMMYFUNCTION("""COMPUTED_VALUE"""),1.0)</f>
        <v>1</v>
      </c>
      <c r="O239" s="61" t="str">
        <f t="shared" si="3"/>
        <v/>
      </c>
      <c r="P239" s="253">
        <f>IFERROR(__xludf.DUMMYFUNCTION("""COMPUTED_VALUE"""),0.0)</f>
        <v>0</v>
      </c>
      <c r="Q239" s="254" t="str">
        <f>VLOOKUP($B239,'Run Reconcile'!B$2:O799,14,FALSE)</f>
        <v/>
      </c>
      <c r="R239" s="255" t="str">
        <f t="array" ref="R239">IF($Q239, INDEX('Run Reconcile'!A$2:A799,MATCH(B239,'Run Reconcile'!B$2:B799,0),1),IFERROR(0/0,""))</f>
        <v/>
      </c>
      <c r="S239" s="261" t="str">
        <f t="shared" ref="S239:T239" si="484">IF(COUNTIF(W$2:W799, $A239) &gt; 0,TRUE,IFERROR(0/0,""))</f>
        <v/>
      </c>
      <c r="T239" s="261" t="str">
        <f t="shared" si="484"/>
        <v/>
      </c>
      <c r="U239" s="257" t="str">
        <f t="array" ref="U239">IF(ISBLANK($R239), INDEX('Run Reconcile'!A$2:A799, MATCH($B239, 'Run Reconcile'!B$2:B799, 0)+Z239, 1), IFERROR(0/0,""))
</f>
        <v>RUN-BEND_2022-01-21_RFR-017</v>
      </c>
      <c r="V239" s="258" t="str">
        <f t="shared" si="480"/>
        <v>RUN-BEND_2022-01-21_RFR-017</v>
      </c>
      <c r="Y239" s="130" t="str">
        <f t="shared" ref="Y239:Y799" si="487">IF(AND(ISBLANK(W239),ISBLANK(X239)),IFERROR(0/0,""),1)</f>
        <v/>
      </c>
      <c r="Z239" s="49" t="str">
        <f t="shared" si="7"/>
        <v/>
      </c>
      <c r="AA239" s="49" t="str">
        <f t="shared" si="8"/>
        <v/>
      </c>
      <c r="AB239" s="49" t="str">
        <f t="shared" si="9"/>
        <v/>
      </c>
      <c r="AC239" s="20" t="str">
        <f t="shared" ref="AC239:AD239" si="485">IF(_xlfn.ISFORMULA(S239),IFERROR(0/0,""),TRUE)</f>
        <v/>
      </c>
      <c r="AD239" s="20" t="str">
        <f t="shared" si="485"/>
        <v/>
      </c>
      <c r="AE239" s="43"/>
      <c r="AF239" s="62" t="s">
        <v>45</v>
      </c>
      <c r="AG239" s="57" t="str">
        <f t="shared" si="11"/>
        <v/>
      </c>
    </row>
    <row r="240">
      <c r="A240" s="6" t="str">
        <f>IFERROR(__xludf.DUMMYFUNCTION("""COMPUTED_VALUE"""),"MA1151")</f>
        <v>MA1151</v>
      </c>
      <c r="B240" s="204">
        <f>IFERROR(__xludf.DUMMYFUNCTION("""COMPUTED_VALUE"""),44582.0)</f>
        <v>44582</v>
      </c>
      <c r="C240" s="250">
        <f>IFERROR(__xludf.DUMMYFUNCTION("""COMPUTED_VALUE"""),0.31300925925925926)</f>
        <v>0.3130092593</v>
      </c>
      <c r="D240" s="6" t="str">
        <f>IFERROR(__xludf.DUMMYFUNCTION("""COMPUTED_VALUE"""),"SpBEND985296")</f>
        <v>SpBEND985296</v>
      </c>
      <c r="E240" s="251"/>
      <c r="F240" s="251"/>
      <c r="G240" s="251" t="str">
        <f>IFERROR(__xludf.DUMMYFUNCTION("""COMPUTED_VALUE"""),"Negative")</f>
        <v>Negative</v>
      </c>
      <c r="H240" s="262" t="str">
        <f>IFERROR(__xludf.DUMMYFUNCTION("""COMPUTED_VALUE"""),"Negative")</f>
        <v>Negative</v>
      </c>
      <c r="I240" s="204">
        <f>IFERROR(__xludf.DUMMYFUNCTION("""COMPUTED_VALUE"""),44582.0)</f>
        <v>44582</v>
      </c>
      <c r="J240" s="252">
        <f>IFERROR(__xludf.DUMMYFUNCTION("""COMPUTED_VALUE"""),0.4883912037037037)</f>
        <v>0.4883912037</v>
      </c>
      <c r="K240" s="56"/>
      <c r="L240" s="6"/>
      <c r="M240" s="61"/>
      <c r="N240" s="61">
        <f>IFERROR(__xludf.DUMMYFUNCTION("""COMPUTED_VALUE"""),1.0)</f>
        <v>1</v>
      </c>
      <c r="O240" s="61" t="str">
        <f t="shared" si="3"/>
        <v/>
      </c>
      <c r="P240" s="253">
        <f>IFERROR(__xludf.DUMMYFUNCTION("""COMPUTED_VALUE"""),0.0)</f>
        <v>0</v>
      </c>
      <c r="Q240" s="254" t="str">
        <f>VLOOKUP($B240,'Run Reconcile'!B$2:O799,14,FALSE)</f>
        <v/>
      </c>
      <c r="R240" s="255" t="str">
        <f t="array" ref="R240">IF($Q240, INDEX('Run Reconcile'!A$2:A799,MATCH(B240,'Run Reconcile'!B$2:B799,0),1),IFERROR(0/0,""))</f>
        <v/>
      </c>
      <c r="S240" s="261" t="str">
        <f t="shared" ref="S240:T240" si="486">IF(COUNTIF(W$2:W799, $A240) &gt; 0,TRUE,IFERROR(0/0,""))</f>
        <v/>
      </c>
      <c r="T240" s="261" t="str">
        <f t="shared" si="486"/>
        <v/>
      </c>
      <c r="U240" s="257" t="str">
        <f t="array" ref="U240">IF(ISBLANK($R240), INDEX('Run Reconcile'!A$2:A799, MATCH($B240, 'Run Reconcile'!B$2:B799, 0)+Z240, 1), IFERROR(0/0,""))
</f>
        <v>RUN-BEND_2022-01-21_RFR-017</v>
      </c>
      <c r="V240" s="258" t="str">
        <f t="shared" si="480"/>
        <v>RUN-BEND_2022-01-21_RFR-017</v>
      </c>
      <c r="Y240" s="130" t="str">
        <f t="shared" si="487"/>
        <v/>
      </c>
      <c r="Z240" s="49" t="str">
        <f t="shared" si="7"/>
        <v/>
      </c>
      <c r="AA240" s="49" t="str">
        <f t="shared" si="8"/>
        <v/>
      </c>
      <c r="AB240" s="49" t="str">
        <f t="shared" si="9"/>
        <v/>
      </c>
      <c r="AC240" s="20" t="str">
        <f t="shared" ref="AC240:AD240" si="488">IF(_xlfn.ISFORMULA(S240),IFERROR(0/0,""),TRUE)</f>
        <v/>
      </c>
      <c r="AD240" s="20" t="str">
        <f t="shared" si="488"/>
        <v/>
      </c>
      <c r="AE240" s="43"/>
      <c r="AF240" s="62" t="s">
        <v>45</v>
      </c>
      <c r="AG240" s="57" t="str">
        <f t="shared" si="11"/>
        <v/>
      </c>
    </row>
    <row r="241">
      <c r="A241" s="6" t="str">
        <f>IFERROR(__xludf.DUMMYFUNCTION("""COMPUTED_VALUE"""),"MA1053")</f>
        <v>MA1053</v>
      </c>
      <c r="B241" s="204">
        <f>IFERROR(__xludf.DUMMYFUNCTION("""COMPUTED_VALUE"""),44582.0)</f>
        <v>44582</v>
      </c>
      <c r="C241" s="250">
        <f>IFERROR(__xludf.DUMMYFUNCTION("""COMPUTED_VALUE"""),0.3404861111111111)</f>
        <v>0.3404861111</v>
      </c>
      <c r="D241" s="6" t="str">
        <f>IFERROR(__xludf.DUMMYFUNCTION("""COMPUTED_VALUE"""),"SpBEND551372")</f>
        <v>SpBEND551372</v>
      </c>
      <c r="E241" s="251"/>
      <c r="F241" s="251"/>
      <c r="G241" s="251" t="str">
        <f>IFERROR(__xludf.DUMMYFUNCTION("""COMPUTED_VALUE"""),"Negative")</f>
        <v>Negative</v>
      </c>
      <c r="H241" s="264" t="str">
        <f>IFERROR(__xludf.DUMMYFUNCTION("""COMPUTED_VALUE"""),"Negative")</f>
        <v>Negative</v>
      </c>
      <c r="I241" s="263">
        <f>IFERROR(__xludf.DUMMYFUNCTION("""COMPUTED_VALUE"""),44582.0)</f>
        <v>44582</v>
      </c>
      <c r="J241" s="252">
        <f>IFERROR(__xludf.DUMMYFUNCTION("""COMPUTED_VALUE"""),0.4883912037037037)</f>
        <v>0.4883912037</v>
      </c>
      <c r="K241" s="56"/>
      <c r="L241" s="6"/>
      <c r="M241" s="61"/>
      <c r="N241" s="61">
        <f>IFERROR(__xludf.DUMMYFUNCTION("""COMPUTED_VALUE"""),1.0)</f>
        <v>1</v>
      </c>
      <c r="O241" s="61" t="str">
        <f t="shared" si="3"/>
        <v/>
      </c>
      <c r="P241" s="253">
        <f>IFERROR(__xludf.DUMMYFUNCTION("""COMPUTED_VALUE"""),0.0)</f>
        <v>0</v>
      </c>
      <c r="Q241" s="254" t="str">
        <f>VLOOKUP($B241,'Run Reconcile'!B$2:O799,14,FALSE)</f>
        <v/>
      </c>
      <c r="R241" s="255" t="str">
        <f t="array" ref="R241">IF($Q241, INDEX('Run Reconcile'!A$2:A799,MATCH(B241,'Run Reconcile'!B$2:B799,0),1),IFERROR(0/0,""))</f>
        <v/>
      </c>
      <c r="S241" s="261" t="str">
        <f t="shared" ref="S241:T241" si="489">IF(COUNTIF(W$2:W799, $A241) &gt; 0,TRUE,IFERROR(0/0,""))</f>
        <v/>
      </c>
      <c r="T241" s="261" t="str">
        <f t="shared" si="489"/>
        <v/>
      </c>
      <c r="U241" s="257" t="str">
        <f t="array" ref="U241">IF(ISBLANK($R241), INDEX('Run Reconcile'!A$2:A799, MATCH($B241, 'Run Reconcile'!B$2:B799, 0)+Z241, 1), IFERROR(0/0,""))
</f>
        <v>RUN-BEND_2022-01-21_RFR-017</v>
      </c>
      <c r="V241" s="258" t="str">
        <f t="shared" si="480"/>
        <v>RUN-BEND_2022-01-21_RFR-017</v>
      </c>
      <c r="Y241" s="130" t="str">
        <f t="shared" si="487"/>
        <v/>
      </c>
      <c r="Z241" s="49" t="str">
        <f t="shared" si="7"/>
        <v/>
      </c>
      <c r="AA241" s="49" t="str">
        <f t="shared" si="8"/>
        <v/>
      </c>
      <c r="AB241" s="49" t="str">
        <f t="shared" si="9"/>
        <v/>
      </c>
      <c r="AC241" s="20" t="str">
        <f t="shared" ref="AC241:AD241" si="490">IF(_xlfn.ISFORMULA(S241),IFERROR(0/0,""),TRUE)</f>
        <v/>
      </c>
      <c r="AD241" s="20" t="str">
        <f t="shared" si="490"/>
        <v/>
      </c>
      <c r="AE241" s="43"/>
      <c r="AF241" s="62" t="s">
        <v>45</v>
      </c>
      <c r="AG241" s="57" t="str">
        <f t="shared" si="11"/>
        <v/>
      </c>
    </row>
    <row r="242">
      <c r="A242" s="6" t="str">
        <f>IFERROR(__xludf.DUMMYFUNCTION("""COMPUTED_VALUE"""),"MA1048")</f>
        <v>MA1048</v>
      </c>
      <c r="B242" s="204">
        <f>IFERROR(__xludf.DUMMYFUNCTION("""COMPUTED_VALUE"""),44582.0)</f>
        <v>44582</v>
      </c>
      <c r="C242" s="250">
        <f>IFERROR(__xludf.DUMMYFUNCTION("""COMPUTED_VALUE"""),0.34140046296296295)</f>
        <v>0.341400463</v>
      </c>
      <c r="D242" s="6" t="str">
        <f>IFERROR(__xludf.DUMMYFUNCTION("""COMPUTED_VALUE"""),"SpBEND551372")</f>
        <v>SpBEND551372</v>
      </c>
      <c r="E242" s="251"/>
      <c r="F242" s="251"/>
      <c r="G242" s="251" t="str">
        <f>IFERROR(__xludf.DUMMYFUNCTION("""COMPUTED_VALUE"""),"Negative")</f>
        <v>Negative</v>
      </c>
      <c r="H242" s="264" t="str">
        <f>IFERROR(__xludf.DUMMYFUNCTION("""COMPUTED_VALUE"""),"Negative")</f>
        <v>Negative</v>
      </c>
      <c r="I242" s="263">
        <f>IFERROR(__xludf.DUMMYFUNCTION("""COMPUTED_VALUE"""),44582.0)</f>
        <v>44582</v>
      </c>
      <c r="J242" s="252">
        <f>IFERROR(__xludf.DUMMYFUNCTION("""COMPUTED_VALUE"""),0.4884027777777778)</f>
        <v>0.4884027778</v>
      </c>
      <c r="K242" s="56"/>
      <c r="L242" s="6"/>
      <c r="M242" s="61"/>
      <c r="N242" s="61">
        <f>IFERROR(__xludf.DUMMYFUNCTION("""COMPUTED_VALUE"""),1.0)</f>
        <v>1</v>
      </c>
      <c r="O242" s="61" t="str">
        <f t="shared" si="3"/>
        <v/>
      </c>
      <c r="P242" s="253">
        <f>IFERROR(__xludf.DUMMYFUNCTION("""COMPUTED_VALUE"""),0.0)</f>
        <v>0</v>
      </c>
      <c r="Q242" s="254" t="str">
        <f>VLOOKUP($B242,'Run Reconcile'!B$2:O799,14,FALSE)</f>
        <v/>
      </c>
      <c r="R242" s="255" t="str">
        <f t="array" ref="R242">IF($Q242, INDEX('Run Reconcile'!A$2:A799,MATCH(B242,'Run Reconcile'!B$2:B799,0),1),IFERROR(0/0,""))</f>
        <v/>
      </c>
      <c r="S242" s="261" t="str">
        <f t="shared" ref="S242:T242" si="491">IF(COUNTIF(W$2:W799, $A242) &gt; 0,TRUE,IFERROR(0/0,""))</f>
        <v/>
      </c>
      <c r="T242" s="261" t="str">
        <f t="shared" si="491"/>
        <v/>
      </c>
      <c r="U242" s="257" t="str">
        <f t="array" ref="U242">IF(ISBLANK($R242), INDEX('Run Reconcile'!A$2:A799, MATCH($B242, 'Run Reconcile'!B$2:B799, 0)+Z242, 1), IFERROR(0/0,""))
</f>
        <v>RUN-BEND_2022-01-21_RFR-017</v>
      </c>
      <c r="V242" s="258" t="str">
        <f t="shared" si="480"/>
        <v>RUN-BEND_2022-01-21_RFR-017</v>
      </c>
      <c r="Y242" s="130" t="str">
        <f t="shared" si="487"/>
        <v/>
      </c>
      <c r="Z242" s="49" t="str">
        <f t="shared" si="7"/>
        <v/>
      </c>
      <c r="AA242" s="49" t="str">
        <f t="shared" si="8"/>
        <v/>
      </c>
      <c r="AB242" s="49" t="str">
        <f t="shared" si="9"/>
        <v/>
      </c>
      <c r="AC242" s="20" t="str">
        <f t="shared" ref="AC242:AD242" si="492">IF(_xlfn.ISFORMULA(S242),IFERROR(0/0,""),TRUE)</f>
        <v/>
      </c>
      <c r="AD242" s="20" t="str">
        <f t="shared" si="492"/>
        <v/>
      </c>
      <c r="AE242" s="43"/>
      <c r="AF242" s="62" t="s">
        <v>45</v>
      </c>
      <c r="AG242" s="57" t="str">
        <f t="shared" si="11"/>
        <v/>
      </c>
    </row>
    <row r="243">
      <c r="A243" s="6" t="str">
        <f>IFERROR(__xludf.DUMMYFUNCTION("""COMPUTED_VALUE"""),"MA376")</f>
        <v>MA376</v>
      </c>
      <c r="B243" s="204">
        <f>IFERROR(__xludf.DUMMYFUNCTION("""COMPUTED_VALUE"""),44582.0)</f>
        <v>44582</v>
      </c>
      <c r="C243" s="250">
        <f>IFERROR(__xludf.DUMMYFUNCTION("""COMPUTED_VALUE"""),0.35019675925925925)</f>
        <v>0.3501967593</v>
      </c>
      <c r="D243" s="6" t="str">
        <f>IFERROR(__xludf.DUMMYFUNCTION("""COMPUTED_VALUE"""),"SpBEND721986")</f>
        <v>SpBEND721986</v>
      </c>
      <c r="E243" s="251"/>
      <c r="F243" s="251"/>
      <c r="G243" s="251" t="str">
        <f>IFERROR(__xludf.DUMMYFUNCTION("""COMPUTED_VALUE"""),"Negative")</f>
        <v>Negative</v>
      </c>
      <c r="H243" s="262" t="str">
        <f>IFERROR(__xludf.DUMMYFUNCTION("""COMPUTED_VALUE"""),"Negative")</f>
        <v>Negative</v>
      </c>
      <c r="I243" s="204">
        <f>IFERROR(__xludf.DUMMYFUNCTION("""COMPUTED_VALUE"""),44582.0)</f>
        <v>44582</v>
      </c>
      <c r="J243" s="252">
        <f>IFERROR(__xludf.DUMMYFUNCTION("""COMPUTED_VALUE"""),0.4884027777777778)</f>
        <v>0.4884027778</v>
      </c>
      <c r="K243" s="56"/>
      <c r="L243" s="6"/>
      <c r="M243" s="61"/>
      <c r="N243" s="61">
        <f>IFERROR(__xludf.DUMMYFUNCTION("""COMPUTED_VALUE"""),1.0)</f>
        <v>1</v>
      </c>
      <c r="O243" s="61" t="str">
        <f t="shared" si="3"/>
        <v/>
      </c>
      <c r="P243" s="253">
        <f>IFERROR(__xludf.DUMMYFUNCTION("""COMPUTED_VALUE"""),0.0)</f>
        <v>0</v>
      </c>
      <c r="Q243" s="254" t="str">
        <f>VLOOKUP($B243,'Run Reconcile'!B$2:O799,14,FALSE)</f>
        <v/>
      </c>
      <c r="R243" s="255" t="str">
        <f t="array" ref="R243">IF($Q243, INDEX('Run Reconcile'!A$2:A799,MATCH(B243,'Run Reconcile'!B$2:B799,0),1),IFERROR(0/0,""))</f>
        <v/>
      </c>
      <c r="S243" s="261" t="str">
        <f t="shared" ref="S243:T243" si="493">IF(COUNTIF(W$2:W799, $A243) &gt; 0,TRUE,IFERROR(0/0,""))</f>
        <v/>
      </c>
      <c r="T243" s="261" t="str">
        <f t="shared" si="493"/>
        <v/>
      </c>
      <c r="U243" s="257" t="str">
        <f t="array" ref="U243">IF(ISBLANK($R243), INDEX('Run Reconcile'!A$2:A799, MATCH($B243, 'Run Reconcile'!B$2:B799, 0)+Z243, 1), IFERROR(0/0,""))
</f>
        <v>RUN-BEND_2022-01-21_RFR-017</v>
      </c>
      <c r="V243" s="258" t="str">
        <f t="shared" si="480"/>
        <v>RUN-BEND_2022-01-21_RFR-017</v>
      </c>
      <c r="Y243" s="130" t="str">
        <f t="shared" si="487"/>
        <v/>
      </c>
      <c r="Z243" s="49" t="str">
        <f t="shared" si="7"/>
        <v/>
      </c>
      <c r="AA243" s="49" t="str">
        <f t="shared" si="8"/>
        <v/>
      </c>
      <c r="AB243" s="49" t="str">
        <f t="shared" si="9"/>
        <v/>
      </c>
      <c r="AC243" s="20" t="str">
        <f t="shared" ref="AC243:AD243" si="494">IF(_xlfn.ISFORMULA(S243),IFERROR(0/0,""),TRUE)</f>
        <v/>
      </c>
      <c r="AD243" s="20" t="str">
        <f t="shared" si="494"/>
        <v/>
      </c>
      <c r="AE243" s="43"/>
      <c r="AF243" s="62" t="s">
        <v>45</v>
      </c>
      <c r="AG243" s="57" t="str">
        <f t="shared" si="11"/>
        <v/>
      </c>
    </row>
    <row r="244">
      <c r="A244" s="6" t="str">
        <f>IFERROR(__xludf.DUMMYFUNCTION("""COMPUTED_VALUE"""),"MA1300")</f>
        <v>MA1300</v>
      </c>
      <c r="B244" s="204">
        <f>IFERROR(__xludf.DUMMYFUNCTION("""COMPUTED_VALUE"""),44582.0)</f>
        <v>44582</v>
      </c>
      <c r="C244" s="250">
        <f>IFERROR(__xludf.DUMMYFUNCTION("""COMPUTED_VALUE"""),0.35087962962962965)</f>
        <v>0.3508796296</v>
      </c>
      <c r="D244" s="6" t="str">
        <f>IFERROR(__xludf.DUMMYFUNCTION("""COMPUTED_VALUE"""),"SpBEND587584")</f>
        <v>SpBEND587584</v>
      </c>
      <c r="E244" s="251"/>
      <c r="F244" s="251"/>
      <c r="G244" s="251" t="str">
        <f>IFERROR(__xludf.DUMMYFUNCTION("""COMPUTED_VALUE"""),"Negative")</f>
        <v>Negative</v>
      </c>
      <c r="H244" s="262" t="str">
        <f>IFERROR(__xludf.DUMMYFUNCTION("""COMPUTED_VALUE"""),"Negative")</f>
        <v>Negative</v>
      </c>
      <c r="I244" s="204">
        <f>IFERROR(__xludf.DUMMYFUNCTION("""COMPUTED_VALUE"""),44582.0)</f>
        <v>44582</v>
      </c>
      <c r="J244" s="252">
        <f>IFERROR(__xludf.DUMMYFUNCTION("""COMPUTED_VALUE"""),0.4884027777777778)</f>
        <v>0.4884027778</v>
      </c>
      <c r="K244" s="56"/>
      <c r="L244" s="6"/>
      <c r="M244" s="61"/>
      <c r="N244" s="61">
        <f>IFERROR(__xludf.DUMMYFUNCTION("""COMPUTED_VALUE"""),1.0)</f>
        <v>1</v>
      </c>
      <c r="O244" s="61" t="str">
        <f t="shared" si="3"/>
        <v/>
      </c>
      <c r="P244" s="253">
        <f>IFERROR(__xludf.DUMMYFUNCTION("""COMPUTED_VALUE"""),0.0)</f>
        <v>0</v>
      </c>
      <c r="Q244" s="254" t="str">
        <f>VLOOKUP($B244,'Run Reconcile'!B$2:O799,14,FALSE)</f>
        <v/>
      </c>
      <c r="R244" s="255" t="str">
        <f t="array" ref="R244">IF($Q244, INDEX('Run Reconcile'!A$2:A799,MATCH(B244,'Run Reconcile'!B$2:B799,0),1),IFERROR(0/0,""))</f>
        <v/>
      </c>
      <c r="S244" s="261" t="str">
        <f t="shared" ref="S244:T244" si="495">IF(COUNTIF(W$2:W799, $A244) &gt; 0,TRUE,IFERROR(0/0,""))</f>
        <v/>
      </c>
      <c r="T244" s="261" t="str">
        <f t="shared" si="495"/>
        <v/>
      </c>
      <c r="U244" s="257" t="str">
        <f t="array" ref="U244">IF(ISBLANK($R244), INDEX('Run Reconcile'!A$2:A799, MATCH($B244, 'Run Reconcile'!B$2:B799, 0)+Z244, 1), IFERROR(0/0,""))
</f>
        <v>RUN-BEND_2022-01-21_RFR-017</v>
      </c>
      <c r="V244" s="258" t="str">
        <f t="shared" si="480"/>
        <v>RUN-BEND_2022-01-21_RFR-017</v>
      </c>
      <c r="Y244" s="130" t="str">
        <f t="shared" si="487"/>
        <v/>
      </c>
      <c r="Z244" s="49" t="str">
        <f t="shared" si="7"/>
        <v/>
      </c>
      <c r="AA244" s="49" t="str">
        <f t="shared" si="8"/>
        <v/>
      </c>
      <c r="AB244" s="49" t="str">
        <f t="shared" si="9"/>
        <v/>
      </c>
      <c r="AC244" s="20" t="str">
        <f t="shared" ref="AC244:AD244" si="496">IF(_xlfn.ISFORMULA(S244),IFERROR(0/0,""),TRUE)</f>
        <v/>
      </c>
      <c r="AD244" s="20" t="str">
        <f t="shared" si="496"/>
        <v/>
      </c>
      <c r="AE244" s="43"/>
      <c r="AF244" s="62" t="s">
        <v>45</v>
      </c>
      <c r="AG244" s="57" t="str">
        <f t="shared" si="11"/>
        <v/>
      </c>
    </row>
    <row r="245">
      <c r="A245" s="6" t="str">
        <f>IFERROR(__xludf.DUMMYFUNCTION("""COMPUTED_VALUE"""),"MA452")</f>
        <v>MA452</v>
      </c>
      <c r="B245" s="204">
        <f>IFERROR(__xludf.DUMMYFUNCTION("""COMPUTED_VALUE"""),44582.0)</f>
        <v>44582</v>
      </c>
      <c r="C245" s="250">
        <f>IFERROR(__xludf.DUMMYFUNCTION("""COMPUTED_VALUE"""),0.3514351851851852)</f>
        <v>0.3514351852</v>
      </c>
      <c r="D245" s="6" t="str">
        <f>IFERROR(__xludf.DUMMYFUNCTION("""COMPUTED_VALUE"""),"SpBEND385421")</f>
        <v>SpBEND385421</v>
      </c>
      <c r="E245" s="251"/>
      <c r="F245" s="251"/>
      <c r="G245" s="251" t="str">
        <f>IFERROR(__xludf.DUMMYFUNCTION("""COMPUTED_VALUE"""),"Negative")</f>
        <v>Negative</v>
      </c>
      <c r="H245" s="262" t="str">
        <f>IFERROR(__xludf.DUMMYFUNCTION("""COMPUTED_VALUE"""),"Negative")</f>
        <v>Negative</v>
      </c>
      <c r="I245" s="204">
        <f>IFERROR(__xludf.DUMMYFUNCTION("""COMPUTED_VALUE"""),44582.0)</f>
        <v>44582</v>
      </c>
      <c r="J245" s="252">
        <f>IFERROR(__xludf.DUMMYFUNCTION("""COMPUTED_VALUE"""),0.4884027777777778)</f>
        <v>0.4884027778</v>
      </c>
      <c r="K245" s="56"/>
      <c r="L245" s="6"/>
      <c r="M245" s="61"/>
      <c r="N245" s="61">
        <f>IFERROR(__xludf.DUMMYFUNCTION("""COMPUTED_VALUE"""),1.0)</f>
        <v>1</v>
      </c>
      <c r="O245" s="61" t="str">
        <f t="shared" si="3"/>
        <v/>
      </c>
      <c r="P245" s="253">
        <f>IFERROR(__xludf.DUMMYFUNCTION("""COMPUTED_VALUE"""),0.0)</f>
        <v>0</v>
      </c>
      <c r="Q245" s="254" t="str">
        <f>VLOOKUP($B245,'Run Reconcile'!B$2:O799,14,FALSE)</f>
        <v/>
      </c>
      <c r="R245" s="255" t="str">
        <f t="array" ref="R245">IF($Q245, INDEX('Run Reconcile'!A$2:A799,MATCH(B245,'Run Reconcile'!B$2:B799,0),1),IFERROR(0/0,""))</f>
        <v/>
      </c>
      <c r="S245" s="261" t="str">
        <f t="shared" ref="S245:T245" si="497">IF(COUNTIF(W$2:W799, $A245) &gt; 0,TRUE,IFERROR(0/0,""))</f>
        <v/>
      </c>
      <c r="T245" s="261" t="str">
        <f t="shared" si="497"/>
        <v/>
      </c>
      <c r="U245" s="257" t="str">
        <f t="array" ref="U245">IF(ISBLANK($R245), INDEX('Run Reconcile'!A$2:A799, MATCH($B245, 'Run Reconcile'!B$2:B799, 0)+Z245, 1), IFERROR(0/0,""))
</f>
        <v>RUN-BEND_2022-01-21_RFR-017</v>
      </c>
      <c r="V245" s="258" t="str">
        <f t="shared" si="480"/>
        <v>RUN-BEND_2022-01-21_RFR-017</v>
      </c>
      <c r="Y245" s="130" t="str">
        <f t="shared" si="487"/>
        <v/>
      </c>
      <c r="Z245" s="49" t="str">
        <f t="shared" si="7"/>
        <v/>
      </c>
      <c r="AA245" s="49" t="str">
        <f t="shared" si="8"/>
        <v/>
      </c>
      <c r="AB245" s="49" t="str">
        <f t="shared" si="9"/>
        <v/>
      </c>
      <c r="AC245" s="20" t="str">
        <f t="shared" ref="AC245:AD245" si="498">IF(_xlfn.ISFORMULA(S245),IFERROR(0/0,""),TRUE)</f>
        <v/>
      </c>
      <c r="AD245" s="20" t="str">
        <f t="shared" si="498"/>
        <v/>
      </c>
      <c r="AE245" s="43"/>
      <c r="AF245" s="62" t="s">
        <v>45</v>
      </c>
      <c r="AG245" s="57" t="str">
        <f t="shared" si="11"/>
        <v/>
      </c>
    </row>
    <row r="246">
      <c r="A246" s="6" t="str">
        <f>IFERROR(__xludf.DUMMYFUNCTION("""COMPUTED_VALUE"""),"MA1047")</f>
        <v>MA1047</v>
      </c>
      <c r="B246" s="204">
        <f>IFERROR(__xludf.DUMMYFUNCTION("""COMPUTED_VALUE"""),44582.0)</f>
        <v>44582</v>
      </c>
      <c r="C246" s="250">
        <f>IFERROR(__xludf.DUMMYFUNCTION("""COMPUTED_VALUE"""),0.3526388888888889)</f>
        <v>0.3526388889</v>
      </c>
      <c r="D246" s="6" t="str">
        <f>IFERROR(__xludf.DUMMYFUNCTION("""COMPUTED_VALUE"""),"SpBEND708976")</f>
        <v>SpBEND708976</v>
      </c>
      <c r="E246" s="251"/>
      <c r="F246" s="251"/>
      <c r="G246" s="251" t="str">
        <f>IFERROR(__xludf.DUMMYFUNCTION("""COMPUTED_VALUE"""),"Positive")</f>
        <v>Positive</v>
      </c>
      <c r="H246" s="262" t="str">
        <f>IFERROR(__xludf.DUMMYFUNCTION("""COMPUTED_VALUE"""),"Positive")</f>
        <v>Positive</v>
      </c>
      <c r="I246" s="204">
        <f>IFERROR(__xludf.DUMMYFUNCTION("""COMPUTED_VALUE"""),44582.0)</f>
        <v>44582</v>
      </c>
      <c r="J246" s="252">
        <f>IFERROR(__xludf.DUMMYFUNCTION("""COMPUTED_VALUE"""),0.4884027777777778)</f>
        <v>0.4884027778</v>
      </c>
      <c r="K246" s="56"/>
      <c r="L246" s="6"/>
      <c r="M246" s="61"/>
      <c r="N246" s="61">
        <f>IFERROR(__xludf.DUMMYFUNCTION("""COMPUTED_VALUE"""),1.0)</f>
        <v>1</v>
      </c>
      <c r="O246" s="61" t="str">
        <f t="shared" si="3"/>
        <v/>
      </c>
      <c r="P246" s="253">
        <f>IFERROR(__xludf.DUMMYFUNCTION("""COMPUTED_VALUE"""),0.0)</f>
        <v>0</v>
      </c>
      <c r="Q246" s="254" t="str">
        <f>VLOOKUP($B246,'Run Reconcile'!B$2:O799,14,FALSE)</f>
        <v/>
      </c>
      <c r="R246" s="255" t="str">
        <f t="array" ref="R246">IF($Q246, INDEX('Run Reconcile'!A$2:A799,MATCH(B246,'Run Reconcile'!B$2:B799,0),1),IFERROR(0/0,""))</f>
        <v/>
      </c>
      <c r="S246" s="261" t="str">
        <f t="shared" ref="S246:T246" si="499">IF(COUNTIF(W$2:W799, $A246) &gt; 0,TRUE,IFERROR(0/0,""))</f>
        <v/>
      </c>
      <c r="T246" s="261" t="str">
        <f t="shared" si="499"/>
        <v/>
      </c>
      <c r="U246" s="257" t="str">
        <f t="array" ref="U246">IF(ISBLANK($R246), INDEX('Run Reconcile'!A$2:A799, MATCH($B246, 'Run Reconcile'!B$2:B799, 0)+Z246, 1), IFERROR(0/0,""))
</f>
        <v>RUN-BEND_2022-01-21_RFR-017</v>
      </c>
      <c r="V246" s="258" t="str">
        <f t="shared" si="480"/>
        <v>RUN-BEND_2022-01-21_RFR-017</v>
      </c>
      <c r="Y246" s="130" t="str">
        <f t="shared" si="487"/>
        <v/>
      </c>
      <c r="Z246" s="49" t="str">
        <f t="shared" si="7"/>
        <v/>
      </c>
      <c r="AA246" s="49" t="str">
        <f t="shared" si="8"/>
        <v/>
      </c>
      <c r="AB246" s="49" t="str">
        <f t="shared" si="9"/>
        <v/>
      </c>
      <c r="AC246" s="20" t="str">
        <f t="shared" ref="AC246:AD246" si="500">IF(_xlfn.ISFORMULA(S246),IFERROR(0/0,""),TRUE)</f>
        <v/>
      </c>
      <c r="AD246" s="20" t="str">
        <f t="shared" si="500"/>
        <v/>
      </c>
      <c r="AE246" s="43"/>
      <c r="AF246" s="62" t="s">
        <v>45</v>
      </c>
      <c r="AG246" s="57" t="str">
        <f t="shared" si="11"/>
        <v/>
      </c>
    </row>
    <row r="247">
      <c r="A247" s="6" t="str">
        <f>IFERROR(__xludf.DUMMYFUNCTION("""COMPUTED_VALUE"""),"MA305")</f>
        <v>MA305</v>
      </c>
      <c r="B247" s="204">
        <f>IFERROR(__xludf.DUMMYFUNCTION("""COMPUTED_VALUE"""),44582.0)</f>
        <v>44582</v>
      </c>
      <c r="C247" s="250">
        <f>IFERROR(__xludf.DUMMYFUNCTION("""COMPUTED_VALUE"""),0.39038194444444446)</f>
        <v>0.3903819444</v>
      </c>
      <c r="D247" s="6" t="str">
        <f>IFERROR(__xludf.DUMMYFUNCTION("""COMPUTED_VALUE"""),"SpBEND394154")</f>
        <v>SpBEND394154</v>
      </c>
      <c r="E247" s="251"/>
      <c r="F247" s="251"/>
      <c r="G247" s="251" t="str">
        <f>IFERROR(__xludf.DUMMYFUNCTION("""COMPUTED_VALUE"""),"Positive")</f>
        <v>Positive</v>
      </c>
      <c r="H247" s="262" t="str">
        <f>IFERROR(__xludf.DUMMYFUNCTION("""COMPUTED_VALUE"""),"Positive")</f>
        <v>Positive</v>
      </c>
      <c r="I247" s="204">
        <f>IFERROR(__xludf.DUMMYFUNCTION("""COMPUTED_VALUE"""),44582.0)</f>
        <v>44582</v>
      </c>
      <c r="J247" s="252">
        <f>IFERROR(__xludf.DUMMYFUNCTION("""COMPUTED_VALUE"""),0.4884027777777778)</f>
        <v>0.4884027778</v>
      </c>
      <c r="K247" s="56"/>
      <c r="L247" s="6"/>
      <c r="M247" s="61"/>
      <c r="N247" s="61">
        <f>IFERROR(__xludf.DUMMYFUNCTION("""COMPUTED_VALUE"""),1.0)</f>
        <v>1</v>
      </c>
      <c r="O247" s="61" t="str">
        <f t="shared" si="3"/>
        <v/>
      </c>
      <c r="P247" s="253">
        <f>IFERROR(__xludf.DUMMYFUNCTION("""COMPUTED_VALUE"""),0.0)</f>
        <v>0</v>
      </c>
      <c r="Q247" s="254" t="str">
        <f>VLOOKUP($B247,'Run Reconcile'!B$2:O799,14,FALSE)</f>
        <v/>
      </c>
      <c r="R247" s="255" t="str">
        <f t="array" ref="R247">IF($Q247, INDEX('Run Reconcile'!A$2:A799,MATCH(B247,'Run Reconcile'!B$2:B799,0),1),IFERROR(0/0,""))</f>
        <v/>
      </c>
      <c r="S247" s="261" t="str">
        <f t="shared" ref="S247:T247" si="501">IF(COUNTIF(W$2:W799, $A247) &gt; 0,TRUE,IFERROR(0/0,""))</f>
        <v/>
      </c>
      <c r="T247" s="261" t="str">
        <f t="shared" si="501"/>
        <v/>
      </c>
      <c r="U247" s="257" t="str">
        <f t="array" ref="U247">IF(ISBLANK($R247), INDEX('Run Reconcile'!A$2:A799, MATCH($B247, 'Run Reconcile'!B$2:B799, 0)+Z247, 1), IFERROR(0/0,""))
</f>
        <v>RUN-BEND_2022-01-21_RFR-017</v>
      </c>
      <c r="V247" s="258" t="str">
        <f t="shared" si="480"/>
        <v>RUN-BEND_2022-01-21_RFR-017</v>
      </c>
      <c r="Y247" s="130" t="str">
        <f t="shared" si="487"/>
        <v/>
      </c>
      <c r="Z247" s="49" t="str">
        <f t="shared" si="7"/>
        <v/>
      </c>
      <c r="AA247" s="49" t="str">
        <f t="shared" si="8"/>
        <v/>
      </c>
      <c r="AB247" s="49" t="str">
        <f t="shared" si="9"/>
        <v/>
      </c>
      <c r="AC247" s="20" t="str">
        <f t="shared" ref="AC247:AD247" si="502">IF(_xlfn.ISFORMULA(S247),IFERROR(0/0,""),TRUE)</f>
        <v/>
      </c>
      <c r="AD247" s="20" t="str">
        <f t="shared" si="502"/>
        <v/>
      </c>
      <c r="AE247" s="43"/>
      <c r="AF247" s="62" t="s">
        <v>45</v>
      </c>
      <c r="AG247" s="57" t="str">
        <f t="shared" si="11"/>
        <v/>
      </c>
    </row>
    <row r="248">
      <c r="A248" s="6" t="str">
        <f>IFERROR(__xludf.DUMMYFUNCTION("""COMPUTED_VALUE"""),"MA337")</f>
        <v>MA337</v>
      </c>
      <c r="B248" s="204">
        <f>IFERROR(__xludf.DUMMYFUNCTION("""COMPUTED_VALUE"""),44582.0)</f>
        <v>44582</v>
      </c>
      <c r="C248" s="250">
        <f>IFERROR(__xludf.DUMMYFUNCTION("""COMPUTED_VALUE"""),0.39101851851851854)</f>
        <v>0.3910185185</v>
      </c>
      <c r="D248" s="6" t="str">
        <f>IFERROR(__xludf.DUMMYFUNCTION("""COMPUTED_VALUE"""),"SpBEND394154")</f>
        <v>SpBEND394154</v>
      </c>
      <c r="E248" s="251"/>
      <c r="F248" s="251"/>
      <c r="G248" s="251" t="str">
        <f>IFERROR(__xludf.DUMMYFUNCTION("""COMPUTED_VALUE"""),"Positive")</f>
        <v>Positive</v>
      </c>
      <c r="H248" s="262" t="str">
        <f>IFERROR(__xludf.DUMMYFUNCTION("""COMPUTED_VALUE"""),"Positive")</f>
        <v>Positive</v>
      </c>
      <c r="I248" s="204">
        <f>IFERROR(__xludf.DUMMYFUNCTION("""COMPUTED_VALUE"""),44582.0)</f>
        <v>44582</v>
      </c>
      <c r="J248" s="252">
        <f>IFERROR(__xludf.DUMMYFUNCTION("""COMPUTED_VALUE"""),0.4884027777777778)</f>
        <v>0.4884027778</v>
      </c>
      <c r="K248" s="56"/>
      <c r="L248" s="6"/>
      <c r="M248" s="61"/>
      <c r="N248" s="61">
        <f>IFERROR(__xludf.DUMMYFUNCTION("""COMPUTED_VALUE"""),1.0)</f>
        <v>1</v>
      </c>
      <c r="O248" s="61" t="str">
        <f t="shared" si="3"/>
        <v/>
      </c>
      <c r="P248" s="253">
        <f>IFERROR(__xludf.DUMMYFUNCTION("""COMPUTED_VALUE"""),0.0)</f>
        <v>0</v>
      </c>
      <c r="Q248" s="254" t="str">
        <f>VLOOKUP($B248,'Run Reconcile'!B$2:O799,14,FALSE)</f>
        <v/>
      </c>
      <c r="R248" s="255" t="str">
        <f t="array" ref="R248">IF($Q248, INDEX('Run Reconcile'!A$2:A799,MATCH(B248,'Run Reconcile'!B$2:B799,0),1),IFERROR(0/0,""))</f>
        <v/>
      </c>
      <c r="S248" s="261" t="str">
        <f t="shared" ref="S248:T248" si="503">IF(COUNTIF(W$2:W799, $A248) &gt; 0,TRUE,IFERROR(0/0,""))</f>
        <v/>
      </c>
      <c r="T248" s="261" t="str">
        <f t="shared" si="503"/>
        <v/>
      </c>
      <c r="U248" s="257" t="str">
        <f t="array" ref="U248">IF(ISBLANK($R248), INDEX('Run Reconcile'!A$2:A799, MATCH($B248, 'Run Reconcile'!B$2:B799, 0)+Z248, 1), IFERROR(0/0,""))
</f>
        <v>RUN-BEND_2022-01-21_RFR-017</v>
      </c>
      <c r="V248" s="258" t="str">
        <f t="shared" si="480"/>
        <v>RUN-BEND_2022-01-21_RFR-017</v>
      </c>
      <c r="Y248" s="130" t="str">
        <f t="shared" si="487"/>
        <v/>
      </c>
      <c r="Z248" s="49" t="str">
        <f t="shared" si="7"/>
        <v/>
      </c>
      <c r="AA248" s="49" t="str">
        <f t="shared" si="8"/>
        <v/>
      </c>
      <c r="AB248" s="49" t="str">
        <f t="shared" si="9"/>
        <v/>
      </c>
      <c r="AC248" s="20" t="str">
        <f t="shared" ref="AC248:AD248" si="504">IF(_xlfn.ISFORMULA(S248),IFERROR(0/0,""),TRUE)</f>
        <v/>
      </c>
      <c r="AD248" s="20" t="str">
        <f t="shared" si="504"/>
        <v/>
      </c>
      <c r="AE248" s="43"/>
      <c r="AF248" s="62" t="s">
        <v>45</v>
      </c>
      <c r="AG248" s="57" t="str">
        <f t="shared" si="11"/>
        <v/>
      </c>
    </row>
    <row r="249">
      <c r="A249" s="6" t="str">
        <f>IFERROR(__xludf.DUMMYFUNCTION("""COMPUTED_VALUE"""),"MA337A")</f>
        <v>MA337A</v>
      </c>
      <c r="B249" s="204">
        <f>IFERROR(__xludf.DUMMYFUNCTION("""COMPUTED_VALUE"""),44582.0)</f>
        <v>44582</v>
      </c>
      <c r="C249" s="250">
        <f>IFERROR(__xludf.DUMMYFUNCTION("""COMPUTED_VALUE"""),0.39101851851851854)</f>
        <v>0.3910185185</v>
      </c>
      <c r="D249" s="6" t="str">
        <f>IFERROR(__xludf.DUMMYFUNCTION("""COMPUTED_VALUE"""),"SpBEND394154")</f>
        <v>SpBEND394154</v>
      </c>
      <c r="E249" s="251"/>
      <c r="F249" s="251"/>
      <c r="G249" s="251" t="str">
        <f>IFERROR(__xludf.DUMMYFUNCTION("""COMPUTED_VALUE"""),"Positive")</f>
        <v>Positive</v>
      </c>
      <c r="H249" s="264" t="str">
        <f>IFERROR(__xludf.DUMMYFUNCTION("""COMPUTED_VALUE"""),"Positive")</f>
        <v>Positive</v>
      </c>
      <c r="I249" s="263">
        <f>IFERROR(__xludf.DUMMYFUNCTION("""COMPUTED_VALUE"""),44582.0)</f>
        <v>44582</v>
      </c>
      <c r="J249" s="252">
        <f>IFERROR(__xludf.DUMMYFUNCTION("""COMPUTED_VALUE"""),0.4884027777777778)</f>
        <v>0.4884027778</v>
      </c>
      <c r="K249" s="56"/>
      <c r="L249" s="6" t="str">
        <f>IFERROR(__xludf.DUMMYFUNCTION("""COMPUTED_VALUE"""),"Duplicate Tube ID has been split into a separate tube but this may be a pure duplication - it is a positive Tube, so we need to give this close scrutiny.  Typically if the Participants in a duplicate Tube ID don't appear in any other tube that day, the Tu"&amp;"be is assumed to be a different Tube and assigned an ""x"" (correction code 1.3).  But this typically does not happen with a Positive Tube.")</f>
        <v>Duplicate Tube ID has been split into a separate tube but this may be a pure duplication - it is a positive Tube, so we need to give this close scrutiny.  Typically if the Participants in a duplicate Tube ID don't appear in any other tube that day, the Tube is assumed to be a different Tube and assigned an "x" (correction code 1.3).  But this typically does not happen with a Positive Tube.</v>
      </c>
      <c r="M249" s="61"/>
      <c r="N249" s="61">
        <f>IFERROR(__xludf.DUMMYFUNCTION("""COMPUTED_VALUE"""),1.0)</f>
        <v>1</v>
      </c>
      <c r="O249" s="61" t="str">
        <f t="shared" si="3"/>
        <v/>
      </c>
      <c r="P249" s="253">
        <f>IFERROR(__xludf.DUMMYFUNCTION("""COMPUTED_VALUE"""),0.0)</f>
        <v>0</v>
      </c>
      <c r="Q249" s="254" t="str">
        <f>VLOOKUP($B249,'Run Reconcile'!B$2:O799,14,FALSE)</f>
        <v/>
      </c>
      <c r="R249" s="255" t="str">
        <f t="array" ref="R249">IF($Q249, INDEX('Run Reconcile'!A$2:A799,MATCH(B249,'Run Reconcile'!B$2:B799,0),1),IFERROR(0/0,""))</f>
        <v/>
      </c>
      <c r="S249" s="261" t="str">
        <f t="shared" ref="S249:T249" si="505">IF(COUNTIF(W$2:W799, $A249) &gt; 0,TRUE,IFERROR(0/0,""))</f>
        <v/>
      </c>
      <c r="T249" s="261" t="str">
        <f t="shared" si="505"/>
        <v/>
      </c>
      <c r="U249" s="257" t="str">
        <f t="array" ref="U249">IF(ISBLANK($R249), INDEX('Run Reconcile'!A$2:A799, MATCH($B249, 'Run Reconcile'!B$2:B799, 0)+Z249, 1), IFERROR(0/0,""))
</f>
        <v>RUN-BEND_2022-01-21_RFR-017</v>
      </c>
      <c r="V249" s="258" t="str">
        <f t="shared" si="480"/>
        <v>RUN-BEND_2022-01-21_RFR-017</v>
      </c>
      <c r="Y249" s="130" t="str">
        <f t="shared" si="487"/>
        <v/>
      </c>
      <c r="Z249" s="49" t="str">
        <f t="shared" si="7"/>
        <v/>
      </c>
      <c r="AA249" s="49" t="str">
        <f t="shared" si="8"/>
        <v/>
      </c>
      <c r="AB249" s="49" t="str">
        <f t="shared" si="9"/>
        <v/>
      </c>
      <c r="AC249" s="20" t="str">
        <f t="shared" ref="AC249:AD249" si="506">IF(_xlfn.ISFORMULA(S249),IFERROR(0/0,""),TRUE)</f>
        <v/>
      </c>
      <c r="AD249" s="20" t="str">
        <f t="shared" si="506"/>
        <v/>
      </c>
      <c r="AE249" s="43"/>
      <c r="AF249" s="62" t="s">
        <v>45</v>
      </c>
      <c r="AG249" s="57" t="str">
        <f t="shared" si="11"/>
        <v/>
      </c>
    </row>
    <row r="250">
      <c r="A250" s="6" t="str">
        <f>IFERROR(__xludf.DUMMYFUNCTION("""COMPUTED_VALUE"""),"MAX141")</f>
        <v>MAX141</v>
      </c>
      <c r="B250" s="204">
        <f>IFERROR(__xludf.DUMMYFUNCTION("""COMPUTED_VALUE"""),44582.0)</f>
        <v>44582</v>
      </c>
      <c r="C250" s="250">
        <f>IFERROR(__xludf.DUMMYFUNCTION("""COMPUTED_VALUE"""),0.3978009259259259)</f>
        <v>0.3978009259</v>
      </c>
      <c r="D250" s="6" t="str">
        <f>IFERROR(__xludf.DUMMYFUNCTION("""COMPUTED_VALUE"""),"SpBEND980783")</f>
        <v>SpBEND980783</v>
      </c>
      <c r="E250" s="251"/>
      <c r="F250" s="251"/>
      <c r="G250" s="251" t="str">
        <f>IFERROR(__xludf.DUMMYFUNCTION("""COMPUTED_VALUE"""),"Positive")</f>
        <v>Positive</v>
      </c>
      <c r="H250" s="264" t="str">
        <f>IFERROR(__xludf.DUMMYFUNCTION("""COMPUTED_VALUE"""),"Positive")</f>
        <v>Positive</v>
      </c>
      <c r="I250" s="263">
        <f>IFERROR(__xludf.DUMMYFUNCTION("""COMPUTED_VALUE"""),44582.0)</f>
        <v>44582</v>
      </c>
      <c r="J250" s="252">
        <f>IFERROR(__xludf.DUMMYFUNCTION("""COMPUTED_VALUE"""),0.4884027777777778)</f>
        <v>0.4884027778</v>
      </c>
      <c r="K250" s="56"/>
      <c r="L250" s="6"/>
      <c r="M250" s="61"/>
      <c r="N250" s="61">
        <f>IFERROR(__xludf.DUMMYFUNCTION("""COMPUTED_VALUE"""),1.0)</f>
        <v>1</v>
      </c>
      <c r="O250" s="61" t="str">
        <f t="shared" si="3"/>
        <v/>
      </c>
      <c r="P250" s="253">
        <f>IFERROR(__xludf.DUMMYFUNCTION("""COMPUTED_VALUE"""),0.0)</f>
        <v>0</v>
      </c>
      <c r="Q250" s="254" t="str">
        <f>VLOOKUP($B250,'Run Reconcile'!B$2:O799,14,FALSE)</f>
        <v/>
      </c>
      <c r="R250" s="255" t="str">
        <f t="array" ref="R250">IF($Q250, INDEX('Run Reconcile'!A$2:A799,MATCH(B250,'Run Reconcile'!B$2:B799,0),1),IFERROR(0/0,""))</f>
        <v/>
      </c>
      <c r="S250" s="261" t="str">
        <f t="shared" ref="S250:T250" si="507">IF(COUNTIF(W$2:W799, $A250) &gt; 0,TRUE,IFERROR(0/0,""))</f>
        <v/>
      </c>
      <c r="T250" s="261" t="str">
        <f t="shared" si="507"/>
        <v/>
      </c>
      <c r="U250" s="257" t="str">
        <f t="array" ref="U250">IF(ISBLANK($R250), INDEX('Run Reconcile'!A$2:A799, MATCH($B250, 'Run Reconcile'!B$2:B799, 0)+Z250, 1), IFERROR(0/0,""))
</f>
        <v>RUN-BEND_2022-01-21_RFR-017</v>
      </c>
      <c r="V250" s="258" t="str">
        <f t="shared" si="480"/>
        <v>RUN-BEND_2022-01-21_RFR-017</v>
      </c>
      <c r="Y250" s="130" t="str">
        <f t="shared" si="487"/>
        <v/>
      </c>
      <c r="Z250" s="49" t="str">
        <f t="shared" si="7"/>
        <v/>
      </c>
      <c r="AA250" s="49" t="str">
        <f t="shared" si="8"/>
        <v/>
      </c>
      <c r="AB250" s="49" t="str">
        <f t="shared" si="9"/>
        <v/>
      </c>
      <c r="AC250" s="20" t="str">
        <f t="shared" ref="AC250:AD250" si="508">IF(_xlfn.ISFORMULA(S250),IFERROR(0/0,""),TRUE)</f>
        <v/>
      </c>
      <c r="AD250" s="20" t="str">
        <f t="shared" si="508"/>
        <v/>
      </c>
      <c r="AE250" s="43"/>
      <c r="AF250" s="62" t="s">
        <v>45</v>
      </c>
      <c r="AG250" s="57" t="str">
        <f t="shared" si="11"/>
        <v/>
      </c>
    </row>
    <row r="251">
      <c r="A251" s="6" t="str">
        <f>IFERROR(__xludf.DUMMYFUNCTION("""COMPUTED_VALUE"""),"MA1063")</f>
        <v>MA1063</v>
      </c>
      <c r="B251" s="204">
        <f>IFERROR(__xludf.DUMMYFUNCTION("""COMPUTED_VALUE"""),44585.0)</f>
        <v>44585</v>
      </c>
      <c r="C251" s="250">
        <f>IFERROR(__xludf.DUMMYFUNCTION("""COMPUTED_VALUE"""),0.29939814814814814)</f>
        <v>0.2993981481</v>
      </c>
      <c r="D251" s="6" t="str">
        <f>IFERROR(__xludf.DUMMYFUNCTION("""COMPUTED_VALUE"""),"SpBEND551372")</f>
        <v>SpBEND551372</v>
      </c>
      <c r="E251" s="251"/>
      <c r="F251" s="251"/>
      <c r="G251" s="251" t="str">
        <f>IFERROR(__xludf.DUMMYFUNCTION("""COMPUTED_VALUE"""),"Negative")</f>
        <v>Negative</v>
      </c>
      <c r="H251" s="264" t="str">
        <f>IFERROR(__xludf.DUMMYFUNCTION("""COMPUTED_VALUE"""),"Negative")</f>
        <v>Negative</v>
      </c>
      <c r="I251" s="263">
        <f>IFERROR(__xludf.DUMMYFUNCTION("""COMPUTED_VALUE"""),44585.0)</f>
        <v>44585</v>
      </c>
      <c r="J251" s="252">
        <f>IFERROR(__xludf.DUMMYFUNCTION("""COMPUTED_VALUE"""),0.4705902777777778)</f>
        <v>0.4705902778</v>
      </c>
      <c r="K251" s="56"/>
      <c r="L251" s="6"/>
      <c r="M251" s="61"/>
      <c r="N251" s="61">
        <f>IFERROR(__xludf.DUMMYFUNCTION("""COMPUTED_VALUE"""),1.0)</f>
        <v>1</v>
      </c>
      <c r="O251" s="61" t="b">
        <f t="shared" si="3"/>
        <v>1</v>
      </c>
      <c r="P251" s="253">
        <f>IFERROR(__xludf.DUMMYFUNCTION("""COMPUTED_VALUE"""),0.0)</f>
        <v>0</v>
      </c>
      <c r="Q251" s="254" t="b">
        <f>VLOOKUP($B251,'Run Reconcile'!B$2:O799,14,FALSE)</f>
        <v>1</v>
      </c>
      <c r="R251" s="255" t="str">
        <f t="array" ref="R251">IF($Q251, INDEX('Run Reconcile'!A$2:A799,MATCH(B251,'Run Reconcile'!B$2:B799,0),1),IFERROR(0/0,""))</f>
        <v>RUN-BEND_2022-01-24_RFR-019</v>
      </c>
      <c r="S251" s="261" t="str">
        <f t="shared" ref="S251:T251" si="509">IF(COUNTIF(W$2:W799, $A251) &gt; 0,TRUE,IFERROR(0/0,""))</f>
        <v/>
      </c>
      <c r="T251" s="261" t="str">
        <f t="shared" si="509"/>
        <v/>
      </c>
      <c r="U251" s="257" t="str">
        <f t="array" ref="U251">IF(ISBLANK($R251), INDEX('Run Reconcile'!A$2:A799, MATCH($B251, 'Run Reconcile'!B$2:B799, 0)+Z251, 1), IFERROR(0/0,""))
</f>
        <v/>
      </c>
      <c r="V251" s="258" t="str">
        <f t="shared" si="480"/>
        <v>RUN-BEND_2022-01-24_RFR-019</v>
      </c>
      <c r="Y251" s="130" t="str">
        <f t="shared" si="487"/>
        <v/>
      </c>
      <c r="Z251" s="49" t="str">
        <f t="shared" si="7"/>
        <v/>
      </c>
      <c r="AA251" s="49" t="str">
        <f t="shared" si="8"/>
        <v/>
      </c>
      <c r="AB251" s="49" t="str">
        <f t="shared" si="9"/>
        <v/>
      </c>
      <c r="AC251" s="20" t="str">
        <f t="shared" ref="AC251:AD251" si="510">IF(_xlfn.ISFORMULA(S251),IFERROR(0/0,""),TRUE)</f>
        <v/>
      </c>
      <c r="AD251" s="20" t="str">
        <f t="shared" si="510"/>
        <v/>
      </c>
      <c r="AE251" s="43"/>
      <c r="AF251" s="62" t="s">
        <v>46</v>
      </c>
      <c r="AG251" s="57" t="str">
        <f t="shared" si="11"/>
        <v/>
      </c>
    </row>
    <row r="252">
      <c r="A252" s="6" t="str">
        <f>IFERROR(__xludf.DUMMYFUNCTION("""COMPUTED_VALUE"""),"MA1065")</f>
        <v>MA1065</v>
      </c>
      <c r="B252" s="204">
        <f>IFERROR(__xludf.DUMMYFUNCTION("""COMPUTED_VALUE"""),44585.0)</f>
        <v>44585</v>
      </c>
      <c r="C252" s="250">
        <f>IFERROR(__xludf.DUMMYFUNCTION("""COMPUTED_VALUE"""),0.30181712962962964)</f>
        <v>0.3018171296</v>
      </c>
      <c r="D252" s="6" t="str">
        <f>IFERROR(__xludf.DUMMYFUNCTION("""COMPUTED_VALUE"""),"SpBEND551372")</f>
        <v>SpBEND551372</v>
      </c>
      <c r="E252" s="251"/>
      <c r="F252" s="251"/>
      <c r="G252" s="251" t="str">
        <f>IFERROR(__xludf.DUMMYFUNCTION("""COMPUTED_VALUE"""),"Negative")</f>
        <v>Negative</v>
      </c>
      <c r="H252" s="264" t="str">
        <f>IFERROR(__xludf.DUMMYFUNCTION("""COMPUTED_VALUE"""),"Negative")</f>
        <v>Negative</v>
      </c>
      <c r="I252" s="263">
        <f>IFERROR(__xludf.DUMMYFUNCTION("""COMPUTED_VALUE"""),44585.0)</f>
        <v>44585</v>
      </c>
      <c r="J252" s="252">
        <f>IFERROR(__xludf.DUMMYFUNCTION("""COMPUTED_VALUE"""),0.4705902777777778)</f>
        <v>0.4705902778</v>
      </c>
      <c r="K252" s="56"/>
      <c r="L252" s="6"/>
      <c r="M252" s="61"/>
      <c r="N252" s="61">
        <f>IFERROR(__xludf.DUMMYFUNCTION("""COMPUTED_VALUE"""),1.0)</f>
        <v>1</v>
      </c>
      <c r="O252" s="61" t="str">
        <f t="shared" si="3"/>
        <v/>
      </c>
      <c r="P252" s="253">
        <f>IFERROR(__xludf.DUMMYFUNCTION("""COMPUTED_VALUE"""),0.0)</f>
        <v>0</v>
      </c>
      <c r="Q252" s="254" t="b">
        <f>VLOOKUP($B252,'Run Reconcile'!B$2:O799,14,FALSE)</f>
        <v>1</v>
      </c>
      <c r="R252" s="255" t="str">
        <f t="array" ref="R252">IF($Q252, INDEX('Run Reconcile'!A$2:A799,MATCH(B252,'Run Reconcile'!B$2:B799,0),1),IFERROR(0/0,""))</f>
        <v>RUN-BEND_2022-01-24_RFR-019</v>
      </c>
      <c r="S252" s="261" t="str">
        <f t="shared" ref="S252:T252" si="511">IF(COUNTIF(W$2:W799, $A252) &gt; 0,TRUE,IFERROR(0/0,""))</f>
        <v/>
      </c>
      <c r="T252" s="261" t="str">
        <f t="shared" si="511"/>
        <v/>
      </c>
      <c r="U252" s="257" t="str">
        <f t="array" ref="U252">IF(ISBLANK($R252), INDEX('Run Reconcile'!A$2:A799, MATCH($B252, 'Run Reconcile'!B$2:B799, 0)+Z252, 1), IFERROR(0/0,""))
</f>
        <v/>
      </c>
      <c r="V252" s="258" t="str">
        <f t="shared" si="480"/>
        <v>RUN-BEND_2022-01-24_RFR-019</v>
      </c>
      <c r="Y252" s="130" t="str">
        <f t="shared" si="487"/>
        <v/>
      </c>
      <c r="Z252" s="49" t="str">
        <f t="shared" si="7"/>
        <v/>
      </c>
      <c r="AA252" s="49" t="str">
        <f t="shared" si="8"/>
        <v/>
      </c>
      <c r="AB252" s="49" t="str">
        <f t="shared" si="9"/>
        <v/>
      </c>
      <c r="AC252" s="20" t="str">
        <f t="shared" ref="AC252:AD252" si="512">IF(_xlfn.ISFORMULA(S252),IFERROR(0/0,""),TRUE)</f>
        <v/>
      </c>
      <c r="AD252" s="20" t="str">
        <f t="shared" si="512"/>
        <v/>
      </c>
      <c r="AE252" s="43"/>
      <c r="AF252" s="62" t="s">
        <v>46</v>
      </c>
      <c r="AG252" s="57" t="str">
        <f t="shared" si="11"/>
        <v/>
      </c>
    </row>
    <row r="253">
      <c r="A253" s="6" t="str">
        <f>IFERROR(__xludf.DUMMYFUNCTION("""COMPUTED_VALUE"""),"MA1068")</f>
        <v>MA1068</v>
      </c>
      <c r="B253" s="204">
        <f>IFERROR(__xludf.DUMMYFUNCTION("""COMPUTED_VALUE"""),44585.0)</f>
        <v>44585</v>
      </c>
      <c r="C253" s="250">
        <f>IFERROR(__xludf.DUMMYFUNCTION("""COMPUTED_VALUE"""),0.3030555555555556)</f>
        <v>0.3030555556</v>
      </c>
      <c r="D253" s="6" t="str">
        <f>IFERROR(__xludf.DUMMYFUNCTION("""COMPUTED_VALUE"""),"SpBEND652059")</f>
        <v>SpBEND652059</v>
      </c>
      <c r="E253" s="251"/>
      <c r="F253" s="251"/>
      <c r="G253" s="251" t="str">
        <f>IFERROR(__xludf.DUMMYFUNCTION("""COMPUTED_VALUE"""),"Positive")</f>
        <v>Positive</v>
      </c>
      <c r="H253" s="264" t="str">
        <f>IFERROR(__xludf.DUMMYFUNCTION("""COMPUTED_VALUE"""),"Positive")</f>
        <v>Positive</v>
      </c>
      <c r="I253" s="263">
        <f>IFERROR(__xludf.DUMMYFUNCTION("""COMPUTED_VALUE"""),44587.0)</f>
        <v>44587</v>
      </c>
      <c r="J253" s="252">
        <f>IFERROR(__xludf.DUMMYFUNCTION("""COMPUTED_VALUE"""),0.5008796296296296)</f>
        <v>0.5008796296</v>
      </c>
      <c r="K253" s="56"/>
      <c r="L253" s="6"/>
      <c r="M253" s="61"/>
      <c r="N253" s="61">
        <f>IFERROR(__xludf.DUMMYFUNCTION("""COMPUTED_VALUE"""),1.0)</f>
        <v>1</v>
      </c>
      <c r="O253" s="61" t="str">
        <f t="shared" si="3"/>
        <v/>
      </c>
      <c r="P253" s="253">
        <f>IFERROR(__xludf.DUMMYFUNCTION("""COMPUTED_VALUE"""),2.0)</f>
        <v>2</v>
      </c>
      <c r="Q253" s="254" t="b">
        <f>VLOOKUP($B253,'Run Reconcile'!B$2:O799,14,FALSE)</f>
        <v>1</v>
      </c>
      <c r="R253" s="255" t="str">
        <f t="array" ref="R253">IF($Q253, INDEX('Run Reconcile'!A$2:A799,MATCH(B253,'Run Reconcile'!B$2:B799,0),1),IFERROR(0/0,""))</f>
        <v>RUN-BEND_2022-01-24_RFR-019</v>
      </c>
      <c r="S253" s="261" t="str">
        <f t="shared" ref="S253:T253" si="513">IF(COUNTIF(W$2:W799, $A253) &gt; 0,TRUE,IFERROR(0/0,""))</f>
        <v/>
      </c>
      <c r="T253" s="261" t="str">
        <f t="shared" si="513"/>
        <v/>
      </c>
      <c r="U253" s="257" t="str">
        <f t="array" ref="U253">IF(ISBLANK($R253), INDEX('Run Reconcile'!A$2:A799, MATCH($B253, 'Run Reconcile'!B$2:B799, 0)+Z253, 1), IFERROR(0/0,""))
</f>
        <v/>
      </c>
      <c r="V253" s="258" t="str">
        <f t="shared" si="480"/>
        <v>RUN-BEND_2022-01-24_RFR-019</v>
      </c>
      <c r="Y253" s="130" t="str">
        <f t="shared" si="487"/>
        <v/>
      </c>
      <c r="Z253" s="49" t="str">
        <f t="shared" si="7"/>
        <v/>
      </c>
      <c r="AA253" s="49" t="str">
        <f t="shared" si="8"/>
        <v/>
      </c>
      <c r="AB253" s="49" t="str">
        <f t="shared" si="9"/>
        <v/>
      </c>
      <c r="AC253" s="20" t="str">
        <f t="shared" ref="AC253:AD253" si="514">IF(_xlfn.ISFORMULA(S253),IFERROR(0/0,""),TRUE)</f>
        <v/>
      </c>
      <c r="AD253" s="20" t="str">
        <f t="shared" si="514"/>
        <v/>
      </c>
      <c r="AE253" s="43"/>
      <c r="AF253" s="62" t="s">
        <v>46</v>
      </c>
      <c r="AG253" s="57" t="str">
        <f t="shared" si="11"/>
        <v/>
      </c>
    </row>
    <row r="254">
      <c r="A254" s="6" t="str">
        <f>IFERROR(__xludf.DUMMYFUNCTION("""COMPUTED_VALUE"""),"MA221")</f>
        <v>MA221</v>
      </c>
      <c r="B254" s="204">
        <f>IFERROR(__xludf.DUMMYFUNCTION("""COMPUTED_VALUE"""),44585.0)</f>
        <v>44585</v>
      </c>
      <c r="C254" s="250">
        <f>IFERROR(__xludf.DUMMYFUNCTION("""COMPUTED_VALUE"""),0.3088310185185185)</f>
        <v>0.3088310185</v>
      </c>
      <c r="D254" s="6" t="str">
        <f>IFERROR(__xludf.DUMMYFUNCTION("""COMPUTED_VALUE"""),"SpBEND953422")</f>
        <v>SpBEND953422</v>
      </c>
      <c r="E254" s="251"/>
      <c r="F254" s="251"/>
      <c r="G254" s="251" t="str">
        <f>IFERROR(__xludf.DUMMYFUNCTION("""COMPUTED_VALUE"""),"Negative")</f>
        <v>Negative</v>
      </c>
      <c r="H254" s="262" t="str">
        <f>IFERROR(__xludf.DUMMYFUNCTION("""COMPUTED_VALUE"""),"Negative")</f>
        <v>Negative</v>
      </c>
      <c r="I254" s="204">
        <f>IFERROR(__xludf.DUMMYFUNCTION("""COMPUTED_VALUE"""),44585.0)</f>
        <v>44585</v>
      </c>
      <c r="J254" s="252">
        <f>IFERROR(__xludf.DUMMYFUNCTION("""COMPUTED_VALUE"""),0.46827546296296296)</f>
        <v>0.468275463</v>
      </c>
      <c r="K254" s="56"/>
      <c r="L254" s="6"/>
      <c r="M254" s="61"/>
      <c r="N254" s="61">
        <f>IFERROR(__xludf.DUMMYFUNCTION("""COMPUTED_VALUE"""),1.0)</f>
        <v>1</v>
      </c>
      <c r="O254" s="61" t="str">
        <f t="shared" si="3"/>
        <v/>
      </c>
      <c r="P254" s="253">
        <f>IFERROR(__xludf.DUMMYFUNCTION("""COMPUTED_VALUE"""),0.0)</f>
        <v>0</v>
      </c>
      <c r="Q254" s="254" t="b">
        <f>VLOOKUP($B254,'Run Reconcile'!B$2:O799,14,FALSE)</f>
        <v>1</v>
      </c>
      <c r="R254" s="255" t="str">
        <f t="array" ref="R254">IF($Q254, INDEX('Run Reconcile'!A$2:A799,MATCH(B254,'Run Reconcile'!B$2:B799,0),1),IFERROR(0/0,""))</f>
        <v>RUN-BEND_2022-01-24_RFR-019</v>
      </c>
      <c r="S254" s="261" t="str">
        <f t="shared" ref="S254:T254" si="515">IF(COUNTIF(W$2:W799, $A254) &gt; 0,TRUE,IFERROR(0/0,""))</f>
        <v/>
      </c>
      <c r="T254" s="261" t="str">
        <f t="shared" si="515"/>
        <v/>
      </c>
      <c r="U254" s="257" t="str">
        <f t="array" ref="U254">IF(ISBLANK($R254), INDEX('Run Reconcile'!A$2:A799, MATCH($B254, 'Run Reconcile'!B$2:B799, 0)+Z254, 1), IFERROR(0/0,""))
</f>
        <v/>
      </c>
      <c r="V254" s="258" t="str">
        <f t="shared" si="480"/>
        <v>RUN-BEND_2022-01-24_RFR-019</v>
      </c>
      <c r="Y254" s="130" t="str">
        <f t="shared" si="487"/>
        <v/>
      </c>
      <c r="Z254" s="49" t="str">
        <f t="shared" si="7"/>
        <v/>
      </c>
      <c r="AA254" s="49" t="str">
        <f t="shared" si="8"/>
        <v/>
      </c>
      <c r="AB254" s="49" t="str">
        <f t="shared" si="9"/>
        <v/>
      </c>
      <c r="AC254" s="20" t="str">
        <f t="shared" ref="AC254:AD254" si="516">IF(_xlfn.ISFORMULA(S254),IFERROR(0/0,""),TRUE)</f>
        <v/>
      </c>
      <c r="AD254" s="20" t="str">
        <f t="shared" si="516"/>
        <v/>
      </c>
      <c r="AE254" s="43"/>
      <c r="AF254" s="62" t="s">
        <v>46</v>
      </c>
      <c r="AG254" s="57" t="str">
        <f t="shared" si="11"/>
        <v/>
      </c>
    </row>
    <row r="255">
      <c r="A255" s="6" t="str">
        <f>IFERROR(__xludf.DUMMYFUNCTION("""COMPUTED_VALUE"""),"MA377")</f>
        <v>MA377</v>
      </c>
      <c r="B255" s="204">
        <f>IFERROR(__xludf.DUMMYFUNCTION("""COMPUTED_VALUE"""),44585.0)</f>
        <v>44585</v>
      </c>
      <c r="C255" s="250">
        <f>IFERROR(__xludf.DUMMYFUNCTION("""COMPUTED_VALUE"""),0.3161921296296296)</f>
        <v>0.3161921296</v>
      </c>
      <c r="D255" s="6" t="str">
        <f>IFERROR(__xludf.DUMMYFUNCTION("""COMPUTED_VALUE"""),"SpBEND492052")</f>
        <v>SpBEND492052</v>
      </c>
      <c r="E255" s="251"/>
      <c r="F255" s="251"/>
      <c r="G255" s="251" t="str">
        <f>IFERROR(__xludf.DUMMYFUNCTION("""COMPUTED_VALUE"""),"Negative")</f>
        <v>Negative</v>
      </c>
      <c r="H255" s="262" t="str">
        <f>IFERROR(__xludf.DUMMYFUNCTION("""COMPUTED_VALUE"""),"Negative")</f>
        <v>Negative</v>
      </c>
      <c r="I255" s="204">
        <f>IFERROR(__xludf.DUMMYFUNCTION("""COMPUTED_VALUE"""),44585.0)</f>
        <v>44585</v>
      </c>
      <c r="J255" s="252">
        <f>IFERROR(__xludf.DUMMYFUNCTION("""COMPUTED_VALUE"""),0.46827546296296296)</f>
        <v>0.468275463</v>
      </c>
      <c r="K255" s="56"/>
      <c r="L255" s="6"/>
      <c r="M255" s="61"/>
      <c r="N255" s="61">
        <f>IFERROR(__xludf.DUMMYFUNCTION("""COMPUTED_VALUE"""),1.0)</f>
        <v>1</v>
      </c>
      <c r="O255" s="61" t="str">
        <f t="shared" si="3"/>
        <v/>
      </c>
      <c r="P255" s="253">
        <f>IFERROR(__xludf.DUMMYFUNCTION("""COMPUTED_VALUE"""),0.0)</f>
        <v>0</v>
      </c>
      <c r="Q255" s="254" t="b">
        <f>VLOOKUP($B255,'Run Reconcile'!B$2:O799,14,FALSE)</f>
        <v>1</v>
      </c>
      <c r="R255" s="255" t="str">
        <f t="array" ref="R255">IF($Q255, INDEX('Run Reconcile'!A$2:A799,MATCH(B255,'Run Reconcile'!B$2:B799,0),1),IFERROR(0/0,""))</f>
        <v>RUN-BEND_2022-01-24_RFR-019</v>
      </c>
      <c r="S255" s="261" t="str">
        <f t="shared" ref="S255:T255" si="517">IF(COUNTIF(W$2:W799, $A255) &gt; 0,TRUE,IFERROR(0/0,""))</f>
        <v/>
      </c>
      <c r="T255" s="261" t="str">
        <f t="shared" si="517"/>
        <v/>
      </c>
      <c r="U255" s="257" t="str">
        <f t="array" ref="U255">IF(ISBLANK($R255), INDEX('Run Reconcile'!A$2:A799, MATCH($B255, 'Run Reconcile'!B$2:B799, 0)+Z255, 1), IFERROR(0/0,""))
</f>
        <v/>
      </c>
      <c r="V255" s="258" t="str">
        <f t="shared" si="480"/>
        <v>RUN-BEND_2022-01-24_RFR-019</v>
      </c>
      <c r="Y255" s="130" t="str">
        <f t="shared" si="487"/>
        <v/>
      </c>
      <c r="Z255" s="49" t="str">
        <f t="shared" si="7"/>
        <v/>
      </c>
      <c r="AA255" s="49" t="str">
        <f t="shared" si="8"/>
        <v/>
      </c>
      <c r="AB255" s="49" t="str">
        <f t="shared" si="9"/>
        <v/>
      </c>
      <c r="AC255" s="20" t="str">
        <f t="shared" ref="AC255:AD255" si="518">IF(_xlfn.ISFORMULA(S255),IFERROR(0/0,""),TRUE)</f>
        <v/>
      </c>
      <c r="AD255" s="20" t="str">
        <f t="shared" si="518"/>
        <v/>
      </c>
      <c r="AE255" s="43"/>
      <c r="AF255" s="62" t="s">
        <v>46</v>
      </c>
      <c r="AG255" s="57" t="str">
        <f t="shared" si="11"/>
        <v/>
      </c>
    </row>
    <row r="256">
      <c r="A256" s="6" t="str">
        <f>IFERROR(__xludf.DUMMYFUNCTION("""COMPUTED_VALUE"""),"MA449")</f>
        <v>MA449</v>
      </c>
      <c r="B256" s="204">
        <f>IFERROR(__xludf.DUMMYFUNCTION("""COMPUTED_VALUE"""),44585.0)</f>
        <v>44585</v>
      </c>
      <c r="C256" s="250">
        <f>IFERROR(__xludf.DUMMYFUNCTION("""COMPUTED_VALUE"""),0.31993055555555555)</f>
        <v>0.3199305556</v>
      </c>
      <c r="D256" s="6" t="str">
        <f>IFERROR(__xludf.DUMMYFUNCTION("""COMPUTED_VALUE"""),"SpBEND349435")</f>
        <v>SpBEND349435</v>
      </c>
      <c r="E256" s="251"/>
      <c r="F256" s="251"/>
      <c r="G256" s="251" t="str">
        <f>IFERROR(__xludf.DUMMYFUNCTION("""COMPUTED_VALUE"""),"Negative")</f>
        <v>Negative</v>
      </c>
      <c r="H256" s="262" t="str">
        <f>IFERROR(__xludf.DUMMYFUNCTION("""COMPUTED_VALUE"""),"Negative")</f>
        <v>Negative</v>
      </c>
      <c r="I256" s="204">
        <f>IFERROR(__xludf.DUMMYFUNCTION("""COMPUTED_VALUE"""),44585.0)</f>
        <v>44585</v>
      </c>
      <c r="J256" s="252">
        <f>IFERROR(__xludf.DUMMYFUNCTION("""COMPUTED_VALUE"""),0.4705902777777778)</f>
        <v>0.4705902778</v>
      </c>
      <c r="K256" s="56"/>
      <c r="L256" s="6"/>
      <c r="M256" s="61"/>
      <c r="N256" s="61">
        <f>IFERROR(__xludf.DUMMYFUNCTION("""COMPUTED_VALUE"""),1.0)</f>
        <v>1</v>
      </c>
      <c r="O256" s="61" t="str">
        <f t="shared" si="3"/>
        <v/>
      </c>
      <c r="P256" s="253">
        <f>IFERROR(__xludf.DUMMYFUNCTION("""COMPUTED_VALUE"""),0.0)</f>
        <v>0</v>
      </c>
      <c r="Q256" s="254" t="b">
        <f>VLOOKUP($B256,'Run Reconcile'!B$2:O799,14,FALSE)</f>
        <v>1</v>
      </c>
      <c r="R256" s="255" t="str">
        <f t="array" ref="R256">IF($Q256, INDEX('Run Reconcile'!A$2:A799,MATCH(B256,'Run Reconcile'!B$2:B799,0),1),IFERROR(0/0,""))</f>
        <v>RUN-BEND_2022-01-24_RFR-019</v>
      </c>
      <c r="S256" s="261" t="str">
        <f t="shared" ref="S256:T256" si="519">IF(COUNTIF(W$2:W799, $A256) &gt; 0,TRUE,IFERROR(0/0,""))</f>
        <v/>
      </c>
      <c r="T256" s="261" t="str">
        <f t="shared" si="519"/>
        <v/>
      </c>
      <c r="U256" s="257" t="str">
        <f t="array" ref="U256">IF(ISBLANK($R256), INDEX('Run Reconcile'!A$2:A799, MATCH($B256, 'Run Reconcile'!B$2:B799, 0)+Z256, 1), IFERROR(0/0,""))
</f>
        <v/>
      </c>
      <c r="V256" s="258" t="str">
        <f t="shared" si="480"/>
        <v>RUN-BEND_2022-01-24_RFR-019</v>
      </c>
      <c r="Y256" s="130" t="str">
        <f t="shared" si="487"/>
        <v/>
      </c>
      <c r="Z256" s="49" t="str">
        <f t="shared" si="7"/>
        <v/>
      </c>
      <c r="AA256" s="49" t="str">
        <f t="shared" si="8"/>
        <v/>
      </c>
      <c r="AB256" s="49" t="str">
        <f t="shared" si="9"/>
        <v/>
      </c>
      <c r="AC256" s="20" t="str">
        <f t="shared" ref="AC256:AD256" si="520">IF(_xlfn.ISFORMULA(S256),IFERROR(0/0,""),TRUE)</f>
        <v/>
      </c>
      <c r="AD256" s="20" t="str">
        <f t="shared" si="520"/>
        <v/>
      </c>
      <c r="AE256" s="43"/>
      <c r="AF256" s="62" t="s">
        <v>46</v>
      </c>
      <c r="AG256" s="57" t="str">
        <f t="shared" si="11"/>
        <v/>
      </c>
    </row>
    <row r="257">
      <c r="A257" s="6" t="str">
        <f>IFERROR(__xludf.DUMMYFUNCTION("""COMPUTED_VALUE"""),"MA1061")</f>
        <v>MA1061</v>
      </c>
      <c r="B257" s="204">
        <f>IFERROR(__xludf.DUMMYFUNCTION("""COMPUTED_VALUE"""),44585.0)</f>
        <v>44585</v>
      </c>
      <c r="C257" s="250">
        <f>IFERROR(__xludf.DUMMYFUNCTION("""COMPUTED_VALUE"""),0.3261689814814815)</f>
        <v>0.3261689815</v>
      </c>
      <c r="D257" s="6" t="str">
        <f>IFERROR(__xludf.DUMMYFUNCTION("""COMPUTED_VALUE"""),"SpBEND825522")</f>
        <v>SpBEND825522</v>
      </c>
      <c r="E257" s="251"/>
      <c r="F257" s="251"/>
      <c r="G257" s="251" t="str">
        <f>IFERROR(__xludf.DUMMYFUNCTION("""COMPUTED_VALUE"""),"Negative")</f>
        <v>Negative</v>
      </c>
      <c r="H257" s="262" t="str">
        <f>IFERROR(__xludf.DUMMYFUNCTION("""COMPUTED_VALUE"""),"Negative")</f>
        <v>Negative</v>
      </c>
      <c r="I257" s="204">
        <f>IFERROR(__xludf.DUMMYFUNCTION("""COMPUTED_VALUE"""),44585.0)</f>
        <v>44585</v>
      </c>
      <c r="J257" s="252">
        <f>IFERROR(__xludf.DUMMYFUNCTION("""COMPUTED_VALUE"""),0.4705902777777778)</f>
        <v>0.4705902778</v>
      </c>
      <c r="K257" s="56"/>
      <c r="L257" s="6"/>
      <c r="M257" s="61"/>
      <c r="N257" s="61">
        <f>IFERROR(__xludf.DUMMYFUNCTION("""COMPUTED_VALUE"""),1.0)</f>
        <v>1</v>
      </c>
      <c r="O257" s="61" t="str">
        <f t="shared" si="3"/>
        <v/>
      </c>
      <c r="P257" s="253">
        <f>IFERROR(__xludf.DUMMYFUNCTION("""COMPUTED_VALUE"""),0.0)</f>
        <v>0</v>
      </c>
      <c r="Q257" s="254" t="b">
        <f>VLOOKUP($B257,'Run Reconcile'!B$2:O799,14,FALSE)</f>
        <v>1</v>
      </c>
      <c r="R257" s="255" t="str">
        <f t="array" ref="R257">IF($Q257, INDEX('Run Reconcile'!A$2:A799,MATCH(B257,'Run Reconcile'!B$2:B799,0),1),IFERROR(0/0,""))</f>
        <v>RUN-BEND_2022-01-24_RFR-019</v>
      </c>
      <c r="S257" s="261" t="str">
        <f t="shared" ref="S257:T257" si="521">IF(COUNTIF(W$2:W799, $A257) &gt; 0,TRUE,IFERROR(0/0,""))</f>
        <v/>
      </c>
      <c r="T257" s="261" t="str">
        <f t="shared" si="521"/>
        <v/>
      </c>
      <c r="U257" s="257" t="str">
        <f t="array" ref="U257">IF(ISBLANK($R257), INDEX('Run Reconcile'!A$2:A799, MATCH($B257, 'Run Reconcile'!B$2:B799, 0)+Z257, 1), IFERROR(0/0,""))
</f>
        <v/>
      </c>
      <c r="V257" s="258" t="str">
        <f t="shared" si="480"/>
        <v>RUN-BEND_2022-01-24_RFR-019</v>
      </c>
      <c r="Y257" s="130" t="str">
        <f t="shared" si="487"/>
        <v/>
      </c>
      <c r="Z257" s="49" t="str">
        <f t="shared" si="7"/>
        <v/>
      </c>
      <c r="AA257" s="49" t="str">
        <f t="shared" si="8"/>
        <v/>
      </c>
      <c r="AB257" s="49" t="str">
        <f t="shared" si="9"/>
        <v/>
      </c>
      <c r="AC257" s="20" t="str">
        <f t="shared" ref="AC257:AD257" si="522">IF(_xlfn.ISFORMULA(S257),IFERROR(0/0,""),TRUE)</f>
        <v/>
      </c>
      <c r="AD257" s="20" t="str">
        <f t="shared" si="522"/>
        <v/>
      </c>
      <c r="AE257" s="43"/>
      <c r="AF257" s="62" t="s">
        <v>46</v>
      </c>
      <c r="AG257" s="57" t="str">
        <f t="shared" si="11"/>
        <v/>
      </c>
    </row>
    <row r="258">
      <c r="A258" s="6" t="str">
        <f>IFERROR(__xludf.DUMMYFUNCTION("""COMPUTED_VALUE"""),"MA1178")</f>
        <v>MA1178</v>
      </c>
      <c r="B258" s="204">
        <f>IFERROR(__xludf.DUMMYFUNCTION("""COMPUTED_VALUE"""),44585.0)</f>
        <v>44585</v>
      </c>
      <c r="C258" s="250">
        <f>IFERROR(__xludf.DUMMYFUNCTION("""COMPUTED_VALUE"""),0.32657407407407407)</f>
        <v>0.3265740741</v>
      </c>
      <c r="D258" s="6" t="str">
        <f>IFERROR(__xludf.DUMMYFUNCTION("""COMPUTED_VALUE"""),"SpBEND643855")</f>
        <v>SpBEND643855</v>
      </c>
      <c r="E258" s="251"/>
      <c r="F258" s="251"/>
      <c r="G258" s="251" t="str">
        <f>IFERROR(__xludf.DUMMYFUNCTION("""COMPUTED_VALUE"""),"Negative")</f>
        <v>Negative</v>
      </c>
      <c r="H258" s="262" t="str">
        <f>IFERROR(__xludf.DUMMYFUNCTION("""COMPUTED_VALUE"""),"Negative")</f>
        <v>Negative</v>
      </c>
      <c r="I258" s="204">
        <f>IFERROR(__xludf.DUMMYFUNCTION("""COMPUTED_VALUE"""),44585.0)</f>
        <v>44585</v>
      </c>
      <c r="J258" s="252">
        <f>IFERROR(__xludf.DUMMYFUNCTION("""COMPUTED_VALUE"""),0.4705902777777778)</f>
        <v>0.4705902778</v>
      </c>
      <c r="K258" s="56"/>
      <c r="L258" s="6"/>
      <c r="M258" s="61"/>
      <c r="N258" s="61">
        <f>IFERROR(__xludf.DUMMYFUNCTION("""COMPUTED_VALUE"""),1.0)</f>
        <v>1</v>
      </c>
      <c r="O258" s="61" t="str">
        <f t="shared" si="3"/>
        <v/>
      </c>
      <c r="P258" s="253">
        <f>IFERROR(__xludf.DUMMYFUNCTION("""COMPUTED_VALUE"""),0.0)</f>
        <v>0</v>
      </c>
      <c r="Q258" s="254" t="b">
        <f>VLOOKUP($B258,'Run Reconcile'!B$2:O799,14,FALSE)</f>
        <v>1</v>
      </c>
      <c r="R258" s="255" t="str">
        <f t="array" ref="R258">IF($Q258, INDEX('Run Reconcile'!A$2:A799,MATCH(B258,'Run Reconcile'!B$2:B799,0),1),IFERROR(0/0,""))</f>
        <v>RUN-BEND_2022-01-24_RFR-019</v>
      </c>
      <c r="S258" s="261" t="str">
        <f t="shared" ref="S258:T258" si="523">IF(COUNTIF(W$2:W799, $A258) &gt; 0,TRUE,IFERROR(0/0,""))</f>
        <v/>
      </c>
      <c r="T258" s="261" t="str">
        <f t="shared" si="523"/>
        <v/>
      </c>
      <c r="U258" s="257" t="str">
        <f t="array" ref="U258">IF(ISBLANK($R258), INDEX('Run Reconcile'!A$2:A799, MATCH($B258, 'Run Reconcile'!B$2:B799, 0)+Z258, 1), IFERROR(0/0,""))
</f>
        <v/>
      </c>
      <c r="V258" s="258" t="str">
        <f t="shared" si="480"/>
        <v>RUN-BEND_2022-01-24_RFR-019</v>
      </c>
      <c r="Y258" s="130" t="str">
        <f t="shared" si="487"/>
        <v/>
      </c>
      <c r="Z258" s="49" t="str">
        <f t="shared" si="7"/>
        <v/>
      </c>
      <c r="AA258" s="49" t="str">
        <f t="shared" si="8"/>
        <v/>
      </c>
      <c r="AB258" s="49" t="str">
        <f t="shared" si="9"/>
        <v/>
      </c>
      <c r="AC258" s="20" t="str">
        <f t="shared" ref="AC258:AD258" si="524">IF(_xlfn.ISFORMULA(S258),IFERROR(0/0,""),TRUE)</f>
        <v/>
      </c>
      <c r="AD258" s="20" t="str">
        <f t="shared" si="524"/>
        <v/>
      </c>
      <c r="AE258" s="43"/>
      <c r="AF258" s="62" t="s">
        <v>46</v>
      </c>
      <c r="AG258" s="57" t="str">
        <f t="shared" si="11"/>
        <v/>
      </c>
    </row>
    <row r="259">
      <c r="A259" s="6" t="str">
        <f>IFERROR(__xludf.DUMMYFUNCTION("""COMPUTED_VALUE"""),"MA574")</f>
        <v>MA574</v>
      </c>
      <c r="B259" s="204">
        <f>IFERROR(__xludf.DUMMYFUNCTION("""COMPUTED_VALUE"""),44585.0)</f>
        <v>44585</v>
      </c>
      <c r="C259" s="250">
        <f>IFERROR(__xludf.DUMMYFUNCTION("""COMPUTED_VALUE"""),0.33229166666666665)</f>
        <v>0.3322916667</v>
      </c>
      <c r="D259" s="6" t="str">
        <f>IFERROR(__xludf.DUMMYFUNCTION("""COMPUTED_VALUE"""),"SpBEND214692")</f>
        <v>SpBEND214692</v>
      </c>
      <c r="E259" s="251"/>
      <c r="F259" s="251"/>
      <c r="G259" s="251" t="str">
        <f>IFERROR(__xludf.DUMMYFUNCTION("""COMPUTED_VALUE"""),"Negative")</f>
        <v>Negative</v>
      </c>
      <c r="H259" s="262" t="str">
        <f>IFERROR(__xludf.DUMMYFUNCTION("""COMPUTED_VALUE"""),"Negative")</f>
        <v>Negative</v>
      </c>
      <c r="I259" s="204">
        <f>IFERROR(__xludf.DUMMYFUNCTION("""COMPUTED_VALUE"""),44585.0)</f>
        <v>44585</v>
      </c>
      <c r="J259" s="252">
        <f>IFERROR(__xludf.DUMMYFUNCTION("""COMPUTED_VALUE"""),0.4705902777777778)</f>
        <v>0.4705902778</v>
      </c>
      <c r="K259" s="56"/>
      <c r="L259" s="6"/>
      <c r="M259" s="61"/>
      <c r="N259" s="61">
        <f>IFERROR(__xludf.DUMMYFUNCTION("""COMPUTED_VALUE"""),1.0)</f>
        <v>1</v>
      </c>
      <c r="O259" s="61" t="str">
        <f t="shared" si="3"/>
        <v/>
      </c>
      <c r="P259" s="253">
        <f>IFERROR(__xludf.DUMMYFUNCTION("""COMPUTED_VALUE"""),0.0)</f>
        <v>0</v>
      </c>
      <c r="Q259" s="254" t="b">
        <f>VLOOKUP($B259,'Run Reconcile'!B$2:O799,14,FALSE)</f>
        <v>1</v>
      </c>
      <c r="R259" s="255" t="str">
        <f t="array" ref="R259">IF($Q259, INDEX('Run Reconcile'!A$2:A799,MATCH(B259,'Run Reconcile'!B$2:B799,0),1),IFERROR(0/0,""))</f>
        <v>RUN-BEND_2022-01-24_RFR-019</v>
      </c>
      <c r="S259" s="261" t="str">
        <f t="shared" ref="S259:T259" si="525">IF(COUNTIF(W$2:W799, $A259) &gt; 0,TRUE,IFERROR(0/0,""))</f>
        <v/>
      </c>
      <c r="T259" s="261" t="str">
        <f t="shared" si="525"/>
        <v/>
      </c>
      <c r="U259" s="257" t="str">
        <f t="array" ref="U259">IF(ISBLANK($R259), INDEX('Run Reconcile'!A$2:A799, MATCH($B259, 'Run Reconcile'!B$2:B799, 0)+Z259, 1), IFERROR(0/0,""))
</f>
        <v/>
      </c>
      <c r="V259" s="258" t="str">
        <f t="shared" si="480"/>
        <v>RUN-BEND_2022-01-24_RFR-019</v>
      </c>
      <c r="Y259" s="130" t="str">
        <f t="shared" si="487"/>
        <v/>
      </c>
      <c r="Z259" s="49" t="str">
        <f t="shared" si="7"/>
        <v/>
      </c>
      <c r="AA259" s="49" t="str">
        <f t="shared" si="8"/>
        <v/>
      </c>
      <c r="AB259" s="49" t="str">
        <f t="shared" si="9"/>
        <v/>
      </c>
      <c r="AC259" s="20" t="str">
        <f t="shared" ref="AC259:AD259" si="526">IF(_xlfn.ISFORMULA(S259),IFERROR(0/0,""),TRUE)</f>
        <v/>
      </c>
      <c r="AD259" s="20" t="str">
        <f t="shared" si="526"/>
        <v/>
      </c>
      <c r="AE259" s="43"/>
      <c r="AF259" s="62" t="s">
        <v>46</v>
      </c>
      <c r="AG259" s="57" t="str">
        <f t="shared" si="11"/>
        <v/>
      </c>
    </row>
    <row r="260">
      <c r="A260" s="6" t="str">
        <f>IFERROR(__xludf.DUMMYFUNCTION("""COMPUTED_VALUE"""),"MA1180")</f>
        <v>MA1180</v>
      </c>
      <c r="B260" s="204">
        <f>IFERROR(__xludf.DUMMYFUNCTION("""COMPUTED_VALUE"""),44585.0)</f>
        <v>44585</v>
      </c>
      <c r="C260" s="250">
        <f>IFERROR(__xludf.DUMMYFUNCTION("""COMPUTED_VALUE"""),0.33292824074074073)</f>
        <v>0.3329282407</v>
      </c>
      <c r="D260" s="6" t="str">
        <f>IFERROR(__xludf.DUMMYFUNCTION("""COMPUTED_VALUE"""),"SpBEND541174")</f>
        <v>SpBEND541174</v>
      </c>
      <c r="E260" s="251"/>
      <c r="F260" s="251"/>
      <c r="G260" s="251" t="str">
        <f>IFERROR(__xludf.DUMMYFUNCTION("""COMPUTED_VALUE"""),"Negative")</f>
        <v>Negative</v>
      </c>
      <c r="H260" s="262" t="str">
        <f>IFERROR(__xludf.DUMMYFUNCTION("""COMPUTED_VALUE"""),"Negative")</f>
        <v>Negative</v>
      </c>
      <c r="I260" s="204">
        <f>IFERROR(__xludf.DUMMYFUNCTION("""COMPUTED_VALUE"""),44585.0)</f>
        <v>44585</v>
      </c>
      <c r="J260" s="252">
        <f>IFERROR(__xludf.DUMMYFUNCTION("""COMPUTED_VALUE"""),0.4705902777777778)</f>
        <v>0.4705902778</v>
      </c>
      <c r="K260" s="56"/>
      <c r="L260" s="6"/>
      <c r="M260" s="61"/>
      <c r="N260" s="61">
        <f>IFERROR(__xludf.DUMMYFUNCTION("""COMPUTED_VALUE"""),1.0)</f>
        <v>1</v>
      </c>
      <c r="O260" s="61" t="str">
        <f t="shared" si="3"/>
        <v/>
      </c>
      <c r="P260" s="253">
        <f>IFERROR(__xludf.DUMMYFUNCTION("""COMPUTED_VALUE"""),0.0)</f>
        <v>0</v>
      </c>
      <c r="Q260" s="254" t="b">
        <f>VLOOKUP($B260,'Run Reconcile'!B$2:O799,14,FALSE)</f>
        <v>1</v>
      </c>
      <c r="R260" s="255" t="str">
        <f t="array" ref="R260">IF($Q260, INDEX('Run Reconcile'!A$2:A799,MATCH(B260,'Run Reconcile'!B$2:B799,0),1),IFERROR(0/0,""))</f>
        <v>RUN-BEND_2022-01-24_RFR-019</v>
      </c>
      <c r="S260" s="261" t="str">
        <f t="shared" ref="S260:T260" si="527">IF(COUNTIF(W$2:W799, $A260) &gt; 0,TRUE,IFERROR(0/0,""))</f>
        <v/>
      </c>
      <c r="T260" s="261" t="str">
        <f t="shared" si="527"/>
        <v/>
      </c>
      <c r="U260" s="257" t="str">
        <f t="array" ref="U260">IF(ISBLANK($R260), INDEX('Run Reconcile'!A$2:A799, MATCH($B260, 'Run Reconcile'!B$2:B799, 0)+Z260, 1), IFERROR(0/0,""))
</f>
        <v/>
      </c>
      <c r="V260" s="258" t="str">
        <f t="shared" si="480"/>
        <v>RUN-BEND_2022-01-24_RFR-019</v>
      </c>
      <c r="Y260" s="130" t="str">
        <f t="shared" si="487"/>
        <v/>
      </c>
      <c r="Z260" s="49" t="str">
        <f t="shared" si="7"/>
        <v/>
      </c>
      <c r="AA260" s="49" t="str">
        <f t="shared" si="8"/>
        <v/>
      </c>
      <c r="AB260" s="49" t="str">
        <f t="shared" si="9"/>
        <v/>
      </c>
      <c r="AC260" s="20" t="str">
        <f t="shared" ref="AC260:AD260" si="528">IF(_xlfn.ISFORMULA(S260),IFERROR(0/0,""),TRUE)</f>
        <v/>
      </c>
      <c r="AD260" s="20" t="str">
        <f t="shared" si="528"/>
        <v/>
      </c>
      <c r="AE260" s="43"/>
      <c r="AF260" s="62" t="s">
        <v>46</v>
      </c>
      <c r="AG260" s="57" t="str">
        <f t="shared" si="11"/>
        <v/>
      </c>
    </row>
    <row r="261">
      <c r="A261" s="6" t="str">
        <f>IFERROR(__xludf.DUMMYFUNCTION("""COMPUTED_VALUE"""),"MA545")</f>
        <v>MA545</v>
      </c>
      <c r="B261" s="204">
        <f>IFERROR(__xludf.DUMMYFUNCTION("""COMPUTED_VALUE"""),44585.0)</f>
        <v>44585</v>
      </c>
      <c r="C261" s="250">
        <f>IFERROR(__xludf.DUMMYFUNCTION("""COMPUTED_VALUE"""),0.3420949074074074)</f>
        <v>0.3420949074</v>
      </c>
      <c r="D261" s="6" t="str">
        <f>IFERROR(__xludf.DUMMYFUNCTION("""COMPUTED_VALUE"""),"SpBEND767550")</f>
        <v>SpBEND767550</v>
      </c>
      <c r="E261" s="251"/>
      <c r="F261" s="251"/>
      <c r="G261" s="251" t="str">
        <f>IFERROR(__xludf.DUMMYFUNCTION("""COMPUTED_VALUE"""),"Positive")</f>
        <v>Positive</v>
      </c>
      <c r="H261" s="262" t="str">
        <f>IFERROR(__xludf.DUMMYFUNCTION("""COMPUTED_VALUE"""),"Positive")</f>
        <v>Positive</v>
      </c>
      <c r="I261" s="204">
        <f>IFERROR(__xludf.DUMMYFUNCTION("""COMPUTED_VALUE"""),44587.0)</f>
        <v>44587</v>
      </c>
      <c r="J261" s="252">
        <f>IFERROR(__xludf.DUMMYFUNCTION("""COMPUTED_VALUE"""),0.5008796296296296)</f>
        <v>0.5008796296</v>
      </c>
      <c r="K261" s="56"/>
      <c r="L261" s="6"/>
      <c r="M261" s="61"/>
      <c r="N261" s="61">
        <f>IFERROR(__xludf.DUMMYFUNCTION("""COMPUTED_VALUE"""),1.0)</f>
        <v>1</v>
      </c>
      <c r="O261" s="61" t="str">
        <f t="shared" si="3"/>
        <v/>
      </c>
      <c r="P261" s="253">
        <f>IFERROR(__xludf.DUMMYFUNCTION("""COMPUTED_VALUE"""),2.0)</f>
        <v>2</v>
      </c>
      <c r="Q261" s="254" t="b">
        <f>VLOOKUP($B261,'Run Reconcile'!B$2:O799,14,FALSE)</f>
        <v>1</v>
      </c>
      <c r="R261" s="255" t="str">
        <f t="array" ref="R261">IF($Q261, INDEX('Run Reconcile'!A$2:A799,MATCH(B261,'Run Reconcile'!B$2:B799,0),1),IFERROR(0/0,""))</f>
        <v>RUN-BEND_2022-01-24_RFR-019</v>
      </c>
      <c r="S261" s="261" t="str">
        <f t="shared" ref="S261:T261" si="529">IF(COUNTIF(W$2:W799, $A261) &gt; 0,TRUE,IFERROR(0/0,""))</f>
        <v/>
      </c>
      <c r="T261" s="261" t="str">
        <f t="shared" si="529"/>
        <v/>
      </c>
      <c r="U261" s="257" t="str">
        <f t="array" ref="U261">IF(ISBLANK($R261), INDEX('Run Reconcile'!A$2:A799, MATCH($B261, 'Run Reconcile'!B$2:B799, 0)+Z261, 1), IFERROR(0/0,""))
</f>
        <v/>
      </c>
      <c r="V261" s="258" t="str">
        <f t="shared" si="480"/>
        <v>RUN-BEND_2022-01-24_RFR-019</v>
      </c>
      <c r="Y261" s="130" t="str">
        <f t="shared" si="487"/>
        <v/>
      </c>
      <c r="Z261" s="49" t="str">
        <f t="shared" si="7"/>
        <v/>
      </c>
      <c r="AA261" s="49" t="str">
        <f t="shared" si="8"/>
        <v/>
      </c>
      <c r="AB261" s="49" t="str">
        <f t="shared" si="9"/>
        <v/>
      </c>
      <c r="AC261" s="20" t="str">
        <f t="shared" ref="AC261:AD261" si="530">IF(_xlfn.ISFORMULA(S261),IFERROR(0/0,""),TRUE)</f>
        <v/>
      </c>
      <c r="AD261" s="20" t="str">
        <f t="shared" si="530"/>
        <v/>
      </c>
      <c r="AE261" s="43"/>
      <c r="AF261" s="62" t="s">
        <v>46</v>
      </c>
      <c r="AG261" s="57" t="str">
        <f t="shared" si="11"/>
        <v/>
      </c>
    </row>
    <row r="262">
      <c r="A262" s="6" t="str">
        <f>IFERROR(__xludf.DUMMYFUNCTION("""COMPUTED_VALUE"""),"MA1237")</f>
        <v>MA1237</v>
      </c>
      <c r="B262" s="204">
        <f>IFERROR(__xludf.DUMMYFUNCTION("""COMPUTED_VALUE"""),44585.0)</f>
        <v>44585</v>
      </c>
      <c r="C262" s="250">
        <f>IFERROR(__xludf.DUMMYFUNCTION("""COMPUTED_VALUE"""),0.3784722222222222)</f>
        <v>0.3784722222</v>
      </c>
      <c r="D262" s="6" t="str">
        <f>IFERROR(__xludf.DUMMYFUNCTION("""COMPUTED_VALUE"""),"SpBEND394154")</f>
        <v>SpBEND394154</v>
      </c>
      <c r="E262" s="251"/>
      <c r="F262" s="251"/>
      <c r="G262" s="251" t="str">
        <f>IFERROR(__xludf.DUMMYFUNCTION("""COMPUTED_VALUE"""),"Negative")</f>
        <v>Negative</v>
      </c>
      <c r="H262" s="262" t="str">
        <f>IFERROR(__xludf.DUMMYFUNCTION("""COMPUTED_VALUE"""),"Negative")</f>
        <v>Negative</v>
      </c>
      <c r="I262" s="204">
        <f>IFERROR(__xludf.DUMMYFUNCTION("""COMPUTED_VALUE"""),44585.0)</f>
        <v>44585</v>
      </c>
      <c r="J262" s="252">
        <f>IFERROR(__xludf.DUMMYFUNCTION("""COMPUTED_VALUE"""),0.4705902777777778)</f>
        <v>0.4705902778</v>
      </c>
      <c r="K262" s="56"/>
      <c r="L262" s="6"/>
      <c r="M262" s="61"/>
      <c r="N262" s="61">
        <f>IFERROR(__xludf.DUMMYFUNCTION("""COMPUTED_VALUE"""),1.0)</f>
        <v>1</v>
      </c>
      <c r="O262" s="61" t="str">
        <f t="shared" si="3"/>
        <v/>
      </c>
      <c r="P262" s="253">
        <f>IFERROR(__xludf.DUMMYFUNCTION("""COMPUTED_VALUE"""),0.0)</f>
        <v>0</v>
      </c>
      <c r="Q262" s="254" t="b">
        <f>VLOOKUP($B262,'Run Reconcile'!B$2:O799,14,FALSE)</f>
        <v>1</v>
      </c>
      <c r="R262" s="255" t="str">
        <f t="array" ref="R262">IF($Q262, INDEX('Run Reconcile'!A$2:A799,MATCH(B262,'Run Reconcile'!B$2:B799,0),1),IFERROR(0/0,""))</f>
        <v>RUN-BEND_2022-01-24_RFR-019</v>
      </c>
      <c r="S262" s="261" t="str">
        <f t="shared" ref="S262:T262" si="531">IF(COUNTIF(W$2:W799, $A262) &gt; 0,TRUE,IFERROR(0/0,""))</f>
        <v/>
      </c>
      <c r="T262" s="261" t="str">
        <f t="shared" si="531"/>
        <v/>
      </c>
      <c r="U262" s="257" t="str">
        <f t="array" ref="U262">IF(ISBLANK($R262), INDEX('Run Reconcile'!A$2:A799, MATCH($B262, 'Run Reconcile'!B$2:B799, 0)+Z262, 1), IFERROR(0/0,""))
</f>
        <v/>
      </c>
      <c r="V262" s="258" t="str">
        <f t="shared" si="480"/>
        <v>RUN-BEND_2022-01-24_RFR-019</v>
      </c>
      <c r="Y262" s="130" t="str">
        <f t="shared" si="487"/>
        <v/>
      </c>
      <c r="Z262" s="49" t="str">
        <f t="shared" si="7"/>
        <v/>
      </c>
      <c r="AA262" s="49" t="str">
        <f t="shared" si="8"/>
        <v/>
      </c>
      <c r="AB262" s="49" t="str">
        <f t="shared" si="9"/>
        <v/>
      </c>
      <c r="AC262" s="20" t="str">
        <f t="shared" ref="AC262:AD262" si="532">IF(_xlfn.ISFORMULA(S262),IFERROR(0/0,""),TRUE)</f>
        <v/>
      </c>
      <c r="AD262" s="20" t="str">
        <f t="shared" si="532"/>
        <v/>
      </c>
      <c r="AE262" s="43"/>
      <c r="AF262" s="62" t="s">
        <v>46</v>
      </c>
      <c r="AG262" s="57" t="str">
        <f t="shared" si="11"/>
        <v/>
      </c>
    </row>
    <row r="263">
      <c r="A263" s="6" t="str">
        <f>IFERROR(__xludf.DUMMYFUNCTION("""COMPUTED_VALUE"""),"MA1011")</f>
        <v>MA1011</v>
      </c>
      <c r="B263" s="204">
        <f>IFERROR(__xludf.DUMMYFUNCTION("""COMPUTED_VALUE"""),44585.0)</f>
        <v>44585</v>
      </c>
      <c r="C263" s="250">
        <f>IFERROR(__xludf.DUMMYFUNCTION("""COMPUTED_VALUE"""),0.38686342592592593)</f>
        <v>0.3868634259</v>
      </c>
      <c r="D263" s="6" t="str">
        <f>IFERROR(__xludf.DUMMYFUNCTION("""COMPUTED_VALUE"""),"SpBEND394154")</f>
        <v>SpBEND394154</v>
      </c>
      <c r="E263" s="251"/>
      <c r="F263" s="251"/>
      <c r="G263" s="251" t="str">
        <f>IFERROR(__xludf.DUMMYFUNCTION("""COMPUTED_VALUE"""),"Positive")</f>
        <v>Positive</v>
      </c>
      <c r="H263" s="262" t="str">
        <f>IFERROR(__xludf.DUMMYFUNCTION("""COMPUTED_VALUE"""),"Positive")</f>
        <v>Positive</v>
      </c>
      <c r="I263" s="204">
        <f>IFERROR(__xludf.DUMMYFUNCTION("""COMPUTED_VALUE"""),44587.0)</f>
        <v>44587</v>
      </c>
      <c r="J263" s="252">
        <f>IFERROR(__xludf.DUMMYFUNCTION("""COMPUTED_VALUE"""),0.5008796296296296)</f>
        <v>0.5008796296</v>
      </c>
      <c r="K263" s="56"/>
      <c r="L263" s="6"/>
      <c r="M263" s="61"/>
      <c r="N263" s="61">
        <f>IFERROR(__xludf.DUMMYFUNCTION("""COMPUTED_VALUE"""),1.0)</f>
        <v>1</v>
      </c>
      <c r="O263" s="61" t="str">
        <f t="shared" si="3"/>
        <v/>
      </c>
      <c r="P263" s="253">
        <f>IFERROR(__xludf.DUMMYFUNCTION("""COMPUTED_VALUE"""),2.0)</f>
        <v>2</v>
      </c>
      <c r="Q263" s="254" t="b">
        <f>VLOOKUP($B263,'Run Reconcile'!B$2:O799,14,FALSE)</f>
        <v>1</v>
      </c>
      <c r="R263" s="255" t="str">
        <f t="array" ref="R263">IF($Q263, INDEX('Run Reconcile'!A$2:A799,MATCH(B263,'Run Reconcile'!B$2:B799,0),1),IFERROR(0/0,""))</f>
        <v>RUN-BEND_2022-01-24_RFR-019</v>
      </c>
      <c r="S263" s="261" t="str">
        <f t="shared" ref="S263:T263" si="533">IF(COUNTIF(W$2:W799, $A263) &gt; 0,TRUE,IFERROR(0/0,""))</f>
        <v/>
      </c>
      <c r="T263" s="261" t="str">
        <f t="shared" si="533"/>
        <v/>
      </c>
      <c r="U263" s="257" t="str">
        <f t="array" ref="U263">IF(ISBLANK($R263), INDEX('Run Reconcile'!A$2:A799, MATCH($B263, 'Run Reconcile'!B$2:B799, 0)+Z263, 1), IFERROR(0/0,""))
</f>
        <v/>
      </c>
      <c r="V263" s="258" t="str">
        <f t="shared" si="480"/>
        <v>RUN-BEND_2022-01-24_RFR-019</v>
      </c>
      <c r="Y263" s="130" t="str">
        <f t="shared" si="487"/>
        <v/>
      </c>
      <c r="Z263" s="49" t="str">
        <f t="shared" si="7"/>
        <v/>
      </c>
      <c r="AA263" s="49" t="str">
        <f t="shared" si="8"/>
        <v/>
      </c>
      <c r="AB263" s="49" t="str">
        <f t="shared" si="9"/>
        <v/>
      </c>
      <c r="AC263" s="20" t="str">
        <f t="shared" ref="AC263:AD263" si="534">IF(_xlfn.ISFORMULA(S263),IFERROR(0/0,""),TRUE)</f>
        <v/>
      </c>
      <c r="AD263" s="20" t="str">
        <f t="shared" si="534"/>
        <v/>
      </c>
      <c r="AE263" s="43"/>
      <c r="AF263" s="62" t="s">
        <v>46</v>
      </c>
      <c r="AG263" s="57" t="str">
        <f t="shared" si="11"/>
        <v/>
      </c>
    </row>
    <row r="264">
      <c r="A264" s="6" t="str">
        <f>IFERROR(__xludf.DUMMYFUNCTION("""COMPUTED_VALUE"""),"MA598")</f>
        <v>MA598</v>
      </c>
      <c r="B264" s="204">
        <f>IFERROR(__xludf.DUMMYFUNCTION("""COMPUTED_VALUE"""),44585.0)</f>
        <v>44585</v>
      </c>
      <c r="C264" s="250">
        <f>IFERROR(__xludf.DUMMYFUNCTION("""COMPUTED_VALUE"""),0.38797453703703705)</f>
        <v>0.387974537</v>
      </c>
      <c r="D264" s="6" t="str">
        <f>IFERROR(__xludf.DUMMYFUNCTION("""COMPUTED_VALUE"""),"SpBEND394154")</f>
        <v>SpBEND394154</v>
      </c>
      <c r="E264" s="251"/>
      <c r="F264" s="251"/>
      <c r="G264" s="251" t="str">
        <f>IFERROR(__xludf.DUMMYFUNCTION("""COMPUTED_VALUE"""),"Positive")</f>
        <v>Positive</v>
      </c>
      <c r="H264" s="262" t="str">
        <f>IFERROR(__xludf.DUMMYFUNCTION("""COMPUTED_VALUE"""),"Positive")</f>
        <v>Positive</v>
      </c>
      <c r="I264" s="204">
        <f>IFERROR(__xludf.DUMMYFUNCTION("""COMPUTED_VALUE"""),44587.0)</f>
        <v>44587</v>
      </c>
      <c r="J264" s="252">
        <f>IFERROR(__xludf.DUMMYFUNCTION("""COMPUTED_VALUE"""),0.5008796296296296)</f>
        <v>0.5008796296</v>
      </c>
      <c r="K264" s="56"/>
      <c r="L264" s="6"/>
      <c r="M264" s="61"/>
      <c r="N264" s="61">
        <f>IFERROR(__xludf.DUMMYFUNCTION("""COMPUTED_VALUE"""),1.0)</f>
        <v>1</v>
      </c>
      <c r="O264" s="61" t="str">
        <f t="shared" si="3"/>
        <v/>
      </c>
      <c r="P264" s="253">
        <f>IFERROR(__xludf.DUMMYFUNCTION("""COMPUTED_VALUE"""),2.0)</f>
        <v>2</v>
      </c>
      <c r="Q264" s="254" t="b">
        <f>VLOOKUP($B264,'Run Reconcile'!B$2:O799,14,FALSE)</f>
        <v>1</v>
      </c>
      <c r="R264" s="255" t="str">
        <f t="array" ref="R264">IF($Q264, INDEX('Run Reconcile'!A$2:A799,MATCH(B264,'Run Reconcile'!B$2:B799,0),1),IFERROR(0/0,""))</f>
        <v>RUN-BEND_2022-01-24_RFR-019</v>
      </c>
      <c r="S264" s="261" t="str">
        <f t="shared" ref="S264:T264" si="535">IF(COUNTIF(W$2:W799, $A264) &gt; 0,TRUE,IFERROR(0/0,""))</f>
        <v/>
      </c>
      <c r="T264" s="261" t="str">
        <f t="shared" si="535"/>
        <v/>
      </c>
      <c r="U264" s="257" t="str">
        <f t="array" ref="U264">IF(ISBLANK($R264), INDEX('Run Reconcile'!A$2:A799, MATCH($B264, 'Run Reconcile'!B$2:B799, 0)+Z264, 1), IFERROR(0/0,""))
</f>
        <v/>
      </c>
      <c r="V264" s="258" t="str">
        <f t="shared" si="480"/>
        <v>RUN-BEND_2022-01-24_RFR-019</v>
      </c>
      <c r="Y264" s="130" t="str">
        <f t="shared" si="487"/>
        <v/>
      </c>
      <c r="Z264" s="49" t="str">
        <f t="shared" si="7"/>
        <v/>
      </c>
      <c r="AA264" s="49" t="str">
        <f t="shared" si="8"/>
        <v/>
      </c>
      <c r="AB264" s="49" t="str">
        <f t="shared" si="9"/>
        <v/>
      </c>
      <c r="AC264" s="20" t="str">
        <f t="shared" ref="AC264:AD264" si="536">IF(_xlfn.ISFORMULA(S264),IFERROR(0/0,""),TRUE)</f>
        <v/>
      </c>
      <c r="AD264" s="20" t="str">
        <f t="shared" si="536"/>
        <v/>
      </c>
      <c r="AE264" s="43"/>
      <c r="AF264" s="62" t="s">
        <v>46</v>
      </c>
      <c r="AG264" s="57" t="str">
        <f t="shared" si="11"/>
        <v/>
      </c>
    </row>
    <row r="265">
      <c r="A265" s="6" t="str">
        <f>IFERROR(__xludf.DUMMYFUNCTION("""COMPUTED_VALUE"""),"MAX103")</f>
        <v>MAX103</v>
      </c>
      <c r="B265" s="204">
        <f>IFERROR(__xludf.DUMMYFUNCTION("""COMPUTED_VALUE"""),44585.0)</f>
        <v>44585</v>
      </c>
      <c r="C265" s="250">
        <f>IFERROR(__xludf.DUMMYFUNCTION("""COMPUTED_VALUE"""),0.4306712962962963)</f>
        <v>0.4306712963</v>
      </c>
      <c r="D265" s="6" t="str">
        <f>IFERROR(__xludf.DUMMYFUNCTION("""COMPUTED_VALUE"""),"SpBEND394154")</f>
        <v>SpBEND394154</v>
      </c>
      <c r="E265" s="251"/>
      <c r="F265" s="251"/>
      <c r="G265" s="251" t="str">
        <f>IFERROR(__xludf.DUMMYFUNCTION("""COMPUTED_VALUE"""),"Negative")</f>
        <v>Negative</v>
      </c>
      <c r="H265" s="262" t="str">
        <f>IFERROR(__xludf.DUMMYFUNCTION("""COMPUTED_VALUE"""),"Negative")</f>
        <v>Negative</v>
      </c>
      <c r="I265" s="204">
        <f>IFERROR(__xludf.DUMMYFUNCTION("""COMPUTED_VALUE"""),44585.0)</f>
        <v>44585</v>
      </c>
      <c r="J265" s="252">
        <f>IFERROR(__xludf.DUMMYFUNCTION("""COMPUTED_VALUE"""),0.4705902777777778)</f>
        <v>0.4705902778</v>
      </c>
      <c r="K265" s="56"/>
      <c r="L265" s="6"/>
      <c r="M265" s="61"/>
      <c r="N265" s="61">
        <f>IFERROR(__xludf.DUMMYFUNCTION("""COMPUTED_VALUE"""),1.0)</f>
        <v>1</v>
      </c>
      <c r="O265" s="61" t="str">
        <f t="shared" si="3"/>
        <v/>
      </c>
      <c r="P265" s="253">
        <f>IFERROR(__xludf.DUMMYFUNCTION("""COMPUTED_VALUE"""),0.0)</f>
        <v>0</v>
      </c>
      <c r="Q265" s="254" t="b">
        <f>VLOOKUP($B265,'Run Reconcile'!B$2:O799,14,FALSE)</f>
        <v>1</v>
      </c>
      <c r="R265" s="255" t="str">
        <f t="array" ref="R265">IF($Q265, INDEX('Run Reconcile'!A$2:A799,MATCH(B265,'Run Reconcile'!B$2:B799,0),1),IFERROR(0/0,""))</f>
        <v>RUN-BEND_2022-01-24_RFR-019</v>
      </c>
      <c r="S265" s="261" t="str">
        <f t="shared" ref="S265:T265" si="537">IF(COUNTIF(W$2:W799, $A265) &gt; 0,TRUE,IFERROR(0/0,""))</f>
        <v/>
      </c>
      <c r="T265" s="261" t="str">
        <f t="shared" si="537"/>
        <v/>
      </c>
      <c r="U265" s="257" t="str">
        <f t="array" ref="U265">IF(ISBLANK($R265), INDEX('Run Reconcile'!A$2:A799, MATCH($B265, 'Run Reconcile'!B$2:B799, 0)+Z265, 1), IFERROR(0/0,""))
</f>
        <v/>
      </c>
      <c r="V265" s="258" t="str">
        <f t="shared" si="480"/>
        <v>RUN-BEND_2022-01-24_RFR-019</v>
      </c>
      <c r="Y265" s="130" t="str">
        <f t="shared" si="487"/>
        <v/>
      </c>
      <c r="Z265" s="49" t="str">
        <f t="shared" si="7"/>
        <v/>
      </c>
      <c r="AA265" s="49" t="str">
        <f t="shared" si="8"/>
        <v/>
      </c>
      <c r="AB265" s="49" t="str">
        <f t="shared" si="9"/>
        <v/>
      </c>
      <c r="AC265" s="20" t="str">
        <f t="shared" ref="AC265:AD265" si="538">IF(_xlfn.ISFORMULA(S265),IFERROR(0/0,""),TRUE)</f>
        <v/>
      </c>
      <c r="AD265" s="20" t="str">
        <f t="shared" si="538"/>
        <v/>
      </c>
      <c r="AE265" s="43"/>
      <c r="AF265" s="62" t="s">
        <v>46</v>
      </c>
      <c r="AG265" s="57" t="str">
        <f t="shared" si="11"/>
        <v/>
      </c>
    </row>
    <row r="266">
      <c r="A266" s="6" t="str">
        <f>IFERROR(__xludf.DUMMYFUNCTION("""COMPUTED_VALUE"""),"MAX109")</f>
        <v>MAX109</v>
      </c>
      <c r="B266" s="204">
        <f>IFERROR(__xludf.DUMMYFUNCTION("""COMPUTED_VALUE"""),44585.0)</f>
        <v>44585</v>
      </c>
      <c r="C266" s="250">
        <f>IFERROR(__xludf.DUMMYFUNCTION("""COMPUTED_VALUE"""),0.43105324074074075)</f>
        <v>0.4310532407</v>
      </c>
      <c r="D266" s="6" t="str">
        <f>IFERROR(__xludf.DUMMYFUNCTION("""COMPUTED_VALUE"""),"SpBEND394154")</f>
        <v>SpBEND394154</v>
      </c>
      <c r="E266" s="251"/>
      <c r="F266" s="251"/>
      <c r="G266" s="251" t="str">
        <f>IFERROR(__xludf.DUMMYFUNCTION("""COMPUTED_VALUE"""),"Negative")</f>
        <v>Negative</v>
      </c>
      <c r="H266" s="262" t="str">
        <f>IFERROR(__xludf.DUMMYFUNCTION("""COMPUTED_VALUE"""),"Negative")</f>
        <v>Negative</v>
      </c>
      <c r="I266" s="204">
        <f>IFERROR(__xludf.DUMMYFUNCTION("""COMPUTED_VALUE"""),44585.0)</f>
        <v>44585</v>
      </c>
      <c r="J266" s="252">
        <f>IFERROR(__xludf.DUMMYFUNCTION("""COMPUTED_VALUE"""),0.4705902777777778)</f>
        <v>0.4705902778</v>
      </c>
      <c r="K266" s="56"/>
      <c r="L266" s="6"/>
      <c r="M266" s="61"/>
      <c r="N266" s="61">
        <f>IFERROR(__xludf.DUMMYFUNCTION("""COMPUTED_VALUE"""),1.0)</f>
        <v>1</v>
      </c>
      <c r="O266" s="61" t="str">
        <f t="shared" si="3"/>
        <v/>
      </c>
      <c r="P266" s="253">
        <f>IFERROR(__xludf.DUMMYFUNCTION("""COMPUTED_VALUE"""),0.0)</f>
        <v>0</v>
      </c>
      <c r="Q266" s="254" t="b">
        <f>VLOOKUP($B266,'Run Reconcile'!B$2:O799,14,FALSE)</f>
        <v>1</v>
      </c>
      <c r="R266" s="255" t="str">
        <f t="array" ref="R266">IF($Q266, INDEX('Run Reconcile'!A$2:A799,MATCH(B266,'Run Reconcile'!B$2:B799,0),1),IFERROR(0/0,""))</f>
        <v>RUN-BEND_2022-01-24_RFR-019</v>
      </c>
      <c r="S266" s="261" t="str">
        <f t="shared" ref="S266:T266" si="539">IF(COUNTIF(W$2:W799, $A266) &gt; 0,TRUE,IFERROR(0/0,""))</f>
        <v/>
      </c>
      <c r="T266" s="261" t="str">
        <f t="shared" si="539"/>
        <v/>
      </c>
      <c r="U266" s="257" t="str">
        <f t="array" ref="U266">IF(ISBLANK($R266), INDEX('Run Reconcile'!A$2:A799, MATCH($B266, 'Run Reconcile'!B$2:B799, 0)+Z266, 1), IFERROR(0/0,""))
</f>
        <v/>
      </c>
      <c r="V266" s="258" t="str">
        <f t="shared" si="480"/>
        <v>RUN-BEND_2022-01-24_RFR-019</v>
      </c>
      <c r="Y266" s="130" t="str">
        <f t="shared" si="487"/>
        <v/>
      </c>
      <c r="Z266" s="49" t="str">
        <f t="shared" si="7"/>
        <v/>
      </c>
      <c r="AA266" s="49" t="str">
        <f t="shared" si="8"/>
        <v/>
      </c>
      <c r="AB266" s="49" t="str">
        <f t="shared" si="9"/>
        <v/>
      </c>
      <c r="AC266" s="20" t="str">
        <f t="shared" ref="AC266:AD266" si="540">IF(_xlfn.ISFORMULA(S266),IFERROR(0/0,""),TRUE)</f>
        <v/>
      </c>
      <c r="AD266" s="20" t="str">
        <f t="shared" si="540"/>
        <v/>
      </c>
      <c r="AE266" s="43"/>
      <c r="AF266" s="62" t="s">
        <v>46</v>
      </c>
      <c r="AG266" s="57" t="str">
        <f t="shared" si="11"/>
        <v/>
      </c>
    </row>
    <row r="267">
      <c r="A267" s="6" t="str">
        <f>IFERROR(__xludf.DUMMYFUNCTION("""COMPUTED_VALUE"""),"MAX137")</f>
        <v>MAX137</v>
      </c>
      <c r="B267" s="204">
        <f>IFERROR(__xludf.DUMMYFUNCTION("""COMPUTED_VALUE"""),44587.0)</f>
        <v>44587</v>
      </c>
      <c r="C267" s="250">
        <f>IFERROR(__xludf.DUMMYFUNCTION("""COMPUTED_VALUE"""),0.29574074074074075)</f>
        <v>0.2957407407</v>
      </c>
      <c r="D267" s="6" t="str">
        <f>IFERROR(__xludf.DUMMYFUNCTION("""COMPUTED_VALUE"""),"SpBEND394154")</f>
        <v>SpBEND394154</v>
      </c>
      <c r="E267" s="251"/>
      <c r="F267" s="251"/>
      <c r="G267" s="251" t="str">
        <f>IFERROR(__xludf.DUMMYFUNCTION("""COMPUTED_VALUE"""),"Negative")</f>
        <v>Negative</v>
      </c>
      <c r="H267" s="262" t="str">
        <f>IFERROR(__xludf.DUMMYFUNCTION("""COMPUTED_VALUE"""),"Negative")</f>
        <v>Negative</v>
      </c>
      <c r="I267" s="204">
        <f>IFERROR(__xludf.DUMMYFUNCTION("""COMPUTED_VALUE"""),44587.0)</f>
        <v>44587</v>
      </c>
      <c r="J267" s="252">
        <f>IFERROR(__xludf.DUMMYFUNCTION("""COMPUTED_VALUE"""),0.5005439814814815)</f>
        <v>0.5005439815</v>
      </c>
      <c r="K267" s="56"/>
      <c r="L267" s="6"/>
      <c r="M267" s="61"/>
      <c r="N267" s="61">
        <f>IFERROR(__xludf.DUMMYFUNCTION("""COMPUTED_VALUE"""),1.0)</f>
        <v>1</v>
      </c>
      <c r="O267" s="61" t="b">
        <f t="shared" si="3"/>
        <v>1</v>
      </c>
      <c r="P267" s="253">
        <f>IFERROR(__xludf.DUMMYFUNCTION("""COMPUTED_VALUE"""),0.0)</f>
        <v>0</v>
      </c>
      <c r="Q267" s="254" t="b">
        <f>VLOOKUP($B267,'Run Reconcile'!B$2:O799,14,FALSE)</f>
        <v>1</v>
      </c>
      <c r="R267" s="255" t="str">
        <f t="array" ref="R267">IF($Q267, INDEX('Run Reconcile'!A$2:A799,MATCH(B267,'Run Reconcile'!B$2:B799,0),1),IFERROR(0/0,""))</f>
        <v>RUN-BEND_2022-01-26_RFR-020</v>
      </c>
      <c r="S267" s="261" t="str">
        <f t="shared" ref="S267:T267" si="541">IF(COUNTIF(W$2:W799, $A267) &gt; 0,TRUE,IFERROR(0/0,""))</f>
        <v/>
      </c>
      <c r="T267" s="261" t="str">
        <f t="shared" si="541"/>
        <v/>
      </c>
      <c r="U267" s="257" t="str">
        <f t="array" ref="U267">IF(ISBLANK($R267), INDEX('Run Reconcile'!A$2:A799, MATCH($B267, 'Run Reconcile'!B$2:B799, 0)+Z267, 1), IFERROR(0/0,""))
</f>
        <v/>
      </c>
      <c r="V267" s="258" t="str">
        <f t="shared" si="480"/>
        <v>RUN-BEND_2022-01-26_RFR-020</v>
      </c>
      <c r="Y267" s="130" t="str">
        <f t="shared" si="487"/>
        <v/>
      </c>
      <c r="Z267" s="49" t="str">
        <f t="shared" si="7"/>
        <v/>
      </c>
      <c r="AA267" s="49" t="str">
        <f t="shared" si="8"/>
        <v/>
      </c>
      <c r="AB267" s="49" t="str">
        <f t="shared" si="9"/>
        <v/>
      </c>
      <c r="AC267" s="20" t="str">
        <f t="shared" ref="AC267:AD267" si="542">IF(_xlfn.ISFORMULA(S267),IFERROR(0/0,""),TRUE)</f>
        <v/>
      </c>
      <c r="AD267" s="20" t="str">
        <f t="shared" si="542"/>
        <v/>
      </c>
      <c r="AE267" s="43"/>
      <c r="AF267" s="62" t="s">
        <v>47</v>
      </c>
      <c r="AG267" s="57" t="str">
        <f t="shared" si="11"/>
        <v/>
      </c>
    </row>
    <row r="268">
      <c r="A268" s="6" t="str">
        <f>IFERROR(__xludf.DUMMYFUNCTION("""COMPUTED_VALUE"""),"MAX112")</f>
        <v>MAX112</v>
      </c>
      <c r="B268" s="204">
        <f>IFERROR(__xludf.DUMMYFUNCTION("""COMPUTED_VALUE"""),44587.0)</f>
        <v>44587</v>
      </c>
      <c r="C268" s="250">
        <f>IFERROR(__xludf.DUMMYFUNCTION("""COMPUTED_VALUE"""),0.2965162037037037)</f>
        <v>0.2965162037</v>
      </c>
      <c r="D268" s="6" t="str">
        <f>IFERROR(__xludf.DUMMYFUNCTION("""COMPUTED_VALUE"""),"SpBEND394154")</f>
        <v>SpBEND394154</v>
      </c>
      <c r="E268" s="251"/>
      <c r="F268" s="251"/>
      <c r="G268" s="251" t="str">
        <f>IFERROR(__xludf.DUMMYFUNCTION("""COMPUTED_VALUE"""),"Negative")</f>
        <v>Negative</v>
      </c>
      <c r="H268" s="262" t="str">
        <f>IFERROR(__xludf.DUMMYFUNCTION("""COMPUTED_VALUE"""),"Negative")</f>
        <v>Negative</v>
      </c>
      <c r="I268" s="204">
        <f>IFERROR(__xludf.DUMMYFUNCTION("""COMPUTED_VALUE"""),44587.0)</f>
        <v>44587</v>
      </c>
      <c r="J268" s="252">
        <f>IFERROR(__xludf.DUMMYFUNCTION("""COMPUTED_VALUE"""),0.5005439814814815)</f>
        <v>0.5005439815</v>
      </c>
      <c r="K268" s="56"/>
      <c r="L268" s="6"/>
      <c r="M268" s="61"/>
      <c r="N268" s="61">
        <f>IFERROR(__xludf.DUMMYFUNCTION("""COMPUTED_VALUE"""),1.0)</f>
        <v>1</v>
      </c>
      <c r="O268" s="61" t="str">
        <f t="shared" si="3"/>
        <v/>
      </c>
      <c r="P268" s="253">
        <f>IFERROR(__xludf.DUMMYFUNCTION("""COMPUTED_VALUE"""),0.0)</f>
        <v>0</v>
      </c>
      <c r="Q268" s="254" t="b">
        <f>VLOOKUP($B268,'Run Reconcile'!B$2:O799,14,FALSE)</f>
        <v>1</v>
      </c>
      <c r="R268" s="255" t="str">
        <f t="array" ref="R268">IF($Q268, INDEX('Run Reconcile'!A$2:A799,MATCH(B268,'Run Reconcile'!B$2:B799,0),1),IFERROR(0/0,""))</f>
        <v>RUN-BEND_2022-01-26_RFR-020</v>
      </c>
      <c r="S268" s="261" t="str">
        <f t="shared" ref="S268:T268" si="543">IF(COUNTIF(W$2:W799, $A268) &gt; 0,TRUE,IFERROR(0/0,""))</f>
        <v/>
      </c>
      <c r="T268" s="261" t="str">
        <f t="shared" si="543"/>
        <v/>
      </c>
      <c r="U268" s="257" t="str">
        <f t="array" ref="U268">IF(ISBLANK($R268), INDEX('Run Reconcile'!A$2:A799, MATCH($B268, 'Run Reconcile'!B$2:B799, 0)+Z268, 1), IFERROR(0/0,""))
</f>
        <v/>
      </c>
      <c r="V268" s="258" t="str">
        <f t="shared" si="480"/>
        <v>RUN-BEND_2022-01-26_RFR-020</v>
      </c>
      <c r="Y268" s="130" t="str">
        <f t="shared" si="487"/>
        <v/>
      </c>
      <c r="Z268" s="49" t="str">
        <f t="shared" si="7"/>
        <v/>
      </c>
      <c r="AA268" s="49" t="str">
        <f t="shared" si="8"/>
        <v/>
      </c>
      <c r="AB268" s="49" t="str">
        <f t="shared" si="9"/>
        <v/>
      </c>
      <c r="AC268" s="20" t="str">
        <f t="shared" ref="AC268:AD268" si="544">IF(_xlfn.ISFORMULA(S268),IFERROR(0/0,""),TRUE)</f>
        <v/>
      </c>
      <c r="AD268" s="20" t="str">
        <f t="shared" si="544"/>
        <v/>
      </c>
      <c r="AE268" s="43"/>
      <c r="AF268" s="62" t="s">
        <v>47</v>
      </c>
      <c r="AG268" s="57" t="str">
        <f t="shared" si="11"/>
        <v/>
      </c>
    </row>
    <row r="269">
      <c r="A269" s="6" t="str">
        <f>IFERROR(__xludf.DUMMYFUNCTION("""COMPUTED_VALUE"""),"MA467")</f>
        <v>MA467</v>
      </c>
      <c r="B269" s="204">
        <f>IFERROR(__xludf.DUMMYFUNCTION("""COMPUTED_VALUE"""),44587.0)</f>
        <v>44587</v>
      </c>
      <c r="C269" s="250">
        <f>IFERROR(__xludf.DUMMYFUNCTION("""COMPUTED_VALUE"""),0.3039351851851852)</f>
        <v>0.3039351852</v>
      </c>
      <c r="D269" s="6" t="str">
        <f>IFERROR(__xludf.DUMMYFUNCTION("""COMPUTED_VALUE"""),"SpBEND139600")</f>
        <v>SpBEND139600</v>
      </c>
      <c r="E269" s="251"/>
      <c r="F269" s="251"/>
      <c r="G269" s="251" t="str">
        <f>IFERROR(__xludf.DUMMYFUNCTION("""COMPUTED_VALUE"""),"Negative")</f>
        <v>Negative</v>
      </c>
      <c r="H269" s="262" t="str">
        <f>IFERROR(__xludf.DUMMYFUNCTION("""COMPUTED_VALUE"""),"Negative")</f>
        <v>Negative</v>
      </c>
      <c r="I269" s="204">
        <f>IFERROR(__xludf.DUMMYFUNCTION("""COMPUTED_VALUE"""),44587.0)</f>
        <v>44587</v>
      </c>
      <c r="J269" s="252">
        <f>IFERROR(__xludf.DUMMYFUNCTION("""COMPUTED_VALUE"""),0.5005439814814815)</f>
        <v>0.5005439815</v>
      </c>
      <c r="K269" s="56"/>
      <c r="L269" s="6"/>
      <c r="M269" s="61"/>
      <c r="N269" s="61">
        <f>IFERROR(__xludf.DUMMYFUNCTION("""COMPUTED_VALUE"""),1.0)</f>
        <v>1</v>
      </c>
      <c r="O269" s="61" t="str">
        <f t="shared" si="3"/>
        <v/>
      </c>
      <c r="P269" s="253">
        <f>IFERROR(__xludf.DUMMYFUNCTION("""COMPUTED_VALUE"""),0.0)</f>
        <v>0</v>
      </c>
      <c r="Q269" s="254" t="b">
        <f>VLOOKUP($B269,'Run Reconcile'!B$2:O799,14,FALSE)</f>
        <v>1</v>
      </c>
      <c r="R269" s="255" t="str">
        <f t="array" ref="R269">IF($Q269, INDEX('Run Reconcile'!A$2:A799,MATCH(B269,'Run Reconcile'!B$2:B799,0),1),IFERROR(0/0,""))</f>
        <v>RUN-BEND_2022-01-26_RFR-020</v>
      </c>
      <c r="S269" s="261" t="str">
        <f t="shared" ref="S269:T269" si="545">IF(COUNTIF(W$2:W799, $A269) &gt; 0,TRUE,IFERROR(0/0,""))</f>
        <v/>
      </c>
      <c r="T269" s="261" t="str">
        <f t="shared" si="545"/>
        <v/>
      </c>
      <c r="U269" s="257" t="str">
        <f t="array" ref="U269">IF(ISBLANK($R269), INDEX('Run Reconcile'!A$2:A799, MATCH($B269, 'Run Reconcile'!B$2:B799, 0)+Z269, 1), IFERROR(0/0,""))
</f>
        <v/>
      </c>
      <c r="V269" s="258" t="str">
        <f t="shared" si="480"/>
        <v>RUN-BEND_2022-01-26_RFR-020</v>
      </c>
      <c r="Y269" s="130" t="str">
        <f t="shared" si="487"/>
        <v/>
      </c>
      <c r="Z269" s="49" t="str">
        <f t="shared" si="7"/>
        <v/>
      </c>
      <c r="AA269" s="49" t="str">
        <f t="shared" si="8"/>
        <v/>
      </c>
      <c r="AB269" s="49" t="str">
        <f t="shared" si="9"/>
        <v/>
      </c>
      <c r="AC269" s="20" t="str">
        <f t="shared" ref="AC269:AD269" si="546">IF(_xlfn.ISFORMULA(S269),IFERROR(0/0,""),TRUE)</f>
        <v/>
      </c>
      <c r="AD269" s="20" t="str">
        <f t="shared" si="546"/>
        <v/>
      </c>
      <c r="AE269" s="43"/>
      <c r="AF269" s="62" t="s">
        <v>47</v>
      </c>
      <c r="AG269" s="57" t="str">
        <f t="shared" si="11"/>
        <v/>
      </c>
    </row>
    <row r="270">
      <c r="A270" s="6" t="str">
        <f>IFERROR(__xludf.DUMMYFUNCTION("""COMPUTED_VALUE"""),"MA1128")</f>
        <v>MA1128</v>
      </c>
      <c r="B270" s="204">
        <f>IFERROR(__xludf.DUMMYFUNCTION("""COMPUTED_VALUE"""),44587.0)</f>
        <v>44587</v>
      </c>
      <c r="C270" s="250">
        <f>IFERROR(__xludf.DUMMYFUNCTION("""COMPUTED_VALUE"""),0.32349537037037035)</f>
        <v>0.3234953704</v>
      </c>
      <c r="D270" s="6" t="str">
        <f>IFERROR(__xludf.DUMMYFUNCTION("""COMPUTED_VALUE"""),"SpBEND551372")</f>
        <v>SpBEND551372</v>
      </c>
      <c r="E270" s="251"/>
      <c r="F270" s="251"/>
      <c r="G270" s="251" t="str">
        <f>IFERROR(__xludf.DUMMYFUNCTION("""COMPUTED_VALUE"""),"Negative")</f>
        <v>Negative</v>
      </c>
      <c r="H270" s="262" t="str">
        <f>IFERROR(__xludf.DUMMYFUNCTION("""COMPUTED_VALUE"""),"Negative")</f>
        <v>Negative</v>
      </c>
      <c r="I270" s="204">
        <f>IFERROR(__xludf.DUMMYFUNCTION("""COMPUTED_VALUE"""),44587.0)</f>
        <v>44587</v>
      </c>
      <c r="J270" s="252">
        <f>IFERROR(__xludf.DUMMYFUNCTION("""COMPUTED_VALUE"""),0.5005439814814815)</f>
        <v>0.5005439815</v>
      </c>
      <c r="K270" s="56"/>
      <c r="L270" s="6"/>
      <c r="M270" s="61"/>
      <c r="N270" s="61">
        <f>IFERROR(__xludf.DUMMYFUNCTION("""COMPUTED_VALUE"""),1.0)</f>
        <v>1</v>
      </c>
      <c r="O270" s="61" t="str">
        <f t="shared" si="3"/>
        <v/>
      </c>
      <c r="P270" s="253">
        <f>IFERROR(__xludf.DUMMYFUNCTION("""COMPUTED_VALUE"""),0.0)</f>
        <v>0</v>
      </c>
      <c r="Q270" s="254" t="b">
        <f>VLOOKUP($B270,'Run Reconcile'!B$2:O799,14,FALSE)</f>
        <v>1</v>
      </c>
      <c r="R270" s="255" t="str">
        <f t="array" ref="R270">IF($Q270, INDEX('Run Reconcile'!A$2:A799,MATCH(B270,'Run Reconcile'!B$2:B799,0),1),IFERROR(0/0,""))</f>
        <v>RUN-BEND_2022-01-26_RFR-020</v>
      </c>
      <c r="S270" s="261" t="str">
        <f t="shared" ref="S270:T270" si="547">IF(COUNTIF(W$2:W799, $A270) &gt; 0,TRUE,IFERROR(0/0,""))</f>
        <v/>
      </c>
      <c r="T270" s="261" t="str">
        <f t="shared" si="547"/>
        <v/>
      </c>
      <c r="U270" s="257" t="str">
        <f t="array" ref="U270">IF(ISBLANK($R270), INDEX('Run Reconcile'!A$2:A799, MATCH($B270, 'Run Reconcile'!B$2:B799, 0)+Z270, 1), IFERROR(0/0,""))
</f>
        <v/>
      </c>
      <c r="V270" s="258" t="str">
        <f t="shared" si="480"/>
        <v>RUN-BEND_2022-01-26_RFR-020</v>
      </c>
      <c r="Y270" s="130" t="str">
        <f t="shared" si="487"/>
        <v/>
      </c>
      <c r="Z270" s="49" t="str">
        <f t="shared" si="7"/>
        <v/>
      </c>
      <c r="AA270" s="49" t="str">
        <f t="shared" si="8"/>
        <v/>
      </c>
      <c r="AB270" s="49" t="str">
        <f t="shared" si="9"/>
        <v/>
      </c>
      <c r="AC270" s="20" t="str">
        <f t="shared" ref="AC270:AD270" si="548">IF(_xlfn.ISFORMULA(S270),IFERROR(0/0,""),TRUE)</f>
        <v/>
      </c>
      <c r="AD270" s="20" t="str">
        <f t="shared" si="548"/>
        <v/>
      </c>
      <c r="AE270" s="43"/>
      <c r="AF270" s="62" t="s">
        <v>47</v>
      </c>
      <c r="AG270" s="57" t="str">
        <f t="shared" si="11"/>
        <v/>
      </c>
    </row>
    <row r="271">
      <c r="A271" s="6" t="str">
        <f>IFERROR(__xludf.DUMMYFUNCTION("""COMPUTED_VALUE"""),"MA1245")</f>
        <v>MA1245</v>
      </c>
      <c r="B271" s="204">
        <f>IFERROR(__xludf.DUMMYFUNCTION("""COMPUTED_VALUE"""),44587.0)</f>
        <v>44587</v>
      </c>
      <c r="C271" s="250">
        <f>IFERROR(__xludf.DUMMYFUNCTION("""COMPUTED_VALUE"""),0.32371527777777775)</f>
        <v>0.3237152778</v>
      </c>
      <c r="D271" s="6" t="str">
        <f>IFERROR(__xludf.DUMMYFUNCTION("""COMPUTED_VALUE"""),"SpBEND767550")</f>
        <v>SpBEND767550</v>
      </c>
      <c r="E271" s="251"/>
      <c r="F271" s="251"/>
      <c r="G271" s="251" t="str">
        <f>IFERROR(__xludf.DUMMYFUNCTION("""COMPUTED_VALUE"""),"Negative")</f>
        <v>Negative</v>
      </c>
      <c r="H271" s="262" t="str">
        <f>IFERROR(__xludf.DUMMYFUNCTION("""COMPUTED_VALUE"""),"Negative")</f>
        <v>Negative</v>
      </c>
      <c r="I271" s="204">
        <f>IFERROR(__xludf.DUMMYFUNCTION("""COMPUTED_VALUE"""),44587.0)</f>
        <v>44587</v>
      </c>
      <c r="J271" s="252">
        <f>IFERROR(__xludf.DUMMYFUNCTION("""COMPUTED_VALUE"""),0.5005439814814815)</f>
        <v>0.5005439815</v>
      </c>
      <c r="K271" s="56"/>
      <c r="L271" s="6"/>
      <c r="M271" s="61"/>
      <c r="N271" s="61">
        <f>IFERROR(__xludf.DUMMYFUNCTION("""COMPUTED_VALUE"""),1.0)</f>
        <v>1</v>
      </c>
      <c r="O271" s="61" t="str">
        <f t="shared" si="3"/>
        <v/>
      </c>
      <c r="P271" s="253">
        <f>IFERROR(__xludf.DUMMYFUNCTION("""COMPUTED_VALUE"""),0.0)</f>
        <v>0</v>
      </c>
      <c r="Q271" s="254" t="b">
        <f>VLOOKUP($B271,'Run Reconcile'!B$2:O799,14,FALSE)</f>
        <v>1</v>
      </c>
      <c r="R271" s="255" t="str">
        <f t="array" ref="R271">IF($Q271, INDEX('Run Reconcile'!A$2:A799,MATCH(B271,'Run Reconcile'!B$2:B799,0),1),IFERROR(0/0,""))</f>
        <v>RUN-BEND_2022-01-26_RFR-020</v>
      </c>
      <c r="S271" s="261" t="str">
        <f t="shared" ref="S271:T271" si="549">IF(COUNTIF(W$2:W799, $A271) &gt; 0,TRUE,IFERROR(0/0,""))</f>
        <v/>
      </c>
      <c r="T271" s="261" t="str">
        <f t="shared" si="549"/>
        <v/>
      </c>
      <c r="U271" s="257" t="str">
        <f t="array" ref="U271">IF(ISBLANK($R271), INDEX('Run Reconcile'!A$2:A799, MATCH($B271, 'Run Reconcile'!B$2:B799, 0)+Z271, 1), IFERROR(0/0,""))
</f>
        <v/>
      </c>
      <c r="V271" s="258" t="str">
        <f t="shared" si="480"/>
        <v>RUN-BEND_2022-01-26_RFR-020</v>
      </c>
      <c r="Y271" s="130" t="str">
        <f t="shared" si="487"/>
        <v/>
      </c>
      <c r="Z271" s="49" t="str">
        <f t="shared" si="7"/>
        <v/>
      </c>
      <c r="AA271" s="49" t="str">
        <f t="shared" si="8"/>
        <v/>
      </c>
      <c r="AB271" s="49" t="str">
        <f t="shared" si="9"/>
        <v/>
      </c>
      <c r="AC271" s="20" t="str">
        <f t="shared" ref="AC271:AD271" si="550">IF(_xlfn.ISFORMULA(S271),IFERROR(0/0,""),TRUE)</f>
        <v/>
      </c>
      <c r="AD271" s="20" t="str">
        <f t="shared" si="550"/>
        <v/>
      </c>
      <c r="AE271" s="43"/>
      <c r="AF271" s="62" t="s">
        <v>47</v>
      </c>
      <c r="AG271" s="57" t="str">
        <f t="shared" si="11"/>
        <v/>
      </c>
    </row>
    <row r="272">
      <c r="A272" s="6" t="str">
        <f>IFERROR(__xludf.DUMMYFUNCTION("""COMPUTED_VALUE"""),"MA1070")</f>
        <v>MA1070</v>
      </c>
      <c r="B272" s="204">
        <f>IFERROR(__xludf.DUMMYFUNCTION("""COMPUTED_VALUE"""),44587.0)</f>
        <v>44587</v>
      </c>
      <c r="C272" s="250">
        <f>IFERROR(__xludf.DUMMYFUNCTION("""COMPUTED_VALUE"""),0.32375)</f>
        <v>0.32375</v>
      </c>
      <c r="D272" s="6" t="str">
        <f>IFERROR(__xludf.DUMMYFUNCTION("""COMPUTED_VALUE"""),"SpBEND551372")</f>
        <v>SpBEND551372</v>
      </c>
      <c r="E272" s="251"/>
      <c r="F272" s="251"/>
      <c r="G272" s="251" t="str">
        <f>IFERROR(__xludf.DUMMYFUNCTION("""COMPUTED_VALUE"""),"Negative")</f>
        <v>Negative</v>
      </c>
      <c r="H272" s="262" t="str">
        <f>IFERROR(__xludf.DUMMYFUNCTION("""COMPUTED_VALUE"""),"Negative")</f>
        <v>Negative</v>
      </c>
      <c r="I272" s="204">
        <f>IFERROR(__xludf.DUMMYFUNCTION("""COMPUTED_VALUE"""),44587.0)</f>
        <v>44587</v>
      </c>
      <c r="J272" s="252">
        <f>IFERROR(__xludf.DUMMYFUNCTION("""COMPUTED_VALUE"""),0.5005439814814815)</f>
        <v>0.5005439815</v>
      </c>
      <c r="K272" s="56"/>
      <c r="L272" s="6"/>
      <c r="M272" s="61"/>
      <c r="N272" s="61">
        <f>IFERROR(__xludf.DUMMYFUNCTION("""COMPUTED_VALUE"""),1.0)</f>
        <v>1</v>
      </c>
      <c r="O272" s="61" t="str">
        <f t="shared" si="3"/>
        <v/>
      </c>
      <c r="P272" s="253">
        <f>IFERROR(__xludf.DUMMYFUNCTION("""COMPUTED_VALUE"""),0.0)</f>
        <v>0</v>
      </c>
      <c r="Q272" s="254" t="b">
        <f>VLOOKUP($B272,'Run Reconcile'!B$2:O799,14,FALSE)</f>
        <v>1</v>
      </c>
      <c r="R272" s="255" t="str">
        <f t="array" ref="R272">IF($Q272, INDEX('Run Reconcile'!A$2:A799,MATCH(B272,'Run Reconcile'!B$2:B799,0),1),IFERROR(0/0,""))</f>
        <v>RUN-BEND_2022-01-26_RFR-020</v>
      </c>
      <c r="S272" s="261" t="str">
        <f t="shared" ref="S272:T272" si="551">IF(COUNTIF(W$2:W799, $A272) &gt; 0,TRUE,IFERROR(0/0,""))</f>
        <v/>
      </c>
      <c r="T272" s="261" t="str">
        <f t="shared" si="551"/>
        <v/>
      </c>
      <c r="U272" s="257" t="str">
        <f t="array" ref="U272">IF(ISBLANK($R272), INDEX('Run Reconcile'!A$2:A799, MATCH($B272, 'Run Reconcile'!B$2:B799, 0)+Z272, 1), IFERROR(0/0,""))
</f>
        <v/>
      </c>
      <c r="V272" s="258" t="str">
        <f t="shared" si="480"/>
        <v>RUN-BEND_2022-01-26_RFR-020</v>
      </c>
      <c r="Y272" s="130" t="str">
        <f t="shared" si="487"/>
        <v/>
      </c>
      <c r="Z272" s="49" t="str">
        <f t="shared" si="7"/>
        <v/>
      </c>
      <c r="AA272" s="49" t="str">
        <f t="shared" si="8"/>
        <v/>
      </c>
      <c r="AB272" s="49" t="str">
        <f t="shared" si="9"/>
        <v/>
      </c>
      <c r="AC272" s="20" t="str">
        <f t="shared" ref="AC272:AD272" si="552">IF(_xlfn.ISFORMULA(S272),IFERROR(0/0,""),TRUE)</f>
        <v/>
      </c>
      <c r="AD272" s="20" t="str">
        <f t="shared" si="552"/>
        <v/>
      </c>
      <c r="AE272" s="43"/>
      <c r="AF272" s="62" t="s">
        <v>47</v>
      </c>
      <c r="AG272" s="57" t="str">
        <f t="shared" si="11"/>
        <v/>
      </c>
    </row>
    <row r="273">
      <c r="A273" s="6" t="str">
        <f>IFERROR(__xludf.DUMMYFUNCTION("""COMPUTED_VALUE"""),"MA1076")</f>
        <v>MA1076</v>
      </c>
      <c r="B273" s="204">
        <f>IFERROR(__xludf.DUMMYFUNCTION("""COMPUTED_VALUE"""),44587.0)</f>
        <v>44587</v>
      </c>
      <c r="C273" s="250">
        <f>IFERROR(__xludf.DUMMYFUNCTION("""COMPUTED_VALUE"""),0.3313425925925926)</f>
        <v>0.3313425926</v>
      </c>
      <c r="D273" s="6" t="str">
        <f>IFERROR(__xludf.DUMMYFUNCTION("""COMPUTED_VALUE"""),"SpBEND548976")</f>
        <v>SpBEND548976</v>
      </c>
      <c r="E273" s="251"/>
      <c r="F273" s="251"/>
      <c r="G273" s="251" t="str">
        <f>IFERROR(__xludf.DUMMYFUNCTION("""COMPUTED_VALUE"""),"Negative")</f>
        <v>Negative</v>
      </c>
      <c r="H273" s="262" t="str">
        <f>IFERROR(__xludf.DUMMYFUNCTION("""COMPUTED_VALUE"""),"Negative")</f>
        <v>Negative</v>
      </c>
      <c r="I273" s="204">
        <f>IFERROR(__xludf.DUMMYFUNCTION("""COMPUTED_VALUE"""),44587.0)</f>
        <v>44587</v>
      </c>
      <c r="J273" s="252">
        <f>IFERROR(__xludf.DUMMYFUNCTION("""COMPUTED_VALUE"""),0.5005555555555555)</f>
        <v>0.5005555556</v>
      </c>
      <c r="K273" s="56"/>
      <c r="L273" s="6"/>
      <c r="M273" s="61"/>
      <c r="N273" s="61">
        <f>IFERROR(__xludf.DUMMYFUNCTION("""COMPUTED_VALUE"""),1.0)</f>
        <v>1</v>
      </c>
      <c r="O273" s="61" t="str">
        <f t="shared" si="3"/>
        <v/>
      </c>
      <c r="P273" s="253">
        <f>IFERROR(__xludf.DUMMYFUNCTION("""COMPUTED_VALUE"""),0.0)</f>
        <v>0</v>
      </c>
      <c r="Q273" s="254" t="b">
        <f>VLOOKUP($B273,'Run Reconcile'!B$2:O799,14,FALSE)</f>
        <v>1</v>
      </c>
      <c r="R273" s="255" t="str">
        <f t="array" ref="R273">IF($Q273, INDEX('Run Reconcile'!A$2:A799,MATCH(B273,'Run Reconcile'!B$2:B799,0),1),IFERROR(0/0,""))</f>
        <v>RUN-BEND_2022-01-26_RFR-020</v>
      </c>
      <c r="S273" s="261" t="str">
        <f t="shared" ref="S273:T273" si="553">IF(COUNTIF(W$2:W799, $A273) &gt; 0,TRUE,IFERROR(0/0,""))</f>
        <v/>
      </c>
      <c r="T273" s="261" t="str">
        <f t="shared" si="553"/>
        <v/>
      </c>
      <c r="U273" s="257" t="str">
        <f t="array" ref="U273">IF(ISBLANK($R273), INDEX('Run Reconcile'!A$2:A799, MATCH($B273, 'Run Reconcile'!B$2:B799, 0)+Z273, 1), IFERROR(0/0,""))
</f>
        <v/>
      </c>
      <c r="V273" s="258" t="str">
        <f t="shared" si="480"/>
        <v>RUN-BEND_2022-01-26_RFR-020</v>
      </c>
      <c r="Y273" s="130" t="str">
        <f t="shared" si="487"/>
        <v/>
      </c>
      <c r="Z273" s="49" t="str">
        <f t="shared" si="7"/>
        <v/>
      </c>
      <c r="AA273" s="49" t="str">
        <f t="shared" si="8"/>
        <v/>
      </c>
      <c r="AB273" s="49" t="str">
        <f t="shared" si="9"/>
        <v/>
      </c>
      <c r="AC273" s="20" t="str">
        <f t="shared" ref="AC273:AD273" si="554">IF(_xlfn.ISFORMULA(S273),IFERROR(0/0,""),TRUE)</f>
        <v/>
      </c>
      <c r="AD273" s="20" t="str">
        <f t="shared" si="554"/>
        <v/>
      </c>
      <c r="AE273" s="43"/>
      <c r="AF273" s="62" t="s">
        <v>47</v>
      </c>
      <c r="AG273" s="57" t="str">
        <f t="shared" si="11"/>
        <v/>
      </c>
    </row>
    <row r="274">
      <c r="A274" s="6" t="str">
        <f>IFERROR(__xludf.DUMMYFUNCTION("""COMPUTED_VALUE"""),"MA411")</f>
        <v>MA411</v>
      </c>
      <c r="B274" s="204">
        <f>IFERROR(__xludf.DUMMYFUNCTION("""COMPUTED_VALUE"""),44587.0)</f>
        <v>44587</v>
      </c>
      <c r="C274" s="250">
        <f>IFERROR(__xludf.DUMMYFUNCTION("""COMPUTED_VALUE"""),0.33185185185185184)</f>
        <v>0.3318518519</v>
      </c>
      <c r="D274" s="6" t="str">
        <f>IFERROR(__xludf.DUMMYFUNCTION("""COMPUTED_VALUE"""),"SpBEND845509")</f>
        <v>SpBEND845509</v>
      </c>
      <c r="E274" s="251"/>
      <c r="F274" s="251"/>
      <c r="G274" s="251" t="str">
        <f>IFERROR(__xludf.DUMMYFUNCTION("""COMPUTED_VALUE"""),"Negative")</f>
        <v>Negative</v>
      </c>
      <c r="H274" s="262" t="str">
        <f>IFERROR(__xludf.DUMMYFUNCTION("""COMPUTED_VALUE"""),"Negative")</f>
        <v>Negative</v>
      </c>
      <c r="I274" s="204">
        <f>IFERROR(__xludf.DUMMYFUNCTION("""COMPUTED_VALUE"""),44587.0)</f>
        <v>44587</v>
      </c>
      <c r="J274" s="252">
        <f>IFERROR(__xludf.DUMMYFUNCTION("""COMPUTED_VALUE"""),0.5005555555555555)</f>
        <v>0.5005555556</v>
      </c>
      <c r="K274" s="56"/>
      <c r="L274" s="6"/>
      <c r="M274" s="61"/>
      <c r="N274" s="61">
        <f>IFERROR(__xludf.DUMMYFUNCTION("""COMPUTED_VALUE"""),1.0)</f>
        <v>1</v>
      </c>
      <c r="O274" s="61" t="str">
        <f t="shared" si="3"/>
        <v/>
      </c>
      <c r="P274" s="253">
        <f>IFERROR(__xludf.DUMMYFUNCTION("""COMPUTED_VALUE"""),0.0)</f>
        <v>0</v>
      </c>
      <c r="Q274" s="254" t="b">
        <f>VLOOKUP($B274,'Run Reconcile'!B$2:O799,14,FALSE)</f>
        <v>1</v>
      </c>
      <c r="R274" s="255" t="str">
        <f t="array" ref="R274">IF($Q274, INDEX('Run Reconcile'!A$2:A799,MATCH(B274,'Run Reconcile'!B$2:B799,0),1),IFERROR(0/0,""))</f>
        <v>RUN-BEND_2022-01-26_RFR-020</v>
      </c>
      <c r="S274" s="261" t="str">
        <f t="shared" ref="S274:T274" si="555">IF(COUNTIF(W$2:W799, $A274) &gt; 0,TRUE,IFERROR(0/0,""))</f>
        <v/>
      </c>
      <c r="T274" s="261" t="str">
        <f t="shared" si="555"/>
        <v/>
      </c>
      <c r="U274" s="257" t="str">
        <f t="array" ref="U274">IF(ISBLANK($R274), INDEX('Run Reconcile'!A$2:A799, MATCH($B274, 'Run Reconcile'!B$2:B799, 0)+Z274, 1), IFERROR(0/0,""))
</f>
        <v/>
      </c>
      <c r="V274" s="258" t="str">
        <f t="shared" si="480"/>
        <v>RUN-BEND_2022-01-26_RFR-020</v>
      </c>
      <c r="Y274" s="130" t="str">
        <f t="shared" si="487"/>
        <v/>
      </c>
      <c r="Z274" s="49" t="str">
        <f t="shared" si="7"/>
        <v/>
      </c>
      <c r="AA274" s="49" t="str">
        <f t="shared" si="8"/>
        <v/>
      </c>
      <c r="AB274" s="49" t="str">
        <f t="shared" si="9"/>
        <v/>
      </c>
      <c r="AC274" s="20" t="str">
        <f t="shared" ref="AC274:AD274" si="556">IF(_xlfn.ISFORMULA(S274),IFERROR(0/0,""),TRUE)</f>
        <v/>
      </c>
      <c r="AD274" s="20" t="str">
        <f t="shared" si="556"/>
        <v/>
      </c>
      <c r="AE274" s="43"/>
      <c r="AF274" s="62" t="s">
        <v>47</v>
      </c>
      <c r="AG274" s="57" t="str">
        <f t="shared" si="11"/>
        <v/>
      </c>
    </row>
    <row r="275">
      <c r="A275" s="6" t="str">
        <f>IFERROR(__xludf.DUMMYFUNCTION("""COMPUTED_VALUE"""),"MA610")</f>
        <v>MA610</v>
      </c>
      <c r="B275" s="204">
        <f>IFERROR(__xludf.DUMMYFUNCTION("""COMPUTED_VALUE"""),44587.0)</f>
        <v>44587</v>
      </c>
      <c r="C275" s="250">
        <f>IFERROR(__xludf.DUMMYFUNCTION("""COMPUTED_VALUE"""),0.3365972222222222)</f>
        <v>0.3365972222</v>
      </c>
      <c r="D275" s="6" t="str">
        <f>IFERROR(__xludf.DUMMYFUNCTION("""COMPUTED_VALUE"""),"SpBEND136234")</f>
        <v>SpBEND136234</v>
      </c>
      <c r="E275" s="251"/>
      <c r="F275" s="251"/>
      <c r="G275" s="251" t="str">
        <f>IFERROR(__xludf.DUMMYFUNCTION("""COMPUTED_VALUE"""),"Negative")</f>
        <v>Negative</v>
      </c>
      <c r="H275" s="262" t="str">
        <f>IFERROR(__xludf.DUMMYFUNCTION("""COMPUTED_VALUE"""),"Negative")</f>
        <v>Negative</v>
      </c>
      <c r="I275" s="204">
        <f>IFERROR(__xludf.DUMMYFUNCTION("""COMPUTED_VALUE"""),44587.0)</f>
        <v>44587</v>
      </c>
      <c r="J275" s="252">
        <f>IFERROR(__xludf.DUMMYFUNCTION("""COMPUTED_VALUE"""),0.5005555555555555)</f>
        <v>0.5005555556</v>
      </c>
      <c r="K275" s="56"/>
      <c r="L275" s="6"/>
      <c r="M275" s="61"/>
      <c r="N275" s="61">
        <f>IFERROR(__xludf.DUMMYFUNCTION("""COMPUTED_VALUE"""),1.0)</f>
        <v>1</v>
      </c>
      <c r="O275" s="61" t="str">
        <f t="shared" si="3"/>
        <v/>
      </c>
      <c r="P275" s="253">
        <f>IFERROR(__xludf.DUMMYFUNCTION("""COMPUTED_VALUE"""),0.0)</f>
        <v>0</v>
      </c>
      <c r="Q275" s="254" t="b">
        <f>VLOOKUP($B275,'Run Reconcile'!B$2:O799,14,FALSE)</f>
        <v>1</v>
      </c>
      <c r="R275" s="255" t="str">
        <f t="array" ref="R275">IF($Q275, INDEX('Run Reconcile'!A$2:A799,MATCH(B275,'Run Reconcile'!B$2:B799,0),1),IFERROR(0/0,""))</f>
        <v>RUN-BEND_2022-01-26_RFR-020</v>
      </c>
      <c r="S275" s="261" t="str">
        <f t="shared" ref="S275:T275" si="557">IF(COUNTIF(W$2:W799, $A275) &gt; 0,TRUE,IFERROR(0/0,""))</f>
        <v/>
      </c>
      <c r="T275" s="261" t="str">
        <f t="shared" si="557"/>
        <v/>
      </c>
      <c r="U275" s="257" t="str">
        <f t="array" ref="U275">IF(ISBLANK($R275), INDEX('Run Reconcile'!A$2:A799, MATCH($B275, 'Run Reconcile'!B$2:B799, 0)+Z275, 1), IFERROR(0/0,""))
</f>
        <v/>
      </c>
      <c r="V275" s="258" t="str">
        <f t="shared" si="480"/>
        <v>RUN-BEND_2022-01-26_RFR-020</v>
      </c>
      <c r="Y275" s="130" t="str">
        <f t="shared" si="487"/>
        <v/>
      </c>
      <c r="Z275" s="49" t="str">
        <f t="shared" si="7"/>
        <v/>
      </c>
      <c r="AA275" s="49" t="str">
        <f t="shared" si="8"/>
        <v/>
      </c>
      <c r="AB275" s="49" t="str">
        <f t="shared" si="9"/>
        <v/>
      </c>
      <c r="AC275" s="20" t="str">
        <f t="shared" ref="AC275:AD275" si="558">IF(_xlfn.ISFORMULA(S275),IFERROR(0/0,""),TRUE)</f>
        <v/>
      </c>
      <c r="AD275" s="20" t="str">
        <f t="shared" si="558"/>
        <v/>
      </c>
      <c r="AE275" s="43"/>
      <c r="AF275" s="62" t="s">
        <v>47</v>
      </c>
      <c r="AG275" s="57" t="str">
        <f t="shared" si="11"/>
        <v/>
      </c>
    </row>
    <row r="276">
      <c r="A276" s="6" t="str">
        <f>IFERROR(__xludf.DUMMYFUNCTION("""COMPUTED_VALUE"""),"MA454")</f>
        <v>MA454</v>
      </c>
      <c r="B276" s="204">
        <f>IFERROR(__xludf.DUMMYFUNCTION("""COMPUTED_VALUE"""),44587.0)</f>
        <v>44587</v>
      </c>
      <c r="C276" s="250">
        <f>IFERROR(__xludf.DUMMYFUNCTION("""COMPUTED_VALUE"""),0.3372222222222222)</f>
        <v>0.3372222222</v>
      </c>
      <c r="D276" s="6" t="str">
        <f>IFERROR(__xludf.DUMMYFUNCTION("""COMPUTED_VALUE"""),"SpBEND768497")</f>
        <v>SpBEND768497</v>
      </c>
      <c r="E276" s="251"/>
      <c r="F276" s="251"/>
      <c r="G276" s="251" t="str">
        <f>IFERROR(__xludf.DUMMYFUNCTION("""COMPUTED_VALUE"""),"Negative")</f>
        <v>Negative</v>
      </c>
      <c r="H276" s="262" t="str">
        <f>IFERROR(__xludf.DUMMYFUNCTION("""COMPUTED_VALUE"""),"Negative")</f>
        <v>Negative</v>
      </c>
      <c r="I276" s="204">
        <f>IFERROR(__xludf.DUMMYFUNCTION("""COMPUTED_VALUE"""),44587.0)</f>
        <v>44587</v>
      </c>
      <c r="J276" s="252">
        <f>IFERROR(__xludf.DUMMYFUNCTION("""COMPUTED_VALUE"""),0.5005555555555555)</f>
        <v>0.5005555556</v>
      </c>
      <c r="K276" s="56"/>
      <c r="L276" s="6"/>
      <c r="M276" s="61"/>
      <c r="N276" s="61">
        <f>IFERROR(__xludf.DUMMYFUNCTION("""COMPUTED_VALUE"""),1.0)</f>
        <v>1</v>
      </c>
      <c r="O276" s="61" t="str">
        <f t="shared" si="3"/>
        <v/>
      </c>
      <c r="P276" s="253">
        <f>IFERROR(__xludf.DUMMYFUNCTION("""COMPUTED_VALUE"""),0.0)</f>
        <v>0</v>
      </c>
      <c r="Q276" s="254" t="b">
        <f>VLOOKUP($B276,'Run Reconcile'!B$2:O799,14,FALSE)</f>
        <v>1</v>
      </c>
      <c r="R276" s="255" t="str">
        <f t="array" ref="R276">IF($Q276, INDEX('Run Reconcile'!A$2:A799,MATCH(B276,'Run Reconcile'!B$2:B799,0),1),IFERROR(0/0,""))</f>
        <v>RUN-BEND_2022-01-26_RFR-020</v>
      </c>
      <c r="S276" s="261" t="str">
        <f t="shared" ref="S276:T276" si="559">IF(COUNTIF(W$2:W799, $A276) &gt; 0,TRUE,IFERROR(0/0,""))</f>
        <v/>
      </c>
      <c r="T276" s="261" t="str">
        <f t="shared" si="559"/>
        <v/>
      </c>
      <c r="U276" s="257" t="str">
        <f t="array" ref="U276">IF(ISBLANK($R276), INDEX('Run Reconcile'!A$2:A799, MATCH($B276, 'Run Reconcile'!B$2:B799, 0)+Z276, 1), IFERROR(0/0,""))
</f>
        <v/>
      </c>
      <c r="V276" s="258" t="str">
        <f t="shared" si="480"/>
        <v>RUN-BEND_2022-01-26_RFR-020</v>
      </c>
      <c r="Y276" s="130" t="str">
        <f t="shared" si="487"/>
        <v/>
      </c>
      <c r="Z276" s="49" t="str">
        <f t="shared" si="7"/>
        <v/>
      </c>
      <c r="AA276" s="49" t="str">
        <f t="shared" si="8"/>
        <v/>
      </c>
      <c r="AB276" s="49" t="str">
        <f t="shared" si="9"/>
        <v/>
      </c>
      <c r="AC276" s="20" t="str">
        <f t="shared" ref="AC276:AD276" si="560">IF(_xlfn.ISFORMULA(S276),IFERROR(0/0,""),TRUE)</f>
        <v/>
      </c>
      <c r="AD276" s="20" t="str">
        <f t="shared" si="560"/>
        <v/>
      </c>
      <c r="AE276" s="43"/>
      <c r="AF276" s="62" t="s">
        <v>47</v>
      </c>
      <c r="AG276" s="57" t="str">
        <f t="shared" si="11"/>
        <v/>
      </c>
    </row>
    <row r="277">
      <c r="A277" s="6" t="str">
        <f>IFERROR(__xludf.DUMMYFUNCTION("""COMPUTED_VALUE"""),"MA1278")</f>
        <v>MA1278</v>
      </c>
      <c r="B277" s="204">
        <f>IFERROR(__xludf.DUMMYFUNCTION("""COMPUTED_VALUE"""),44587.0)</f>
        <v>44587</v>
      </c>
      <c r="C277" s="250">
        <f>IFERROR(__xludf.DUMMYFUNCTION("""COMPUTED_VALUE"""),0.3502314814814815)</f>
        <v>0.3502314815</v>
      </c>
      <c r="D277" s="6" t="str">
        <f>IFERROR(__xludf.DUMMYFUNCTION("""COMPUTED_VALUE"""),"SpBEND387578")</f>
        <v>SpBEND387578</v>
      </c>
      <c r="E277" s="251"/>
      <c r="F277" s="251"/>
      <c r="G277" s="251" t="str">
        <f>IFERROR(__xludf.DUMMYFUNCTION("""COMPUTED_VALUE"""),"Negative")</f>
        <v>Negative</v>
      </c>
      <c r="H277" s="262" t="str">
        <f>IFERROR(__xludf.DUMMYFUNCTION("""COMPUTED_VALUE"""),"Negative")</f>
        <v>Negative</v>
      </c>
      <c r="I277" s="204">
        <f>IFERROR(__xludf.DUMMYFUNCTION("""COMPUTED_VALUE"""),44587.0)</f>
        <v>44587</v>
      </c>
      <c r="J277" s="252">
        <f>IFERROR(__xludf.DUMMYFUNCTION("""COMPUTED_VALUE"""),0.5005555555555555)</f>
        <v>0.5005555556</v>
      </c>
      <c r="K277" s="56"/>
      <c r="L277" s="6"/>
      <c r="M277" s="61"/>
      <c r="N277" s="61">
        <f>IFERROR(__xludf.DUMMYFUNCTION("""COMPUTED_VALUE"""),1.0)</f>
        <v>1</v>
      </c>
      <c r="O277" s="61" t="str">
        <f t="shared" si="3"/>
        <v/>
      </c>
      <c r="P277" s="253">
        <f>IFERROR(__xludf.DUMMYFUNCTION("""COMPUTED_VALUE"""),0.0)</f>
        <v>0</v>
      </c>
      <c r="Q277" s="254" t="b">
        <f>VLOOKUP($B277,'Run Reconcile'!B$2:O799,14,FALSE)</f>
        <v>1</v>
      </c>
      <c r="R277" s="255" t="str">
        <f t="array" ref="R277">IF($Q277, INDEX('Run Reconcile'!A$2:A799,MATCH(B277,'Run Reconcile'!B$2:B799,0),1),IFERROR(0/0,""))</f>
        <v>RUN-BEND_2022-01-26_RFR-020</v>
      </c>
      <c r="S277" s="261" t="str">
        <f t="shared" ref="S277:T277" si="561">IF(COUNTIF(W$2:W799, $A277) &gt; 0,TRUE,IFERROR(0/0,""))</f>
        <v/>
      </c>
      <c r="T277" s="261" t="str">
        <f t="shared" si="561"/>
        <v/>
      </c>
      <c r="U277" s="257" t="str">
        <f t="array" ref="U277">IF(ISBLANK($R277), INDEX('Run Reconcile'!A$2:A799, MATCH($B277, 'Run Reconcile'!B$2:B799, 0)+Z277, 1), IFERROR(0/0,""))
</f>
        <v/>
      </c>
      <c r="V277" s="258" t="str">
        <f t="shared" si="480"/>
        <v>RUN-BEND_2022-01-26_RFR-020</v>
      </c>
      <c r="Y277" s="130" t="str">
        <f t="shared" si="487"/>
        <v/>
      </c>
      <c r="Z277" s="49" t="str">
        <f t="shared" si="7"/>
        <v/>
      </c>
      <c r="AA277" s="49" t="str">
        <f t="shared" si="8"/>
        <v/>
      </c>
      <c r="AB277" s="49" t="str">
        <f t="shared" si="9"/>
        <v/>
      </c>
      <c r="AC277" s="20" t="str">
        <f t="shared" ref="AC277:AD277" si="562">IF(_xlfn.ISFORMULA(S277),IFERROR(0/0,""),TRUE)</f>
        <v/>
      </c>
      <c r="AD277" s="20" t="str">
        <f t="shared" si="562"/>
        <v/>
      </c>
      <c r="AE277" s="43"/>
      <c r="AF277" s="62" t="s">
        <v>47</v>
      </c>
      <c r="AG277" s="57" t="str">
        <f t="shared" si="11"/>
        <v/>
      </c>
    </row>
    <row r="278">
      <c r="A278" s="6" t="str">
        <f>IFERROR(__xludf.DUMMYFUNCTION("""COMPUTED_VALUE"""),"MA524")</f>
        <v>MA524</v>
      </c>
      <c r="B278" s="204">
        <f>IFERROR(__xludf.DUMMYFUNCTION("""COMPUTED_VALUE"""),44587.0)</f>
        <v>44587</v>
      </c>
      <c r="C278" s="250">
        <f>IFERROR(__xludf.DUMMYFUNCTION("""COMPUTED_VALUE"""),0.3566898148148148)</f>
        <v>0.3566898148</v>
      </c>
      <c r="D278" s="6" t="str">
        <f>IFERROR(__xludf.DUMMYFUNCTION("""COMPUTED_VALUE"""),"SpBEND110967")</f>
        <v>SpBEND110967</v>
      </c>
      <c r="E278" s="251"/>
      <c r="F278" s="251"/>
      <c r="G278" s="251" t="str">
        <f>IFERROR(__xludf.DUMMYFUNCTION("""COMPUTED_VALUE"""),"Negative")</f>
        <v>Negative</v>
      </c>
      <c r="H278" s="262" t="str">
        <f>IFERROR(__xludf.DUMMYFUNCTION("""COMPUTED_VALUE"""),"Negative")</f>
        <v>Negative</v>
      </c>
      <c r="I278" s="204">
        <f>IFERROR(__xludf.DUMMYFUNCTION("""COMPUTED_VALUE"""),44587.0)</f>
        <v>44587</v>
      </c>
      <c r="J278" s="252">
        <f>IFERROR(__xludf.DUMMYFUNCTION("""COMPUTED_VALUE"""),0.5005671296296297)</f>
        <v>0.5005671296</v>
      </c>
      <c r="K278" s="56"/>
      <c r="L278" s="6"/>
      <c r="M278" s="61"/>
      <c r="N278" s="61">
        <f>IFERROR(__xludf.DUMMYFUNCTION("""COMPUTED_VALUE"""),1.0)</f>
        <v>1</v>
      </c>
      <c r="O278" s="61" t="str">
        <f t="shared" si="3"/>
        <v/>
      </c>
      <c r="P278" s="253">
        <f>IFERROR(__xludf.DUMMYFUNCTION("""COMPUTED_VALUE"""),0.0)</f>
        <v>0</v>
      </c>
      <c r="Q278" s="254" t="b">
        <f>VLOOKUP($B278,'Run Reconcile'!B$2:O799,14,FALSE)</f>
        <v>1</v>
      </c>
      <c r="R278" s="255" t="str">
        <f t="array" ref="R278">IF($Q278, INDEX('Run Reconcile'!A$2:A799,MATCH(B278,'Run Reconcile'!B$2:B799,0),1),IFERROR(0/0,""))</f>
        <v>RUN-BEND_2022-01-26_RFR-020</v>
      </c>
      <c r="S278" s="261" t="str">
        <f t="shared" ref="S278:T278" si="563">IF(COUNTIF(W$2:W799, $A278) &gt; 0,TRUE,IFERROR(0/0,""))</f>
        <v/>
      </c>
      <c r="T278" s="261" t="str">
        <f t="shared" si="563"/>
        <v/>
      </c>
      <c r="U278" s="257" t="str">
        <f t="array" ref="U278">IF(ISBLANK($R278), INDEX('Run Reconcile'!A$2:A799, MATCH($B278, 'Run Reconcile'!B$2:B799, 0)+Z278, 1), IFERROR(0/0,""))
</f>
        <v/>
      </c>
      <c r="V278" s="258" t="str">
        <f t="shared" si="480"/>
        <v>RUN-BEND_2022-01-26_RFR-020</v>
      </c>
      <c r="Y278" s="130" t="str">
        <f t="shared" si="487"/>
        <v/>
      </c>
      <c r="Z278" s="49" t="str">
        <f t="shared" si="7"/>
        <v/>
      </c>
      <c r="AA278" s="49" t="str">
        <f t="shared" si="8"/>
        <v/>
      </c>
      <c r="AB278" s="49" t="str">
        <f t="shared" si="9"/>
        <v/>
      </c>
      <c r="AC278" s="20" t="str">
        <f t="shared" ref="AC278:AD278" si="564">IF(_xlfn.ISFORMULA(S278),IFERROR(0/0,""),TRUE)</f>
        <v/>
      </c>
      <c r="AD278" s="20" t="str">
        <f t="shared" si="564"/>
        <v/>
      </c>
      <c r="AE278" s="43"/>
      <c r="AF278" s="62" t="s">
        <v>47</v>
      </c>
      <c r="AG278" s="57" t="str">
        <f t="shared" si="11"/>
        <v/>
      </c>
    </row>
    <row r="279">
      <c r="A279" s="6" t="str">
        <f>IFERROR(__xludf.DUMMYFUNCTION("""COMPUTED_VALUE"""),"MAX123")</f>
        <v>MAX123</v>
      </c>
      <c r="B279" s="204">
        <f>IFERROR(__xludf.DUMMYFUNCTION("""COMPUTED_VALUE"""),44587.0)</f>
        <v>44587</v>
      </c>
      <c r="C279" s="250">
        <f>IFERROR(__xludf.DUMMYFUNCTION("""COMPUTED_VALUE"""),0.38894675925925926)</f>
        <v>0.3889467593</v>
      </c>
      <c r="D279" s="6" t="str">
        <f>IFERROR(__xludf.DUMMYFUNCTION("""COMPUTED_VALUE"""),"SpBEND394154")</f>
        <v>SpBEND394154</v>
      </c>
      <c r="E279" s="251"/>
      <c r="F279" s="251"/>
      <c r="G279" s="251" t="str">
        <f>IFERROR(__xludf.DUMMYFUNCTION("""COMPUTED_VALUE"""),"Negative")</f>
        <v>Negative</v>
      </c>
      <c r="H279" s="262" t="str">
        <f>IFERROR(__xludf.DUMMYFUNCTION("""COMPUTED_VALUE"""),"Negative")</f>
        <v>Negative</v>
      </c>
      <c r="I279" s="204">
        <f>IFERROR(__xludf.DUMMYFUNCTION("""COMPUTED_VALUE"""),44587.0)</f>
        <v>44587</v>
      </c>
      <c r="J279" s="252">
        <f>IFERROR(__xludf.DUMMYFUNCTION("""COMPUTED_VALUE"""),0.5005671296296297)</f>
        <v>0.5005671296</v>
      </c>
      <c r="K279" s="56"/>
      <c r="L279" s="6"/>
      <c r="M279" s="61"/>
      <c r="N279" s="61">
        <f>IFERROR(__xludf.DUMMYFUNCTION("""COMPUTED_VALUE"""),1.0)</f>
        <v>1</v>
      </c>
      <c r="O279" s="61" t="str">
        <f t="shared" si="3"/>
        <v/>
      </c>
      <c r="P279" s="253">
        <f>IFERROR(__xludf.DUMMYFUNCTION("""COMPUTED_VALUE"""),0.0)</f>
        <v>0</v>
      </c>
      <c r="Q279" s="254" t="b">
        <f>VLOOKUP($B279,'Run Reconcile'!B$2:O799,14,FALSE)</f>
        <v>1</v>
      </c>
      <c r="R279" s="255" t="str">
        <f t="array" ref="R279">IF($Q279, INDEX('Run Reconcile'!A$2:A799,MATCH(B279,'Run Reconcile'!B$2:B799,0),1),IFERROR(0/0,""))</f>
        <v>RUN-BEND_2022-01-26_RFR-020</v>
      </c>
      <c r="S279" s="261" t="str">
        <f t="shared" ref="S279:T279" si="565">IF(COUNTIF(W$2:W799, $A279) &gt; 0,TRUE,IFERROR(0/0,""))</f>
        <v/>
      </c>
      <c r="T279" s="261" t="str">
        <f t="shared" si="565"/>
        <v/>
      </c>
      <c r="U279" s="257" t="str">
        <f t="array" ref="U279">IF(ISBLANK($R279), INDEX('Run Reconcile'!A$2:A799, MATCH($B279, 'Run Reconcile'!B$2:B799, 0)+Z279, 1), IFERROR(0/0,""))
</f>
        <v/>
      </c>
      <c r="V279" s="258" t="str">
        <f t="shared" si="480"/>
        <v>RUN-BEND_2022-01-26_RFR-020</v>
      </c>
      <c r="Y279" s="130" t="str">
        <f t="shared" si="487"/>
        <v/>
      </c>
      <c r="Z279" s="49" t="str">
        <f t="shared" si="7"/>
        <v/>
      </c>
      <c r="AA279" s="49" t="str">
        <f t="shared" si="8"/>
        <v/>
      </c>
      <c r="AB279" s="49" t="str">
        <f t="shared" si="9"/>
        <v/>
      </c>
      <c r="AC279" s="20" t="str">
        <f t="shared" ref="AC279:AD279" si="566">IF(_xlfn.ISFORMULA(S279),IFERROR(0/0,""),TRUE)</f>
        <v/>
      </c>
      <c r="AD279" s="20" t="str">
        <f t="shared" si="566"/>
        <v/>
      </c>
      <c r="AE279" s="43"/>
      <c r="AF279" s="62" t="s">
        <v>47</v>
      </c>
      <c r="AG279" s="57" t="str">
        <f t="shared" si="11"/>
        <v/>
      </c>
    </row>
    <row r="280">
      <c r="A280" s="6" t="str">
        <f>IFERROR(__xludf.DUMMYFUNCTION("""COMPUTED_VALUE"""),"MA271")</f>
        <v>MA271</v>
      </c>
      <c r="B280" s="204">
        <f>IFERROR(__xludf.DUMMYFUNCTION("""COMPUTED_VALUE"""),44589.0)</f>
        <v>44589</v>
      </c>
      <c r="C280" s="250">
        <f>IFERROR(__xludf.DUMMYFUNCTION("""COMPUTED_VALUE"""),0.31453703703703706)</f>
        <v>0.314537037</v>
      </c>
      <c r="D280" s="6" t="str">
        <f>IFERROR(__xludf.DUMMYFUNCTION("""COMPUTED_VALUE"""),"SpBEND617677")</f>
        <v>SpBEND617677</v>
      </c>
      <c r="E280" s="251"/>
      <c r="F280" s="251"/>
      <c r="G280" s="251" t="str">
        <f>IFERROR(__xludf.DUMMYFUNCTION("""COMPUTED_VALUE"""),"Negative")</f>
        <v>Negative</v>
      </c>
      <c r="H280" s="262" t="str">
        <f>IFERROR(__xludf.DUMMYFUNCTION("""COMPUTED_VALUE"""),"Negative")</f>
        <v>Negative</v>
      </c>
      <c r="I280" s="204">
        <f>IFERROR(__xludf.DUMMYFUNCTION("""COMPUTED_VALUE"""),44589.0)</f>
        <v>44589</v>
      </c>
      <c r="J280" s="252">
        <f>IFERROR(__xludf.DUMMYFUNCTION("""COMPUTED_VALUE"""),0.48390046296296296)</f>
        <v>0.483900463</v>
      </c>
      <c r="K280" s="56"/>
      <c r="L280" s="6"/>
      <c r="M280" s="61"/>
      <c r="N280" s="61">
        <f>IFERROR(__xludf.DUMMYFUNCTION("""COMPUTED_VALUE"""),1.0)</f>
        <v>1</v>
      </c>
      <c r="O280" s="61" t="b">
        <f t="shared" si="3"/>
        <v>1</v>
      </c>
      <c r="P280" s="253">
        <f>IFERROR(__xludf.DUMMYFUNCTION("""COMPUTED_VALUE"""),0.0)</f>
        <v>0</v>
      </c>
      <c r="Q280" s="254" t="b">
        <f>VLOOKUP($B280,'Run Reconcile'!B$2:O799,14,FALSE)</f>
        <v>1</v>
      </c>
      <c r="R280" s="255" t="str">
        <f t="array" ref="R280">IF($Q280, INDEX('Run Reconcile'!A$2:A799,MATCH(B280,'Run Reconcile'!B$2:B799,0),1),IFERROR(0/0,""))</f>
        <v>RUN-BEND_2022-01-28_RFR-022</v>
      </c>
      <c r="S280" s="261" t="str">
        <f t="shared" ref="S280:T280" si="567">IF(COUNTIF(W$2:W799, $A280) &gt; 0,TRUE,IFERROR(0/0,""))</f>
        <v/>
      </c>
      <c r="T280" s="261" t="str">
        <f t="shared" si="567"/>
        <v/>
      </c>
      <c r="U280" s="257" t="str">
        <f t="array" ref="U280">IF(ISBLANK($R280), INDEX('Run Reconcile'!A$2:A799, MATCH($B280, 'Run Reconcile'!B$2:B799, 0)+Z280, 1), IFERROR(0/0,""))
</f>
        <v/>
      </c>
      <c r="V280" s="258" t="str">
        <f t="shared" si="480"/>
        <v>RUN-BEND_2022-01-28_RFR-022</v>
      </c>
      <c r="Y280" s="130" t="str">
        <f t="shared" si="487"/>
        <v/>
      </c>
      <c r="Z280" s="49" t="str">
        <f t="shared" si="7"/>
        <v/>
      </c>
      <c r="AA280" s="49" t="str">
        <f t="shared" si="8"/>
        <v/>
      </c>
      <c r="AB280" s="49" t="str">
        <f t="shared" si="9"/>
        <v/>
      </c>
      <c r="AC280" s="20" t="str">
        <f t="shared" ref="AC280:AD280" si="568">IF(_xlfn.ISFORMULA(S280),IFERROR(0/0,""),TRUE)</f>
        <v/>
      </c>
      <c r="AD280" s="20" t="str">
        <f t="shared" si="568"/>
        <v/>
      </c>
      <c r="AE280" s="43"/>
      <c r="AF280" s="62" t="s">
        <v>48</v>
      </c>
      <c r="AG280" s="57" t="str">
        <f t="shared" si="11"/>
        <v/>
      </c>
    </row>
    <row r="281">
      <c r="A281" s="6" t="str">
        <f>IFERROR(__xludf.DUMMYFUNCTION("""COMPUTED_VALUE"""),"MA247")</f>
        <v>MA247</v>
      </c>
      <c r="B281" s="204">
        <f>IFERROR(__xludf.DUMMYFUNCTION("""COMPUTED_VALUE"""),44589.0)</f>
        <v>44589</v>
      </c>
      <c r="C281" s="250">
        <f>IFERROR(__xludf.DUMMYFUNCTION("""COMPUTED_VALUE"""),0.33037037037037037)</f>
        <v>0.3303703704</v>
      </c>
      <c r="D281" s="6" t="str">
        <f>IFERROR(__xludf.DUMMYFUNCTION("""COMPUTED_VALUE"""),"SpBEND387578")</f>
        <v>SpBEND387578</v>
      </c>
      <c r="E281" s="251"/>
      <c r="F281" s="251"/>
      <c r="G281" s="251" t="str">
        <f>IFERROR(__xludf.DUMMYFUNCTION("""COMPUTED_VALUE"""),"Negative")</f>
        <v>Negative</v>
      </c>
      <c r="H281" s="262" t="str">
        <f>IFERROR(__xludf.DUMMYFUNCTION("""COMPUTED_VALUE"""),"Negative")</f>
        <v>Negative</v>
      </c>
      <c r="I281" s="204">
        <f>IFERROR(__xludf.DUMMYFUNCTION("""COMPUTED_VALUE"""),44589.0)</f>
        <v>44589</v>
      </c>
      <c r="J281" s="252">
        <f>IFERROR(__xludf.DUMMYFUNCTION("""COMPUTED_VALUE"""),0.48390046296296296)</f>
        <v>0.483900463</v>
      </c>
      <c r="K281" s="56"/>
      <c r="L281" s="6"/>
      <c r="M281" s="61"/>
      <c r="N281" s="61">
        <f>IFERROR(__xludf.DUMMYFUNCTION("""COMPUTED_VALUE"""),1.0)</f>
        <v>1</v>
      </c>
      <c r="O281" s="61" t="str">
        <f t="shared" si="3"/>
        <v/>
      </c>
      <c r="P281" s="253">
        <f>IFERROR(__xludf.DUMMYFUNCTION("""COMPUTED_VALUE"""),0.0)</f>
        <v>0</v>
      </c>
      <c r="Q281" s="254" t="b">
        <f>VLOOKUP($B281,'Run Reconcile'!B$2:O799,14,FALSE)</f>
        <v>1</v>
      </c>
      <c r="R281" s="255" t="str">
        <f t="array" ref="R281">IF($Q281, INDEX('Run Reconcile'!A$2:A799,MATCH(B281,'Run Reconcile'!B$2:B799,0),1),IFERROR(0/0,""))</f>
        <v>RUN-BEND_2022-01-28_RFR-022</v>
      </c>
      <c r="S281" s="261" t="str">
        <f t="shared" ref="S281:T281" si="569">IF(COUNTIF(W$2:W799, $A281) &gt; 0,TRUE,IFERROR(0/0,""))</f>
        <v/>
      </c>
      <c r="T281" s="261" t="str">
        <f t="shared" si="569"/>
        <v/>
      </c>
      <c r="U281" s="257" t="str">
        <f t="array" ref="U281">IF(ISBLANK($R281), INDEX('Run Reconcile'!A$2:A799, MATCH($B281, 'Run Reconcile'!B$2:B799, 0)+Z281, 1), IFERROR(0/0,""))
</f>
        <v/>
      </c>
      <c r="V281" s="258" t="str">
        <f t="shared" si="480"/>
        <v>RUN-BEND_2022-01-28_RFR-022</v>
      </c>
      <c r="Y281" s="130" t="str">
        <f t="shared" si="487"/>
        <v/>
      </c>
      <c r="Z281" s="49" t="str">
        <f t="shared" si="7"/>
        <v/>
      </c>
      <c r="AA281" s="49" t="str">
        <f t="shared" si="8"/>
        <v/>
      </c>
      <c r="AB281" s="49" t="str">
        <f t="shared" si="9"/>
        <v/>
      </c>
      <c r="AC281" s="20" t="str">
        <f t="shared" ref="AC281:AD281" si="570">IF(_xlfn.ISFORMULA(S281),IFERROR(0/0,""),TRUE)</f>
        <v/>
      </c>
      <c r="AD281" s="20" t="str">
        <f t="shared" si="570"/>
        <v/>
      </c>
      <c r="AE281" s="43"/>
      <c r="AF281" s="62" t="s">
        <v>48</v>
      </c>
      <c r="AG281" s="57" t="str">
        <f t="shared" si="11"/>
        <v/>
      </c>
    </row>
    <row r="282">
      <c r="A282" s="6" t="str">
        <f>IFERROR(__xludf.DUMMYFUNCTION("""COMPUTED_VALUE"""),"MA607")</f>
        <v>MA607</v>
      </c>
      <c r="B282" s="204">
        <f>IFERROR(__xludf.DUMMYFUNCTION("""COMPUTED_VALUE"""),44589.0)</f>
        <v>44589</v>
      </c>
      <c r="C282" s="250">
        <f>IFERROR(__xludf.DUMMYFUNCTION("""COMPUTED_VALUE"""),0.33152777777777775)</f>
        <v>0.3315277778</v>
      </c>
      <c r="D282" s="6" t="str">
        <f>IFERROR(__xludf.DUMMYFUNCTION("""COMPUTED_VALUE"""),"SpBEND551372")</f>
        <v>SpBEND551372</v>
      </c>
      <c r="E282" s="251"/>
      <c r="F282" s="251"/>
      <c r="G282" s="251" t="str">
        <f>IFERROR(__xludf.DUMMYFUNCTION("""COMPUTED_VALUE"""),"Negative")</f>
        <v>Negative</v>
      </c>
      <c r="H282" s="262" t="str">
        <f>IFERROR(__xludf.DUMMYFUNCTION("""COMPUTED_VALUE"""),"Negative")</f>
        <v>Negative</v>
      </c>
      <c r="I282" s="204">
        <f>IFERROR(__xludf.DUMMYFUNCTION("""COMPUTED_VALUE"""),44589.0)</f>
        <v>44589</v>
      </c>
      <c r="J282" s="252">
        <f>IFERROR(__xludf.DUMMYFUNCTION("""COMPUTED_VALUE"""),0.48390046296296296)</f>
        <v>0.483900463</v>
      </c>
      <c r="K282" s="56"/>
      <c r="L282" s="6"/>
      <c r="M282" s="61"/>
      <c r="N282" s="61">
        <f>IFERROR(__xludf.DUMMYFUNCTION("""COMPUTED_VALUE"""),1.0)</f>
        <v>1</v>
      </c>
      <c r="O282" s="61" t="str">
        <f t="shared" si="3"/>
        <v/>
      </c>
      <c r="P282" s="253">
        <f>IFERROR(__xludf.DUMMYFUNCTION("""COMPUTED_VALUE"""),0.0)</f>
        <v>0</v>
      </c>
      <c r="Q282" s="254" t="b">
        <f>VLOOKUP($B282,'Run Reconcile'!B$2:O799,14,FALSE)</f>
        <v>1</v>
      </c>
      <c r="R282" s="255" t="str">
        <f t="array" ref="R282">IF($Q282, INDEX('Run Reconcile'!A$2:A799,MATCH(B282,'Run Reconcile'!B$2:B799,0),1),IFERROR(0/0,""))</f>
        <v>RUN-BEND_2022-01-28_RFR-022</v>
      </c>
      <c r="S282" s="261" t="str">
        <f t="shared" ref="S282:T282" si="571">IF(COUNTIF(W$2:W799, $A282) &gt; 0,TRUE,IFERROR(0/0,""))</f>
        <v/>
      </c>
      <c r="T282" s="261" t="str">
        <f t="shared" si="571"/>
        <v/>
      </c>
      <c r="U282" s="257" t="str">
        <f t="array" ref="U282">IF(ISBLANK($R282), INDEX('Run Reconcile'!A$2:A799, MATCH($B282, 'Run Reconcile'!B$2:B799, 0)+Z282, 1), IFERROR(0/0,""))
</f>
        <v/>
      </c>
      <c r="V282" s="258" t="str">
        <f t="shared" si="480"/>
        <v>RUN-BEND_2022-01-28_RFR-022</v>
      </c>
      <c r="Y282" s="130" t="str">
        <f t="shared" si="487"/>
        <v/>
      </c>
      <c r="Z282" s="49" t="str">
        <f t="shared" si="7"/>
        <v/>
      </c>
      <c r="AA282" s="49" t="str">
        <f t="shared" si="8"/>
        <v/>
      </c>
      <c r="AB282" s="49" t="str">
        <f t="shared" si="9"/>
        <v/>
      </c>
      <c r="AC282" s="20" t="str">
        <f t="shared" ref="AC282:AD282" si="572">IF(_xlfn.ISFORMULA(S282),IFERROR(0/0,""),TRUE)</f>
        <v/>
      </c>
      <c r="AD282" s="20" t="str">
        <f t="shared" si="572"/>
        <v/>
      </c>
      <c r="AE282" s="43"/>
      <c r="AF282" s="62" t="s">
        <v>48</v>
      </c>
      <c r="AG282" s="57" t="str">
        <f t="shared" si="11"/>
        <v/>
      </c>
    </row>
    <row r="283">
      <c r="A283" s="6" t="str">
        <f>IFERROR(__xludf.DUMMYFUNCTION("""COMPUTED_VALUE"""),"MA1120")</f>
        <v>MA1120</v>
      </c>
      <c r="B283" s="204">
        <f>IFERROR(__xludf.DUMMYFUNCTION("""COMPUTED_VALUE"""),44589.0)</f>
        <v>44589</v>
      </c>
      <c r="C283" s="250">
        <f>IFERROR(__xludf.DUMMYFUNCTION("""COMPUTED_VALUE"""),0.33208333333333334)</f>
        <v>0.3320833333</v>
      </c>
      <c r="D283" s="6" t="str">
        <f>IFERROR(__xludf.DUMMYFUNCTION("""COMPUTED_VALUE"""),"SpBEND551372")</f>
        <v>SpBEND551372</v>
      </c>
      <c r="E283" s="251"/>
      <c r="F283" s="251"/>
      <c r="G283" s="251" t="str">
        <f>IFERROR(__xludf.DUMMYFUNCTION("""COMPUTED_VALUE"""),"Negative")</f>
        <v>Negative</v>
      </c>
      <c r="H283" s="262" t="str">
        <f>IFERROR(__xludf.DUMMYFUNCTION("""COMPUTED_VALUE"""),"Negative")</f>
        <v>Negative</v>
      </c>
      <c r="I283" s="204">
        <f>IFERROR(__xludf.DUMMYFUNCTION("""COMPUTED_VALUE"""),44589.0)</f>
        <v>44589</v>
      </c>
      <c r="J283" s="252">
        <f>IFERROR(__xludf.DUMMYFUNCTION("""COMPUTED_VALUE"""),0.48390046296296296)</f>
        <v>0.483900463</v>
      </c>
      <c r="K283" s="56"/>
      <c r="L283" s="6"/>
      <c r="M283" s="61"/>
      <c r="N283" s="61">
        <f>IFERROR(__xludf.DUMMYFUNCTION("""COMPUTED_VALUE"""),1.0)</f>
        <v>1</v>
      </c>
      <c r="O283" s="61" t="str">
        <f t="shared" si="3"/>
        <v/>
      </c>
      <c r="P283" s="253">
        <f>IFERROR(__xludf.DUMMYFUNCTION("""COMPUTED_VALUE"""),0.0)</f>
        <v>0</v>
      </c>
      <c r="Q283" s="254" t="b">
        <f>VLOOKUP($B283,'Run Reconcile'!B$2:O799,14,FALSE)</f>
        <v>1</v>
      </c>
      <c r="R283" s="255" t="str">
        <f t="array" ref="R283">IF($Q283, INDEX('Run Reconcile'!A$2:A799,MATCH(B283,'Run Reconcile'!B$2:B799,0),1),IFERROR(0/0,""))</f>
        <v>RUN-BEND_2022-01-28_RFR-022</v>
      </c>
      <c r="S283" s="261" t="str">
        <f t="shared" ref="S283:T283" si="573">IF(COUNTIF(W$2:W799, $A283) &gt; 0,TRUE,IFERROR(0/0,""))</f>
        <v/>
      </c>
      <c r="T283" s="261" t="str">
        <f t="shared" si="573"/>
        <v/>
      </c>
      <c r="U283" s="257" t="str">
        <f t="array" ref="U283">IF(ISBLANK($R283), INDEX('Run Reconcile'!A$2:A799, MATCH($B283, 'Run Reconcile'!B$2:B799, 0)+Z283, 1), IFERROR(0/0,""))
</f>
        <v/>
      </c>
      <c r="V283" s="258" t="str">
        <f t="shared" si="480"/>
        <v>RUN-BEND_2022-01-28_RFR-022</v>
      </c>
      <c r="Y283" s="130" t="str">
        <f t="shared" si="487"/>
        <v/>
      </c>
      <c r="Z283" s="49" t="str">
        <f t="shared" si="7"/>
        <v/>
      </c>
      <c r="AA283" s="49" t="str">
        <f t="shared" si="8"/>
        <v/>
      </c>
      <c r="AB283" s="49" t="str">
        <f t="shared" si="9"/>
        <v/>
      </c>
      <c r="AC283" s="20" t="str">
        <f t="shared" ref="AC283:AD283" si="574">IF(_xlfn.ISFORMULA(S283),IFERROR(0/0,""),TRUE)</f>
        <v/>
      </c>
      <c r="AD283" s="20" t="str">
        <f t="shared" si="574"/>
        <v/>
      </c>
      <c r="AE283" s="43"/>
      <c r="AF283" s="62" t="s">
        <v>48</v>
      </c>
      <c r="AG283" s="57" t="str">
        <f t="shared" si="11"/>
        <v/>
      </c>
    </row>
    <row r="284">
      <c r="A284" s="6" t="str">
        <f>IFERROR(__xludf.DUMMYFUNCTION("""COMPUTED_VALUE"""),"MA283")</f>
        <v>MA283</v>
      </c>
      <c r="B284" s="204">
        <f>IFERROR(__xludf.DUMMYFUNCTION("""COMPUTED_VALUE"""),44589.0)</f>
        <v>44589</v>
      </c>
      <c r="C284" s="250">
        <f>IFERROR(__xludf.DUMMYFUNCTION("""COMPUTED_VALUE"""),0.3442013888888889)</f>
        <v>0.3442013889</v>
      </c>
      <c r="D284" s="6" t="str">
        <f>IFERROR(__xludf.DUMMYFUNCTION("""COMPUTED_VALUE"""),"SpBEND319298")</f>
        <v>SpBEND319298</v>
      </c>
      <c r="E284" s="251"/>
      <c r="F284" s="251"/>
      <c r="G284" s="251" t="str">
        <f>IFERROR(__xludf.DUMMYFUNCTION("""COMPUTED_VALUE"""),"Negative")</f>
        <v>Negative</v>
      </c>
      <c r="H284" s="262" t="str">
        <f>IFERROR(__xludf.DUMMYFUNCTION("""COMPUTED_VALUE"""),"Negative")</f>
        <v>Negative</v>
      </c>
      <c r="I284" s="204">
        <f>IFERROR(__xludf.DUMMYFUNCTION("""COMPUTED_VALUE"""),44589.0)</f>
        <v>44589</v>
      </c>
      <c r="J284" s="252">
        <f>IFERROR(__xludf.DUMMYFUNCTION("""COMPUTED_VALUE"""),0.48390046296296296)</f>
        <v>0.483900463</v>
      </c>
      <c r="K284" s="56"/>
      <c r="L284" s="6"/>
      <c r="M284" s="61"/>
      <c r="N284" s="61">
        <f>IFERROR(__xludf.DUMMYFUNCTION("""COMPUTED_VALUE"""),1.0)</f>
        <v>1</v>
      </c>
      <c r="O284" s="61" t="str">
        <f t="shared" si="3"/>
        <v/>
      </c>
      <c r="P284" s="253">
        <f>IFERROR(__xludf.DUMMYFUNCTION("""COMPUTED_VALUE"""),0.0)</f>
        <v>0</v>
      </c>
      <c r="Q284" s="254" t="b">
        <f>VLOOKUP($B284,'Run Reconcile'!B$2:O799,14,FALSE)</f>
        <v>1</v>
      </c>
      <c r="R284" s="255" t="str">
        <f t="array" ref="R284">IF($Q284, INDEX('Run Reconcile'!A$2:A799,MATCH(B284,'Run Reconcile'!B$2:B799,0),1),IFERROR(0/0,""))</f>
        <v>RUN-BEND_2022-01-28_RFR-022</v>
      </c>
      <c r="S284" s="261" t="str">
        <f t="shared" ref="S284:T284" si="575">IF(COUNTIF(W$2:W799, $A284) &gt; 0,TRUE,IFERROR(0/0,""))</f>
        <v/>
      </c>
      <c r="T284" s="261" t="str">
        <f t="shared" si="575"/>
        <v/>
      </c>
      <c r="U284" s="257" t="str">
        <f t="array" ref="U284">IF(ISBLANK($R284), INDEX('Run Reconcile'!A$2:A799, MATCH($B284, 'Run Reconcile'!B$2:B799, 0)+Z284, 1), IFERROR(0/0,""))
</f>
        <v/>
      </c>
      <c r="V284" s="258" t="str">
        <f t="shared" si="480"/>
        <v>RUN-BEND_2022-01-28_RFR-022</v>
      </c>
      <c r="Y284" s="130" t="str">
        <f t="shared" si="487"/>
        <v/>
      </c>
      <c r="Z284" s="49" t="str">
        <f t="shared" si="7"/>
        <v/>
      </c>
      <c r="AA284" s="49" t="str">
        <f t="shared" si="8"/>
        <v/>
      </c>
      <c r="AB284" s="49" t="str">
        <f t="shared" si="9"/>
        <v/>
      </c>
      <c r="AC284" s="20" t="str">
        <f t="shared" ref="AC284:AD284" si="576">IF(_xlfn.ISFORMULA(S284),IFERROR(0/0,""),TRUE)</f>
        <v/>
      </c>
      <c r="AD284" s="20" t="str">
        <f t="shared" si="576"/>
        <v/>
      </c>
      <c r="AE284" s="43"/>
      <c r="AF284" s="62" t="s">
        <v>48</v>
      </c>
      <c r="AG284" s="57" t="str">
        <f t="shared" si="11"/>
        <v/>
      </c>
    </row>
    <row r="285">
      <c r="A285" s="6" t="str">
        <f>IFERROR(__xludf.DUMMYFUNCTION("""COMPUTED_VALUE"""),"MA1135")</f>
        <v>MA1135</v>
      </c>
      <c r="B285" s="204">
        <f>IFERROR(__xludf.DUMMYFUNCTION("""COMPUTED_VALUE"""),44589.0)</f>
        <v>44589</v>
      </c>
      <c r="C285" s="250">
        <f>IFERROR(__xludf.DUMMYFUNCTION("""COMPUTED_VALUE"""),0.3478819444444444)</f>
        <v>0.3478819444</v>
      </c>
      <c r="D285" s="6" t="str">
        <f>IFERROR(__xludf.DUMMYFUNCTION("""COMPUTED_VALUE"""),"SpBEND985296")</f>
        <v>SpBEND985296</v>
      </c>
      <c r="E285" s="251"/>
      <c r="F285" s="251"/>
      <c r="G285" s="251" t="str">
        <f>IFERROR(__xludf.DUMMYFUNCTION("""COMPUTED_VALUE"""),"Negative")</f>
        <v>Negative</v>
      </c>
      <c r="H285" s="262" t="str">
        <f>IFERROR(__xludf.DUMMYFUNCTION("""COMPUTED_VALUE"""),"Negative")</f>
        <v>Negative</v>
      </c>
      <c r="I285" s="204">
        <f>IFERROR(__xludf.DUMMYFUNCTION("""COMPUTED_VALUE"""),44589.0)</f>
        <v>44589</v>
      </c>
      <c r="J285" s="252">
        <f>IFERROR(__xludf.DUMMYFUNCTION("""COMPUTED_VALUE"""),0.48390046296296296)</f>
        <v>0.483900463</v>
      </c>
      <c r="K285" s="56"/>
      <c r="L285" s="6"/>
      <c r="M285" s="61"/>
      <c r="N285" s="61">
        <f>IFERROR(__xludf.DUMMYFUNCTION("""COMPUTED_VALUE"""),1.0)</f>
        <v>1</v>
      </c>
      <c r="O285" s="61" t="str">
        <f t="shared" si="3"/>
        <v/>
      </c>
      <c r="P285" s="253">
        <f>IFERROR(__xludf.DUMMYFUNCTION("""COMPUTED_VALUE"""),0.0)</f>
        <v>0</v>
      </c>
      <c r="Q285" s="254" t="b">
        <f>VLOOKUP($B285,'Run Reconcile'!B$2:O799,14,FALSE)</f>
        <v>1</v>
      </c>
      <c r="R285" s="255" t="str">
        <f t="array" ref="R285">IF($Q285, INDEX('Run Reconcile'!A$2:A799,MATCH(B285,'Run Reconcile'!B$2:B799,0),1),IFERROR(0/0,""))</f>
        <v>RUN-BEND_2022-01-28_RFR-022</v>
      </c>
      <c r="S285" s="261" t="str">
        <f t="shared" ref="S285:T285" si="577">IF(COUNTIF(W$2:W799, $A285) &gt; 0,TRUE,IFERROR(0/0,""))</f>
        <v/>
      </c>
      <c r="T285" s="261" t="str">
        <f t="shared" si="577"/>
        <v/>
      </c>
      <c r="U285" s="257" t="str">
        <f t="array" ref="U285">IF(ISBLANK($R285), INDEX('Run Reconcile'!A$2:A799, MATCH($B285, 'Run Reconcile'!B$2:B799, 0)+Z285, 1), IFERROR(0/0,""))
</f>
        <v/>
      </c>
      <c r="V285" s="258" t="str">
        <f t="shared" si="480"/>
        <v>RUN-BEND_2022-01-28_RFR-022</v>
      </c>
      <c r="Y285" s="130" t="str">
        <f t="shared" si="487"/>
        <v/>
      </c>
      <c r="Z285" s="49" t="str">
        <f t="shared" si="7"/>
        <v/>
      </c>
      <c r="AA285" s="49" t="str">
        <f t="shared" si="8"/>
        <v/>
      </c>
      <c r="AB285" s="49" t="str">
        <f t="shared" si="9"/>
        <v/>
      </c>
      <c r="AC285" s="20" t="str">
        <f t="shared" ref="AC285:AD285" si="578">IF(_xlfn.ISFORMULA(S285),IFERROR(0/0,""),TRUE)</f>
        <v/>
      </c>
      <c r="AD285" s="20" t="str">
        <f t="shared" si="578"/>
        <v/>
      </c>
      <c r="AE285" s="43"/>
      <c r="AF285" s="62" t="s">
        <v>48</v>
      </c>
      <c r="AG285" s="57" t="str">
        <f t="shared" si="11"/>
        <v/>
      </c>
    </row>
    <row r="286">
      <c r="A286" s="6" t="str">
        <f>IFERROR(__xludf.DUMMYFUNCTION("""COMPUTED_VALUE"""),"MA276")</f>
        <v>MA276</v>
      </c>
      <c r="B286" s="204">
        <f>IFERROR(__xludf.DUMMYFUNCTION("""COMPUTED_VALUE"""),44589.0)</f>
        <v>44589</v>
      </c>
      <c r="C286" s="250">
        <f>IFERROR(__xludf.DUMMYFUNCTION("""COMPUTED_VALUE"""),0.3656828703703704)</f>
        <v>0.3656828704</v>
      </c>
      <c r="D286" s="6" t="str">
        <f>IFERROR(__xludf.DUMMYFUNCTION("""COMPUTED_VALUE"""),"SpBEND394154")</f>
        <v>SpBEND394154</v>
      </c>
      <c r="E286" s="251"/>
      <c r="F286" s="251"/>
      <c r="G286" s="251" t="str">
        <f>IFERROR(__xludf.DUMMYFUNCTION("""COMPUTED_VALUE"""),"Negative")</f>
        <v>Negative</v>
      </c>
      <c r="H286" s="262" t="str">
        <f>IFERROR(__xludf.DUMMYFUNCTION("""COMPUTED_VALUE"""),"Negative")</f>
        <v>Negative</v>
      </c>
      <c r="I286" s="204">
        <f>IFERROR(__xludf.DUMMYFUNCTION("""COMPUTED_VALUE"""),44589.0)</f>
        <v>44589</v>
      </c>
      <c r="J286" s="252">
        <f>IFERROR(__xludf.DUMMYFUNCTION("""COMPUTED_VALUE"""),0.48391203703703706)</f>
        <v>0.483912037</v>
      </c>
      <c r="K286" s="56"/>
      <c r="L286" s="6"/>
      <c r="M286" s="61"/>
      <c r="N286" s="61">
        <f>IFERROR(__xludf.DUMMYFUNCTION("""COMPUTED_VALUE"""),1.0)</f>
        <v>1</v>
      </c>
      <c r="O286" s="61" t="str">
        <f t="shared" si="3"/>
        <v/>
      </c>
      <c r="P286" s="253">
        <f>IFERROR(__xludf.DUMMYFUNCTION("""COMPUTED_VALUE"""),0.0)</f>
        <v>0</v>
      </c>
      <c r="Q286" s="254" t="b">
        <f>VLOOKUP($B286,'Run Reconcile'!B$2:O799,14,FALSE)</f>
        <v>1</v>
      </c>
      <c r="R286" s="255" t="str">
        <f t="array" ref="R286">IF($Q286, INDEX('Run Reconcile'!A$2:A799,MATCH(B286,'Run Reconcile'!B$2:B799,0),1),IFERROR(0/0,""))</f>
        <v>RUN-BEND_2022-01-28_RFR-022</v>
      </c>
      <c r="S286" s="261" t="str">
        <f t="shared" ref="S286:T286" si="579">IF(COUNTIF(W$2:W799, $A286) &gt; 0,TRUE,IFERROR(0/0,""))</f>
        <v/>
      </c>
      <c r="T286" s="261" t="str">
        <f t="shared" si="579"/>
        <v/>
      </c>
      <c r="U286" s="257" t="str">
        <f t="array" ref="U286">IF(ISBLANK($R286), INDEX('Run Reconcile'!A$2:A799, MATCH($B286, 'Run Reconcile'!B$2:B799, 0)+Z286, 1), IFERROR(0/0,""))
</f>
        <v/>
      </c>
      <c r="V286" s="258" t="str">
        <f t="shared" si="480"/>
        <v>RUN-BEND_2022-01-28_RFR-022</v>
      </c>
      <c r="Y286" s="130" t="str">
        <f t="shared" si="487"/>
        <v/>
      </c>
      <c r="Z286" s="49" t="str">
        <f t="shared" si="7"/>
        <v/>
      </c>
      <c r="AA286" s="49" t="str">
        <f t="shared" si="8"/>
        <v/>
      </c>
      <c r="AB286" s="49" t="str">
        <f t="shared" si="9"/>
        <v/>
      </c>
      <c r="AC286" s="20" t="str">
        <f t="shared" ref="AC286:AD286" si="580">IF(_xlfn.ISFORMULA(S286),IFERROR(0/0,""),TRUE)</f>
        <v/>
      </c>
      <c r="AD286" s="20" t="str">
        <f t="shared" si="580"/>
        <v/>
      </c>
      <c r="AE286" s="43"/>
      <c r="AF286" s="62" t="s">
        <v>48</v>
      </c>
      <c r="AG286" s="57" t="str">
        <f t="shared" si="11"/>
        <v/>
      </c>
    </row>
    <row r="287">
      <c r="A287" s="6" t="str">
        <f>IFERROR(__xludf.DUMMYFUNCTION("""COMPUTED_VALUE"""),"MA917")</f>
        <v>MA917</v>
      </c>
      <c r="B287" s="204">
        <f>IFERROR(__xludf.DUMMYFUNCTION("""COMPUTED_VALUE"""),44592.0)</f>
        <v>44592</v>
      </c>
      <c r="C287" s="250">
        <f>IFERROR(__xludf.DUMMYFUNCTION("""COMPUTED_VALUE"""),0.32427083333333334)</f>
        <v>0.3242708333</v>
      </c>
      <c r="D287" s="6" t="str">
        <f>IFERROR(__xludf.DUMMYFUNCTION("""COMPUTED_VALUE"""),"SpBEND214692")</f>
        <v>SpBEND214692</v>
      </c>
      <c r="E287" s="251"/>
      <c r="F287" s="251"/>
      <c r="G287" s="251" t="str">
        <f>IFERROR(__xludf.DUMMYFUNCTION("""COMPUTED_VALUE"""),"Negative")</f>
        <v>Negative</v>
      </c>
      <c r="H287" s="262" t="str">
        <f>IFERROR(__xludf.DUMMYFUNCTION("""COMPUTED_VALUE"""),"Negative")</f>
        <v>Negative</v>
      </c>
      <c r="I287" s="204">
        <f>IFERROR(__xludf.DUMMYFUNCTION("""COMPUTED_VALUE"""),44592.0)</f>
        <v>44592</v>
      </c>
      <c r="J287" s="252">
        <f>IFERROR(__xludf.DUMMYFUNCTION("""COMPUTED_VALUE"""),0.46023148148148146)</f>
        <v>0.4602314815</v>
      </c>
      <c r="K287" s="56"/>
      <c r="L287" s="6"/>
      <c r="M287" s="61"/>
      <c r="N287" s="61">
        <f>IFERROR(__xludf.DUMMYFUNCTION("""COMPUTED_VALUE"""),1.0)</f>
        <v>1</v>
      </c>
      <c r="O287" s="61" t="b">
        <f t="shared" si="3"/>
        <v>1</v>
      </c>
      <c r="P287" s="253">
        <f>IFERROR(__xludf.DUMMYFUNCTION("""COMPUTED_VALUE"""),0.0)</f>
        <v>0</v>
      </c>
      <c r="Q287" s="254" t="b">
        <f>VLOOKUP($B287,'Run Reconcile'!B$2:O799,14,FALSE)</f>
        <v>1</v>
      </c>
      <c r="R287" s="255" t="str">
        <f t="array" ref="R287">IF($Q287, INDEX('Run Reconcile'!A$2:A799,MATCH(B287,'Run Reconcile'!B$2:B799,0),1),IFERROR(0/0,""))</f>
        <v>RUN-BEND_2022-01-31_RFR-024</v>
      </c>
      <c r="S287" s="261" t="str">
        <f t="shared" ref="S287:T287" si="581">IF(COUNTIF(W$2:W799, $A287) &gt; 0,TRUE,IFERROR(0/0,""))</f>
        <v/>
      </c>
      <c r="T287" s="261" t="str">
        <f t="shared" si="581"/>
        <v/>
      </c>
      <c r="U287" s="257" t="str">
        <f t="array" ref="U287">IF(ISBLANK($R287), INDEX('Run Reconcile'!A$2:A799, MATCH($B287, 'Run Reconcile'!B$2:B799, 0)+Z287, 1), IFERROR(0/0,""))
</f>
        <v/>
      </c>
      <c r="V287" s="258" t="str">
        <f t="shared" si="480"/>
        <v>RUN-BEND_2022-01-31_RFR-024</v>
      </c>
      <c r="Y287" s="130" t="str">
        <f t="shared" si="487"/>
        <v/>
      </c>
      <c r="Z287" s="49" t="str">
        <f t="shared" si="7"/>
        <v/>
      </c>
      <c r="AA287" s="49" t="str">
        <f t="shared" si="8"/>
        <v/>
      </c>
      <c r="AB287" s="49" t="str">
        <f t="shared" si="9"/>
        <v/>
      </c>
      <c r="AC287" s="20" t="str">
        <f t="shared" ref="AC287:AD287" si="582">IF(_xlfn.ISFORMULA(S287),IFERROR(0/0,""),TRUE)</f>
        <v/>
      </c>
      <c r="AD287" s="20" t="str">
        <f t="shared" si="582"/>
        <v/>
      </c>
      <c r="AE287" s="43"/>
      <c r="AF287" s="62" t="s">
        <v>49</v>
      </c>
      <c r="AG287" s="57" t="str">
        <f t="shared" si="11"/>
        <v/>
      </c>
    </row>
    <row r="288">
      <c r="A288" s="6" t="str">
        <f>IFERROR(__xludf.DUMMYFUNCTION("""COMPUTED_VALUE"""),"MA256")</f>
        <v>MA256</v>
      </c>
      <c r="B288" s="204">
        <f>IFERROR(__xludf.DUMMYFUNCTION("""COMPUTED_VALUE"""),44592.0)</f>
        <v>44592</v>
      </c>
      <c r="C288" s="250">
        <f>IFERROR(__xludf.DUMMYFUNCTION("""COMPUTED_VALUE"""),0.3260416666666667)</f>
        <v>0.3260416667</v>
      </c>
      <c r="D288" s="6" t="str">
        <f>IFERROR(__xludf.DUMMYFUNCTION("""COMPUTED_VALUE"""),"SpBEND825522")</f>
        <v>SpBEND825522</v>
      </c>
      <c r="E288" s="251"/>
      <c r="F288" s="251"/>
      <c r="G288" s="251" t="str">
        <f>IFERROR(__xludf.DUMMYFUNCTION("""COMPUTED_VALUE"""),"Negative")</f>
        <v>Negative</v>
      </c>
      <c r="H288" s="262" t="str">
        <f>IFERROR(__xludf.DUMMYFUNCTION("""COMPUTED_VALUE"""),"Negative")</f>
        <v>Negative</v>
      </c>
      <c r="I288" s="204">
        <f>IFERROR(__xludf.DUMMYFUNCTION("""COMPUTED_VALUE"""),44592.0)</f>
        <v>44592</v>
      </c>
      <c r="J288" s="252">
        <f>IFERROR(__xludf.DUMMYFUNCTION("""COMPUTED_VALUE"""),0.46024305555555556)</f>
        <v>0.4602430556</v>
      </c>
      <c r="K288" s="56"/>
      <c r="L288" s="6"/>
      <c r="M288" s="61"/>
      <c r="N288" s="61">
        <f>IFERROR(__xludf.DUMMYFUNCTION("""COMPUTED_VALUE"""),1.0)</f>
        <v>1</v>
      </c>
      <c r="O288" s="61" t="str">
        <f t="shared" si="3"/>
        <v/>
      </c>
      <c r="P288" s="253">
        <f>IFERROR(__xludf.DUMMYFUNCTION("""COMPUTED_VALUE"""),0.0)</f>
        <v>0</v>
      </c>
      <c r="Q288" s="254" t="b">
        <f>VLOOKUP($B288,'Run Reconcile'!B$2:O799,14,FALSE)</f>
        <v>1</v>
      </c>
      <c r="R288" s="255" t="str">
        <f t="array" ref="R288">IF($Q288, INDEX('Run Reconcile'!A$2:A799,MATCH(B288,'Run Reconcile'!B$2:B799,0),1),IFERROR(0/0,""))</f>
        <v>RUN-BEND_2022-01-31_RFR-024</v>
      </c>
      <c r="S288" s="261" t="str">
        <f t="shared" ref="S288:T288" si="583">IF(COUNTIF(W$2:W799, $A288) &gt; 0,TRUE,IFERROR(0/0,""))</f>
        <v/>
      </c>
      <c r="T288" s="261" t="str">
        <f t="shared" si="583"/>
        <v/>
      </c>
      <c r="U288" s="257" t="str">
        <f t="array" ref="U288">IF(ISBLANK($R288), INDEX('Run Reconcile'!A$2:A799, MATCH($B288, 'Run Reconcile'!B$2:B799, 0)+Z288, 1), IFERROR(0/0,""))
</f>
        <v/>
      </c>
      <c r="V288" s="258" t="str">
        <f t="shared" si="480"/>
        <v>RUN-BEND_2022-01-31_RFR-024</v>
      </c>
      <c r="Y288" s="130" t="str">
        <f t="shared" si="487"/>
        <v/>
      </c>
      <c r="Z288" s="49" t="str">
        <f t="shared" si="7"/>
        <v/>
      </c>
      <c r="AA288" s="49" t="str">
        <f t="shared" si="8"/>
        <v/>
      </c>
      <c r="AB288" s="49" t="str">
        <f t="shared" si="9"/>
        <v/>
      </c>
      <c r="AC288" s="20" t="str">
        <f t="shared" ref="AC288:AD288" si="584">IF(_xlfn.ISFORMULA(S288),IFERROR(0/0,""),TRUE)</f>
        <v/>
      </c>
      <c r="AD288" s="20" t="str">
        <f t="shared" si="584"/>
        <v/>
      </c>
      <c r="AE288" s="43"/>
      <c r="AF288" s="62" t="s">
        <v>49</v>
      </c>
      <c r="AG288" s="57" t="str">
        <f t="shared" si="11"/>
        <v/>
      </c>
    </row>
    <row r="289">
      <c r="A289" s="6" t="str">
        <f>IFERROR(__xludf.DUMMYFUNCTION("""COMPUTED_VALUE"""),"MA1158")</f>
        <v>MA1158</v>
      </c>
      <c r="B289" s="204">
        <f>IFERROR(__xludf.DUMMYFUNCTION("""COMPUTED_VALUE"""),44592.0)</f>
        <v>44592</v>
      </c>
      <c r="C289" s="250">
        <f>IFERROR(__xludf.DUMMYFUNCTION("""COMPUTED_VALUE"""),0.3271759259259259)</f>
        <v>0.3271759259</v>
      </c>
      <c r="D289" s="6" t="str">
        <f>IFERROR(__xludf.DUMMYFUNCTION("""COMPUTED_VALUE"""),"SpBEND953422")</f>
        <v>SpBEND953422</v>
      </c>
      <c r="E289" s="251"/>
      <c r="F289" s="251"/>
      <c r="G289" s="251" t="str">
        <f>IFERROR(__xludf.DUMMYFUNCTION("""COMPUTED_VALUE"""),"Negative")</f>
        <v>Negative</v>
      </c>
      <c r="H289" s="262" t="str">
        <f>IFERROR(__xludf.DUMMYFUNCTION("""COMPUTED_VALUE"""),"Negative")</f>
        <v>Negative</v>
      </c>
      <c r="I289" s="204">
        <f>IFERROR(__xludf.DUMMYFUNCTION("""COMPUTED_VALUE"""),44592.0)</f>
        <v>44592</v>
      </c>
      <c r="J289" s="252">
        <f>IFERROR(__xludf.DUMMYFUNCTION("""COMPUTED_VALUE"""),0.46024305555555556)</f>
        <v>0.4602430556</v>
      </c>
      <c r="K289" s="56"/>
      <c r="L289" s="6"/>
      <c r="M289" s="61"/>
      <c r="N289" s="61">
        <f>IFERROR(__xludf.DUMMYFUNCTION("""COMPUTED_VALUE"""),1.0)</f>
        <v>1</v>
      </c>
      <c r="O289" s="61" t="str">
        <f t="shared" si="3"/>
        <v/>
      </c>
      <c r="P289" s="253">
        <f>IFERROR(__xludf.DUMMYFUNCTION("""COMPUTED_VALUE"""),0.0)</f>
        <v>0</v>
      </c>
      <c r="Q289" s="254" t="b">
        <f>VLOOKUP($B289,'Run Reconcile'!B$2:O799,14,FALSE)</f>
        <v>1</v>
      </c>
      <c r="R289" s="255" t="str">
        <f t="array" ref="R289">IF($Q289, INDEX('Run Reconcile'!A$2:A799,MATCH(B289,'Run Reconcile'!B$2:B799,0),1),IFERROR(0/0,""))</f>
        <v>RUN-BEND_2022-01-31_RFR-024</v>
      </c>
      <c r="S289" s="261" t="str">
        <f t="shared" ref="S289:T289" si="585">IF(COUNTIF(W$2:W799, $A289) &gt; 0,TRUE,IFERROR(0/0,""))</f>
        <v/>
      </c>
      <c r="T289" s="261" t="str">
        <f t="shared" si="585"/>
        <v/>
      </c>
      <c r="U289" s="257" t="str">
        <f t="array" ref="U289">IF(ISBLANK($R289), INDEX('Run Reconcile'!A$2:A799, MATCH($B289, 'Run Reconcile'!B$2:B799, 0)+Z289, 1), IFERROR(0/0,""))
</f>
        <v/>
      </c>
      <c r="V289" s="258" t="str">
        <f t="shared" si="480"/>
        <v>RUN-BEND_2022-01-31_RFR-024</v>
      </c>
      <c r="Y289" s="130" t="str">
        <f t="shared" si="487"/>
        <v/>
      </c>
      <c r="Z289" s="49" t="str">
        <f t="shared" si="7"/>
        <v/>
      </c>
      <c r="AA289" s="49" t="str">
        <f t="shared" si="8"/>
        <v/>
      </c>
      <c r="AB289" s="49" t="str">
        <f t="shared" si="9"/>
        <v/>
      </c>
      <c r="AC289" s="20" t="str">
        <f t="shared" ref="AC289:AD289" si="586">IF(_xlfn.ISFORMULA(S289),IFERROR(0/0,""),TRUE)</f>
        <v/>
      </c>
      <c r="AD289" s="20" t="str">
        <f t="shared" si="586"/>
        <v/>
      </c>
      <c r="AE289" s="43"/>
      <c r="AF289" s="62" t="s">
        <v>49</v>
      </c>
      <c r="AG289" s="57" t="str">
        <f t="shared" si="11"/>
        <v/>
      </c>
    </row>
    <row r="290">
      <c r="A290" s="6" t="str">
        <f>IFERROR(__xludf.DUMMYFUNCTION("""COMPUTED_VALUE"""),"MA619")</f>
        <v>MA619</v>
      </c>
      <c r="B290" s="204">
        <f>IFERROR(__xludf.DUMMYFUNCTION("""COMPUTED_VALUE"""),44592.0)</f>
        <v>44592</v>
      </c>
      <c r="C290" s="250">
        <f>IFERROR(__xludf.DUMMYFUNCTION("""COMPUTED_VALUE"""),0.32744212962962965)</f>
        <v>0.3274421296</v>
      </c>
      <c r="D290" s="6" t="str">
        <f>IFERROR(__xludf.DUMMYFUNCTION("""COMPUTED_VALUE"""),"SpBEND643855")</f>
        <v>SpBEND643855</v>
      </c>
      <c r="E290" s="251"/>
      <c r="F290" s="251"/>
      <c r="G290" s="251" t="str">
        <f>IFERROR(__xludf.DUMMYFUNCTION("""COMPUTED_VALUE"""),"Negative")</f>
        <v>Negative</v>
      </c>
      <c r="H290" s="262" t="str">
        <f>IFERROR(__xludf.DUMMYFUNCTION("""COMPUTED_VALUE"""),"Negative")</f>
        <v>Negative</v>
      </c>
      <c r="I290" s="204">
        <f>IFERROR(__xludf.DUMMYFUNCTION("""COMPUTED_VALUE"""),44592.0)</f>
        <v>44592</v>
      </c>
      <c r="J290" s="252">
        <f>IFERROR(__xludf.DUMMYFUNCTION("""COMPUTED_VALUE"""),0.46024305555555556)</f>
        <v>0.4602430556</v>
      </c>
      <c r="K290" s="56"/>
      <c r="L290" s="6"/>
      <c r="M290" s="61"/>
      <c r="N290" s="61">
        <f>IFERROR(__xludf.DUMMYFUNCTION("""COMPUTED_VALUE"""),1.0)</f>
        <v>1</v>
      </c>
      <c r="O290" s="61" t="str">
        <f t="shared" si="3"/>
        <v/>
      </c>
      <c r="P290" s="253">
        <f>IFERROR(__xludf.DUMMYFUNCTION("""COMPUTED_VALUE"""),0.0)</f>
        <v>0</v>
      </c>
      <c r="Q290" s="254" t="b">
        <f>VLOOKUP($B290,'Run Reconcile'!B$2:O799,14,FALSE)</f>
        <v>1</v>
      </c>
      <c r="R290" s="255" t="str">
        <f t="array" ref="R290">IF($Q290, INDEX('Run Reconcile'!A$2:A799,MATCH(B290,'Run Reconcile'!B$2:B799,0),1),IFERROR(0/0,""))</f>
        <v>RUN-BEND_2022-01-31_RFR-024</v>
      </c>
      <c r="S290" s="261" t="str">
        <f t="shared" ref="S290:T290" si="587">IF(COUNTIF(W$2:W799, $A290) &gt; 0,TRUE,IFERROR(0/0,""))</f>
        <v/>
      </c>
      <c r="T290" s="261" t="str">
        <f t="shared" si="587"/>
        <v/>
      </c>
      <c r="U290" s="257" t="str">
        <f t="array" ref="U290">IF(ISBLANK($R290), INDEX('Run Reconcile'!A$2:A799, MATCH($B290, 'Run Reconcile'!B$2:B799, 0)+Z290, 1), IFERROR(0/0,""))
</f>
        <v/>
      </c>
      <c r="V290" s="258" t="str">
        <f t="shared" si="480"/>
        <v>RUN-BEND_2022-01-31_RFR-024</v>
      </c>
      <c r="Y290" s="130" t="str">
        <f t="shared" si="487"/>
        <v/>
      </c>
      <c r="Z290" s="49" t="str">
        <f t="shared" si="7"/>
        <v/>
      </c>
      <c r="AA290" s="49" t="str">
        <f t="shared" si="8"/>
        <v/>
      </c>
      <c r="AB290" s="49" t="str">
        <f t="shared" si="9"/>
        <v/>
      </c>
      <c r="AC290" s="20" t="str">
        <f t="shared" ref="AC290:AD290" si="588">IF(_xlfn.ISFORMULA(S290),IFERROR(0/0,""),TRUE)</f>
        <v/>
      </c>
      <c r="AD290" s="20" t="str">
        <f t="shared" si="588"/>
        <v/>
      </c>
      <c r="AE290" s="43"/>
      <c r="AF290" s="62" t="s">
        <v>49</v>
      </c>
      <c r="AG290" s="57" t="str">
        <f t="shared" si="11"/>
        <v/>
      </c>
    </row>
    <row r="291">
      <c r="A291" s="6" t="str">
        <f>IFERROR(__xludf.DUMMYFUNCTION("""COMPUTED_VALUE"""),"MA348")</f>
        <v>MA348</v>
      </c>
      <c r="B291" s="204">
        <f>IFERROR(__xludf.DUMMYFUNCTION("""COMPUTED_VALUE"""),44592.0)</f>
        <v>44592</v>
      </c>
      <c r="C291" s="250">
        <f>IFERROR(__xludf.DUMMYFUNCTION("""COMPUTED_VALUE"""),0.3297337962962963)</f>
        <v>0.3297337963</v>
      </c>
      <c r="D291" s="6" t="str">
        <f>IFERROR(__xludf.DUMMYFUNCTION("""COMPUTED_VALUE"""),"SpBEND721986")</f>
        <v>SpBEND721986</v>
      </c>
      <c r="E291" s="251"/>
      <c r="F291" s="251"/>
      <c r="G291" s="251" t="str">
        <f>IFERROR(__xludf.DUMMYFUNCTION("""COMPUTED_VALUE"""),"Negative")</f>
        <v>Negative</v>
      </c>
      <c r="H291" s="262" t="str">
        <f>IFERROR(__xludf.DUMMYFUNCTION("""COMPUTED_VALUE"""),"Negative")</f>
        <v>Negative</v>
      </c>
      <c r="I291" s="204">
        <f>IFERROR(__xludf.DUMMYFUNCTION("""COMPUTED_VALUE"""),44592.0)</f>
        <v>44592</v>
      </c>
      <c r="J291" s="252">
        <f>IFERROR(__xludf.DUMMYFUNCTION("""COMPUTED_VALUE"""),0.46024305555555556)</f>
        <v>0.4602430556</v>
      </c>
      <c r="K291" s="56"/>
      <c r="L291" s="6"/>
      <c r="M291" s="61"/>
      <c r="N291" s="61">
        <f>IFERROR(__xludf.DUMMYFUNCTION("""COMPUTED_VALUE"""),1.0)</f>
        <v>1</v>
      </c>
      <c r="O291" s="61" t="str">
        <f t="shared" si="3"/>
        <v/>
      </c>
      <c r="P291" s="253">
        <f>IFERROR(__xludf.DUMMYFUNCTION("""COMPUTED_VALUE"""),0.0)</f>
        <v>0</v>
      </c>
      <c r="Q291" s="254" t="b">
        <f>VLOOKUP($B291,'Run Reconcile'!B$2:O799,14,FALSE)</f>
        <v>1</v>
      </c>
      <c r="R291" s="255" t="str">
        <f t="array" ref="R291">IF($Q291, INDEX('Run Reconcile'!A$2:A799,MATCH(B291,'Run Reconcile'!B$2:B799,0),1),IFERROR(0/0,""))</f>
        <v>RUN-BEND_2022-01-31_RFR-024</v>
      </c>
      <c r="S291" s="261" t="str">
        <f t="shared" ref="S291:T291" si="589">IF(COUNTIF(W$2:W799, $A291) &gt; 0,TRUE,IFERROR(0/0,""))</f>
        <v/>
      </c>
      <c r="T291" s="261" t="str">
        <f t="shared" si="589"/>
        <v/>
      </c>
      <c r="U291" s="257" t="str">
        <f t="array" ref="U291">IF(ISBLANK($R291), INDEX('Run Reconcile'!A$2:A799, MATCH($B291, 'Run Reconcile'!B$2:B799, 0)+Z291, 1), IFERROR(0/0,""))
</f>
        <v/>
      </c>
      <c r="V291" s="258" t="str">
        <f t="shared" si="480"/>
        <v>RUN-BEND_2022-01-31_RFR-024</v>
      </c>
      <c r="Y291" s="130" t="str">
        <f t="shared" si="487"/>
        <v/>
      </c>
      <c r="Z291" s="49" t="str">
        <f t="shared" si="7"/>
        <v/>
      </c>
      <c r="AA291" s="49" t="str">
        <f t="shared" si="8"/>
        <v/>
      </c>
      <c r="AB291" s="49" t="str">
        <f t="shared" si="9"/>
        <v/>
      </c>
      <c r="AC291" s="20" t="str">
        <f t="shared" ref="AC291:AD291" si="590">IF(_xlfn.ISFORMULA(S291),IFERROR(0/0,""),TRUE)</f>
        <v/>
      </c>
      <c r="AD291" s="20" t="str">
        <f t="shared" si="590"/>
        <v/>
      </c>
      <c r="AE291" s="43"/>
      <c r="AF291" s="62" t="s">
        <v>49</v>
      </c>
      <c r="AG291" s="57" t="str">
        <f t="shared" si="11"/>
        <v/>
      </c>
    </row>
    <row r="292">
      <c r="A292" s="6" t="str">
        <f>IFERROR(__xludf.DUMMYFUNCTION("""COMPUTED_VALUE"""),"MA615")</f>
        <v>MA615</v>
      </c>
      <c r="B292" s="204">
        <f>IFERROR(__xludf.DUMMYFUNCTION("""COMPUTED_VALUE"""),44592.0)</f>
        <v>44592</v>
      </c>
      <c r="C292" s="250">
        <f>IFERROR(__xludf.DUMMYFUNCTION("""COMPUTED_VALUE"""),0.33358796296296295)</f>
        <v>0.333587963</v>
      </c>
      <c r="D292" s="6" t="str">
        <f>IFERROR(__xludf.DUMMYFUNCTION("""COMPUTED_VALUE"""),"SpBEND349435")</f>
        <v>SpBEND349435</v>
      </c>
      <c r="E292" s="251"/>
      <c r="F292" s="251"/>
      <c r="G292" s="251" t="str">
        <f>IFERROR(__xludf.DUMMYFUNCTION("""COMPUTED_VALUE"""),"Negative")</f>
        <v>Negative</v>
      </c>
      <c r="H292" s="262" t="str">
        <f>IFERROR(__xludf.DUMMYFUNCTION("""COMPUTED_VALUE"""),"Negative")</f>
        <v>Negative</v>
      </c>
      <c r="I292" s="204">
        <f>IFERROR(__xludf.DUMMYFUNCTION("""COMPUTED_VALUE"""),44592.0)</f>
        <v>44592</v>
      </c>
      <c r="J292" s="252">
        <f>IFERROR(__xludf.DUMMYFUNCTION("""COMPUTED_VALUE"""),0.46024305555555556)</f>
        <v>0.4602430556</v>
      </c>
      <c r="K292" s="56"/>
      <c r="L292" s="6"/>
      <c r="M292" s="61"/>
      <c r="N292" s="61">
        <f>IFERROR(__xludf.DUMMYFUNCTION("""COMPUTED_VALUE"""),1.0)</f>
        <v>1</v>
      </c>
      <c r="O292" s="61" t="str">
        <f t="shared" si="3"/>
        <v/>
      </c>
      <c r="P292" s="253">
        <f>IFERROR(__xludf.DUMMYFUNCTION("""COMPUTED_VALUE"""),0.0)</f>
        <v>0</v>
      </c>
      <c r="Q292" s="254" t="b">
        <f>VLOOKUP($B292,'Run Reconcile'!B$2:O799,14,FALSE)</f>
        <v>1</v>
      </c>
      <c r="R292" s="255" t="str">
        <f t="array" ref="R292">IF($Q292, INDEX('Run Reconcile'!A$2:A799,MATCH(B292,'Run Reconcile'!B$2:B799,0),1),IFERROR(0/0,""))</f>
        <v>RUN-BEND_2022-01-31_RFR-024</v>
      </c>
      <c r="S292" s="261" t="str">
        <f t="shared" ref="S292:T292" si="591">IF(COUNTIF(W$2:W799, $A292) &gt; 0,TRUE,IFERROR(0/0,""))</f>
        <v/>
      </c>
      <c r="T292" s="261" t="str">
        <f t="shared" si="591"/>
        <v/>
      </c>
      <c r="U292" s="257" t="str">
        <f t="array" ref="U292">IF(ISBLANK($R292), INDEX('Run Reconcile'!A$2:A799, MATCH($B292, 'Run Reconcile'!B$2:B799, 0)+Z292, 1), IFERROR(0/0,""))
</f>
        <v/>
      </c>
      <c r="V292" s="258" t="str">
        <f t="shared" si="480"/>
        <v>RUN-BEND_2022-01-31_RFR-024</v>
      </c>
      <c r="Y292" s="130" t="str">
        <f t="shared" si="487"/>
        <v/>
      </c>
      <c r="Z292" s="49" t="str">
        <f t="shared" si="7"/>
        <v/>
      </c>
      <c r="AA292" s="49" t="str">
        <f t="shared" si="8"/>
        <v/>
      </c>
      <c r="AB292" s="49" t="str">
        <f t="shared" si="9"/>
        <v/>
      </c>
      <c r="AC292" s="20" t="str">
        <f t="shared" ref="AC292:AD292" si="592">IF(_xlfn.ISFORMULA(S292),IFERROR(0/0,""),TRUE)</f>
        <v/>
      </c>
      <c r="AD292" s="20" t="str">
        <f t="shared" si="592"/>
        <v/>
      </c>
      <c r="AE292" s="43"/>
      <c r="AF292" s="62" t="s">
        <v>49</v>
      </c>
      <c r="AG292" s="57" t="str">
        <f t="shared" si="11"/>
        <v/>
      </c>
    </row>
    <row r="293">
      <c r="A293" s="6" t="str">
        <f>IFERROR(__xludf.DUMMYFUNCTION("""COMPUTED_VALUE"""),"MA613")</f>
        <v>MA613</v>
      </c>
      <c r="B293" s="204">
        <f>IFERROR(__xludf.DUMMYFUNCTION("""COMPUTED_VALUE"""),44592.0)</f>
        <v>44592</v>
      </c>
      <c r="C293" s="250">
        <f>IFERROR(__xludf.DUMMYFUNCTION("""COMPUTED_VALUE"""),0.33368055555555554)</f>
        <v>0.3336805556</v>
      </c>
      <c r="D293" s="6" t="str">
        <f>IFERROR(__xludf.DUMMYFUNCTION("""COMPUTED_VALUE"""),"SpBEND768497")</f>
        <v>SpBEND768497</v>
      </c>
      <c r="E293" s="251"/>
      <c r="F293" s="251"/>
      <c r="G293" s="251" t="str">
        <f>IFERROR(__xludf.DUMMYFUNCTION("""COMPUTED_VALUE"""),"Negative")</f>
        <v>Negative</v>
      </c>
      <c r="H293" s="262" t="str">
        <f>IFERROR(__xludf.DUMMYFUNCTION("""COMPUTED_VALUE"""),"Negative")</f>
        <v>Negative</v>
      </c>
      <c r="I293" s="204">
        <f>IFERROR(__xludf.DUMMYFUNCTION("""COMPUTED_VALUE"""),44592.0)</f>
        <v>44592</v>
      </c>
      <c r="J293" s="252">
        <f>IFERROR(__xludf.DUMMYFUNCTION("""COMPUTED_VALUE"""),0.46024305555555556)</f>
        <v>0.4602430556</v>
      </c>
      <c r="K293" s="56"/>
      <c r="L293" s="6"/>
      <c r="M293" s="61"/>
      <c r="N293" s="61">
        <f>IFERROR(__xludf.DUMMYFUNCTION("""COMPUTED_VALUE"""),1.0)</f>
        <v>1</v>
      </c>
      <c r="O293" s="61" t="str">
        <f t="shared" si="3"/>
        <v/>
      </c>
      <c r="P293" s="253">
        <f>IFERROR(__xludf.DUMMYFUNCTION("""COMPUTED_VALUE"""),0.0)</f>
        <v>0</v>
      </c>
      <c r="Q293" s="254" t="b">
        <f>VLOOKUP($B293,'Run Reconcile'!B$2:O799,14,FALSE)</f>
        <v>1</v>
      </c>
      <c r="R293" s="255" t="str">
        <f t="array" ref="R293">IF($Q293, INDEX('Run Reconcile'!A$2:A799,MATCH(B293,'Run Reconcile'!B$2:B799,0),1),IFERROR(0/0,""))</f>
        <v>RUN-BEND_2022-01-31_RFR-024</v>
      </c>
      <c r="S293" s="261" t="str">
        <f t="shared" ref="S293:T293" si="593">IF(COUNTIF(W$2:W799, $A293) &gt; 0,TRUE,IFERROR(0/0,""))</f>
        <v/>
      </c>
      <c r="T293" s="261" t="str">
        <f t="shared" si="593"/>
        <v/>
      </c>
      <c r="U293" s="257" t="str">
        <f t="array" ref="U293">IF(ISBLANK($R293), INDEX('Run Reconcile'!A$2:A799, MATCH($B293, 'Run Reconcile'!B$2:B799, 0)+Z293, 1), IFERROR(0/0,""))
</f>
        <v/>
      </c>
      <c r="V293" s="258" t="str">
        <f t="shared" si="480"/>
        <v>RUN-BEND_2022-01-31_RFR-024</v>
      </c>
      <c r="Y293" s="130" t="str">
        <f t="shared" si="487"/>
        <v/>
      </c>
      <c r="Z293" s="49" t="str">
        <f t="shared" si="7"/>
        <v/>
      </c>
      <c r="AA293" s="49" t="str">
        <f t="shared" si="8"/>
        <v/>
      </c>
      <c r="AB293" s="49" t="str">
        <f t="shared" si="9"/>
        <v/>
      </c>
      <c r="AC293" s="20" t="str">
        <f t="shared" ref="AC293:AD293" si="594">IF(_xlfn.ISFORMULA(S293),IFERROR(0/0,""),TRUE)</f>
        <v/>
      </c>
      <c r="AD293" s="20" t="str">
        <f t="shared" si="594"/>
        <v/>
      </c>
      <c r="AE293" s="43"/>
      <c r="AF293" s="62" t="s">
        <v>49</v>
      </c>
      <c r="AG293" s="57" t="str">
        <f t="shared" si="11"/>
        <v/>
      </c>
    </row>
    <row r="294">
      <c r="A294" s="6" t="str">
        <f>IFERROR(__xludf.DUMMYFUNCTION("""COMPUTED_VALUE"""),"MA625")</f>
        <v>MA625</v>
      </c>
      <c r="B294" s="204">
        <f>IFERROR(__xludf.DUMMYFUNCTION("""COMPUTED_VALUE"""),44592.0)</f>
        <v>44592</v>
      </c>
      <c r="C294" s="250">
        <f>IFERROR(__xludf.DUMMYFUNCTION("""COMPUTED_VALUE"""),0.34346064814814814)</f>
        <v>0.3434606481</v>
      </c>
      <c r="D294" s="6" t="str">
        <f>IFERROR(__xludf.DUMMYFUNCTION("""COMPUTED_VALUE"""),"SpBEND136234")</f>
        <v>SpBEND136234</v>
      </c>
      <c r="E294" s="251"/>
      <c r="F294" s="251"/>
      <c r="G294" s="251" t="str">
        <f>IFERROR(__xludf.DUMMYFUNCTION("""COMPUTED_VALUE"""),"Negative")</f>
        <v>Negative</v>
      </c>
      <c r="H294" s="262" t="str">
        <f>IFERROR(__xludf.DUMMYFUNCTION("""COMPUTED_VALUE"""),"Negative")</f>
        <v>Negative</v>
      </c>
      <c r="I294" s="204">
        <f>IFERROR(__xludf.DUMMYFUNCTION("""COMPUTED_VALUE"""),44592.0)</f>
        <v>44592</v>
      </c>
      <c r="J294" s="252">
        <f>IFERROR(__xludf.DUMMYFUNCTION("""COMPUTED_VALUE"""),0.46024305555555556)</f>
        <v>0.4602430556</v>
      </c>
      <c r="K294" s="56"/>
      <c r="L294" s="6"/>
      <c r="M294" s="61"/>
      <c r="N294" s="61">
        <f>IFERROR(__xludf.DUMMYFUNCTION("""COMPUTED_VALUE"""),1.0)</f>
        <v>1</v>
      </c>
      <c r="O294" s="61" t="str">
        <f t="shared" si="3"/>
        <v/>
      </c>
      <c r="P294" s="253">
        <f>IFERROR(__xludf.DUMMYFUNCTION("""COMPUTED_VALUE"""),0.0)</f>
        <v>0</v>
      </c>
      <c r="Q294" s="254" t="b">
        <f>VLOOKUP($B294,'Run Reconcile'!B$2:O799,14,FALSE)</f>
        <v>1</v>
      </c>
      <c r="R294" s="255" t="str">
        <f t="array" ref="R294">IF($Q294, INDEX('Run Reconcile'!A$2:A799,MATCH(B294,'Run Reconcile'!B$2:B799,0),1),IFERROR(0/0,""))</f>
        <v>RUN-BEND_2022-01-31_RFR-024</v>
      </c>
      <c r="S294" s="261" t="str">
        <f t="shared" ref="S294:T294" si="595">IF(COUNTIF(W$2:W799, $A294) &gt; 0,TRUE,IFERROR(0/0,""))</f>
        <v/>
      </c>
      <c r="T294" s="261" t="str">
        <f t="shared" si="595"/>
        <v/>
      </c>
      <c r="U294" s="257" t="str">
        <f t="array" ref="U294">IF(ISBLANK($R294), INDEX('Run Reconcile'!A$2:A799, MATCH($B294, 'Run Reconcile'!B$2:B799, 0)+Z294, 1), IFERROR(0/0,""))
</f>
        <v/>
      </c>
      <c r="V294" s="258" t="str">
        <f t="shared" si="480"/>
        <v>RUN-BEND_2022-01-31_RFR-024</v>
      </c>
      <c r="Y294" s="130" t="str">
        <f t="shared" si="487"/>
        <v/>
      </c>
      <c r="Z294" s="49" t="str">
        <f t="shared" si="7"/>
        <v/>
      </c>
      <c r="AA294" s="49" t="str">
        <f t="shared" si="8"/>
        <v/>
      </c>
      <c r="AB294" s="49" t="str">
        <f t="shared" si="9"/>
        <v/>
      </c>
      <c r="AC294" s="20" t="str">
        <f t="shared" ref="AC294:AD294" si="596">IF(_xlfn.ISFORMULA(S294),IFERROR(0/0,""),TRUE)</f>
        <v/>
      </c>
      <c r="AD294" s="20" t="str">
        <f t="shared" si="596"/>
        <v/>
      </c>
      <c r="AE294" s="43"/>
      <c r="AF294" s="62" t="s">
        <v>49</v>
      </c>
      <c r="AG294" s="57" t="str">
        <f t="shared" si="11"/>
        <v/>
      </c>
    </row>
    <row r="295">
      <c r="A295" s="6" t="str">
        <f>IFERROR(__xludf.DUMMYFUNCTION("""COMPUTED_VALUE"""),"MA397")</f>
        <v>MA397</v>
      </c>
      <c r="B295" s="204">
        <f>IFERROR(__xludf.DUMMYFUNCTION("""COMPUTED_VALUE"""),44592.0)</f>
        <v>44592</v>
      </c>
      <c r="C295" s="250">
        <f>IFERROR(__xludf.DUMMYFUNCTION("""COMPUTED_VALUE"""),0.3622800925925926)</f>
        <v>0.3622800926</v>
      </c>
      <c r="D295" s="6" t="str">
        <f>IFERROR(__xludf.DUMMYFUNCTION("""COMPUTED_VALUE"""),"SpBEND541174")</f>
        <v>SpBEND541174</v>
      </c>
      <c r="E295" s="251"/>
      <c r="F295" s="251"/>
      <c r="G295" s="251" t="str">
        <f>IFERROR(__xludf.DUMMYFUNCTION("""COMPUTED_VALUE"""),"Negative")</f>
        <v>Negative</v>
      </c>
      <c r="H295" s="262" t="str">
        <f>IFERROR(__xludf.DUMMYFUNCTION("""COMPUTED_VALUE"""),"Negative")</f>
        <v>Negative</v>
      </c>
      <c r="I295" s="204">
        <f>IFERROR(__xludf.DUMMYFUNCTION("""COMPUTED_VALUE"""),44592.0)</f>
        <v>44592</v>
      </c>
      <c r="J295" s="252">
        <f>IFERROR(__xludf.DUMMYFUNCTION("""COMPUTED_VALUE"""),0.46024305555555556)</f>
        <v>0.4602430556</v>
      </c>
      <c r="K295" s="56"/>
      <c r="L295" s="6"/>
      <c r="M295" s="61"/>
      <c r="N295" s="61">
        <f>IFERROR(__xludf.DUMMYFUNCTION("""COMPUTED_VALUE"""),1.0)</f>
        <v>1</v>
      </c>
      <c r="O295" s="61" t="str">
        <f t="shared" si="3"/>
        <v/>
      </c>
      <c r="P295" s="253">
        <f>IFERROR(__xludf.DUMMYFUNCTION("""COMPUTED_VALUE"""),0.0)</f>
        <v>0</v>
      </c>
      <c r="Q295" s="254" t="b">
        <f>VLOOKUP($B295,'Run Reconcile'!B$2:O799,14,FALSE)</f>
        <v>1</v>
      </c>
      <c r="R295" s="255" t="str">
        <f t="array" ref="R295">IF($Q295, INDEX('Run Reconcile'!A$2:A799,MATCH(B295,'Run Reconcile'!B$2:B799,0),1),IFERROR(0/0,""))</f>
        <v>RUN-BEND_2022-01-31_RFR-024</v>
      </c>
      <c r="S295" s="261" t="str">
        <f t="shared" ref="S295:T295" si="597">IF(COUNTIF(W$2:W799, $A295) &gt; 0,TRUE,IFERROR(0/0,""))</f>
        <v/>
      </c>
      <c r="T295" s="261" t="str">
        <f t="shared" si="597"/>
        <v/>
      </c>
      <c r="U295" s="257" t="str">
        <f t="array" ref="U295">IF(ISBLANK($R295), INDEX('Run Reconcile'!A$2:A799, MATCH($B295, 'Run Reconcile'!B$2:B799, 0)+Z295, 1), IFERROR(0/0,""))
</f>
        <v/>
      </c>
      <c r="V295" s="258" t="str">
        <f t="shared" si="480"/>
        <v>RUN-BEND_2022-01-31_RFR-024</v>
      </c>
      <c r="Y295" s="130" t="str">
        <f t="shared" si="487"/>
        <v/>
      </c>
      <c r="Z295" s="49" t="str">
        <f t="shared" si="7"/>
        <v/>
      </c>
      <c r="AA295" s="49" t="str">
        <f t="shared" si="8"/>
        <v/>
      </c>
      <c r="AB295" s="49" t="str">
        <f t="shared" si="9"/>
        <v/>
      </c>
      <c r="AC295" s="20" t="str">
        <f t="shared" ref="AC295:AD295" si="598">IF(_xlfn.ISFORMULA(S295),IFERROR(0/0,""),TRUE)</f>
        <v/>
      </c>
      <c r="AD295" s="20" t="str">
        <f t="shared" si="598"/>
        <v/>
      </c>
      <c r="AE295" s="43"/>
      <c r="AF295" s="62" t="s">
        <v>49</v>
      </c>
      <c r="AG295" s="57" t="str">
        <f t="shared" si="11"/>
        <v/>
      </c>
    </row>
    <row r="296">
      <c r="A296" s="6" t="str">
        <f>IFERROR(__xludf.DUMMYFUNCTION("""COMPUTED_VALUE"""),"MAX85")</f>
        <v>MAX85</v>
      </c>
      <c r="B296" s="204">
        <f>IFERROR(__xludf.DUMMYFUNCTION("""COMPUTED_VALUE"""),44592.0)</f>
        <v>44592</v>
      </c>
      <c r="C296" s="250">
        <f>IFERROR(__xludf.DUMMYFUNCTION("""COMPUTED_VALUE"""),0.42983796296296295)</f>
        <v>0.429837963</v>
      </c>
      <c r="D296" s="6" t="str">
        <f>IFERROR(__xludf.DUMMYFUNCTION("""COMPUTED_VALUE"""),"SpBEND305944")</f>
        <v>SpBEND305944</v>
      </c>
      <c r="E296" s="251"/>
      <c r="F296" s="251"/>
      <c r="G296" s="251" t="str">
        <f>IFERROR(__xludf.DUMMYFUNCTION("""COMPUTED_VALUE"""),"Negative")</f>
        <v>Negative</v>
      </c>
      <c r="H296" s="262" t="str">
        <f>IFERROR(__xludf.DUMMYFUNCTION("""COMPUTED_VALUE"""),"Negative")</f>
        <v>Negative</v>
      </c>
      <c r="I296" s="204">
        <f>IFERROR(__xludf.DUMMYFUNCTION("""COMPUTED_VALUE"""),44592.0)</f>
        <v>44592</v>
      </c>
      <c r="J296" s="252">
        <f>IFERROR(__xludf.DUMMYFUNCTION("""COMPUTED_VALUE"""),0.46024305555555556)</f>
        <v>0.4602430556</v>
      </c>
      <c r="K296" s="56"/>
      <c r="L296" s="6"/>
      <c r="M296" s="61"/>
      <c r="N296" s="61">
        <f>IFERROR(__xludf.DUMMYFUNCTION("""COMPUTED_VALUE"""),1.0)</f>
        <v>1</v>
      </c>
      <c r="O296" s="61" t="str">
        <f t="shared" si="3"/>
        <v/>
      </c>
      <c r="P296" s="253">
        <f>IFERROR(__xludf.DUMMYFUNCTION("""COMPUTED_VALUE"""),0.0)</f>
        <v>0</v>
      </c>
      <c r="Q296" s="254" t="b">
        <f>VLOOKUP($B296,'Run Reconcile'!B$2:O799,14,FALSE)</f>
        <v>1</v>
      </c>
      <c r="R296" s="255" t="str">
        <f t="array" ref="R296">IF($Q296, INDEX('Run Reconcile'!A$2:A799,MATCH(B296,'Run Reconcile'!B$2:B799,0),1),IFERROR(0/0,""))</f>
        <v>RUN-BEND_2022-01-31_RFR-024</v>
      </c>
      <c r="S296" s="261" t="str">
        <f t="shared" ref="S296:T296" si="599">IF(COUNTIF(W$2:W799, $A296) &gt; 0,TRUE,IFERROR(0/0,""))</f>
        <v/>
      </c>
      <c r="T296" s="261" t="str">
        <f t="shared" si="599"/>
        <v/>
      </c>
      <c r="U296" s="257" t="str">
        <f t="array" ref="U296">IF(ISBLANK($R296), INDEX('Run Reconcile'!A$2:A799, MATCH($B296, 'Run Reconcile'!B$2:B799, 0)+Z296, 1), IFERROR(0/0,""))
</f>
        <v/>
      </c>
      <c r="V296" s="258" t="str">
        <f t="shared" si="480"/>
        <v>RUN-BEND_2022-01-31_RFR-024</v>
      </c>
      <c r="Y296" s="130" t="str">
        <f t="shared" si="487"/>
        <v/>
      </c>
      <c r="Z296" s="49" t="str">
        <f t="shared" si="7"/>
        <v/>
      </c>
      <c r="AA296" s="49" t="str">
        <f t="shared" si="8"/>
        <v/>
      </c>
      <c r="AB296" s="49" t="str">
        <f t="shared" si="9"/>
        <v/>
      </c>
      <c r="AC296" s="20" t="str">
        <f t="shared" ref="AC296:AD296" si="600">IF(_xlfn.ISFORMULA(S296),IFERROR(0/0,""),TRUE)</f>
        <v/>
      </c>
      <c r="AD296" s="20" t="str">
        <f t="shared" si="600"/>
        <v/>
      </c>
      <c r="AE296" s="43"/>
      <c r="AF296" s="62" t="s">
        <v>49</v>
      </c>
      <c r="AG296" s="57" t="str">
        <f t="shared" si="11"/>
        <v/>
      </c>
    </row>
    <row r="297">
      <c r="A297" s="6" t="str">
        <f>IFERROR(__xludf.DUMMYFUNCTION("""COMPUTED_VALUE"""),"MA310")</f>
        <v>MA310</v>
      </c>
      <c r="B297" s="204">
        <f>IFERROR(__xludf.DUMMYFUNCTION("""COMPUTED_VALUE"""),44594.0)</f>
        <v>44594</v>
      </c>
      <c r="C297" s="250">
        <f>IFERROR(__xludf.DUMMYFUNCTION("""COMPUTED_VALUE"""),0.3244675925925926)</f>
        <v>0.3244675926</v>
      </c>
      <c r="D297" s="6" t="str">
        <f>IFERROR(__xludf.DUMMYFUNCTION("""COMPUTED_VALUE"""),"SpBEND548976")</f>
        <v>SpBEND548976</v>
      </c>
      <c r="E297" s="251"/>
      <c r="F297" s="251"/>
      <c r="G297" s="251" t="str">
        <f>IFERROR(__xludf.DUMMYFUNCTION("""COMPUTED_VALUE"""),"Positive")</f>
        <v>Positive</v>
      </c>
      <c r="H297" s="262" t="str">
        <f>IFERROR(__xludf.DUMMYFUNCTION("""COMPUTED_VALUE"""),"Positive")</f>
        <v>Positive</v>
      </c>
      <c r="I297" s="204">
        <f>IFERROR(__xludf.DUMMYFUNCTION("""COMPUTED_VALUE"""),44594.0)</f>
        <v>44594</v>
      </c>
      <c r="J297" s="252">
        <f>IFERROR(__xludf.DUMMYFUNCTION("""COMPUTED_VALUE"""),0.48358796296296297)</f>
        <v>0.483587963</v>
      </c>
      <c r="K297" s="56"/>
      <c r="L297" s="6"/>
      <c r="M297" s="61"/>
      <c r="N297" s="61">
        <f>IFERROR(__xludf.DUMMYFUNCTION("""COMPUTED_VALUE"""),1.0)</f>
        <v>1</v>
      </c>
      <c r="O297" s="61" t="b">
        <f t="shared" si="3"/>
        <v>1</v>
      </c>
      <c r="P297" s="253">
        <f>IFERROR(__xludf.DUMMYFUNCTION("""COMPUTED_VALUE"""),0.0)</f>
        <v>0</v>
      </c>
      <c r="Q297" s="254" t="b">
        <f>VLOOKUP($B297,'Run Reconcile'!B$2:O799,14,FALSE)</f>
        <v>1</v>
      </c>
      <c r="R297" s="255" t="str">
        <f t="array" ref="R297">IF($Q297, INDEX('Run Reconcile'!A$2:A799,MATCH(B297,'Run Reconcile'!B$2:B799,0),1),IFERROR(0/0,""))</f>
        <v>RUN-BEND_2022-02-02_RFR-025</v>
      </c>
      <c r="S297" s="261" t="str">
        <f t="shared" ref="S297:T297" si="601">IF(COUNTIF(W$2:W799, $A297) &gt; 0,TRUE,IFERROR(0/0,""))</f>
        <v/>
      </c>
      <c r="T297" s="261" t="str">
        <f t="shared" si="601"/>
        <v/>
      </c>
      <c r="U297" s="257" t="str">
        <f t="array" ref="U297">IF(ISBLANK($R297), INDEX('Run Reconcile'!A$2:A799, MATCH($B297, 'Run Reconcile'!B$2:B799, 0)+Z297, 1), IFERROR(0/0,""))
</f>
        <v/>
      </c>
      <c r="V297" s="258" t="str">
        <f t="shared" si="480"/>
        <v>RUN-BEND_2022-02-02_RFR-025</v>
      </c>
      <c r="Y297" s="130" t="str">
        <f t="shared" si="487"/>
        <v/>
      </c>
      <c r="Z297" s="49" t="str">
        <f t="shared" si="7"/>
        <v/>
      </c>
      <c r="AA297" s="49" t="str">
        <f t="shared" si="8"/>
        <v/>
      </c>
      <c r="AB297" s="49" t="str">
        <f t="shared" si="9"/>
        <v/>
      </c>
      <c r="AC297" s="20" t="str">
        <f t="shared" ref="AC297:AD297" si="602">IF(_xlfn.ISFORMULA(S297),IFERROR(0/0,""),TRUE)</f>
        <v/>
      </c>
      <c r="AD297" s="20" t="str">
        <f t="shared" si="602"/>
        <v/>
      </c>
      <c r="AE297" s="43"/>
      <c r="AF297" s="62" t="s">
        <v>50</v>
      </c>
      <c r="AG297" s="57" t="str">
        <f t="shared" si="11"/>
        <v/>
      </c>
    </row>
    <row r="298">
      <c r="A298" s="6" t="str">
        <f>IFERROR(__xludf.DUMMYFUNCTION("""COMPUTED_VALUE"""),"MA1209")</f>
        <v>MA1209</v>
      </c>
      <c r="B298" s="204">
        <f>IFERROR(__xludf.DUMMYFUNCTION("""COMPUTED_VALUE"""),44594.0)</f>
        <v>44594</v>
      </c>
      <c r="C298" s="250">
        <f>IFERROR(__xludf.DUMMYFUNCTION("""COMPUTED_VALUE"""),0.3348263888888889)</f>
        <v>0.3348263889</v>
      </c>
      <c r="D298" s="6" t="str">
        <f>IFERROR(__xludf.DUMMYFUNCTION("""COMPUTED_VALUE"""),"SpBEND387578")</f>
        <v>SpBEND387578</v>
      </c>
      <c r="E298" s="251"/>
      <c r="F298" s="251"/>
      <c r="G298" s="251" t="str">
        <f>IFERROR(__xludf.DUMMYFUNCTION("""COMPUTED_VALUE"""),"Negative")</f>
        <v>Negative</v>
      </c>
      <c r="H298" s="262" t="str">
        <f>IFERROR(__xludf.DUMMYFUNCTION("""COMPUTED_VALUE"""),"Negative")</f>
        <v>Negative</v>
      </c>
      <c r="I298" s="204">
        <f>IFERROR(__xludf.DUMMYFUNCTION("""COMPUTED_VALUE"""),44596.0)</f>
        <v>44596</v>
      </c>
      <c r="J298" s="252">
        <f>IFERROR(__xludf.DUMMYFUNCTION("""COMPUTED_VALUE"""),0.48193287037037036)</f>
        <v>0.4819328704</v>
      </c>
      <c r="K298" s="56"/>
      <c r="L298" s="6"/>
      <c r="M298" s="61"/>
      <c r="N298" s="61">
        <f>IFERROR(__xludf.DUMMYFUNCTION("""COMPUTED_VALUE"""),1.0)</f>
        <v>1</v>
      </c>
      <c r="O298" s="61" t="str">
        <f t="shared" si="3"/>
        <v/>
      </c>
      <c r="P298" s="253">
        <f>IFERROR(__xludf.DUMMYFUNCTION("""COMPUTED_VALUE"""),2.0)</f>
        <v>2</v>
      </c>
      <c r="Q298" s="254" t="b">
        <f>VLOOKUP($B298,'Run Reconcile'!B$2:O799,14,FALSE)</f>
        <v>1</v>
      </c>
      <c r="R298" s="255" t="str">
        <f t="array" ref="R298">IF($Q298, INDEX('Run Reconcile'!A$2:A799,MATCH(B298,'Run Reconcile'!B$2:B799,0),1),IFERROR(0/0,""))</f>
        <v>RUN-BEND_2022-02-02_RFR-025</v>
      </c>
      <c r="S298" s="261" t="str">
        <f t="shared" ref="S298:T298" si="603">IF(COUNTIF(W$2:W799, $A298) &gt; 0,TRUE,IFERROR(0/0,""))</f>
        <v/>
      </c>
      <c r="T298" s="261" t="str">
        <f t="shared" si="603"/>
        <v/>
      </c>
      <c r="U298" s="257" t="str">
        <f t="array" ref="U298">IF(ISBLANK($R298), INDEX('Run Reconcile'!A$2:A799, MATCH($B298, 'Run Reconcile'!B$2:B799, 0)+Z298, 1), IFERROR(0/0,""))
</f>
        <v/>
      </c>
      <c r="V298" s="258" t="str">
        <f t="shared" si="480"/>
        <v>RUN-BEND_2022-02-02_RFR-025</v>
      </c>
      <c r="Y298" s="130" t="str">
        <f t="shared" si="487"/>
        <v/>
      </c>
      <c r="Z298" s="49" t="str">
        <f t="shared" si="7"/>
        <v/>
      </c>
      <c r="AA298" s="49" t="str">
        <f t="shared" si="8"/>
        <v/>
      </c>
      <c r="AB298" s="49" t="str">
        <f t="shared" si="9"/>
        <v/>
      </c>
      <c r="AC298" s="20" t="str">
        <f t="shared" ref="AC298:AD298" si="604">IF(_xlfn.ISFORMULA(S298),IFERROR(0/0,""),TRUE)</f>
        <v/>
      </c>
      <c r="AD298" s="20" t="str">
        <f t="shared" si="604"/>
        <v/>
      </c>
      <c r="AE298" s="43"/>
      <c r="AF298" s="62" t="s">
        <v>50</v>
      </c>
      <c r="AG298" s="57" t="str">
        <f t="shared" si="11"/>
        <v/>
      </c>
    </row>
    <row r="299">
      <c r="A299" s="6" t="str">
        <f>IFERROR(__xludf.DUMMYFUNCTION("""COMPUTED_VALUE"""),"MA604")</f>
        <v>MA604</v>
      </c>
      <c r="B299" s="204">
        <f>IFERROR(__xludf.DUMMYFUNCTION("""COMPUTED_VALUE"""),44594.0)</f>
        <v>44594</v>
      </c>
      <c r="C299" s="250">
        <f>IFERROR(__xludf.DUMMYFUNCTION("""COMPUTED_VALUE"""),0.33846064814814814)</f>
        <v>0.3384606481</v>
      </c>
      <c r="D299" s="6" t="str">
        <f>IFERROR(__xludf.DUMMYFUNCTION("""COMPUTED_VALUE"""),"SpBEND985296")</f>
        <v>SpBEND985296</v>
      </c>
      <c r="E299" s="251"/>
      <c r="F299" s="251"/>
      <c r="G299" s="251" t="str">
        <f>IFERROR(__xludf.DUMMYFUNCTION("""COMPUTED_VALUE"""),"Negative")</f>
        <v>Negative</v>
      </c>
      <c r="H299" s="262" t="str">
        <f>IFERROR(__xludf.DUMMYFUNCTION("""COMPUTED_VALUE"""),"Negative")</f>
        <v>Negative</v>
      </c>
      <c r="I299" s="204">
        <f>IFERROR(__xludf.DUMMYFUNCTION("""COMPUTED_VALUE"""),44596.0)</f>
        <v>44596</v>
      </c>
      <c r="J299" s="252">
        <f>IFERROR(__xludf.DUMMYFUNCTION("""COMPUTED_VALUE"""),0.48194444444444445)</f>
        <v>0.4819444444</v>
      </c>
      <c r="K299" s="56"/>
      <c r="L299" s="6"/>
      <c r="M299" s="61"/>
      <c r="N299" s="61">
        <f>IFERROR(__xludf.DUMMYFUNCTION("""COMPUTED_VALUE"""),1.0)</f>
        <v>1</v>
      </c>
      <c r="O299" s="61" t="str">
        <f t="shared" si="3"/>
        <v/>
      </c>
      <c r="P299" s="253">
        <f>IFERROR(__xludf.DUMMYFUNCTION("""COMPUTED_VALUE"""),2.0)</f>
        <v>2</v>
      </c>
      <c r="Q299" s="254" t="b">
        <f>VLOOKUP($B299,'Run Reconcile'!B$2:O799,14,FALSE)</f>
        <v>1</v>
      </c>
      <c r="R299" s="255" t="str">
        <f t="array" ref="R299">IF($Q299, INDEX('Run Reconcile'!A$2:A799,MATCH(B299,'Run Reconcile'!B$2:B799,0),1),IFERROR(0/0,""))</f>
        <v>RUN-BEND_2022-02-02_RFR-025</v>
      </c>
      <c r="S299" s="261" t="str">
        <f t="shared" ref="S299:T299" si="605">IF(COUNTIF(W$2:W799, $A299) &gt; 0,TRUE,IFERROR(0/0,""))</f>
        <v/>
      </c>
      <c r="T299" s="261" t="str">
        <f t="shared" si="605"/>
        <v/>
      </c>
      <c r="U299" s="257" t="str">
        <f t="array" ref="U299">IF(ISBLANK($R299), INDEX('Run Reconcile'!A$2:A799, MATCH($B299, 'Run Reconcile'!B$2:B799, 0)+Z299, 1), IFERROR(0/0,""))
</f>
        <v/>
      </c>
      <c r="V299" s="258" t="str">
        <f t="shared" si="480"/>
        <v>RUN-BEND_2022-02-02_RFR-025</v>
      </c>
      <c r="Y299" s="130" t="str">
        <f t="shared" si="487"/>
        <v/>
      </c>
      <c r="Z299" s="49" t="str">
        <f t="shared" si="7"/>
        <v/>
      </c>
      <c r="AA299" s="49" t="str">
        <f t="shared" si="8"/>
        <v/>
      </c>
      <c r="AB299" s="49" t="str">
        <f t="shared" si="9"/>
        <v/>
      </c>
      <c r="AC299" s="20" t="str">
        <f t="shared" ref="AC299:AD299" si="606">IF(_xlfn.ISFORMULA(S299),IFERROR(0/0,""),TRUE)</f>
        <v/>
      </c>
      <c r="AD299" s="20" t="str">
        <f t="shared" si="606"/>
        <v/>
      </c>
      <c r="AE299" s="43"/>
      <c r="AF299" s="62" t="s">
        <v>50</v>
      </c>
      <c r="AG299" s="57" t="str">
        <f t="shared" si="11"/>
        <v/>
      </c>
    </row>
    <row r="300">
      <c r="A300" s="6" t="str">
        <f>IFERROR(__xludf.DUMMYFUNCTION("""COMPUTED_VALUE"""),"MA1136")</f>
        <v>MA1136</v>
      </c>
      <c r="B300" s="204">
        <f>IFERROR(__xludf.DUMMYFUNCTION("""COMPUTED_VALUE"""),44594.0)</f>
        <v>44594</v>
      </c>
      <c r="C300" s="250">
        <f>IFERROR(__xludf.DUMMYFUNCTION("""COMPUTED_VALUE"""),0.34377314814814813)</f>
        <v>0.3437731481</v>
      </c>
      <c r="D300" s="6" t="str">
        <f>IFERROR(__xludf.DUMMYFUNCTION("""COMPUTED_VALUE"""),"SpBEND528248")</f>
        <v>SpBEND528248</v>
      </c>
      <c r="E300" s="251"/>
      <c r="F300" s="251"/>
      <c r="G300" s="251" t="str">
        <f>IFERROR(__xludf.DUMMYFUNCTION("""COMPUTED_VALUE"""),"Negative")</f>
        <v>Negative</v>
      </c>
      <c r="H300" s="262" t="str">
        <f>IFERROR(__xludf.DUMMYFUNCTION("""COMPUTED_VALUE"""),"Negative")</f>
        <v>Negative</v>
      </c>
      <c r="I300" s="204">
        <f>IFERROR(__xludf.DUMMYFUNCTION("""COMPUTED_VALUE"""),44596.0)</f>
        <v>44596</v>
      </c>
      <c r="J300" s="252">
        <f>IFERROR(__xludf.DUMMYFUNCTION("""COMPUTED_VALUE"""),0.48194444444444445)</f>
        <v>0.4819444444</v>
      </c>
      <c r="K300" s="56"/>
      <c r="L300" s="6"/>
      <c r="M300" s="61"/>
      <c r="N300" s="61">
        <f>IFERROR(__xludf.DUMMYFUNCTION("""COMPUTED_VALUE"""),1.0)</f>
        <v>1</v>
      </c>
      <c r="O300" s="61" t="str">
        <f t="shared" si="3"/>
        <v/>
      </c>
      <c r="P300" s="253">
        <f>IFERROR(__xludf.DUMMYFUNCTION("""COMPUTED_VALUE"""),2.0)</f>
        <v>2</v>
      </c>
      <c r="Q300" s="254" t="b">
        <f>VLOOKUP($B300,'Run Reconcile'!B$2:O799,14,FALSE)</f>
        <v>1</v>
      </c>
      <c r="R300" s="255" t="str">
        <f t="array" ref="R300">IF($Q300, INDEX('Run Reconcile'!A$2:A799,MATCH(B300,'Run Reconcile'!B$2:B799,0),1),IFERROR(0/0,""))</f>
        <v>RUN-BEND_2022-02-02_RFR-025</v>
      </c>
      <c r="S300" s="261" t="str">
        <f t="shared" ref="S300:T300" si="607">IF(COUNTIF(W$2:W799, $A300) &gt; 0,TRUE,IFERROR(0/0,""))</f>
        <v/>
      </c>
      <c r="T300" s="261" t="str">
        <f t="shared" si="607"/>
        <v/>
      </c>
      <c r="U300" s="257" t="str">
        <f t="array" ref="U300">IF(ISBLANK($R300), INDEX('Run Reconcile'!A$2:A799, MATCH($B300, 'Run Reconcile'!B$2:B799, 0)+Z300, 1), IFERROR(0/0,""))
</f>
        <v/>
      </c>
      <c r="V300" s="258" t="str">
        <f t="shared" si="480"/>
        <v>RUN-BEND_2022-02-02_RFR-025</v>
      </c>
      <c r="Y300" s="130" t="str">
        <f t="shared" si="487"/>
        <v/>
      </c>
      <c r="Z300" s="49" t="str">
        <f t="shared" si="7"/>
        <v/>
      </c>
      <c r="AA300" s="49" t="str">
        <f t="shared" si="8"/>
        <v/>
      </c>
      <c r="AB300" s="49" t="str">
        <f t="shared" si="9"/>
        <v/>
      </c>
      <c r="AC300" s="20" t="str">
        <f t="shared" ref="AC300:AD300" si="608">IF(_xlfn.ISFORMULA(S300),IFERROR(0/0,""),TRUE)</f>
        <v/>
      </c>
      <c r="AD300" s="20" t="str">
        <f t="shared" si="608"/>
        <v/>
      </c>
      <c r="AE300" s="43"/>
      <c r="AF300" s="62" t="s">
        <v>50</v>
      </c>
      <c r="AG300" s="57" t="str">
        <f t="shared" si="11"/>
        <v/>
      </c>
    </row>
    <row r="301">
      <c r="A301" s="6" t="str">
        <f>IFERROR(__xludf.DUMMYFUNCTION("""COMPUTED_VALUE"""),"MA1033")</f>
        <v>MA1033</v>
      </c>
      <c r="B301" s="204">
        <f>IFERROR(__xludf.DUMMYFUNCTION("""COMPUTED_VALUE"""),44594.0)</f>
        <v>44594</v>
      </c>
      <c r="C301" s="250">
        <f>IFERROR(__xludf.DUMMYFUNCTION("""COMPUTED_VALUE"""),0.34423611111111113)</f>
        <v>0.3442361111</v>
      </c>
      <c r="D301" s="6" t="str">
        <f>IFERROR(__xludf.DUMMYFUNCTION("""COMPUTED_VALUE"""),"SpBEND528248")</f>
        <v>SpBEND528248</v>
      </c>
      <c r="E301" s="251"/>
      <c r="F301" s="251"/>
      <c r="G301" s="251" t="str">
        <f>IFERROR(__xludf.DUMMYFUNCTION("""COMPUTED_VALUE"""),"Negative")</f>
        <v>Negative</v>
      </c>
      <c r="H301" s="262" t="str">
        <f>IFERROR(__xludf.DUMMYFUNCTION("""COMPUTED_VALUE"""),"Negative")</f>
        <v>Negative</v>
      </c>
      <c r="I301" s="204">
        <f>IFERROR(__xludf.DUMMYFUNCTION("""COMPUTED_VALUE"""),44596.0)</f>
        <v>44596</v>
      </c>
      <c r="J301" s="252">
        <f>IFERROR(__xludf.DUMMYFUNCTION("""COMPUTED_VALUE"""),0.48194444444444445)</f>
        <v>0.4819444444</v>
      </c>
      <c r="K301" s="56"/>
      <c r="L301" s="6"/>
      <c r="M301" s="61"/>
      <c r="N301" s="61">
        <f>IFERROR(__xludf.DUMMYFUNCTION("""COMPUTED_VALUE"""),1.0)</f>
        <v>1</v>
      </c>
      <c r="O301" s="61" t="str">
        <f t="shared" si="3"/>
        <v/>
      </c>
      <c r="P301" s="253">
        <f>IFERROR(__xludf.DUMMYFUNCTION("""COMPUTED_VALUE"""),2.0)</f>
        <v>2</v>
      </c>
      <c r="Q301" s="254" t="b">
        <f>VLOOKUP($B301,'Run Reconcile'!B$2:O799,14,FALSE)</f>
        <v>1</v>
      </c>
      <c r="R301" s="255" t="str">
        <f t="array" ref="R301">IF($Q301, INDEX('Run Reconcile'!A$2:A799,MATCH(B301,'Run Reconcile'!B$2:B799,0),1),IFERROR(0/0,""))</f>
        <v>RUN-BEND_2022-02-02_RFR-025</v>
      </c>
      <c r="S301" s="261" t="str">
        <f t="shared" ref="S301:T301" si="609">IF(COUNTIF(W$2:W799, $A301) &gt; 0,TRUE,IFERROR(0/0,""))</f>
        <v/>
      </c>
      <c r="T301" s="261" t="str">
        <f t="shared" si="609"/>
        <v/>
      </c>
      <c r="U301" s="257" t="str">
        <f t="array" ref="U301">IF(ISBLANK($R301), INDEX('Run Reconcile'!A$2:A799, MATCH($B301, 'Run Reconcile'!B$2:B799, 0)+Z301, 1), IFERROR(0/0,""))
</f>
        <v/>
      </c>
      <c r="V301" s="258" t="str">
        <f t="shared" si="480"/>
        <v>RUN-BEND_2022-02-02_RFR-025</v>
      </c>
      <c r="Y301" s="130" t="str">
        <f t="shared" si="487"/>
        <v/>
      </c>
      <c r="Z301" s="49" t="str">
        <f t="shared" si="7"/>
        <v/>
      </c>
      <c r="AA301" s="49" t="str">
        <f t="shared" si="8"/>
        <v/>
      </c>
      <c r="AB301" s="49" t="str">
        <f t="shared" si="9"/>
        <v/>
      </c>
      <c r="AC301" s="20" t="str">
        <f t="shared" ref="AC301:AD301" si="610">IF(_xlfn.ISFORMULA(S301),IFERROR(0/0,""),TRUE)</f>
        <v/>
      </c>
      <c r="AD301" s="20" t="str">
        <f t="shared" si="610"/>
        <v/>
      </c>
      <c r="AE301" s="43"/>
      <c r="AF301" s="62" t="s">
        <v>50</v>
      </c>
      <c r="AG301" s="57" t="str">
        <f t="shared" si="11"/>
        <v/>
      </c>
    </row>
    <row r="302">
      <c r="A302" s="6" t="str">
        <f>IFERROR(__xludf.DUMMYFUNCTION("""COMPUTED_VALUE"""),"MA1195")</f>
        <v>MA1195</v>
      </c>
      <c r="B302" s="204">
        <f>IFERROR(__xludf.DUMMYFUNCTION("""COMPUTED_VALUE"""),44594.0)</f>
        <v>44594</v>
      </c>
      <c r="C302" s="250">
        <f>IFERROR(__xludf.DUMMYFUNCTION("""COMPUTED_VALUE"""),0.34739583333333335)</f>
        <v>0.3473958333</v>
      </c>
      <c r="D302" s="6" t="str">
        <f>IFERROR(__xludf.DUMMYFUNCTION("""COMPUTED_VALUE"""),"SpBEND474338")</f>
        <v>SpBEND474338</v>
      </c>
      <c r="E302" s="251"/>
      <c r="F302" s="251"/>
      <c r="G302" s="251" t="str">
        <f>IFERROR(__xludf.DUMMYFUNCTION("""COMPUTED_VALUE"""),"Negative")</f>
        <v>Negative</v>
      </c>
      <c r="H302" s="262" t="str">
        <f>IFERROR(__xludf.DUMMYFUNCTION("""COMPUTED_VALUE"""),"Negative")</f>
        <v>Negative</v>
      </c>
      <c r="I302" s="204">
        <f>IFERROR(__xludf.DUMMYFUNCTION("""COMPUTED_VALUE"""),44596.0)</f>
        <v>44596</v>
      </c>
      <c r="J302" s="252">
        <f>IFERROR(__xludf.DUMMYFUNCTION("""COMPUTED_VALUE"""),0.48194444444444445)</f>
        <v>0.4819444444</v>
      </c>
      <c r="K302" s="56"/>
      <c r="L302" s="6"/>
      <c r="M302" s="61"/>
      <c r="N302" s="61">
        <f>IFERROR(__xludf.DUMMYFUNCTION("""COMPUTED_VALUE"""),1.0)</f>
        <v>1</v>
      </c>
      <c r="O302" s="61" t="str">
        <f t="shared" si="3"/>
        <v/>
      </c>
      <c r="P302" s="253">
        <f>IFERROR(__xludf.DUMMYFUNCTION("""COMPUTED_VALUE"""),2.0)</f>
        <v>2</v>
      </c>
      <c r="Q302" s="254" t="b">
        <f>VLOOKUP($B302,'Run Reconcile'!B$2:O799,14,FALSE)</f>
        <v>1</v>
      </c>
      <c r="R302" s="255" t="str">
        <f t="array" ref="R302">IF($Q302, INDEX('Run Reconcile'!A$2:A799,MATCH(B302,'Run Reconcile'!B$2:B799,0),1),IFERROR(0/0,""))</f>
        <v>RUN-BEND_2022-02-02_RFR-025</v>
      </c>
      <c r="S302" s="261" t="str">
        <f t="shared" ref="S302:T302" si="611">IF(COUNTIF(W$2:W799, $A302) &gt; 0,TRUE,IFERROR(0/0,""))</f>
        <v/>
      </c>
      <c r="T302" s="261" t="str">
        <f t="shared" si="611"/>
        <v/>
      </c>
      <c r="U302" s="257" t="str">
        <f t="array" ref="U302">IF(ISBLANK($R302), INDEX('Run Reconcile'!A$2:A799, MATCH($B302, 'Run Reconcile'!B$2:B799, 0)+Z302, 1), IFERROR(0/0,""))
</f>
        <v/>
      </c>
      <c r="V302" s="258" t="str">
        <f t="shared" si="480"/>
        <v>RUN-BEND_2022-02-02_RFR-025</v>
      </c>
      <c r="Y302" s="130" t="str">
        <f t="shared" si="487"/>
        <v/>
      </c>
      <c r="Z302" s="49" t="str">
        <f t="shared" si="7"/>
        <v/>
      </c>
      <c r="AA302" s="49" t="str">
        <f t="shared" si="8"/>
        <v/>
      </c>
      <c r="AB302" s="49" t="str">
        <f t="shared" si="9"/>
        <v/>
      </c>
      <c r="AC302" s="20" t="str">
        <f t="shared" ref="AC302:AD302" si="612">IF(_xlfn.ISFORMULA(S302),IFERROR(0/0,""),TRUE)</f>
        <v/>
      </c>
      <c r="AD302" s="20" t="str">
        <f t="shared" si="612"/>
        <v/>
      </c>
      <c r="AE302" s="43"/>
      <c r="AF302" s="62" t="s">
        <v>50</v>
      </c>
      <c r="AG302" s="57" t="str">
        <f t="shared" si="11"/>
        <v/>
      </c>
    </row>
    <row r="303">
      <c r="A303" s="6" t="str">
        <f>IFERROR(__xludf.DUMMYFUNCTION("""COMPUTED_VALUE"""),"MA1161")</f>
        <v>MA1161</v>
      </c>
      <c r="B303" s="204">
        <f>IFERROR(__xludf.DUMMYFUNCTION("""COMPUTED_VALUE"""),44594.0)</f>
        <v>44594</v>
      </c>
      <c r="C303" s="250">
        <f>IFERROR(__xludf.DUMMYFUNCTION("""COMPUTED_VALUE"""),0.3539351851851852)</f>
        <v>0.3539351852</v>
      </c>
      <c r="D303" s="6" t="str">
        <f>IFERROR(__xludf.DUMMYFUNCTION("""COMPUTED_VALUE"""),"SpBEND454594")</f>
        <v>SpBEND454594</v>
      </c>
      <c r="E303" s="251"/>
      <c r="F303" s="251"/>
      <c r="G303" s="251" t="str">
        <f>IFERROR(__xludf.DUMMYFUNCTION("""COMPUTED_VALUE"""),"Negative")</f>
        <v>Negative</v>
      </c>
      <c r="H303" s="262" t="str">
        <f>IFERROR(__xludf.DUMMYFUNCTION("""COMPUTED_VALUE"""),"Negative")</f>
        <v>Negative</v>
      </c>
      <c r="I303" s="204">
        <f>IFERROR(__xludf.DUMMYFUNCTION("""COMPUTED_VALUE"""),44596.0)</f>
        <v>44596</v>
      </c>
      <c r="J303" s="252">
        <f>IFERROR(__xludf.DUMMYFUNCTION("""COMPUTED_VALUE"""),0.48194444444444445)</f>
        <v>0.4819444444</v>
      </c>
      <c r="K303" s="56"/>
      <c r="L303" s="6"/>
      <c r="M303" s="61"/>
      <c r="N303" s="61">
        <f>IFERROR(__xludf.DUMMYFUNCTION("""COMPUTED_VALUE"""),1.0)</f>
        <v>1</v>
      </c>
      <c r="O303" s="61" t="str">
        <f t="shared" si="3"/>
        <v/>
      </c>
      <c r="P303" s="253">
        <f>IFERROR(__xludf.DUMMYFUNCTION("""COMPUTED_VALUE"""),2.0)</f>
        <v>2</v>
      </c>
      <c r="Q303" s="254" t="b">
        <f>VLOOKUP($B303,'Run Reconcile'!B$2:O799,14,FALSE)</f>
        <v>1</v>
      </c>
      <c r="R303" s="255" t="str">
        <f t="array" ref="R303">IF($Q303, INDEX('Run Reconcile'!A$2:A799,MATCH(B303,'Run Reconcile'!B$2:B799,0),1),IFERROR(0/0,""))</f>
        <v>RUN-BEND_2022-02-02_RFR-025</v>
      </c>
      <c r="S303" s="261" t="str">
        <f t="shared" ref="S303:T303" si="613">IF(COUNTIF(W$2:W799, $A303) &gt; 0,TRUE,IFERROR(0/0,""))</f>
        <v/>
      </c>
      <c r="T303" s="261" t="str">
        <f t="shared" si="613"/>
        <v/>
      </c>
      <c r="U303" s="257" t="str">
        <f t="array" ref="U303">IF(ISBLANK($R303), INDEX('Run Reconcile'!A$2:A799, MATCH($B303, 'Run Reconcile'!B$2:B799, 0)+Z303, 1), IFERROR(0/0,""))
</f>
        <v/>
      </c>
      <c r="V303" s="258" t="str">
        <f t="shared" si="480"/>
        <v>RUN-BEND_2022-02-02_RFR-025</v>
      </c>
      <c r="Y303" s="130" t="str">
        <f t="shared" si="487"/>
        <v/>
      </c>
      <c r="Z303" s="49" t="str">
        <f t="shared" si="7"/>
        <v/>
      </c>
      <c r="AA303" s="49" t="str">
        <f t="shared" si="8"/>
        <v/>
      </c>
      <c r="AB303" s="49" t="str">
        <f t="shared" si="9"/>
        <v/>
      </c>
      <c r="AC303" s="20" t="str">
        <f t="shared" ref="AC303:AD303" si="614">IF(_xlfn.ISFORMULA(S303),IFERROR(0/0,""),TRUE)</f>
        <v/>
      </c>
      <c r="AD303" s="20" t="str">
        <f t="shared" si="614"/>
        <v/>
      </c>
      <c r="AE303" s="43"/>
      <c r="AF303" s="62" t="s">
        <v>50</v>
      </c>
      <c r="AG303" s="57" t="str">
        <f t="shared" si="11"/>
        <v/>
      </c>
    </row>
    <row r="304">
      <c r="A304" s="6" t="str">
        <f>IFERROR(__xludf.DUMMYFUNCTION("""COMPUTED_VALUE"""),"MAX105")</f>
        <v>MAX105</v>
      </c>
      <c r="B304" s="204">
        <f>IFERROR(__xludf.DUMMYFUNCTION("""COMPUTED_VALUE"""),44594.0)</f>
        <v>44594</v>
      </c>
      <c r="C304" s="250">
        <f>IFERROR(__xludf.DUMMYFUNCTION("""COMPUTED_VALUE"""),0.3751157407407407)</f>
        <v>0.3751157407</v>
      </c>
      <c r="D304" s="6" t="str">
        <f>IFERROR(__xludf.DUMMYFUNCTION("""COMPUTED_VALUE"""),"SpBEND394154")</f>
        <v>SpBEND394154</v>
      </c>
      <c r="E304" s="251"/>
      <c r="F304" s="251"/>
      <c r="G304" s="251" t="str">
        <f>IFERROR(__xludf.DUMMYFUNCTION("""COMPUTED_VALUE"""),"Negative")</f>
        <v>Negative</v>
      </c>
      <c r="H304" s="262" t="str">
        <f>IFERROR(__xludf.DUMMYFUNCTION("""COMPUTED_VALUE"""),"Negative")</f>
        <v>Negative</v>
      </c>
      <c r="I304" s="204">
        <f>IFERROR(__xludf.DUMMYFUNCTION("""COMPUTED_VALUE"""),44596.0)</f>
        <v>44596</v>
      </c>
      <c r="J304" s="252">
        <f>IFERROR(__xludf.DUMMYFUNCTION("""COMPUTED_VALUE"""),0.48194444444444445)</f>
        <v>0.4819444444</v>
      </c>
      <c r="K304" s="56"/>
      <c r="L304" s="6"/>
      <c r="M304" s="61"/>
      <c r="N304" s="61">
        <f>IFERROR(__xludf.DUMMYFUNCTION("""COMPUTED_VALUE"""),1.0)</f>
        <v>1</v>
      </c>
      <c r="O304" s="61" t="str">
        <f t="shared" si="3"/>
        <v/>
      </c>
      <c r="P304" s="253">
        <f>IFERROR(__xludf.DUMMYFUNCTION("""COMPUTED_VALUE"""),2.0)</f>
        <v>2</v>
      </c>
      <c r="Q304" s="254" t="b">
        <f>VLOOKUP($B304,'Run Reconcile'!B$2:O799,14,FALSE)</f>
        <v>1</v>
      </c>
      <c r="R304" s="255" t="str">
        <f t="array" ref="R304">IF($Q304, INDEX('Run Reconcile'!A$2:A799,MATCH(B304,'Run Reconcile'!B$2:B799,0),1),IFERROR(0/0,""))</f>
        <v>RUN-BEND_2022-02-02_RFR-025</v>
      </c>
      <c r="S304" s="261" t="str">
        <f t="shared" ref="S304:T304" si="615">IF(COUNTIF(W$2:W799, $A304) &gt; 0,TRUE,IFERROR(0/0,""))</f>
        <v/>
      </c>
      <c r="T304" s="261" t="str">
        <f t="shared" si="615"/>
        <v/>
      </c>
      <c r="U304" s="257" t="str">
        <f t="array" ref="U304">IF(ISBLANK($R304), INDEX('Run Reconcile'!A$2:A799, MATCH($B304, 'Run Reconcile'!B$2:B799, 0)+Z304, 1), IFERROR(0/0,""))
</f>
        <v/>
      </c>
      <c r="V304" s="258" t="str">
        <f t="shared" si="480"/>
        <v>RUN-BEND_2022-02-02_RFR-025</v>
      </c>
      <c r="Y304" s="130" t="str">
        <f t="shared" si="487"/>
        <v/>
      </c>
      <c r="Z304" s="49" t="str">
        <f t="shared" si="7"/>
        <v/>
      </c>
      <c r="AA304" s="49" t="str">
        <f t="shared" si="8"/>
        <v/>
      </c>
      <c r="AB304" s="49" t="str">
        <f t="shared" si="9"/>
        <v/>
      </c>
      <c r="AC304" s="20" t="str">
        <f t="shared" ref="AC304:AD304" si="616">IF(_xlfn.ISFORMULA(S304),IFERROR(0/0,""),TRUE)</f>
        <v/>
      </c>
      <c r="AD304" s="20" t="str">
        <f t="shared" si="616"/>
        <v/>
      </c>
      <c r="AE304" s="43"/>
      <c r="AF304" s="62" t="s">
        <v>50</v>
      </c>
      <c r="AG304" s="57" t="str">
        <f t="shared" si="11"/>
        <v/>
      </c>
    </row>
    <row r="305">
      <c r="A305" s="6" t="str">
        <f>IFERROR(__xludf.DUMMYFUNCTION("""COMPUTED_VALUE"""),"MAX138")</f>
        <v>MAX138</v>
      </c>
      <c r="B305" s="204">
        <f>IFERROR(__xludf.DUMMYFUNCTION("""COMPUTED_VALUE"""),44594.0)</f>
        <v>44594</v>
      </c>
      <c r="C305" s="250">
        <f>IFERROR(__xludf.DUMMYFUNCTION("""COMPUTED_VALUE"""),0.37555555555555553)</f>
        <v>0.3755555556</v>
      </c>
      <c r="D305" s="6" t="str">
        <f>IFERROR(__xludf.DUMMYFUNCTION("""COMPUTED_VALUE"""),"SpBEND394154")</f>
        <v>SpBEND394154</v>
      </c>
      <c r="E305" s="251"/>
      <c r="F305" s="251"/>
      <c r="G305" s="251" t="str">
        <f>IFERROR(__xludf.DUMMYFUNCTION("""COMPUTED_VALUE"""),"Negative")</f>
        <v>Negative</v>
      </c>
      <c r="H305" s="262" t="str">
        <f>IFERROR(__xludf.DUMMYFUNCTION("""COMPUTED_VALUE"""),"Negative")</f>
        <v>Negative</v>
      </c>
      <c r="I305" s="204">
        <f>IFERROR(__xludf.DUMMYFUNCTION("""COMPUTED_VALUE"""),44596.0)</f>
        <v>44596</v>
      </c>
      <c r="J305" s="252">
        <f>IFERROR(__xludf.DUMMYFUNCTION("""COMPUTED_VALUE"""),0.48194444444444445)</f>
        <v>0.4819444444</v>
      </c>
      <c r="K305" s="56"/>
      <c r="L305" s="6"/>
      <c r="M305" s="61"/>
      <c r="N305" s="61">
        <f>IFERROR(__xludf.DUMMYFUNCTION("""COMPUTED_VALUE"""),1.0)</f>
        <v>1</v>
      </c>
      <c r="O305" s="61" t="str">
        <f t="shared" si="3"/>
        <v/>
      </c>
      <c r="P305" s="253">
        <f>IFERROR(__xludf.DUMMYFUNCTION("""COMPUTED_VALUE"""),2.0)</f>
        <v>2</v>
      </c>
      <c r="Q305" s="254" t="b">
        <f>VLOOKUP($B305,'Run Reconcile'!B$2:O799,14,FALSE)</f>
        <v>1</v>
      </c>
      <c r="R305" s="255" t="str">
        <f t="array" ref="R305">IF($Q305, INDEX('Run Reconcile'!A$2:A799,MATCH(B305,'Run Reconcile'!B$2:B799,0),1),IFERROR(0/0,""))</f>
        <v>RUN-BEND_2022-02-02_RFR-025</v>
      </c>
      <c r="S305" s="261" t="str">
        <f t="shared" ref="S305:T305" si="617">IF(COUNTIF(W$2:W799, $A305) &gt; 0,TRUE,IFERROR(0/0,""))</f>
        <v/>
      </c>
      <c r="T305" s="261" t="str">
        <f t="shared" si="617"/>
        <v/>
      </c>
      <c r="U305" s="257" t="str">
        <f t="array" ref="U305">IF(ISBLANK($R305), INDEX('Run Reconcile'!A$2:A799, MATCH($B305, 'Run Reconcile'!B$2:B799, 0)+Z305, 1), IFERROR(0/0,""))
</f>
        <v/>
      </c>
      <c r="V305" s="258" t="str">
        <f t="shared" si="480"/>
        <v>RUN-BEND_2022-02-02_RFR-025</v>
      </c>
      <c r="Y305" s="130" t="str">
        <f t="shared" si="487"/>
        <v/>
      </c>
      <c r="Z305" s="49" t="str">
        <f t="shared" si="7"/>
        <v/>
      </c>
      <c r="AA305" s="49" t="str">
        <f t="shared" si="8"/>
        <v/>
      </c>
      <c r="AB305" s="49" t="str">
        <f t="shared" si="9"/>
        <v/>
      </c>
      <c r="AC305" s="20" t="str">
        <f t="shared" ref="AC305:AD305" si="618">IF(_xlfn.ISFORMULA(S305),IFERROR(0/0,""),TRUE)</f>
        <v/>
      </c>
      <c r="AD305" s="20" t="str">
        <f t="shared" si="618"/>
        <v/>
      </c>
      <c r="AE305" s="43"/>
      <c r="AF305" s="62" t="s">
        <v>50</v>
      </c>
      <c r="AG305" s="57" t="str">
        <f t="shared" si="11"/>
        <v/>
      </c>
    </row>
    <row r="306">
      <c r="A306" s="6" t="str">
        <f>IFERROR(__xludf.DUMMYFUNCTION("""COMPUTED_VALUE"""),"MAX108")</f>
        <v>MAX108</v>
      </c>
      <c r="B306" s="204">
        <f>IFERROR(__xludf.DUMMYFUNCTION("""COMPUTED_VALUE"""),44596.0)</f>
        <v>44596</v>
      </c>
      <c r="C306" s="250">
        <f>IFERROR(__xludf.DUMMYFUNCTION("""COMPUTED_VALUE"""),0.30917824074074074)</f>
        <v>0.3091782407</v>
      </c>
      <c r="D306" s="6" t="str">
        <f>IFERROR(__xludf.DUMMYFUNCTION("""COMPUTED_VALUE"""),"SpBEND394154")</f>
        <v>SpBEND394154</v>
      </c>
      <c r="E306" s="251"/>
      <c r="F306" s="251"/>
      <c r="G306" s="251" t="str">
        <f>IFERROR(__xludf.DUMMYFUNCTION("""COMPUTED_VALUE"""),"Negative")</f>
        <v>Negative</v>
      </c>
      <c r="H306" s="262" t="str">
        <f>IFERROR(__xludf.DUMMYFUNCTION("""COMPUTED_VALUE"""),"Negative")</f>
        <v>Negative</v>
      </c>
      <c r="I306" s="204">
        <f>IFERROR(__xludf.DUMMYFUNCTION("""COMPUTED_VALUE"""),44596.0)</f>
        <v>44596</v>
      </c>
      <c r="J306" s="252">
        <f>IFERROR(__xludf.DUMMYFUNCTION("""COMPUTED_VALUE"""),0.48193287037037036)</f>
        <v>0.4819328704</v>
      </c>
      <c r="K306" s="56"/>
      <c r="L306" s="6"/>
      <c r="M306" s="61"/>
      <c r="N306" s="61">
        <f>IFERROR(__xludf.DUMMYFUNCTION("""COMPUTED_VALUE"""),1.0)</f>
        <v>1</v>
      </c>
      <c r="O306" s="61" t="b">
        <f t="shared" si="3"/>
        <v>1</v>
      </c>
      <c r="P306" s="253">
        <f>IFERROR(__xludf.DUMMYFUNCTION("""COMPUTED_VALUE"""),0.0)</f>
        <v>0</v>
      </c>
      <c r="Q306" s="254" t="b">
        <f>VLOOKUP($B306,'Run Reconcile'!B$2:O799,14,FALSE)</f>
        <v>1</v>
      </c>
      <c r="R306" s="255" t="str">
        <f t="array" ref="R306">IF($Q306, INDEX('Run Reconcile'!A$2:A799,MATCH(B306,'Run Reconcile'!B$2:B799,0),1),IFERROR(0/0,""))</f>
        <v>RUN-BEND_2022-02-04_RFR-026</v>
      </c>
      <c r="S306" s="261" t="str">
        <f t="shared" ref="S306:T306" si="619">IF(COUNTIF(W$2:W799, $A306) &gt; 0,TRUE,IFERROR(0/0,""))</f>
        <v/>
      </c>
      <c r="T306" s="261" t="str">
        <f t="shared" si="619"/>
        <v/>
      </c>
      <c r="U306" s="257" t="str">
        <f t="array" ref="U306">IF(ISBLANK($R306), INDEX('Run Reconcile'!A$2:A799, MATCH($B306, 'Run Reconcile'!B$2:B799, 0)+Z306, 1), IFERROR(0/0,""))
</f>
        <v/>
      </c>
      <c r="V306" s="258" t="str">
        <f t="shared" si="480"/>
        <v>RUN-BEND_2022-02-04_RFR-026</v>
      </c>
      <c r="Y306" s="130" t="str">
        <f t="shared" si="487"/>
        <v/>
      </c>
      <c r="Z306" s="49" t="str">
        <f t="shared" si="7"/>
        <v/>
      </c>
      <c r="AA306" s="49" t="str">
        <f t="shared" si="8"/>
        <v/>
      </c>
      <c r="AB306" s="49" t="str">
        <f t="shared" si="9"/>
        <v/>
      </c>
      <c r="AC306" s="20" t="str">
        <f t="shared" ref="AC306:AD306" si="620">IF(_xlfn.ISFORMULA(S306),IFERROR(0/0,""),TRUE)</f>
        <v/>
      </c>
      <c r="AD306" s="20" t="str">
        <f t="shared" si="620"/>
        <v/>
      </c>
      <c r="AE306" s="43"/>
      <c r="AF306" s="62" t="s">
        <v>51</v>
      </c>
      <c r="AG306" s="57" t="str">
        <f t="shared" si="11"/>
        <v/>
      </c>
    </row>
    <row r="307">
      <c r="A307" s="6" t="str">
        <f>IFERROR(__xludf.DUMMYFUNCTION("""COMPUTED_VALUE"""),"MA1257")</f>
        <v>MA1257</v>
      </c>
      <c r="B307" s="204">
        <f>IFERROR(__xludf.DUMMYFUNCTION("""COMPUTED_VALUE"""),44596.0)</f>
        <v>44596</v>
      </c>
      <c r="C307" s="250">
        <f>IFERROR(__xludf.DUMMYFUNCTION("""COMPUTED_VALUE"""),0.3431712962962963)</f>
        <v>0.3431712963</v>
      </c>
      <c r="D307" s="6" t="str">
        <f>IFERROR(__xludf.DUMMYFUNCTION("""COMPUTED_VALUE"""),"SpBEND387578")</f>
        <v>SpBEND387578</v>
      </c>
      <c r="E307" s="251"/>
      <c r="F307" s="251"/>
      <c r="G307" s="251" t="str">
        <f>IFERROR(__xludf.DUMMYFUNCTION("""COMPUTED_VALUE"""),"Negative")</f>
        <v>Negative</v>
      </c>
      <c r="H307" s="262" t="str">
        <f>IFERROR(__xludf.DUMMYFUNCTION("""COMPUTED_VALUE"""),"Negative")</f>
        <v>Negative</v>
      </c>
      <c r="I307" s="204">
        <f>IFERROR(__xludf.DUMMYFUNCTION("""COMPUTED_VALUE"""),44596.0)</f>
        <v>44596</v>
      </c>
      <c r="J307" s="252">
        <f>IFERROR(__xludf.DUMMYFUNCTION("""COMPUTED_VALUE"""),0.48193287037037036)</f>
        <v>0.4819328704</v>
      </c>
      <c r="K307" s="56"/>
      <c r="L307" s="6"/>
      <c r="M307" s="61"/>
      <c r="N307" s="61">
        <f>IFERROR(__xludf.DUMMYFUNCTION("""COMPUTED_VALUE"""),1.0)</f>
        <v>1</v>
      </c>
      <c r="O307" s="61" t="str">
        <f t="shared" si="3"/>
        <v/>
      </c>
      <c r="P307" s="253">
        <f>IFERROR(__xludf.DUMMYFUNCTION("""COMPUTED_VALUE"""),0.0)</f>
        <v>0</v>
      </c>
      <c r="Q307" s="254" t="b">
        <f>VLOOKUP($B307,'Run Reconcile'!B$2:O799,14,FALSE)</f>
        <v>1</v>
      </c>
      <c r="R307" s="255" t="str">
        <f t="array" ref="R307">IF($Q307, INDEX('Run Reconcile'!A$2:A799,MATCH(B307,'Run Reconcile'!B$2:B799,0),1),IFERROR(0/0,""))</f>
        <v>RUN-BEND_2022-02-04_RFR-026</v>
      </c>
      <c r="S307" s="261" t="str">
        <f t="shared" ref="S307:T307" si="621">IF(COUNTIF(W$2:W799, $A307) &gt; 0,TRUE,IFERROR(0/0,""))</f>
        <v/>
      </c>
      <c r="T307" s="261" t="str">
        <f t="shared" si="621"/>
        <v/>
      </c>
      <c r="U307" s="257" t="str">
        <f t="array" ref="U307">IF(ISBLANK($R307), INDEX('Run Reconcile'!A$2:A799, MATCH($B307, 'Run Reconcile'!B$2:B799, 0)+Z307, 1), IFERROR(0/0,""))
</f>
        <v/>
      </c>
      <c r="V307" s="258" t="str">
        <f t="shared" si="480"/>
        <v>RUN-BEND_2022-02-04_RFR-026</v>
      </c>
      <c r="Y307" s="130" t="str">
        <f t="shared" si="487"/>
        <v/>
      </c>
      <c r="Z307" s="49" t="str">
        <f t="shared" si="7"/>
        <v/>
      </c>
      <c r="AA307" s="49" t="str">
        <f t="shared" si="8"/>
        <v/>
      </c>
      <c r="AB307" s="49" t="str">
        <f t="shared" si="9"/>
        <v/>
      </c>
      <c r="AC307" s="20" t="str">
        <f t="shared" ref="AC307:AD307" si="622">IF(_xlfn.ISFORMULA(S307),IFERROR(0/0,""),TRUE)</f>
        <v/>
      </c>
      <c r="AD307" s="20" t="str">
        <f t="shared" si="622"/>
        <v/>
      </c>
      <c r="AE307" s="43"/>
      <c r="AF307" s="62" t="s">
        <v>51</v>
      </c>
      <c r="AG307" s="57" t="str">
        <f t="shared" si="11"/>
        <v/>
      </c>
    </row>
    <row r="308">
      <c r="A308" s="6" t="str">
        <f>IFERROR(__xludf.DUMMYFUNCTION("""COMPUTED_VALUE"""),"MAX142")</f>
        <v>MAX142</v>
      </c>
      <c r="B308" s="204">
        <f>IFERROR(__xludf.DUMMYFUNCTION("""COMPUTED_VALUE"""),44596.0)</f>
        <v>44596</v>
      </c>
      <c r="C308" s="250">
        <f>IFERROR(__xludf.DUMMYFUNCTION("""COMPUTED_VALUE"""),0.351875)</f>
        <v>0.351875</v>
      </c>
      <c r="D308" s="6" t="str">
        <f>IFERROR(__xludf.DUMMYFUNCTION("""COMPUTED_VALUE"""),"SpBEND394154")</f>
        <v>SpBEND394154</v>
      </c>
      <c r="E308" s="251"/>
      <c r="F308" s="251"/>
      <c r="G308" s="251" t="str">
        <f>IFERROR(__xludf.DUMMYFUNCTION("""COMPUTED_VALUE"""),"Negative")</f>
        <v>Negative</v>
      </c>
      <c r="H308" s="262" t="str">
        <f>IFERROR(__xludf.DUMMYFUNCTION("""COMPUTED_VALUE"""),"Negative")</f>
        <v>Negative</v>
      </c>
      <c r="I308" s="204">
        <f>IFERROR(__xludf.DUMMYFUNCTION("""COMPUTED_VALUE"""),44596.0)</f>
        <v>44596</v>
      </c>
      <c r="J308" s="252">
        <f>IFERROR(__xludf.DUMMYFUNCTION("""COMPUTED_VALUE"""),0.48193287037037036)</f>
        <v>0.4819328704</v>
      </c>
      <c r="K308" s="56"/>
      <c r="L308" s="6"/>
      <c r="M308" s="61"/>
      <c r="N308" s="61">
        <f>IFERROR(__xludf.DUMMYFUNCTION("""COMPUTED_VALUE"""),1.0)</f>
        <v>1</v>
      </c>
      <c r="O308" s="61" t="str">
        <f t="shared" si="3"/>
        <v/>
      </c>
      <c r="P308" s="253">
        <f>IFERROR(__xludf.DUMMYFUNCTION("""COMPUTED_VALUE"""),0.0)</f>
        <v>0</v>
      </c>
      <c r="Q308" s="254" t="b">
        <f>VLOOKUP($B308,'Run Reconcile'!B$2:O799,14,FALSE)</f>
        <v>1</v>
      </c>
      <c r="R308" s="255" t="str">
        <f t="array" ref="R308">IF($Q308, INDEX('Run Reconcile'!A$2:A799,MATCH(B308,'Run Reconcile'!B$2:B799,0),1),IFERROR(0/0,""))</f>
        <v>RUN-BEND_2022-02-04_RFR-026</v>
      </c>
      <c r="S308" s="261" t="str">
        <f t="shared" ref="S308:T308" si="623">IF(COUNTIF(W$2:W799, $A308) &gt; 0,TRUE,IFERROR(0/0,""))</f>
        <v/>
      </c>
      <c r="T308" s="261" t="str">
        <f t="shared" si="623"/>
        <v/>
      </c>
      <c r="U308" s="257" t="str">
        <f t="array" ref="U308">IF(ISBLANK($R308), INDEX('Run Reconcile'!A$2:A799, MATCH($B308, 'Run Reconcile'!B$2:B799, 0)+Z308, 1), IFERROR(0/0,""))
</f>
        <v/>
      </c>
      <c r="V308" s="258" t="str">
        <f t="shared" si="480"/>
        <v>RUN-BEND_2022-02-04_RFR-026</v>
      </c>
      <c r="Y308" s="130" t="str">
        <f t="shared" si="487"/>
        <v/>
      </c>
      <c r="Z308" s="49" t="str">
        <f t="shared" si="7"/>
        <v/>
      </c>
      <c r="AA308" s="49" t="str">
        <f t="shared" si="8"/>
        <v/>
      </c>
      <c r="AB308" s="49" t="str">
        <f t="shared" si="9"/>
        <v/>
      </c>
      <c r="AC308" s="20" t="str">
        <f t="shared" ref="AC308:AD308" si="624">IF(_xlfn.ISFORMULA(S308),IFERROR(0/0,""),TRUE)</f>
        <v/>
      </c>
      <c r="AD308" s="20" t="str">
        <f t="shared" si="624"/>
        <v/>
      </c>
      <c r="AE308" s="43"/>
      <c r="AF308" s="62" t="s">
        <v>51</v>
      </c>
      <c r="AG308" s="57" t="str">
        <f t="shared" si="11"/>
        <v/>
      </c>
    </row>
    <row r="309">
      <c r="A309" s="6" t="str">
        <f>IFERROR(__xludf.DUMMYFUNCTION("""COMPUTED_VALUE"""),"MA635")</f>
        <v>MA635</v>
      </c>
      <c r="B309" s="204">
        <f>IFERROR(__xludf.DUMMYFUNCTION("""COMPUTED_VALUE"""),44596.0)</f>
        <v>44596</v>
      </c>
      <c r="C309" s="250">
        <f>IFERROR(__xludf.DUMMYFUNCTION("""COMPUTED_VALUE"""),0.35225694444444444)</f>
        <v>0.3522569444</v>
      </c>
      <c r="D309" s="6" t="str">
        <f>IFERROR(__xludf.DUMMYFUNCTION("""COMPUTED_VALUE"""),"SpBEND139600")</f>
        <v>SpBEND139600</v>
      </c>
      <c r="E309" s="251"/>
      <c r="F309" s="251"/>
      <c r="G309" s="251" t="str">
        <f>IFERROR(__xludf.DUMMYFUNCTION("""COMPUTED_VALUE"""),"Negative")</f>
        <v>Negative</v>
      </c>
      <c r="H309" s="262" t="str">
        <f>IFERROR(__xludf.DUMMYFUNCTION("""COMPUTED_VALUE"""),"Negative")</f>
        <v>Negative</v>
      </c>
      <c r="I309" s="204">
        <f>IFERROR(__xludf.DUMMYFUNCTION("""COMPUTED_VALUE"""),44596.0)</f>
        <v>44596</v>
      </c>
      <c r="J309" s="252">
        <f>IFERROR(__xludf.DUMMYFUNCTION("""COMPUTED_VALUE"""),0.48193287037037036)</f>
        <v>0.4819328704</v>
      </c>
      <c r="K309" s="56"/>
      <c r="L309" s="6"/>
      <c r="M309" s="61"/>
      <c r="N309" s="61">
        <f>IFERROR(__xludf.DUMMYFUNCTION("""COMPUTED_VALUE"""),1.0)</f>
        <v>1</v>
      </c>
      <c r="O309" s="61" t="str">
        <f t="shared" si="3"/>
        <v/>
      </c>
      <c r="P309" s="253">
        <f>IFERROR(__xludf.DUMMYFUNCTION("""COMPUTED_VALUE"""),0.0)</f>
        <v>0</v>
      </c>
      <c r="Q309" s="254" t="b">
        <f>VLOOKUP($B309,'Run Reconcile'!B$2:O799,14,FALSE)</f>
        <v>1</v>
      </c>
      <c r="R309" s="255" t="str">
        <f t="array" ref="R309">IF($Q309, INDEX('Run Reconcile'!A$2:A799,MATCH(B309,'Run Reconcile'!B$2:B799,0),1),IFERROR(0/0,""))</f>
        <v>RUN-BEND_2022-02-04_RFR-026</v>
      </c>
      <c r="S309" s="261" t="str">
        <f t="shared" ref="S309:T309" si="625">IF(COUNTIF(W$2:W799, $A309) &gt; 0,TRUE,IFERROR(0/0,""))</f>
        <v/>
      </c>
      <c r="T309" s="261" t="str">
        <f t="shared" si="625"/>
        <v/>
      </c>
      <c r="U309" s="257" t="str">
        <f t="array" ref="U309">IF(ISBLANK($R309), INDEX('Run Reconcile'!A$2:A799, MATCH($B309, 'Run Reconcile'!B$2:B799, 0)+Z309, 1), IFERROR(0/0,""))
</f>
        <v/>
      </c>
      <c r="V309" s="258" t="str">
        <f t="shared" si="480"/>
        <v>RUN-BEND_2022-02-04_RFR-026</v>
      </c>
      <c r="Y309" s="130" t="str">
        <f t="shared" si="487"/>
        <v/>
      </c>
      <c r="Z309" s="49" t="str">
        <f t="shared" si="7"/>
        <v/>
      </c>
      <c r="AA309" s="49" t="str">
        <f t="shared" si="8"/>
        <v/>
      </c>
      <c r="AB309" s="49" t="str">
        <f t="shared" si="9"/>
        <v/>
      </c>
      <c r="AC309" s="20" t="str">
        <f t="shared" ref="AC309:AD309" si="626">IF(_xlfn.ISFORMULA(S309),IFERROR(0/0,""),TRUE)</f>
        <v/>
      </c>
      <c r="AD309" s="20" t="str">
        <f t="shared" si="626"/>
        <v/>
      </c>
      <c r="AE309" s="43"/>
      <c r="AF309" s="62" t="s">
        <v>51</v>
      </c>
      <c r="AG309" s="57" t="str">
        <f t="shared" si="11"/>
        <v/>
      </c>
    </row>
    <row r="310">
      <c r="A310" s="6" t="str">
        <f>IFERROR(__xludf.DUMMYFUNCTION("""COMPUTED_VALUE"""),"MAX134")</f>
        <v>MAX134</v>
      </c>
      <c r="B310" s="204">
        <f>IFERROR(__xludf.DUMMYFUNCTION("""COMPUTED_VALUE"""),44596.0)</f>
        <v>44596</v>
      </c>
      <c r="C310" s="250">
        <f>IFERROR(__xludf.DUMMYFUNCTION("""COMPUTED_VALUE"""),0.3524189814814815)</f>
        <v>0.3524189815</v>
      </c>
      <c r="D310" s="6" t="str">
        <f>IFERROR(__xludf.DUMMYFUNCTION("""COMPUTED_VALUE"""),"SpBEND394154")</f>
        <v>SpBEND394154</v>
      </c>
      <c r="E310" s="251"/>
      <c r="F310" s="251"/>
      <c r="G310" s="251" t="str">
        <f>IFERROR(__xludf.DUMMYFUNCTION("""COMPUTED_VALUE"""),"Negative")</f>
        <v>Negative</v>
      </c>
      <c r="H310" s="262" t="str">
        <f>IFERROR(__xludf.DUMMYFUNCTION("""COMPUTED_VALUE"""),"Negative")</f>
        <v>Negative</v>
      </c>
      <c r="I310" s="204">
        <f>IFERROR(__xludf.DUMMYFUNCTION("""COMPUTED_VALUE"""),44596.0)</f>
        <v>44596</v>
      </c>
      <c r="J310" s="252">
        <f>IFERROR(__xludf.DUMMYFUNCTION("""COMPUTED_VALUE"""),0.48193287037037036)</f>
        <v>0.4819328704</v>
      </c>
      <c r="K310" s="56"/>
      <c r="L310" s="6"/>
      <c r="M310" s="61"/>
      <c r="N310" s="61">
        <f>IFERROR(__xludf.DUMMYFUNCTION("""COMPUTED_VALUE"""),1.0)</f>
        <v>1</v>
      </c>
      <c r="O310" s="61" t="str">
        <f t="shared" si="3"/>
        <v/>
      </c>
      <c r="P310" s="253">
        <f>IFERROR(__xludf.DUMMYFUNCTION("""COMPUTED_VALUE"""),0.0)</f>
        <v>0</v>
      </c>
      <c r="Q310" s="254" t="b">
        <f>VLOOKUP($B310,'Run Reconcile'!B$2:O799,14,FALSE)</f>
        <v>1</v>
      </c>
      <c r="R310" s="255" t="str">
        <f t="array" ref="R310">IF($Q310, INDEX('Run Reconcile'!A$2:A799,MATCH(B310,'Run Reconcile'!B$2:B799,0),1),IFERROR(0/0,""))</f>
        <v>RUN-BEND_2022-02-04_RFR-026</v>
      </c>
      <c r="S310" s="261" t="str">
        <f t="shared" ref="S310:T310" si="627">IF(COUNTIF(W$2:W799, $A310) &gt; 0,TRUE,IFERROR(0/0,""))</f>
        <v/>
      </c>
      <c r="T310" s="261" t="str">
        <f t="shared" si="627"/>
        <v/>
      </c>
      <c r="U310" s="257" t="str">
        <f t="array" ref="U310">IF(ISBLANK($R310), INDEX('Run Reconcile'!A$2:A799, MATCH($B310, 'Run Reconcile'!B$2:B799, 0)+Z310, 1), IFERROR(0/0,""))
</f>
        <v/>
      </c>
      <c r="V310" s="258" t="str">
        <f t="shared" si="480"/>
        <v>RUN-BEND_2022-02-04_RFR-026</v>
      </c>
      <c r="Y310" s="130" t="str">
        <f t="shared" si="487"/>
        <v/>
      </c>
      <c r="Z310" s="49" t="str">
        <f t="shared" si="7"/>
        <v/>
      </c>
      <c r="AA310" s="49" t="str">
        <f t="shared" si="8"/>
        <v/>
      </c>
      <c r="AB310" s="49" t="str">
        <f t="shared" si="9"/>
        <v/>
      </c>
      <c r="AC310" s="20" t="str">
        <f t="shared" ref="AC310:AD310" si="628">IF(_xlfn.ISFORMULA(S310),IFERROR(0/0,""),TRUE)</f>
        <v/>
      </c>
      <c r="AD310" s="20" t="str">
        <f t="shared" si="628"/>
        <v/>
      </c>
      <c r="AE310" s="43"/>
      <c r="AF310" s="62" t="s">
        <v>51</v>
      </c>
      <c r="AG310" s="57" t="str">
        <f t="shared" si="11"/>
        <v/>
      </c>
    </row>
    <row r="311">
      <c r="A311" s="6" t="str">
        <f>IFERROR(__xludf.DUMMYFUNCTION("""COMPUTED_VALUE"""),"MA390")</f>
        <v>MA390</v>
      </c>
      <c r="B311" s="204">
        <f>IFERROR(__xludf.DUMMYFUNCTION("""COMPUTED_VALUE"""),44599.0)</f>
        <v>44599</v>
      </c>
      <c r="C311" s="250">
        <f>IFERROR(__xludf.DUMMYFUNCTION("""COMPUTED_VALUE"""),0.2763541666666667)</f>
        <v>0.2763541667</v>
      </c>
      <c r="D311" s="6" t="str">
        <f>IFERROR(__xludf.DUMMYFUNCTION("""COMPUTED_VALUE"""),"SpBEND953422")</f>
        <v>SpBEND953422</v>
      </c>
      <c r="E311" s="251"/>
      <c r="F311" s="251"/>
      <c r="G311" s="251" t="str">
        <f>IFERROR(__xludf.DUMMYFUNCTION("""COMPUTED_VALUE"""),"Negative")</f>
        <v>Negative</v>
      </c>
      <c r="H311" s="262" t="str">
        <f>IFERROR(__xludf.DUMMYFUNCTION("""COMPUTED_VALUE"""),"Negative")</f>
        <v>Negative</v>
      </c>
      <c r="I311" s="204">
        <f>IFERROR(__xludf.DUMMYFUNCTION("""COMPUTED_VALUE"""),44599.0)</f>
        <v>44599</v>
      </c>
      <c r="J311" s="252">
        <f>IFERROR(__xludf.DUMMYFUNCTION("""COMPUTED_VALUE"""),0.4875347222222222)</f>
        <v>0.4875347222</v>
      </c>
      <c r="K311" s="56"/>
      <c r="L311" s="6"/>
      <c r="M311" s="61"/>
      <c r="N311" s="61">
        <f>IFERROR(__xludf.DUMMYFUNCTION("""COMPUTED_VALUE"""),1.0)</f>
        <v>1</v>
      </c>
      <c r="O311" s="61" t="b">
        <f t="shared" si="3"/>
        <v>1</v>
      </c>
      <c r="P311" s="253">
        <f>IFERROR(__xludf.DUMMYFUNCTION("""COMPUTED_VALUE"""),0.0)</f>
        <v>0</v>
      </c>
      <c r="Q311" s="254" t="b">
        <f>VLOOKUP($B311,'Run Reconcile'!B$2:O799,14,FALSE)</f>
        <v>1</v>
      </c>
      <c r="R311" s="255" t="str">
        <f t="array" ref="R311">IF($Q311, INDEX('Run Reconcile'!A$2:A799,MATCH(B311,'Run Reconcile'!B$2:B799,0),1),IFERROR(0/0,""))</f>
        <v>RUN-BEND_2022-02-07_RFR-027</v>
      </c>
      <c r="S311" s="261" t="str">
        <f t="shared" ref="S311:T311" si="629">IF(COUNTIF(W$2:W799, $A311) &gt; 0,TRUE,IFERROR(0/0,""))</f>
        <v/>
      </c>
      <c r="T311" s="261" t="str">
        <f t="shared" si="629"/>
        <v/>
      </c>
      <c r="U311" s="257" t="str">
        <f t="array" ref="U311">IF(ISBLANK($R311), INDEX('Run Reconcile'!A$2:A799, MATCH($B311, 'Run Reconcile'!B$2:B799, 0)+Z311, 1), IFERROR(0/0,""))
</f>
        <v/>
      </c>
      <c r="V311" s="258" t="str">
        <f t="shared" si="480"/>
        <v>RUN-BEND_2022-02-07_RFR-027</v>
      </c>
      <c r="Y311" s="130" t="str">
        <f t="shared" si="487"/>
        <v/>
      </c>
      <c r="Z311" s="49" t="str">
        <f t="shared" si="7"/>
        <v/>
      </c>
      <c r="AA311" s="49" t="str">
        <f t="shared" si="8"/>
        <v/>
      </c>
      <c r="AB311" s="49" t="str">
        <f t="shared" si="9"/>
        <v/>
      </c>
      <c r="AC311" s="20" t="str">
        <f t="shared" ref="AC311:AD311" si="630">IF(_xlfn.ISFORMULA(S311),IFERROR(0/0,""),TRUE)</f>
        <v/>
      </c>
      <c r="AD311" s="20" t="str">
        <f t="shared" si="630"/>
        <v/>
      </c>
      <c r="AE311" s="43"/>
      <c r="AF311" s="62" t="s">
        <v>52</v>
      </c>
      <c r="AG311" s="57" t="str">
        <f t="shared" si="11"/>
        <v/>
      </c>
    </row>
    <row r="312">
      <c r="A312" s="6" t="str">
        <f>IFERROR(__xludf.DUMMYFUNCTION("""COMPUTED_VALUE"""),"MA368")</f>
        <v>MA368</v>
      </c>
      <c r="B312" s="204">
        <f>IFERROR(__xludf.DUMMYFUNCTION("""COMPUTED_VALUE"""),44599.0)</f>
        <v>44599</v>
      </c>
      <c r="C312" s="250">
        <f>IFERROR(__xludf.DUMMYFUNCTION("""COMPUTED_VALUE"""),0.3005902777777778)</f>
        <v>0.3005902778</v>
      </c>
      <c r="D312" s="6" t="str">
        <f>IFERROR(__xludf.DUMMYFUNCTION("""COMPUTED_VALUE"""),"SpBEND721986")</f>
        <v>SpBEND721986</v>
      </c>
      <c r="E312" s="251"/>
      <c r="F312" s="251"/>
      <c r="G312" s="251" t="str">
        <f>IFERROR(__xludf.DUMMYFUNCTION("""COMPUTED_VALUE"""),"Negative")</f>
        <v>Negative</v>
      </c>
      <c r="H312" s="262" t="str">
        <f>IFERROR(__xludf.DUMMYFUNCTION("""COMPUTED_VALUE"""),"Negative")</f>
        <v>Negative</v>
      </c>
      <c r="I312" s="204">
        <f>IFERROR(__xludf.DUMMYFUNCTION("""COMPUTED_VALUE"""),44599.0)</f>
        <v>44599</v>
      </c>
      <c r="J312" s="252">
        <f>IFERROR(__xludf.DUMMYFUNCTION("""COMPUTED_VALUE"""),0.4875347222222222)</f>
        <v>0.4875347222</v>
      </c>
      <c r="K312" s="56"/>
      <c r="L312" s="6"/>
      <c r="M312" s="61"/>
      <c r="N312" s="61">
        <f>IFERROR(__xludf.DUMMYFUNCTION("""COMPUTED_VALUE"""),1.0)</f>
        <v>1</v>
      </c>
      <c r="O312" s="61" t="str">
        <f t="shared" si="3"/>
        <v/>
      </c>
      <c r="P312" s="253">
        <f>IFERROR(__xludf.DUMMYFUNCTION("""COMPUTED_VALUE"""),0.0)</f>
        <v>0</v>
      </c>
      <c r="Q312" s="254" t="b">
        <f>VLOOKUP($B312,'Run Reconcile'!B$2:O799,14,FALSE)</f>
        <v>1</v>
      </c>
      <c r="R312" s="255" t="str">
        <f t="array" ref="R312">IF($Q312, INDEX('Run Reconcile'!A$2:A799,MATCH(B312,'Run Reconcile'!B$2:B799,0),1),IFERROR(0/0,""))</f>
        <v>RUN-BEND_2022-02-07_RFR-027</v>
      </c>
      <c r="S312" s="261" t="str">
        <f t="shared" ref="S312:T312" si="631">IF(COUNTIF(W$2:W799, $A312) &gt; 0,TRUE,IFERROR(0/0,""))</f>
        <v/>
      </c>
      <c r="T312" s="261" t="str">
        <f t="shared" si="631"/>
        <v/>
      </c>
      <c r="U312" s="257" t="str">
        <f t="array" ref="U312">IF(ISBLANK($R312), INDEX('Run Reconcile'!A$2:A799, MATCH($B312, 'Run Reconcile'!B$2:B799, 0)+Z312, 1), IFERROR(0/0,""))
</f>
        <v/>
      </c>
      <c r="V312" s="258" t="str">
        <f t="shared" si="480"/>
        <v>RUN-BEND_2022-02-07_RFR-027</v>
      </c>
      <c r="Y312" s="130" t="str">
        <f t="shared" si="487"/>
        <v/>
      </c>
      <c r="Z312" s="49" t="str">
        <f t="shared" si="7"/>
        <v/>
      </c>
      <c r="AA312" s="49" t="str">
        <f t="shared" si="8"/>
        <v/>
      </c>
      <c r="AB312" s="49" t="str">
        <f t="shared" si="9"/>
        <v/>
      </c>
      <c r="AC312" s="20" t="str">
        <f t="shared" ref="AC312:AD312" si="632">IF(_xlfn.ISFORMULA(S312),IFERROR(0/0,""),TRUE)</f>
        <v/>
      </c>
      <c r="AD312" s="20" t="str">
        <f t="shared" si="632"/>
        <v/>
      </c>
      <c r="AE312" s="43"/>
      <c r="AF312" s="62" t="s">
        <v>52</v>
      </c>
      <c r="AG312" s="57" t="str">
        <f t="shared" si="11"/>
        <v/>
      </c>
    </row>
    <row r="313">
      <c r="A313" s="6" t="str">
        <f>IFERROR(__xludf.DUMMYFUNCTION("""COMPUTED_VALUE"""),"MA1190")</f>
        <v>MA1190</v>
      </c>
      <c r="B313" s="204">
        <f>IFERROR(__xludf.DUMMYFUNCTION("""COMPUTED_VALUE"""),44599.0)</f>
        <v>44599</v>
      </c>
      <c r="C313" s="250">
        <f>IFERROR(__xludf.DUMMYFUNCTION("""COMPUTED_VALUE"""),0.30591435185185184)</f>
        <v>0.3059143519</v>
      </c>
      <c r="D313" s="6" t="str">
        <f>IFERROR(__xludf.DUMMYFUNCTION("""COMPUTED_VALUE"""),"SpBEND214692")</f>
        <v>SpBEND214692</v>
      </c>
      <c r="E313" s="251"/>
      <c r="F313" s="251"/>
      <c r="G313" s="251" t="str">
        <f>IFERROR(__xludf.DUMMYFUNCTION("""COMPUTED_VALUE"""),"Negative")</f>
        <v>Negative</v>
      </c>
      <c r="H313" s="262" t="str">
        <f>IFERROR(__xludf.DUMMYFUNCTION("""COMPUTED_VALUE"""),"Negative")</f>
        <v>Negative</v>
      </c>
      <c r="I313" s="204">
        <f>IFERROR(__xludf.DUMMYFUNCTION("""COMPUTED_VALUE"""),44599.0)</f>
        <v>44599</v>
      </c>
      <c r="J313" s="252">
        <f>IFERROR(__xludf.DUMMYFUNCTION("""COMPUTED_VALUE"""),0.4875347222222222)</f>
        <v>0.4875347222</v>
      </c>
      <c r="K313" s="56"/>
      <c r="L313" s="6"/>
      <c r="M313" s="61"/>
      <c r="N313" s="61">
        <f>IFERROR(__xludf.DUMMYFUNCTION("""COMPUTED_VALUE"""),1.0)</f>
        <v>1</v>
      </c>
      <c r="O313" s="61" t="str">
        <f t="shared" si="3"/>
        <v/>
      </c>
      <c r="P313" s="253">
        <f>IFERROR(__xludf.DUMMYFUNCTION("""COMPUTED_VALUE"""),0.0)</f>
        <v>0</v>
      </c>
      <c r="Q313" s="254" t="b">
        <f>VLOOKUP($B313,'Run Reconcile'!B$2:O799,14,FALSE)</f>
        <v>1</v>
      </c>
      <c r="R313" s="255" t="str">
        <f t="array" ref="R313">IF($Q313, INDEX('Run Reconcile'!A$2:A799,MATCH(B313,'Run Reconcile'!B$2:B799,0),1),IFERROR(0/0,""))</f>
        <v>RUN-BEND_2022-02-07_RFR-027</v>
      </c>
      <c r="S313" s="261" t="str">
        <f t="shared" ref="S313:T313" si="633">IF(COUNTIF(W$2:W799, $A313) &gt; 0,TRUE,IFERROR(0/0,""))</f>
        <v/>
      </c>
      <c r="T313" s="261" t="str">
        <f t="shared" si="633"/>
        <v/>
      </c>
      <c r="U313" s="257" t="str">
        <f t="array" ref="U313">IF(ISBLANK($R313), INDEX('Run Reconcile'!A$2:A799, MATCH($B313, 'Run Reconcile'!B$2:B799, 0)+Z313, 1), IFERROR(0/0,""))
</f>
        <v/>
      </c>
      <c r="V313" s="258" t="str">
        <f t="shared" si="480"/>
        <v>RUN-BEND_2022-02-07_RFR-027</v>
      </c>
      <c r="Y313" s="130" t="str">
        <f t="shared" si="487"/>
        <v/>
      </c>
      <c r="Z313" s="49" t="str">
        <f t="shared" si="7"/>
        <v/>
      </c>
      <c r="AA313" s="49" t="str">
        <f t="shared" si="8"/>
        <v/>
      </c>
      <c r="AB313" s="49" t="str">
        <f t="shared" si="9"/>
        <v/>
      </c>
      <c r="AC313" s="20" t="str">
        <f t="shared" ref="AC313:AD313" si="634">IF(_xlfn.ISFORMULA(S313),IFERROR(0/0,""),TRUE)</f>
        <v/>
      </c>
      <c r="AD313" s="20" t="str">
        <f t="shared" si="634"/>
        <v/>
      </c>
      <c r="AE313" s="43"/>
      <c r="AF313" s="62" t="s">
        <v>52</v>
      </c>
      <c r="AG313" s="57" t="str">
        <f t="shared" si="11"/>
        <v/>
      </c>
    </row>
    <row r="314">
      <c r="A314" s="6" t="str">
        <f>IFERROR(__xludf.DUMMYFUNCTION("""COMPUTED_VALUE"""),"MA1174")</f>
        <v>MA1174</v>
      </c>
      <c r="B314" s="204">
        <f>IFERROR(__xludf.DUMMYFUNCTION("""COMPUTED_VALUE"""),44599.0)</f>
        <v>44599</v>
      </c>
      <c r="C314" s="250">
        <f>IFERROR(__xludf.DUMMYFUNCTION("""COMPUTED_VALUE"""),0.3065393518518518)</f>
        <v>0.3065393519</v>
      </c>
      <c r="D314" s="6" t="str">
        <f>IFERROR(__xludf.DUMMYFUNCTION("""COMPUTED_VALUE"""),"SpBEND541174")</f>
        <v>SpBEND541174</v>
      </c>
      <c r="E314" s="251"/>
      <c r="F314" s="251"/>
      <c r="G314" s="251" t="str">
        <f>IFERROR(__xludf.DUMMYFUNCTION("""COMPUTED_VALUE"""),"Negative")</f>
        <v>Negative</v>
      </c>
      <c r="H314" s="262" t="str">
        <f>IFERROR(__xludf.DUMMYFUNCTION("""COMPUTED_VALUE"""),"Negative")</f>
        <v>Negative</v>
      </c>
      <c r="I314" s="204">
        <f>IFERROR(__xludf.DUMMYFUNCTION("""COMPUTED_VALUE"""),44599.0)</f>
        <v>44599</v>
      </c>
      <c r="J314" s="252">
        <f>IFERROR(__xludf.DUMMYFUNCTION("""COMPUTED_VALUE"""),0.4875347222222222)</f>
        <v>0.4875347222</v>
      </c>
      <c r="K314" s="56"/>
      <c r="L314" s="6"/>
      <c r="M314" s="61"/>
      <c r="N314" s="61">
        <f>IFERROR(__xludf.DUMMYFUNCTION("""COMPUTED_VALUE"""),1.0)</f>
        <v>1</v>
      </c>
      <c r="O314" s="61" t="str">
        <f t="shared" si="3"/>
        <v/>
      </c>
      <c r="P314" s="253">
        <f>IFERROR(__xludf.DUMMYFUNCTION("""COMPUTED_VALUE"""),0.0)</f>
        <v>0</v>
      </c>
      <c r="Q314" s="254" t="b">
        <f>VLOOKUP($B314,'Run Reconcile'!B$2:O799,14,FALSE)</f>
        <v>1</v>
      </c>
      <c r="R314" s="255" t="str">
        <f t="array" ref="R314">IF($Q314, INDEX('Run Reconcile'!A$2:A799,MATCH(B314,'Run Reconcile'!B$2:B799,0),1),IFERROR(0/0,""))</f>
        <v>RUN-BEND_2022-02-07_RFR-027</v>
      </c>
      <c r="S314" s="261" t="str">
        <f t="shared" ref="S314:T314" si="635">IF(COUNTIF(W$2:W799, $A314) &gt; 0,TRUE,IFERROR(0/0,""))</f>
        <v/>
      </c>
      <c r="T314" s="261" t="str">
        <f t="shared" si="635"/>
        <v/>
      </c>
      <c r="U314" s="257" t="str">
        <f t="array" ref="U314">IF(ISBLANK($R314), INDEX('Run Reconcile'!A$2:A799, MATCH($B314, 'Run Reconcile'!B$2:B799, 0)+Z314, 1), IFERROR(0/0,""))
</f>
        <v/>
      </c>
      <c r="V314" s="258" t="str">
        <f t="shared" si="480"/>
        <v>RUN-BEND_2022-02-07_RFR-027</v>
      </c>
      <c r="Y314" s="130" t="str">
        <f t="shared" si="487"/>
        <v/>
      </c>
      <c r="Z314" s="49" t="str">
        <f t="shared" si="7"/>
        <v/>
      </c>
      <c r="AA314" s="49" t="str">
        <f t="shared" si="8"/>
        <v/>
      </c>
      <c r="AB314" s="49" t="str">
        <f t="shared" si="9"/>
        <v/>
      </c>
      <c r="AC314" s="20" t="str">
        <f t="shared" ref="AC314:AD314" si="636">IF(_xlfn.ISFORMULA(S314),IFERROR(0/0,""),TRUE)</f>
        <v/>
      </c>
      <c r="AD314" s="20" t="str">
        <f t="shared" si="636"/>
        <v/>
      </c>
      <c r="AE314" s="43"/>
      <c r="AF314" s="62" t="s">
        <v>52</v>
      </c>
      <c r="AG314" s="57" t="str">
        <f t="shared" si="11"/>
        <v/>
      </c>
    </row>
    <row r="315">
      <c r="A315" s="6" t="str">
        <f>IFERROR(__xludf.DUMMYFUNCTION("""COMPUTED_VALUE"""),"MA440")</f>
        <v>MA440</v>
      </c>
      <c r="B315" s="204">
        <f>IFERROR(__xludf.DUMMYFUNCTION("""COMPUTED_VALUE"""),44599.0)</f>
        <v>44599</v>
      </c>
      <c r="C315" s="250">
        <f>IFERROR(__xludf.DUMMYFUNCTION("""COMPUTED_VALUE"""),0.3181365740740741)</f>
        <v>0.3181365741</v>
      </c>
      <c r="D315" s="6" t="str">
        <f>IFERROR(__xludf.DUMMYFUNCTION("""COMPUTED_VALUE"""),"SpBEND136234")</f>
        <v>SpBEND136234</v>
      </c>
      <c r="E315" s="251"/>
      <c r="F315" s="251"/>
      <c r="G315" s="251" t="str">
        <f>IFERROR(__xludf.DUMMYFUNCTION("""COMPUTED_VALUE"""),"Negative")</f>
        <v>Negative</v>
      </c>
      <c r="H315" s="262" t="str">
        <f>IFERROR(__xludf.DUMMYFUNCTION("""COMPUTED_VALUE"""),"Negative")</f>
        <v>Negative</v>
      </c>
      <c r="I315" s="204">
        <f>IFERROR(__xludf.DUMMYFUNCTION("""COMPUTED_VALUE"""),44599.0)</f>
        <v>44599</v>
      </c>
      <c r="J315" s="252">
        <f>IFERROR(__xludf.DUMMYFUNCTION("""COMPUTED_VALUE"""),0.4875462962962963)</f>
        <v>0.4875462963</v>
      </c>
      <c r="K315" s="56"/>
      <c r="L315" s="6"/>
      <c r="M315" s="61"/>
      <c r="N315" s="61">
        <f>IFERROR(__xludf.DUMMYFUNCTION("""COMPUTED_VALUE"""),1.0)</f>
        <v>1</v>
      </c>
      <c r="O315" s="61" t="str">
        <f t="shared" si="3"/>
        <v/>
      </c>
      <c r="P315" s="253">
        <f>IFERROR(__xludf.DUMMYFUNCTION("""COMPUTED_VALUE"""),0.0)</f>
        <v>0</v>
      </c>
      <c r="Q315" s="254" t="b">
        <f>VLOOKUP($B315,'Run Reconcile'!B$2:O799,14,FALSE)</f>
        <v>1</v>
      </c>
      <c r="R315" s="255" t="str">
        <f t="array" ref="R315">IF($Q315, INDEX('Run Reconcile'!A$2:A799,MATCH(B315,'Run Reconcile'!B$2:B799,0),1),IFERROR(0/0,""))</f>
        <v>RUN-BEND_2022-02-07_RFR-027</v>
      </c>
      <c r="S315" s="261" t="str">
        <f t="shared" ref="S315:T315" si="637">IF(COUNTIF(W$2:W799, $A315) &gt; 0,TRUE,IFERROR(0/0,""))</f>
        <v/>
      </c>
      <c r="T315" s="261" t="str">
        <f t="shared" si="637"/>
        <v/>
      </c>
      <c r="U315" s="257" t="str">
        <f t="array" ref="U315">IF(ISBLANK($R315), INDEX('Run Reconcile'!A$2:A799, MATCH($B315, 'Run Reconcile'!B$2:B799, 0)+Z315, 1), IFERROR(0/0,""))
</f>
        <v/>
      </c>
      <c r="V315" s="258" t="str">
        <f t="shared" si="480"/>
        <v>RUN-BEND_2022-02-07_RFR-027</v>
      </c>
      <c r="Y315" s="130" t="str">
        <f t="shared" si="487"/>
        <v/>
      </c>
      <c r="Z315" s="49" t="str">
        <f t="shared" si="7"/>
        <v/>
      </c>
      <c r="AA315" s="49" t="str">
        <f t="shared" si="8"/>
        <v/>
      </c>
      <c r="AB315" s="49" t="str">
        <f t="shared" si="9"/>
        <v/>
      </c>
      <c r="AC315" s="20" t="str">
        <f t="shared" ref="AC315:AD315" si="638">IF(_xlfn.ISFORMULA(S315),IFERROR(0/0,""),TRUE)</f>
        <v/>
      </c>
      <c r="AD315" s="20" t="str">
        <f t="shared" si="638"/>
        <v/>
      </c>
      <c r="AE315" s="43"/>
      <c r="AF315" s="62" t="s">
        <v>52</v>
      </c>
      <c r="AG315" s="57" t="str">
        <f t="shared" si="11"/>
        <v/>
      </c>
    </row>
    <row r="316">
      <c r="A316" s="6" t="str">
        <f>IFERROR(__xludf.DUMMYFUNCTION("""COMPUTED_VALUE"""),"MA959")</f>
        <v>MA959</v>
      </c>
      <c r="B316" s="204">
        <f>IFERROR(__xludf.DUMMYFUNCTION("""COMPUTED_VALUE"""),44599.0)</f>
        <v>44599</v>
      </c>
      <c r="C316" s="250">
        <f>IFERROR(__xludf.DUMMYFUNCTION("""COMPUTED_VALUE"""),0.31884259259259257)</f>
        <v>0.3188425926</v>
      </c>
      <c r="D316" s="6" t="str">
        <f>IFERROR(__xludf.DUMMYFUNCTION("""COMPUTED_VALUE"""),"SpBEND492052")</f>
        <v>SpBEND492052</v>
      </c>
      <c r="E316" s="251"/>
      <c r="F316" s="251"/>
      <c r="G316" s="251" t="str">
        <f>IFERROR(__xludf.DUMMYFUNCTION("""COMPUTED_VALUE"""),"Negative")</f>
        <v>Negative</v>
      </c>
      <c r="H316" s="262" t="str">
        <f>IFERROR(__xludf.DUMMYFUNCTION("""COMPUTED_VALUE"""),"Negative")</f>
        <v>Negative</v>
      </c>
      <c r="I316" s="204">
        <f>IFERROR(__xludf.DUMMYFUNCTION("""COMPUTED_VALUE"""),44599.0)</f>
        <v>44599</v>
      </c>
      <c r="J316" s="252">
        <f>IFERROR(__xludf.DUMMYFUNCTION("""COMPUTED_VALUE"""),0.4875462962962963)</f>
        <v>0.4875462963</v>
      </c>
      <c r="K316" s="56"/>
      <c r="L316" s="6"/>
      <c r="M316" s="61"/>
      <c r="N316" s="61">
        <f>IFERROR(__xludf.DUMMYFUNCTION("""COMPUTED_VALUE"""),1.0)</f>
        <v>1</v>
      </c>
      <c r="O316" s="61" t="str">
        <f t="shared" si="3"/>
        <v/>
      </c>
      <c r="P316" s="253">
        <f>IFERROR(__xludf.DUMMYFUNCTION("""COMPUTED_VALUE"""),0.0)</f>
        <v>0</v>
      </c>
      <c r="Q316" s="254" t="b">
        <f>VLOOKUP($B316,'Run Reconcile'!B$2:O799,14,FALSE)</f>
        <v>1</v>
      </c>
      <c r="R316" s="255" t="str">
        <f t="array" ref="R316">IF($Q316, INDEX('Run Reconcile'!A$2:A799,MATCH(B316,'Run Reconcile'!B$2:B799,0),1),IFERROR(0/0,""))</f>
        <v>RUN-BEND_2022-02-07_RFR-027</v>
      </c>
      <c r="S316" s="261" t="str">
        <f t="shared" ref="S316:T316" si="639">IF(COUNTIF(W$2:W799, $A316) &gt; 0,TRUE,IFERROR(0/0,""))</f>
        <v/>
      </c>
      <c r="T316" s="261" t="str">
        <f t="shared" si="639"/>
        <v/>
      </c>
      <c r="U316" s="257" t="str">
        <f t="array" ref="U316">IF(ISBLANK($R316), INDEX('Run Reconcile'!A$2:A799, MATCH($B316, 'Run Reconcile'!B$2:B799, 0)+Z316, 1), IFERROR(0/0,""))
</f>
        <v/>
      </c>
      <c r="V316" s="258" t="str">
        <f t="shared" si="480"/>
        <v>RUN-BEND_2022-02-07_RFR-027</v>
      </c>
      <c r="Y316" s="130" t="str">
        <f t="shared" si="487"/>
        <v/>
      </c>
      <c r="Z316" s="49" t="str">
        <f t="shared" si="7"/>
        <v/>
      </c>
      <c r="AA316" s="49" t="str">
        <f t="shared" si="8"/>
        <v/>
      </c>
      <c r="AB316" s="49" t="str">
        <f t="shared" si="9"/>
        <v/>
      </c>
      <c r="AC316" s="20" t="str">
        <f t="shared" ref="AC316:AD316" si="640">IF(_xlfn.ISFORMULA(S316),IFERROR(0/0,""),TRUE)</f>
        <v/>
      </c>
      <c r="AD316" s="20" t="str">
        <f t="shared" si="640"/>
        <v/>
      </c>
      <c r="AE316" s="43"/>
      <c r="AF316" s="62" t="s">
        <v>52</v>
      </c>
      <c r="AG316" s="57" t="str">
        <f t="shared" si="11"/>
        <v/>
      </c>
    </row>
    <row r="317">
      <c r="A317" s="6" t="str">
        <f>IFERROR(__xludf.DUMMYFUNCTION("""COMPUTED_VALUE"""),"MA274")</f>
        <v>MA274</v>
      </c>
      <c r="B317" s="204">
        <f>IFERROR(__xludf.DUMMYFUNCTION("""COMPUTED_VALUE"""),44599.0)</f>
        <v>44599</v>
      </c>
      <c r="C317" s="250">
        <f>IFERROR(__xludf.DUMMYFUNCTION("""COMPUTED_VALUE"""),0.32459490740740743)</f>
        <v>0.3245949074</v>
      </c>
      <c r="D317" s="6" t="str">
        <f>IFERROR(__xludf.DUMMYFUNCTION("""COMPUTED_VALUE"""),"SpBEND767550")</f>
        <v>SpBEND767550</v>
      </c>
      <c r="E317" s="251"/>
      <c r="F317" s="251"/>
      <c r="G317" s="251" t="str">
        <f>IFERROR(__xludf.DUMMYFUNCTION("""COMPUTED_VALUE"""),"Negative")</f>
        <v>Negative</v>
      </c>
      <c r="H317" s="262" t="str">
        <f>IFERROR(__xludf.DUMMYFUNCTION("""COMPUTED_VALUE"""),"Negative")</f>
        <v>Negative</v>
      </c>
      <c r="I317" s="204">
        <f>IFERROR(__xludf.DUMMYFUNCTION("""COMPUTED_VALUE"""),44599.0)</f>
        <v>44599</v>
      </c>
      <c r="J317" s="252">
        <f>IFERROR(__xludf.DUMMYFUNCTION("""COMPUTED_VALUE"""),0.4875462962962963)</f>
        <v>0.4875462963</v>
      </c>
      <c r="K317" s="56"/>
      <c r="L317" s="6"/>
      <c r="M317" s="61"/>
      <c r="N317" s="61">
        <f>IFERROR(__xludf.DUMMYFUNCTION("""COMPUTED_VALUE"""),1.0)</f>
        <v>1</v>
      </c>
      <c r="O317" s="61" t="str">
        <f t="shared" si="3"/>
        <v/>
      </c>
      <c r="P317" s="253">
        <f>IFERROR(__xludf.DUMMYFUNCTION("""COMPUTED_VALUE"""),0.0)</f>
        <v>0</v>
      </c>
      <c r="Q317" s="254" t="b">
        <f>VLOOKUP($B317,'Run Reconcile'!B$2:O799,14,FALSE)</f>
        <v>1</v>
      </c>
      <c r="R317" s="255" t="str">
        <f t="array" ref="R317">IF($Q317, INDEX('Run Reconcile'!A$2:A799,MATCH(B317,'Run Reconcile'!B$2:B799,0),1),IFERROR(0/0,""))</f>
        <v>RUN-BEND_2022-02-07_RFR-027</v>
      </c>
      <c r="S317" s="261" t="str">
        <f t="shared" ref="S317:T317" si="641">IF(COUNTIF(W$2:W799, $A317) &gt; 0,TRUE,IFERROR(0/0,""))</f>
        <v/>
      </c>
      <c r="T317" s="261" t="str">
        <f t="shared" si="641"/>
        <v/>
      </c>
      <c r="U317" s="257" t="str">
        <f t="array" ref="U317">IF(ISBLANK($R317), INDEX('Run Reconcile'!A$2:A799, MATCH($B317, 'Run Reconcile'!B$2:B799, 0)+Z317, 1), IFERROR(0/0,""))
</f>
        <v/>
      </c>
      <c r="V317" s="258" t="str">
        <f t="shared" si="480"/>
        <v>RUN-BEND_2022-02-07_RFR-027</v>
      </c>
      <c r="Y317" s="130" t="str">
        <f t="shared" si="487"/>
        <v/>
      </c>
      <c r="Z317" s="49" t="str">
        <f t="shared" si="7"/>
        <v/>
      </c>
      <c r="AA317" s="49" t="str">
        <f t="shared" si="8"/>
        <v/>
      </c>
      <c r="AB317" s="49" t="str">
        <f t="shared" si="9"/>
        <v/>
      </c>
      <c r="AC317" s="20" t="str">
        <f t="shared" ref="AC317:AD317" si="642">IF(_xlfn.ISFORMULA(S317),IFERROR(0/0,""),TRUE)</f>
        <v/>
      </c>
      <c r="AD317" s="20" t="str">
        <f t="shared" si="642"/>
        <v/>
      </c>
      <c r="AE317" s="43"/>
      <c r="AF317" s="62" t="s">
        <v>52</v>
      </c>
      <c r="AG317" s="57" t="str">
        <f t="shared" si="11"/>
        <v/>
      </c>
    </row>
    <row r="318">
      <c r="A318" s="6" t="str">
        <f>IFERROR(__xludf.DUMMYFUNCTION("""COMPUTED_VALUE"""),"MA253")</f>
        <v>MA253</v>
      </c>
      <c r="B318" s="204">
        <f>IFERROR(__xludf.DUMMYFUNCTION("""COMPUTED_VALUE"""),44599.0)</f>
        <v>44599</v>
      </c>
      <c r="C318" s="250">
        <f>IFERROR(__xludf.DUMMYFUNCTION("""COMPUTED_VALUE"""),0.33288194444444447)</f>
        <v>0.3328819444</v>
      </c>
      <c r="D318" s="6" t="str">
        <f>IFERROR(__xludf.DUMMYFUNCTION("""COMPUTED_VALUE"""),"SpBEND757435")</f>
        <v>SpBEND757435</v>
      </c>
      <c r="E318" s="251"/>
      <c r="F318" s="251"/>
      <c r="G318" s="251" t="str">
        <f>IFERROR(__xludf.DUMMYFUNCTION("""COMPUTED_VALUE"""),"Positive")</f>
        <v>Positive</v>
      </c>
      <c r="H318" s="262" t="str">
        <f>IFERROR(__xludf.DUMMYFUNCTION("""COMPUTED_VALUE"""),"Positive")</f>
        <v>Positive</v>
      </c>
      <c r="I318" s="204">
        <f>IFERROR(__xludf.DUMMYFUNCTION("""COMPUTED_VALUE"""),44599.0)</f>
        <v>44599</v>
      </c>
      <c r="J318" s="252">
        <f>IFERROR(__xludf.DUMMYFUNCTION("""COMPUTED_VALUE"""),0.4875347222222222)</f>
        <v>0.4875347222</v>
      </c>
      <c r="K318" s="56"/>
      <c r="L318" s="6"/>
      <c r="M318" s="61"/>
      <c r="N318" s="61">
        <f>IFERROR(__xludf.DUMMYFUNCTION("""COMPUTED_VALUE"""),1.0)</f>
        <v>1</v>
      </c>
      <c r="O318" s="61" t="str">
        <f t="shared" si="3"/>
        <v/>
      </c>
      <c r="P318" s="253">
        <f>IFERROR(__xludf.DUMMYFUNCTION("""COMPUTED_VALUE"""),0.0)</f>
        <v>0</v>
      </c>
      <c r="Q318" s="254" t="b">
        <f>VLOOKUP($B318,'Run Reconcile'!B$2:O799,14,FALSE)</f>
        <v>1</v>
      </c>
      <c r="R318" s="255" t="str">
        <f t="array" ref="R318">IF($Q318, INDEX('Run Reconcile'!A$2:A799,MATCH(B318,'Run Reconcile'!B$2:B799,0),1),IFERROR(0/0,""))</f>
        <v>RUN-BEND_2022-02-07_RFR-027</v>
      </c>
      <c r="S318" s="261" t="str">
        <f t="shared" ref="S318:T318" si="643">IF(COUNTIF(W$2:W799, $A318) &gt; 0,TRUE,IFERROR(0/0,""))</f>
        <v/>
      </c>
      <c r="T318" s="261" t="str">
        <f t="shared" si="643"/>
        <v/>
      </c>
      <c r="U318" s="257" t="str">
        <f t="array" ref="U318">IF(ISBLANK($R318), INDEX('Run Reconcile'!A$2:A799, MATCH($B318, 'Run Reconcile'!B$2:B799, 0)+Z318, 1), IFERROR(0/0,""))
</f>
        <v/>
      </c>
      <c r="V318" s="258" t="str">
        <f t="shared" si="480"/>
        <v>RUN-BEND_2022-02-07_RFR-027</v>
      </c>
      <c r="Y318" s="130" t="str">
        <f t="shared" si="487"/>
        <v/>
      </c>
      <c r="Z318" s="49" t="str">
        <f t="shared" si="7"/>
        <v/>
      </c>
      <c r="AA318" s="49" t="str">
        <f t="shared" si="8"/>
        <v/>
      </c>
      <c r="AB318" s="49" t="str">
        <f t="shared" si="9"/>
        <v/>
      </c>
      <c r="AC318" s="20" t="str">
        <f t="shared" ref="AC318:AD318" si="644">IF(_xlfn.ISFORMULA(S318),IFERROR(0/0,""),TRUE)</f>
        <v/>
      </c>
      <c r="AD318" s="20" t="str">
        <f t="shared" si="644"/>
        <v/>
      </c>
      <c r="AE318" s="43"/>
      <c r="AF318" s="62" t="s">
        <v>52</v>
      </c>
      <c r="AG318" s="57" t="str">
        <f t="shared" si="11"/>
        <v/>
      </c>
    </row>
    <row r="319">
      <c r="A319" s="6" t="str">
        <f>IFERROR(__xludf.DUMMYFUNCTION("""COMPUTED_VALUE"""),"MA423")</f>
        <v>MA423</v>
      </c>
      <c r="B319" s="204">
        <f>IFERROR(__xludf.DUMMYFUNCTION("""COMPUTED_VALUE"""),44599.0)</f>
        <v>44599</v>
      </c>
      <c r="C319" s="250">
        <f>IFERROR(__xludf.DUMMYFUNCTION("""COMPUTED_VALUE"""),0.3376736111111111)</f>
        <v>0.3376736111</v>
      </c>
      <c r="D319" s="6" t="str">
        <f>IFERROR(__xludf.DUMMYFUNCTION("""COMPUTED_VALUE"""),"SpBEND643855")</f>
        <v>SpBEND643855</v>
      </c>
      <c r="E319" s="251"/>
      <c r="F319" s="251"/>
      <c r="G319" s="251" t="str">
        <f>IFERROR(__xludf.DUMMYFUNCTION("""COMPUTED_VALUE"""),"Negative")</f>
        <v>Negative</v>
      </c>
      <c r="H319" s="262" t="str">
        <f>IFERROR(__xludf.DUMMYFUNCTION("""COMPUTED_VALUE"""),"Negative")</f>
        <v>Negative</v>
      </c>
      <c r="I319" s="204">
        <f>IFERROR(__xludf.DUMMYFUNCTION("""COMPUTED_VALUE"""),44599.0)</f>
        <v>44599</v>
      </c>
      <c r="J319" s="252">
        <f>IFERROR(__xludf.DUMMYFUNCTION("""COMPUTED_VALUE"""),0.4875462962962963)</f>
        <v>0.4875462963</v>
      </c>
      <c r="K319" s="56"/>
      <c r="L319" s="6"/>
      <c r="M319" s="61"/>
      <c r="N319" s="61">
        <f>IFERROR(__xludf.DUMMYFUNCTION("""COMPUTED_VALUE"""),1.0)</f>
        <v>1</v>
      </c>
      <c r="O319" s="61" t="str">
        <f t="shared" si="3"/>
        <v/>
      </c>
      <c r="P319" s="253">
        <f>IFERROR(__xludf.DUMMYFUNCTION("""COMPUTED_VALUE"""),0.0)</f>
        <v>0</v>
      </c>
      <c r="Q319" s="254" t="b">
        <f>VLOOKUP($B319,'Run Reconcile'!B$2:O799,14,FALSE)</f>
        <v>1</v>
      </c>
      <c r="R319" s="255" t="str">
        <f t="array" ref="R319">IF($Q319, INDEX('Run Reconcile'!A$2:A799,MATCH(B319,'Run Reconcile'!B$2:B799,0),1),IFERROR(0/0,""))</f>
        <v>RUN-BEND_2022-02-07_RFR-027</v>
      </c>
      <c r="S319" s="261" t="str">
        <f t="shared" ref="S319:T319" si="645">IF(COUNTIF(W$2:W799, $A319) &gt; 0,TRUE,IFERROR(0/0,""))</f>
        <v/>
      </c>
      <c r="T319" s="261" t="str">
        <f t="shared" si="645"/>
        <v/>
      </c>
      <c r="U319" s="257" t="str">
        <f t="array" ref="U319">IF(ISBLANK($R319), INDEX('Run Reconcile'!A$2:A799, MATCH($B319, 'Run Reconcile'!B$2:B799, 0)+Z319, 1), IFERROR(0/0,""))
</f>
        <v/>
      </c>
      <c r="V319" s="258" t="str">
        <f t="shared" si="480"/>
        <v>RUN-BEND_2022-02-07_RFR-027</v>
      </c>
      <c r="Y319" s="130" t="str">
        <f t="shared" si="487"/>
        <v/>
      </c>
      <c r="Z319" s="49" t="str">
        <f t="shared" si="7"/>
        <v/>
      </c>
      <c r="AA319" s="49" t="str">
        <f t="shared" si="8"/>
        <v/>
      </c>
      <c r="AB319" s="49" t="str">
        <f t="shared" si="9"/>
        <v/>
      </c>
      <c r="AC319" s="20" t="str">
        <f t="shared" ref="AC319:AD319" si="646">IF(_xlfn.ISFORMULA(S319),IFERROR(0/0,""),TRUE)</f>
        <v/>
      </c>
      <c r="AD319" s="20" t="str">
        <f t="shared" si="646"/>
        <v/>
      </c>
      <c r="AE319" s="43"/>
      <c r="AF319" s="62" t="s">
        <v>52</v>
      </c>
      <c r="AG319" s="57" t="str">
        <f t="shared" si="11"/>
        <v/>
      </c>
    </row>
    <row r="320">
      <c r="A320" s="6" t="str">
        <f>IFERROR(__xludf.DUMMYFUNCTION("""COMPUTED_VALUE"""),"MA1229")</f>
        <v>MA1229</v>
      </c>
      <c r="B320" s="204">
        <f>IFERROR(__xludf.DUMMYFUNCTION("""COMPUTED_VALUE"""),44599.0)</f>
        <v>44599</v>
      </c>
      <c r="C320" s="250">
        <f>IFERROR(__xludf.DUMMYFUNCTION("""COMPUTED_VALUE"""),0.34703703703703703)</f>
        <v>0.347037037</v>
      </c>
      <c r="D320" s="6" t="str">
        <f>IFERROR(__xludf.DUMMYFUNCTION("""COMPUTED_VALUE"""),"SpBEND825522")</f>
        <v>SpBEND825522</v>
      </c>
      <c r="E320" s="251"/>
      <c r="F320" s="251"/>
      <c r="G320" s="251" t="str">
        <f>IFERROR(__xludf.DUMMYFUNCTION("""COMPUTED_VALUE"""),"Negative")</f>
        <v>Negative</v>
      </c>
      <c r="H320" s="262" t="str">
        <f>IFERROR(__xludf.DUMMYFUNCTION("""COMPUTED_VALUE"""),"Negative")</f>
        <v>Negative</v>
      </c>
      <c r="I320" s="204">
        <f>IFERROR(__xludf.DUMMYFUNCTION("""COMPUTED_VALUE"""),44599.0)</f>
        <v>44599</v>
      </c>
      <c r="J320" s="252">
        <f>IFERROR(__xludf.DUMMYFUNCTION("""COMPUTED_VALUE"""),0.4875462962962963)</f>
        <v>0.4875462963</v>
      </c>
      <c r="K320" s="56"/>
      <c r="L320" s="6"/>
      <c r="M320" s="61"/>
      <c r="N320" s="61">
        <f>IFERROR(__xludf.DUMMYFUNCTION("""COMPUTED_VALUE"""),1.0)</f>
        <v>1</v>
      </c>
      <c r="O320" s="61" t="str">
        <f t="shared" si="3"/>
        <v/>
      </c>
      <c r="P320" s="253">
        <f>IFERROR(__xludf.DUMMYFUNCTION("""COMPUTED_VALUE"""),0.0)</f>
        <v>0</v>
      </c>
      <c r="Q320" s="254" t="b">
        <f>VLOOKUP($B320,'Run Reconcile'!B$2:O799,14,FALSE)</f>
        <v>1</v>
      </c>
      <c r="R320" s="255" t="str">
        <f t="array" ref="R320">IF($Q320, INDEX('Run Reconcile'!A$2:A799,MATCH(B320,'Run Reconcile'!B$2:B799,0),1),IFERROR(0/0,""))</f>
        <v>RUN-BEND_2022-02-07_RFR-027</v>
      </c>
      <c r="S320" s="261" t="str">
        <f t="shared" ref="S320:T320" si="647">IF(COUNTIF(W$2:W799, $A320) &gt; 0,TRUE,IFERROR(0/0,""))</f>
        <v/>
      </c>
      <c r="T320" s="261" t="str">
        <f t="shared" si="647"/>
        <v/>
      </c>
      <c r="U320" s="257" t="str">
        <f t="array" ref="U320">IF(ISBLANK($R320), INDEX('Run Reconcile'!A$2:A799, MATCH($B320, 'Run Reconcile'!B$2:B799, 0)+Z320, 1), IFERROR(0/0,""))
</f>
        <v/>
      </c>
      <c r="V320" s="258" t="str">
        <f t="shared" si="480"/>
        <v>RUN-BEND_2022-02-07_RFR-027</v>
      </c>
      <c r="Y320" s="130" t="str">
        <f t="shared" si="487"/>
        <v/>
      </c>
      <c r="Z320" s="49" t="str">
        <f t="shared" si="7"/>
        <v/>
      </c>
      <c r="AA320" s="49" t="str">
        <f t="shared" si="8"/>
        <v/>
      </c>
      <c r="AB320" s="49" t="str">
        <f t="shared" si="9"/>
        <v/>
      </c>
      <c r="AC320" s="20" t="str">
        <f t="shared" ref="AC320:AD320" si="648">IF(_xlfn.ISFORMULA(S320),IFERROR(0/0,""),TRUE)</f>
        <v/>
      </c>
      <c r="AD320" s="20" t="str">
        <f t="shared" si="648"/>
        <v/>
      </c>
      <c r="AE320" s="43"/>
      <c r="AF320" s="62" t="s">
        <v>52</v>
      </c>
      <c r="AG320" s="57" t="str">
        <f t="shared" si="11"/>
        <v/>
      </c>
    </row>
    <row r="321">
      <c r="A321" s="6" t="str">
        <f>IFERROR(__xludf.DUMMYFUNCTION("""COMPUTED_VALUE"""),"MA424")</f>
        <v>MA424</v>
      </c>
      <c r="B321" s="204">
        <f>IFERROR(__xludf.DUMMYFUNCTION("""COMPUTED_VALUE"""),44599.0)</f>
        <v>44599</v>
      </c>
      <c r="C321" s="250">
        <f>IFERROR(__xludf.DUMMYFUNCTION("""COMPUTED_VALUE"""),0.4626388888888889)</f>
        <v>0.4626388889</v>
      </c>
      <c r="D321" s="6" t="str">
        <f>IFERROR(__xludf.DUMMYFUNCTION("""COMPUTED_VALUE"""),"SpBEND394154")</f>
        <v>SpBEND394154</v>
      </c>
      <c r="E321" s="251"/>
      <c r="F321" s="251"/>
      <c r="G321" s="251" t="str">
        <f>IFERROR(__xludf.DUMMYFUNCTION("""COMPUTED_VALUE"""),"Negative")</f>
        <v>Negative</v>
      </c>
      <c r="H321" s="262" t="str">
        <f>IFERROR(__xludf.DUMMYFUNCTION("""COMPUTED_VALUE"""),"Negative")</f>
        <v>Negative</v>
      </c>
      <c r="I321" s="204">
        <f>IFERROR(__xludf.DUMMYFUNCTION("""COMPUTED_VALUE"""),44599.0)</f>
        <v>44599</v>
      </c>
      <c r="J321" s="252">
        <f>IFERROR(__xludf.DUMMYFUNCTION("""COMPUTED_VALUE"""),0.4875462962962963)</f>
        <v>0.4875462963</v>
      </c>
      <c r="K321" s="56"/>
      <c r="L321" s="6"/>
      <c r="M321" s="61"/>
      <c r="N321" s="61">
        <f>IFERROR(__xludf.DUMMYFUNCTION("""COMPUTED_VALUE"""),1.0)</f>
        <v>1</v>
      </c>
      <c r="O321" s="61" t="str">
        <f t="shared" si="3"/>
        <v/>
      </c>
      <c r="P321" s="253">
        <f>IFERROR(__xludf.DUMMYFUNCTION("""COMPUTED_VALUE"""),0.0)</f>
        <v>0</v>
      </c>
      <c r="Q321" s="254" t="b">
        <f>VLOOKUP($B321,'Run Reconcile'!B$2:O799,14,FALSE)</f>
        <v>1</v>
      </c>
      <c r="R321" s="255" t="str">
        <f t="array" ref="R321">IF($Q321, INDEX('Run Reconcile'!A$2:A799,MATCH(B321,'Run Reconcile'!B$2:B799,0),1),IFERROR(0/0,""))</f>
        <v>RUN-BEND_2022-02-07_RFR-027</v>
      </c>
      <c r="S321" s="261" t="str">
        <f t="shared" ref="S321:T321" si="649">IF(COUNTIF(W$2:W799, $A321) &gt; 0,TRUE,IFERROR(0/0,""))</f>
        <v/>
      </c>
      <c r="T321" s="261" t="str">
        <f t="shared" si="649"/>
        <v/>
      </c>
      <c r="U321" s="257" t="str">
        <f t="array" ref="U321">IF(ISBLANK($R321), INDEX('Run Reconcile'!A$2:A799, MATCH($B321, 'Run Reconcile'!B$2:B799, 0)+Z321, 1), IFERROR(0/0,""))
</f>
        <v/>
      </c>
      <c r="V321" s="258" t="str">
        <f t="shared" si="480"/>
        <v>RUN-BEND_2022-02-07_RFR-027</v>
      </c>
      <c r="Y321" s="130" t="str">
        <f t="shared" si="487"/>
        <v/>
      </c>
      <c r="Z321" s="49" t="str">
        <f t="shared" si="7"/>
        <v/>
      </c>
      <c r="AA321" s="49" t="str">
        <f t="shared" si="8"/>
        <v/>
      </c>
      <c r="AB321" s="49" t="str">
        <f t="shared" si="9"/>
        <v/>
      </c>
      <c r="AC321" s="20" t="str">
        <f t="shared" ref="AC321:AD321" si="650">IF(_xlfn.ISFORMULA(S321),IFERROR(0/0,""),TRUE)</f>
        <v/>
      </c>
      <c r="AD321" s="20" t="str">
        <f t="shared" si="650"/>
        <v/>
      </c>
      <c r="AE321" s="43"/>
      <c r="AF321" s="62" t="s">
        <v>52</v>
      </c>
      <c r="AG321" s="57" t="str">
        <f t="shared" si="11"/>
        <v/>
      </c>
    </row>
    <row r="322">
      <c r="A322" s="6" t="str">
        <f>IFERROR(__xludf.DUMMYFUNCTION("""COMPUTED_VALUE"""),"MA659")</f>
        <v>MA659</v>
      </c>
      <c r="B322" s="204">
        <f>IFERROR(__xludf.DUMMYFUNCTION("""COMPUTED_VALUE"""),44599.0)</f>
        <v>44599</v>
      </c>
      <c r="C322" s="250">
        <f>IFERROR(__xludf.DUMMYFUNCTION("""COMPUTED_VALUE"""),0.46304398148148146)</f>
        <v>0.4630439815</v>
      </c>
      <c r="D322" s="6" t="str">
        <f>IFERROR(__xludf.DUMMYFUNCTION("""COMPUTED_VALUE"""),"SpBEND394154")</f>
        <v>SpBEND394154</v>
      </c>
      <c r="E322" s="251"/>
      <c r="F322" s="251"/>
      <c r="G322" s="251" t="str">
        <f>IFERROR(__xludf.DUMMYFUNCTION("""COMPUTED_VALUE"""),"Negative")</f>
        <v>Negative</v>
      </c>
      <c r="H322" s="262" t="str">
        <f>IFERROR(__xludf.DUMMYFUNCTION("""COMPUTED_VALUE"""),"Negative")</f>
        <v>Negative</v>
      </c>
      <c r="I322" s="204">
        <f>IFERROR(__xludf.DUMMYFUNCTION("""COMPUTED_VALUE"""),44599.0)</f>
        <v>44599</v>
      </c>
      <c r="J322" s="252">
        <f>IFERROR(__xludf.DUMMYFUNCTION("""COMPUTED_VALUE"""),0.4875462962962963)</f>
        <v>0.4875462963</v>
      </c>
      <c r="K322" s="56"/>
      <c r="L322" s="6"/>
      <c r="M322" s="61"/>
      <c r="N322" s="61">
        <f>IFERROR(__xludf.DUMMYFUNCTION("""COMPUTED_VALUE"""),1.0)</f>
        <v>1</v>
      </c>
      <c r="O322" s="61" t="str">
        <f t="shared" si="3"/>
        <v/>
      </c>
      <c r="P322" s="253">
        <f>IFERROR(__xludf.DUMMYFUNCTION("""COMPUTED_VALUE"""),0.0)</f>
        <v>0</v>
      </c>
      <c r="Q322" s="254" t="b">
        <f>VLOOKUP($B322,'Run Reconcile'!B$2:O799,14,FALSE)</f>
        <v>1</v>
      </c>
      <c r="R322" s="255" t="str">
        <f t="array" ref="R322">IF($Q322, INDEX('Run Reconcile'!A$2:A799,MATCH(B322,'Run Reconcile'!B$2:B799,0),1),IFERROR(0/0,""))</f>
        <v>RUN-BEND_2022-02-07_RFR-027</v>
      </c>
      <c r="S322" s="261" t="str">
        <f t="shared" ref="S322:T322" si="651">IF(COUNTIF(W$2:W799, $A322) &gt; 0,TRUE,IFERROR(0/0,""))</f>
        <v/>
      </c>
      <c r="T322" s="261" t="str">
        <f t="shared" si="651"/>
        <v/>
      </c>
      <c r="U322" s="257" t="str">
        <f t="array" ref="U322">IF(ISBLANK($R322), INDEX('Run Reconcile'!A$2:A799, MATCH($B322, 'Run Reconcile'!B$2:B799, 0)+Z322, 1), IFERROR(0/0,""))
</f>
        <v/>
      </c>
      <c r="V322" s="258" t="str">
        <f t="shared" si="480"/>
        <v>RUN-BEND_2022-02-07_RFR-027</v>
      </c>
      <c r="Y322" s="130" t="str">
        <f t="shared" si="487"/>
        <v/>
      </c>
      <c r="Z322" s="49" t="str">
        <f t="shared" si="7"/>
        <v/>
      </c>
      <c r="AA322" s="49" t="str">
        <f t="shared" si="8"/>
        <v/>
      </c>
      <c r="AB322" s="49" t="str">
        <f t="shared" si="9"/>
        <v/>
      </c>
      <c r="AC322" s="20" t="str">
        <f t="shared" ref="AC322:AD322" si="652">IF(_xlfn.ISFORMULA(S322),IFERROR(0/0,""),TRUE)</f>
        <v/>
      </c>
      <c r="AD322" s="20" t="str">
        <f t="shared" si="652"/>
        <v/>
      </c>
      <c r="AE322" s="43"/>
      <c r="AF322" s="62" t="s">
        <v>52</v>
      </c>
      <c r="AG322" s="57" t="str">
        <f t="shared" si="11"/>
        <v/>
      </c>
    </row>
    <row r="323">
      <c r="A323" s="6" t="str">
        <f>IFERROR(__xludf.DUMMYFUNCTION("""COMPUTED_VALUE"""),"MA426")</f>
        <v>MA426</v>
      </c>
      <c r="B323" s="204">
        <f>IFERROR(__xludf.DUMMYFUNCTION("""COMPUTED_VALUE"""),44599.0)</f>
        <v>44599</v>
      </c>
      <c r="C323" s="250">
        <f>IFERROR(__xludf.DUMMYFUNCTION("""COMPUTED_VALUE"""),0.47069444444444447)</f>
        <v>0.4706944444</v>
      </c>
      <c r="D323" s="6" t="str">
        <f>IFERROR(__xludf.DUMMYFUNCTION("""COMPUTED_VALUE"""),"SpBEND394154")</f>
        <v>SpBEND394154</v>
      </c>
      <c r="E323" s="251"/>
      <c r="F323" s="251"/>
      <c r="G323" s="251" t="str">
        <f>IFERROR(__xludf.DUMMYFUNCTION("""COMPUTED_VALUE"""),"Negative")</f>
        <v>Negative</v>
      </c>
      <c r="H323" s="262" t="str">
        <f>IFERROR(__xludf.DUMMYFUNCTION("""COMPUTED_VALUE"""),"Negative")</f>
        <v>Negative</v>
      </c>
      <c r="I323" s="204">
        <f>IFERROR(__xludf.DUMMYFUNCTION("""COMPUTED_VALUE"""),44599.0)</f>
        <v>44599</v>
      </c>
      <c r="J323" s="252">
        <f>IFERROR(__xludf.DUMMYFUNCTION("""COMPUTED_VALUE"""),0.4875462962962963)</f>
        <v>0.4875462963</v>
      </c>
      <c r="K323" s="56"/>
      <c r="L323" s="6"/>
      <c r="M323" s="61"/>
      <c r="N323" s="61">
        <f>IFERROR(__xludf.DUMMYFUNCTION("""COMPUTED_VALUE"""),1.0)</f>
        <v>1</v>
      </c>
      <c r="O323" s="61" t="str">
        <f t="shared" si="3"/>
        <v/>
      </c>
      <c r="P323" s="253">
        <f>IFERROR(__xludf.DUMMYFUNCTION("""COMPUTED_VALUE"""),0.0)</f>
        <v>0</v>
      </c>
      <c r="Q323" s="254" t="b">
        <f>VLOOKUP($B323,'Run Reconcile'!B$2:O799,14,FALSE)</f>
        <v>1</v>
      </c>
      <c r="R323" s="255" t="str">
        <f t="array" ref="R323">IF($Q323, INDEX('Run Reconcile'!A$2:A799,MATCH(B323,'Run Reconcile'!B$2:B799,0),1),IFERROR(0/0,""))</f>
        <v>RUN-BEND_2022-02-07_RFR-027</v>
      </c>
      <c r="S323" s="261" t="str">
        <f t="shared" ref="S323:T323" si="653">IF(COUNTIF(W$2:W799, $A323) &gt; 0,TRUE,IFERROR(0/0,""))</f>
        <v/>
      </c>
      <c r="T323" s="261" t="str">
        <f t="shared" si="653"/>
        <v/>
      </c>
      <c r="U323" s="257" t="str">
        <f t="array" ref="U323">IF(ISBLANK($R323), INDEX('Run Reconcile'!A$2:A799, MATCH($B323, 'Run Reconcile'!B$2:B799, 0)+Z323, 1), IFERROR(0/0,""))
</f>
        <v/>
      </c>
      <c r="V323" s="258" t="str">
        <f t="shared" si="480"/>
        <v>RUN-BEND_2022-02-07_RFR-027</v>
      </c>
      <c r="Y323" s="130" t="str">
        <f t="shared" si="487"/>
        <v/>
      </c>
      <c r="Z323" s="49" t="str">
        <f t="shared" si="7"/>
        <v/>
      </c>
      <c r="AA323" s="49" t="str">
        <f t="shared" si="8"/>
        <v/>
      </c>
      <c r="AB323" s="49" t="str">
        <f t="shared" si="9"/>
        <v/>
      </c>
      <c r="AC323" s="20" t="str">
        <f t="shared" ref="AC323:AD323" si="654">IF(_xlfn.ISFORMULA(S323),IFERROR(0/0,""),TRUE)</f>
        <v/>
      </c>
      <c r="AD323" s="20" t="str">
        <f t="shared" si="654"/>
        <v/>
      </c>
      <c r="AE323" s="43"/>
      <c r="AF323" s="62" t="s">
        <v>52</v>
      </c>
      <c r="AG323" s="57" t="str">
        <f t="shared" si="11"/>
        <v/>
      </c>
    </row>
    <row r="324">
      <c r="A324" s="6" t="str">
        <f>IFERROR(__xludf.DUMMYFUNCTION("""COMPUTED_VALUE"""),"FM501")</f>
        <v>FM501</v>
      </c>
      <c r="B324" s="204">
        <f>IFERROR(__xludf.DUMMYFUNCTION("""COMPUTED_VALUE"""),44601.0)</f>
        <v>44601</v>
      </c>
      <c r="C324" s="250">
        <f>IFERROR(__xludf.DUMMYFUNCTION("""COMPUTED_VALUE"""),0.26310185185185186)</f>
        <v>0.2631018519</v>
      </c>
      <c r="D324" s="6" t="str">
        <f>IFERROR(__xludf.DUMMYFUNCTION("""COMPUTED_VALUE"""),"SpBEND845568")</f>
        <v>SpBEND845568</v>
      </c>
      <c r="E324" s="251"/>
      <c r="F324" s="251"/>
      <c r="G324" s="251" t="str">
        <f>IFERROR(__xludf.DUMMYFUNCTION("""COMPUTED_VALUE"""),"Negative")</f>
        <v>Negative</v>
      </c>
      <c r="H324" s="262" t="str">
        <f>IFERROR(__xludf.DUMMYFUNCTION("""COMPUTED_VALUE"""),"Negative")</f>
        <v>Negative</v>
      </c>
      <c r="I324" s="204">
        <f>IFERROR(__xludf.DUMMYFUNCTION("""COMPUTED_VALUE"""),44601.0)</f>
        <v>44601</v>
      </c>
      <c r="J324" s="252">
        <f>IFERROR(__xludf.DUMMYFUNCTION("""COMPUTED_VALUE"""),0.48202546296296295)</f>
        <v>0.482025463</v>
      </c>
      <c r="K324" s="56"/>
      <c r="L324" s="6"/>
      <c r="M324" s="61"/>
      <c r="N324" s="61">
        <f>IFERROR(__xludf.DUMMYFUNCTION("""COMPUTED_VALUE"""),1.0)</f>
        <v>1</v>
      </c>
      <c r="O324" s="61" t="b">
        <f t="shared" si="3"/>
        <v>1</v>
      </c>
      <c r="P324" s="253">
        <f>IFERROR(__xludf.DUMMYFUNCTION("""COMPUTED_VALUE"""),0.0)</f>
        <v>0</v>
      </c>
      <c r="Q324" s="254" t="b">
        <f>VLOOKUP($B324,'Run Reconcile'!B$2:O799,14,FALSE)</f>
        <v>1</v>
      </c>
      <c r="R324" s="255" t="str">
        <f t="array" ref="R324">IF($Q324, INDEX('Run Reconcile'!A$2:A799,MATCH(B324,'Run Reconcile'!B$2:B799,0),1),IFERROR(0/0,""))</f>
        <v>RUN-BEND_2022-02-09_RFR-028</v>
      </c>
      <c r="S324" s="261" t="str">
        <f t="shared" ref="S324:T324" si="655">IF(COUNTIF(W$2:W799, $A324) &gt; 0,TRUE,IFERROR(0/0,""))</f>
        <v/>
      </c>
      <c r="T324" s="261" t="str">
        <f t="shared" si="655"/>
        <v/>
      </c>
      <c r="U324" s="257" t="str">
        <f t="array" ref="U324">IF(ISBLANK($R324), INDEX('Run Reconcile'!A$2:A799, MATCH($B324, 'Run Reconcile'!B$2:B799, 0)+Z324, 1), IFERROR(0/0,""))
</f>
        <v/>
      </c>
      <c r="V324" s="258" t="str">
        <f t="shared" si="480"/>
        <v>RUN-BEND_2022-02-09_RFR-028</v>
      </c>
      <c r="Y324" s="130" t="str">
        <f t="shared" si="487"/>
        <v/>
      </c>
      <c r="Z324" s="49" t="str">
        <f t="shared" si="7"/>
        <v/>
      </c>
      <c r="AA324" s="49" t="str">
        <f t="shared" si="8"/>
        <v/>
      </c>
      <c r="AB324" s="49" t="str">
        <f t="shared" si="9"/>
        <v/>
      </c>
      <c r="AC324" s="20" t="str">
        <f t="shared" ref="AC324:AD324" si="656">IF(_xlfn.ISFORMULA(S324),IFERROR(0/0,""),TRUE)</f>
        <v/>
      </c>
      <c r="AD324" s="20" t="str">
        <f t="shared" si="656"/>
        <v/>
      </c>
      <c r="AE324" s="43"/>
      <c r="AF324" s="62" t="s">
        <v>53</v>
      </c>
      <c r="AG324" s="57" t="str">
        <f t="shared" si="11"/>
        <v/>
      </c>
    </row>
    <row r="325">
      <c r="A325" s="6" t="str">
        <f>IFERROR(__xludf.DUMMYFUNCTION("""COMPUTED_VALUE"""),"FM431")</f>
        <v>FM431</v>
      </c>
      <c r="B325" s="204">
        <f>IFERROR(__xludf.DUMMYFUNCTION("""COMPUTED_VALUE"""),44601.0)</f>
        <v>44601</v>
      </c>
      <c r="C325" s="250">
        <f>IFERROR(__xludf.DUMMYFUNCTION("""COMPUTED_VALUE"""),0.2634606481481481)</f>
        <v>0.2634606481</v>
      </c>
      <c r="D325" s="6" t="str">
        <f>IFERROR(__xludf.DUMMYFUNCTION("""COMPUTED_VALUE"""),"SpBEND845568")</f>
        <v>SpBEND845568</v>
      </c>
      <c r="E325" s="251"/>
      <c r="F325" s="251"/>
      <c r="G325" s="251" t="str">
        <f>IFERROR(__xludf.DUMMYFUNCTION("""COMPUTED_VALUE"""),"Positive")</f>
        <v>Positive</v>
      </c>
      <c r="H325" s="262" t="str">
        <f>IFERROR(__xludf.DUMMYFUNCTION("""COMPUTED_VALUE"""),"Positive")</f>
        <v>Positive</v>
      </c>
      <c r="I325" s="204">
        <f>IFERROR(__xludf.DUMMYFUNCTION("""COMPUTED_VALUE"""),44601.0)</f>
        <v>44601</v>
      </c>
      <c r="J325" s="252">
        <f>IFERROR(__xludf.DUMMYFUNCTION("""COMPUTED_VALUE"""),0.48203703703703704)</f>
        <v>0.482037037</v>
      </c>
      <c r="K325" s="56"/>
      <c r="L325" s="6"/>
      <c r="M325" s="61"/>
      <c r="N325" s="61">
        <f>IFERROR(__xludf.DUMMYFUNCTION("""COMPUTED_VALUE"""),1.0)</f>
        <v>1</v>
      </c>
      <c r="O325" s="61" t="str">
        <f t="shared" si="3"/>
        <v/>
      </c>
      <c r="P325" s="253">
        <f>IFERROR(__xludf.DUMMYFUNCTION("""COMPUTED_VALUE"""),0.0)</f>
        <v>0</v>
      </c>
      <c r="Q325" s="254" t="b">
        <f>VLOOKUP($B325,'Run Reconcile'!B$2:O799,14,FALSE)</f>
        <v>1</v>
      </c>
      <c r="R325" s="255" t="str">
        <f t="array" ref="R325">IF($Q325, INDEX('Run Reconcile'!A$2:A799,MATCH(B325,'Run Reconcile'!B$2:B799,0),1),IFERROR(0/0,""))</f>
        <v>RUN-BEND_2022-02-09_RFR-028</v>
      </c>
      <c r="S325" s="261" t="str">
        <f t="shared" ref="S325:T325" si="657">IF(COUNTIF(W$2:W799, $A325) &gt; 0,TRUE,IFERROR(0/0,""))</f>
        <v/>
      </c>
      <c r="T325" s="261" t="str">
        <f t="shared" si="657"/>
        <v/>
      </c>
      <c r="U325" s="257" t="str">
        <f t="array" ref="U325">IF(ISBLANK($R325), INDEX('Run Reconcile'!A$2:A799, MATCH($B325, 'Run Reconcile'!B$2:B799, 0)+Z325, 1), IFERROR(0/0,""))
</f>
        <v/>
      </c>
      <c r="V325" s="258" t="str">
        <f t="shared" si="480"/>
        <v>RUN-BEND_2022-02-09_RFR-028</v>
      </c>
      <c r="Y325" s="130" t="str">
        <f t="shared" si="487"/>
        <v/>
      </c>
      <c r="Z325" s="49" t="str">
        <f t="shared" si="7"/>
        <v/>
      </c>
      <c r="AA325" s="49" t="str">
        <f t="shared" si="8"/>
        <v/>
      </c>
      <c r="AB325" s="49" t="str">
        <f t="shared" si="9"/>
        <v/>
      </c>
      <c r="AC325" s="20" t="str">
        <f t="shared" ref="AC325:AD325" si="658">IF(_xlfn.ISFORMULA(S325),IFERROR(0/0,""),TRUE)</f>
        <v/>
      </c>
      <c r="AD325" s="20" t="str">
        <f t="shared" si="658"/>
        <v/>
      </c>
      <c r="AE325" s="43"/>
      <c r="AF325" s="62" t="s">
        <v>53</v>
      </c>
      <c r="AG325" s="57" t="str">
        <f t="shared" si="11"/>
        <v/>
      </c>
    </row>
    <row r="326">
      <c r="A326" s="6" t="str">
        <f>IFERROR(__xludf.DUMMYFUNCTION("""COMPUTED_VALUE"""),"MAX60")</f>
        <v>MAX60</v>
      </c>
      <c r="B326" s="204">
        <f>IFERROR(__xludf.DUMMYFUNCTION("""COMPUTED_VALUE"""),44601.0)</f>
        <v>44601</v>
      </c>
      <c r="C326" s="250">
        <f>IFERROR(__xludf.DUMMYFUNCTION("""COMPUTED_VALUE"""),0.3012037037037037)</f>
        <v>0.3012037037</v>
      </c>
      <c r="D326" s="6" t="str">
        <f>IFERROR(__xludf.DUMMYFUNCTION("""COMPUTED_VALUE"""),"SpBEND394154")</f>
        <v>SpBEND394154</v>
      </c>
      <c r="E326" s="251"/>
      <c r="F326" s="251"/>
      <c r="G326" s="251" t="str">
        <f>IFERROR(__xludf.DUMMYFUNCTION("""COMPUTED_VALUE"""),"Negative")</f>
        <v>Negative</v>
      </c>
      <c r="H326" s="262" t="str">
        <f>IFERROR(__xludf.DUMMYFUNCTION("""COMPUTED_VALUE"""),"Negative")</f>
        <v>Negative</v>
      </c>
      <c r="I326" s="204">
        <f>IFERROR(__xludf.DUMMYFUNCTION("""COMPUTED_VALUE"""),44601.0)</f>
        <v>44601</v>
      </c>
      <c r="J326" s="252">
        <f>IFERROR(__xludf.DUMMYFUNCTION("""COMPUTED_VALUE"""),0.48203703703703704)</f>
        <v>0.482037037</v>
      </c>
      <c r="K326" s="56"/>
      <c r="L326" s="6"/>
      <c r="M326" s="61"/>
      <c r="N326" s="61">
        <f>IFERROR(__xludf.DUMMYFUNCTION("""COMPUTED_VALUE"""),1.0)</f>
        <v>1</v>
      </c>
      <c r="O326" s="61" t="str">
        <f t="shared" si="3"/>
        <v/>
      </c>
      <c r="P326" s="253">
        <f>IFERROR(__xludf.DUMMYFUNCTION("""COMPUTED_VALUE"""),0.0)</f>
        <v>0</v>
      </c>
      <c r="Q326" s="254" t="b">
        <f>VLOOKUP($B326,'Run Reconcile'!B$2:O799,14,FALSE)</f>
        <v>1</v>
      </c>
      <c r="R326" s="255" t="str">
        <f t="array" ref="R326">IF($Q326, INDEX('Run Reconcile'!A$2:A799,MATCH(B326,'Run Reconcile'!B$2:B799,0),1),IFERROR(0/0,""))</f>
        <v>RUN-BEND_2022-02-09_RFR-028</v>
      </c>
      <c r="S326" s="261" t="str">
        <f t="shared" ref="S326:T326" si="659">IF(COUNTIF(W$2:W799, $A326) &gt; 0,TRUE,IFERROR(0/0,""))</f>
        <v/>
      </c>
      <c r="T326" s="261" t="str">
        <f t="shared" si="659"/>
        <v/>
      </c>
      <c r="U326" s="257" t="str">
        <f t="array" ref="U326">IF(ISBLANK($R326), INDEX('Run Reconcile'!A$2:A799, MATCH($B326, 'Run Reconcile'!B$2:B799, 0)+Z326, 1), IFERROR(0/0,""))
</f>
        <v/>
      </c>
      <c r="V326" s="258" t="str">
        <f t="shared" si="480"/>
        <v>RUN-BEND_2022-02-09_RFR-028</v>
      </c>
      <c r="Y326" s="130" t="str">
        <f t="shared" si="487"/>
        <v/>
      </c>
      <c r="Z326" s="49" t="str">
        <f t="shared" si="7"/>
        <v/>
      </c>
      <c r="AA326" s="49" t="str">
        <f t="shared" si="8"/>
        <v/>
      </c>
      <c r="AB326" s="49" t="str">
        <f t="shared" si="9"/>
        <v/>
      </c>
      <c r="AC326" s="20" t="str">
        <f t="shared" ref="AC326:AD326" si="660">IF(_xlfn.ISFORMULA(S326),IFERROR(0/0,""),TRUE)</f>
        <v/>
      </c>
      <c r="AD326" s="20" t="str">
        <f t="shared" si="660"/>
        <v/>
      </c>
      <c r="AE326" s="43"/>
      <c r="AF326" s="62" t="s">
        <v>53</v>
      </c>
      <c r="AG326" s="57" t="str">
        <f t="shared" si="11"/>
        <v/>
      </c>
    </row>
    <row r="327">
      <c r="A327" s="6" t="str">
        <f>IFERROR(__xludf.DUMMYFUNCTION("""COMPUTED_VALUE"""),"MAX132")</f>
        <v>MAX132</v>
      </c>
      <c r="B327" s="204">
        <f>IFERROR(__xludf.DUMMYFUNCTION("""COMPUTED_VALUE"""),44601.0)</f>
        <v>44601</v>
      </c>
      <c r="C327" s="250">
        <f>IFERROR(__xludf.DUMMYFUNCTION("""COMPUTED_VALUE"""),0.30150462962962965)</f>
        <v>0.3015046296</v>
      </c>
      <c r="D327" s="6" t="str">
        <f>IFERROR(__xludf.DUMMYFUNCTION("""COMPUTED_VALUE"""),"SpBEND394154")</f>
        <v>SpBEND394154</v>
      </c>
      <c r="E327" s="251"/>
      <c r="F327" s="251"/>
      <c r="G327" s="251" t="str">
        <f>IFERROR(__xludf.DUMMYFUNCTION("""COMPUTED_VALUE"""),"Negative")</f>
        <v>Negative</v>
      </c>
      <c r="H327" s="262" t="str">
        <f>IFERROR(__xludf.DUMMYFUNCTION("""COMPUTED_VALUE"""),"Negative")</f>
        <v>Negative</v>
      </c>
      <c r="I327" s="204">
        <f>IFERROR(__xludf.DUMMYFUNCTION("""COMPUTED_VALUE"""),44601.0)</f>
        <v>44601</v>
      </c>
      <c r="J327" s="252">
        <f>IFERROR(__xludf.DUMMYFUNCTION("""COMPUTED_VALUE"""),0.48203703703703704)</f>
        <v>0.482037037</v>
      </c>
      <c r="K327" s="56"/>
      <c r="L327" s="6"/>
      <c r="M327" s="61"/>
      <c r="N327" s="61">
        <f>IFERROR(__xludf.DUMMYFUNCTION("""COMPUTED_VALUE"""),1.0)</f>
        <v>1</v>
      </c>
      <c r="O327" s="61" t="str">
        <f t="shared" si="3"/>
        <v/>
      </c>
      <c r="P327" s="253">
        <f>IFERROR(__xludf.DUMMYFUNCTION("""COMPUTED_VALUE"""),0.0)</f>
        <v>0</v>
      </c>
      <c r="Q327" s="254" t="b">
        <f>VLOOKUP($B327,'Run Reconcile'!B$2:O799,14,FALSE)</f>
        <v>1</v>
      </c>
      <c r="R327" s="255" t="str">
        <f t="array" ref="R327">IF($Q327, INDEX('Run Reconcile'!A$2:A799,MATCH(B327,'Run Reconcile'!B$2:B799,0),1),IFERROR(0/0,""))</f>
        <v>RUN-BEND_2022-02-09_RFR-028</v>
      </c>
      <c r="S327" s="261" t="str">
        <f t="shared" ref="S327:T327" si="661">IF(COUNTIF(W$2:W799, $A327) &gt; 0,TRUE,IFERROR(0/0,""))</f>
        <v/>
      </c>
      <c r="T327" s="261" t="str">
        <f t="shared" si="661"/>
        <v/>
      </c>
      <c r="U327" s="257" t="str">
        <f t="array" ref="U327">IF(ISBLANK($R327), INDEX('Run Reconcile'!A$2:A799, MATCH($B327, 'Run Reconcile'!B$2:B799, 0)+Z327, 1), IFERROR(0/0,""))
</f>
        <v/>
      </c>
      <c r="V327" s="258" t="str">
        <f t="shared" si="480"/>
        <v>RUN-BEND_2022-02-09_RFR-028</v>
      </c>
      <c r="Y327" s="130" t="str">
        <f t="shared" si="487"/>
        <v/>
      </c>
      <c r="Z327" s="49" t="str">
        <f t="shared" si="7"/>
        <v/>
      </c>
      <c r="AA327" s="49" t="str">
        <f t="shared" si="8"/>
        <v/>
      </c>
      <c r="AB327" s="49" t="str">
        <f t="shared" si="9"/>
        <v/>
      </c>
      <c r="AC327" s="20" t="str">
        <f t="shared" ref="AC327:AD327" si="662">IF(_xlfn.ISFORMULA(S327),IFERROR(0/0,""),TRUE)</f>
        <v/>
      </c>
      <c r="AD327" s="20" t="str">
        <f t="shared" si="662"/>
        <v/>
      </c>
      <c r="AE327" s="43"/>
      <c r="AF327" s="62" t="s">
        <v>53</v>
      </c>
      <c r="AG327" s="57" t="str">
        <f t="shared" si="11"/>
        <v/>
      </c>
    </row>
    <row r="328">
      <c r="A328" s="6" t="str">
        <f>IFERROR(__xludf.DUMMYFUNCTION("""COMPUTED_VALUE"""),"FM87")</f>
        <v>FM87</v>
      </c>
      <c r="B328" s="204">
        <f>IFERROR(__xludf.DUMMYFUNCTION("""COMPUTED_VALUE"""),44601.0)</f>
        <v>44601</v>
      </c>
      <c r="C328" s="250">
        <f>IFERROR(__xludf.DUMMYFUNCTION("""COMPUTED_VALUE"""),0.31181712962962965)</f>
        <v>0.3118171296</v>
      </c>
      <c r="D328" s="6" t="str">
        <f>IFERROR(__xludf.DUMMYFUNCTION("""COMPUTED_VALUE"""),"SpBEND139600")</f>
        <v>SpBEND139600</v>
      </c>
      <c r="E328" s="251"/>
      <c r="F328" s="251"/>
      <c r="G328" s="251" t="str">
        <f>IFERROR(__xludf.DUMMYFUNCTION("""COMPUTED_VALUE"""),"Negative")</f>
        <v>Negative</v>
      </c>
      <c r="H328" s="262" t="str">
        <f>IFERROR(__xludf.DUMMYFUNCTION("""COMPUTED_VALUE"""),"Negative")</f>
        <v>Negative</v>
      </c>
      <c r="I328" s="204">
        <f>IFERROR(__xludf.DUMMYFUNCTION("""COMPUTED_VALUE"""),44601.0)</f>
        <v>44601</v>
      </c>
      <c r="J328" s="252">
        <f>IFERROR(__xludf.DUMMYFUNCTION("""COMPUTED_VALUE"""),0.48203703703703704)</f>
        <v>0.482037037</v>
      </c>
      <c r="K328" s="56"/>
      <c r="L328" s="6"/>
      <c r="M328" s="61"/>
      <c r="N328" s="61">
        <f>IFERROR(__xludf.DUMMYFUNCTION("""COMPUTED_VALUE"""),1.0)</f>
        <v>1</v>
      </c>
      <c r="O328" s="61" t="str">
        <f t="shared" si="3"/>
        <v/>
      </c>
      <c r="P328" s="253">
        <f>IFERROR(__xludf.DUMMYFUNCTION("""COMPUTED_VALUE"""),0.0)</f>
        <v>0</v>
      </c>
      <c r="Q328" s="254" t="b">
        <f>VLOOKUP($B328,'Run Reconcile'!B$2:O799,14,FALSE)</f>
        <v>1</v>
      </c>
      <c r="R328" s="255" t="str">
        <f t="array" ref="R328">IF($Q328, INDEX('Run Reconcile'!A$2:A799,MATCH(B328,'Run Reconcile'!B$2:B799,0),1),IFERROR(0/0,""))</f>
        <v>RUN-BEND_2022-02-09_RFR-028</v>
      </c>
      <c r="S328" s="261" t="str">
        <f t="shared" ref="S328:T328" si="663">IF(COUNTIF(W$2:W799, $A328) &gt; 0,TRUE,IFERROR(0/0,""))</f>
        <v/>
      </c>
      <c r="T328" s="261" t="str">
        <f t="shared" si="663"/>
        <v/>
      </c>
      <c r="U328" s="257" t="str">
        <f t="array" ref="U328">IF(ISBLANK($R328), INDEX('Run Reconcile'!A$2:A799, MATCH($B328, 'Run Reconcile'!B$2:B799, 0)+Z328, 1), IFERROR(0/0,""))
</f>
        <v/>
      </c>
      <c r="V328" s="258" t="str">
        <f t="shared" si="480"/>
        <v>RUN-BEND_2022-02-09_RFR-028</v>
      </c>
      <c r="Y328" s="130" t="str">
        <f t="shared" si="487"/>
        <v/>
      </c>
      <c r="Z328" s="49" t="str">
        <f t="shared" si="7"/>
        <v/>
      </c>
      <c r="AA328" s="49" t="str">
        <f t="shared" si="8"/>
        <v/>
      </c>
      <c r="AB328" s="49" t="str">
        <f t="shared" si="9"/>
        <v/>
      </c>
      <c r="AC328" s="20" t="str">
        <f t="shared" ref="AC328:AD328" si="664">IF(_xlfn.ISFORMULA(S328),IFERROR(0/0,""),TRUE)</f>
        <v/>
      </c>
      <c r="AD328" s="20" t="str">
        <f t="shared" si="664"/>
        <v/>
      </c>
      <c r="AE328" s="43"/>
      <c r="AF328" s="62" t="s">
        <v>53</v>
      </c>
      <c r="AG328" s="57" t="str">
        <f t="shared" si="11"/>
        <v/>
      </c>
    </row>
    <row r="329">
      <c r="A329" s="6" t="str">
        <f>IFERROR(__xludf.DUMMYFUNCTION("""COMPUTED_VALUE"""),"MA252")</f>
        <v>MA252</v>
      </c>
      <c r="B329" s="204">
        <f>IFERROR(__xludf.DUMMYFUNCTION("""COMPUTED_VALUE"""),44601.0)</f>
        <v>44601</v>
      </c>
      <c r="C329" s="250">
        <f>IFERROR(__xludf.DUMMYFUNCTION("""COMPUTED_VALUE"""),0.3174074074074074)</f>
        <v>0.3174074074</v>
      </c>
      <c r="D329" s="6" t="str">
        <f>IFERROR(__xludf.DUMMYFUNCTION("""COMPUTED_VALUE"""),"SpBEND617677")</f>
        <v>SpBEND617677</v>
      </c>
      <c r="E329" s="251"/>
      <c r="F329" s="251"/>
      <c r="G329" s="251" t="str">
        <f>IFERROR(__xludf.DUMMYFUNCTION("""COMPUTED_VALUE"""),"Negative")</f>
        <v>Negative</v>
      </c>
      <c r="H329" s="262" t="str">
        <f>IFERROR(__xludf.DUMMYFUNCTION("""COMPUTED_VALUE"""),"Negative")</f>
        <v>Negative</v>
      </c>
      <c r="I329" s="204">
        <f>IFERROR(__xludf.DUMMYFUNCTION("""COMPUTED_VALUE"""),44601.0)</f>
        <v>44601</v>
      </c>
      <c r="J329" s="252">
        <f>IFERROR(__xludf.DUMMYFUNCTION("""COMPUTED_VALUE"""),0.48203703703703704)</f>
        <v>0.482037037</v>
      </c>
      <c r="K329" s="56"/>
      <c r="L329" s="6"/>
      <c r="M329" s="61"/>
      <c r="N329" s="61">
        <f>IFERROR(__xludf.DUMMYFUNCTION("""COMPUTED_VALUE"""),1.0)</f>
        <v>1</v>
      </c>
      <c r="O329" s="61" t="str">
        <f t="shared" si="3"/>
        <v/>
      </c>
      <c r="P329" s="253">
        <f>IFERROR(__xludf.DUMMYFUNCTION("""COMPUTED_VALUE"""),0.0)</f>
        <v>0</v>
      </c>
      <c r="Q329" s="254" t="b">
        <f>VLOOKUP($B329,'Run Reconcile'!B$2:O799,14,FALSE)</f>
        <v>1</v>
      </c>
      <c r="R329" s="255" t="str">
        <f t="array" ref="R329">IF($Q329, INDEX('Run Reconcile'!A$2:A799,MATCH(B329,'Run Reconcile'!B$2:B799,0),1),IFERROR(0/0,""))</f>
        <v>RUN-BEND_2022-02-09_RFR-028</v>
      </c>
      <c r="S329" s="261" t="str">
        <f t="shared" ref="S329:T329" si="665">IF(COUNTIF(W$2:W799, $A329) &gt; 0,TRUE,IFERROR(0/0,""))</f>
        <v/>
      </c>
      <c r="T329" s="261" t="str">
        <f t="shared" si="665"/>
        <v/>
      </c>
      <c r="U329" s="257" t="str">
        <f t="array" ref="U329">IF(ISBLANK($R329), INDEX('Run Reconcile'!A$2:A799, MATCH($B329, 'Run Reconcile'!B$2:B799, 0)+Z329, 1), IFERROR(0/0,""))
</f>
        <v/>
      </c>
      <c r="V329" s="258" t="str">
        <f t="shared" si="480"/>
        <v>RUN-BEND_2022-02-09_RFR-028</v>
      </c>
      <c r="Y329" s="130" t="str">
        <f t="shared" si="487"/>
        <v/>
      </c>
      <c r="Z329" s="49" t="str">
        <f t="shared" si="7"/>
        <v/>
      </c>
      <c r="AA329" s="49" t="str">
        <f t="shared" si="8"/>
        <v/>
      </c>
      <c r="AB329" s="49" t="str">
        <f t="shared" si="9"/>
        <v/>
      </c>
      <c r="AC329" s="20" t="str">
        <f t="shared" ref="AC329:AD329" si="666">IF(_xlfn.ISFORMULA(S329),IFERROR(0/0,""),TRUE)</f>
        <v/>
      </c>
      <c r="AD329" s="20" t="str">
        <f t="shared" si="666"/>
        <v/>
      </c>
      <c r="AE329" s="43"/>
      <c r="AF329" s="62" t="s">
        <v>53</v>
      </c>
      <c r="AG329" s="57" t="str">
        <f t="shared" si="11"/>
        <v/>
      </c>
    </row>
    <row r="330">
      <c r="A330" s="6" t="str">
        <f>IFERROR(__xludf.DUMMYFUNCTION("""COMPUTED_VALUE"""),"MAX124")</f>
        <v>MAX124</v>
      </c>
      <c r="B330" s="204">
        <f>IFERROR(__xludf.DUMMYFUNCTION("""COMPUTED_VALUE"""),44601.0)</f>
        <v>44601</v>
      </c>
      <c r="C330" s="250">
        <f>IFERROR(__xludf.DUMMYFUNCTION("""COMPUTED_VALUE"""),0.3438310185185185)</f>
        <v>0.3438310185</v>
      </c>
      <c r="D330" s="6" t="str">
        <f>IFERROR(__xludf.DUMMYFUNCTION("""COMPUTED_VALUE"""),"SpBEND394154")</f>
        <v>SpBEND394154</v>
      </c>
      <c r="E330" s="251"/>
      <c r="F330" s="251"/>
      <c r="G330" s="251" t="str">
        <f>IFERROR(__xludf.DUMMYFUNCTION("""COMPUTED_VALUE"""),"Negative")</f>
        <v>Negative</v>
      </c>
      <c r="H330" s="262" t="str">
        <f>IFERROR(__xludf.DUMMYFUNCTION("""COMPUTED_VALUE"""),"Negative")</f>
        <v>Negative</v>
      </c>
      <c r="I330" s="204">
        <f>IFERROR(__xludf.DUMMYFUNCTION("""COMPUTED_VALUE"""),44601.0)</f>
        <v>44601</v>
      </c>
      <c r="J330" s="252">
        <f>IFERROR(__xludf.DUMMYFUNCTION("""COMPUTED_VALUE"""),0.48203703703703704)</f>
        <v>0.482037037</v>
      </c>
      <c r="K330" s="56"/>
      <c r="L330" s="6"/>
      <c r="M330" s="61"/>
      <c r="N330" s="61">
        <f>IFERROR(__xludf.DUMMYFUNCTION("""COMPUTED_VALUE"""),1.0)</f>
        <v>1</v>
      </c>
      <c r="O330" s="61" t="str">
        <f t="shared" si="3"/>
        <v/>
      </c>
      <c r="P330" s="253">
        <f>IFERROR(__xludf.DUMMYFUNCTION("""COMPUTED_VALUE"""),0.0)</f>
        <v>0</v>
      </c>
      <c r="Q330" s="254" t="b">
        <f>VLOOKUP($B330,'Run Reconcile'!B$2:O799,14,FALSE)</f>
        <v>1</v>
      </c>
      <c r="R330" s="255" t="str">
        <f t="array" ref="R330">IF($Q330, INDEX('Run Reconcile'!A$2:A799,MATCH(B330,'Run Reconcile'!B$2:B799,0),1),IFERROR(0/0,""))</f>
        <v>RUN-BEND_2022-02-09_RFR-028</v>
      </c>
      <c r="S330" s="261" t="str">
        <f t="shared" ref="S330:T330" si="667">IF(COUNTIF(W$2:W799, $A330) &gt; 0,TRUE,IFERROR(0/0,""))</f>
        <v/>
      </c>
      <c r="T330" s="261" t="str">
        <f t="shared" si="667"/>
        <v/>
      </c>
      <c r="U330" s="257" t="str">
        <f t="array" ref="U330">IF(ISBLANK($R330), INDEX('Run Reconcile'!A$2:A799, MATCH($B330, 'Run Reconcile'!B$2:B799, 0)+Z330, 1), IFERROR(0/0,""))
</f>
        <v/>
      </c>
      <c r="V330" s="258" t="str">
        <f t="shared" si="480"/>
        <v>RUN-BEND_2022-02-09_RFR-028</v>
      </c>
      <c r="Y330" s="130" t="str">
        <f t="shared" si="487"/>
        <v/>
      </c>
      <c r="Z330" s="49" t="str">
        <f t="shared" si="7"/>
        <v/>
      </c>
      <c r="AA330" s="49" t="str">
        <f t="shared" si="8"/>
        <v/>
      </c>
      <c r="AB330" s="49" t="str">
        <f t="shared" si="9"/>
        <v/>
      </c>
      <c r="AC330" s="20" t="str">
        <f t="shared" ref="AC330:AD330" si="668">IF(_xlfn.ISFORMULA(S330),IFERROR(0/0,""),TRUE)</f>
        <v/>
      </c>
      <c r="AD330" s="20" t="str">
        <f t="shared" si="668"/>
        <v/>
      </c>
      <c r="AE330" s="43"/>
      <c r="AF330" s="62" t="s">
        <v>53</v>
      </c>
      <c r="AG330" s="57" t="str">
        <f t="shared" si="11"/>
        <v/>
      </c>
    </row>
    <row r="331">
      <c r="A331" s="6" t="str">
        <f>IFERROR(__xludf.DUMMYFUNCTION("""COMPUTED_VALUE"""),"MAX12")</f>
        <v>MAX12</v>
      </c>
      <c r="B331" s="204">
        <f>IFERROR(__xludf.DUMMYFUNCTION("""COMPUTED_VALUE"""),44601.0)</f>
        <v>44601</v>
      </c>
      <c r="C331" s="250">
        <f>IFERROR(__xludf.DUMMYFUNCTION("""COMPUTED_VALUE"""),0.3444212962962963)</f>
        <v>0.3444212963</v>
      </c>
      <c r="D331" s="6" t="str">
        <f>IFERROR(__xludf.DUMMYFUNCTION("""COMPUTED_VALUE"""),"SpBEND394154")</f>
        <v>SpBEND394154</v>
      </c>
      <c r="E331" s="251"/>
      <c r="F331" s="251"/>
      <c r="G331" s="251" t="str">
        <f>IFERROR(__xludf.DUMMYFUNCTION("""COMPUTED_VALUE"""),"Negative")</f>
        <v>Negative</v>
      </c>
      <c r="H331" s="262" t="str">
        <f>IFERROR(__xludf.DUMMYFUNCTION("""COMPUTED_VALUE"""),"Negative")</f>
        <v>Negative</v>
      </c>
      <c r="I331" s="204">
        <f>IFERROR(__xludf.DUMMYFUNCTION("""COMPUTED_VALUE"""),44601.0)</f>
        <v>44601</v>
      </c>
      <c r="J331" s="252">
        <f>IFERROR(__xludf.DUMMYFUNCTION("""COMPUTED_VALUE"""),0.48203703703703704)</f>
        <v>0.482037037</v>
      </c>
      <c r="K331" s="56"/>
      <c r="L331" s="6"/>
      <c r="M331" s="61"/>
      <c r="N331" s="61">
        <f>IFERROR(__xludf.DUMMYFUNCTION("""COMPUTED_VALUE"""),1.0)</f>
        <v>1</v>
      </c>
      <c r="O331" s="61" t="str">
        <f t="shared" si="3"/>
        <v/>
      </c>
      <c r="P331" s="253">
        <f>IFERROR(__xludf.DUMMYFUNCTION("""COMPUTED_VALUE"""),0.0)</f>
        <v>0</v>
      </c>
      <c r="Q331" s="254" t="b">
        <f>VLOOKUP($B331,'Run Reconcile'!B$2:O799,14,FALSE)</f>
        <v>1</v>
      </c>
      <c r="R331" s="255" t="str">
        <f t="array" ref="R331">IF($Q331, INDEX('Run Reconcile'!A$2:A799,MATCH(B331,'Run Reconcile'!B$2:B799,0),1),IFERROR(0/0,""))</f>
        <v>RUN-BEND_2022-02-09_RFR-028</v>
      </c>
      <c r="S331" s="261" t="str">
        <f t="shared" ref="S331:T331" si="669">IF(COUNTIF(W$2:W799, $A331) &gt; 0,TRUE,IFERROR(0/0,""))</f>
        <v/>
      </c>
      <c r="T331" s="261" t="str">
        <f t="shared" si="669"/>
        <v/>
      </c>
      <c r="U331" s="257" t="str">
        <f t="array" ref="U331">IF(ISBLANK($R331), INDEX('Run Reconcile'!A$2:A799, MATCH($B331, 'Run Reconcile'!B$2:B799, 0)+Z331, 1), IFERROR(0/0,""))
</f>
        <v/>
      </c>
      <c r="V331" s="258" t="str">
        <f t="shared" si="480"/>
        <v>RUN-BEND_2022-02-09_RFR-028</v>
      </c>
      <c r="Y331" s="130" t="str">
        <f t="shared" si="487"/>
        <v/>
      </c>
      <c r="Z331" s="49" t="str">
        <f t="shared" si="7"/>
        <v/>
      </c>
      <c r="AA331" s="49" t="str">
        <f t="shared" si="8"/>
        <v/>
      </c>
      <c r="AB331" s="49" t="str">
        <f t="shared" si="9"/>
        <v/>
      </c>
      <c r="AC331" s="20" t="str">
        <f t="shared" ref="AC331:AD331" si="670">IF(_xlfn.ISFORMULA(S331),IFERROR(0/0,""),TRUE)</f>
        <v/>
      </c>
      <c r="AD331" s="20" t="str">
        <f t="shared" si="670"/>
        <v/>
      </c>
      <c r="AE331" s="43"/>
      <c r="AF331" s="62" t="s">
        <v>53</v>
      </c>
      <c r="AG331" s="57" t="str">
        <f t="shared" si="11"/>
        <v/>
      </c>
    </row>
    <row r="332">
      <c r="A332" s="6" t="str">
        <f>IFERROR(__xludf.DUMMYFUNCTION("""COMPUTED_VALUE"""),"MAX116")</f>
        <v>MAX116</v>
      </c>
      <c r="B332" s="204">
        <f>IFERROR(__xludf.DUMMYFUNCTION("""COMPUTED_VALUE"""),44601.0)</f>
        <v>44601</v>
      </c>
      <c r="C332" s="250">
        <f>IFERROR(__xludf.DUMMYFUNCTION("""COMPUTED_VALUE"""),0.3448726851851852)</f>
        <v>0.3448726852</v>
      </c>
      <c r="D332" s="6" t="str">
        <f>IFERROR(__xludf.DUMMYFUNCTION("""COMPUTED_VALUE"""),"SpBEND394154")</f>
        <v>SpBEND394154</v>
      </c>
      <c r="E332" s="251"/>
      <c r="F332" s="251"/>
      <c r="G332" s="251" t="str">
        <f>IFERROR(__xludf.DUMMYFUNCTION("""COMPUTED_VALUE"""),"Negative")</f>
        <v>Negative</v>
      </c>
      <c r="H332" s="262" t="str">
        <f>IFERROR(__xludf.DUMMYFUNCTION("""COMPUTED_VALUE"""),"Negative")</f>
        <v>Negative</v>
      </c>
      <c r="I332" s="204">
        <f>IFERROR(__xludf.DUMMYFUNCTION("""COMPUTED_VALUE"""),44601.0)</f>
        <v>44601</v>
      </c>
      <c r="J332" s="252">
        <f>IFERROR(__xludf.DUMMYFUNCTION("""COMPUTED_VALUE"""),0.48203703703703704)</f>
        <v>0.482037037</v>
      </c>
      <c r="K332" s="56"/>
      <c r="L332" s="6"/>
      <c r="M332" s="61"/>
      <c r="N332" s="61">
        <f>IFERROR(__xludf.DUMMYFUNCTION("""COMPUTED_VALUE"""),1.0)</f>
        <v>1</v>
      </c>
      <c r="O332" s="61" t="str">
        <f t="shared" si="3"/>
        <v/>
      </c>
      <c r="P332" s="253">
        <f>IFERROR(__xludf.DUMMYFUNCTION("""COMPUTED_VALUE"""),0.0)</f>
        <v>0</v>
      </c>
      <c r="Q332" s="254" t="b">
        <f>VLOOKUP($B332,'Run Reconcile'!B$2:O799,14,FALSE)</f>
        <v>1</v>
      </c>
      <c r="R332" s="255" t="str">
        <f t="array" ref="R332">IF($Q332, INDEX('Run Reconcile'!A$2:A799,MATCH(B332,'Run Reconcile'!B$2:B799,0),1),IFERROR(0/0,""))</f>
        <v>RUN-BEND_2022-02-09_RFR-028</v>
      </c>
      <c r="S332" s="261" t="str">
        <f t="shared" ref="S332:T332" si="671">IF(COUNTIF(W$2:W799, $A332) &gt; 0,TRUE,IFERROR(0/0,""))</f>
        <v/>
      </c>
      <c r="T332" s="261" t="str">
        <f t="shared" si="671"/>
        <v/>
      </c>
      <c r="U332" s="257" t="str">
        <f t="array" ref="U332">IF(ISBLANK($R332), INDEX('Run Reconcile'!A$2:A799, MATCH($B332, 'Run Reconcile'!B$2:B799, 0)+Z332, 1), IFERROR(0/0,""))
</f>
        <v/>
      </c>
      <c r="V332" s="258" t="str">
        <f t="shared" si="480"/>
        <v>RUN-BEND_2022-02-09_RFR-028</v>
      </c>
      <c r="Y332" s="130" t="str">
        <f t="shared" si="487"/>
        <v/>
      </c>
      <c r="Z332" s="49" t="str">
        <f t="shared" si="7"/>
        <v/>
      </c>
      <c r="AA332" s="49" t="str">
        <f t="shared" si="8"/>
        <v/>
      </c>
      <c r="AB332" s="49" t="str">
        <f t="shared" si="9"/>
        <v/>
      </c>
      <c r="AC332" s="20" t="str">
        <f t="shared" ref="AC332:AD332" si="672">IF(_xlfn.ISFORMULA(S332),IFERROR(0/0,""),TRUE)</f>
        <v/>
      </c>
      <c r="AD332" s="20" t="str">
        <f t="shared" si="672"/>
        <v/>
      </c>
      <c r="AE332" s="43"/>
      <c r="AF332" s="62" t="s">
        <v>53</v>
      </c>
      <c r="AG332" s="57" t="str">
        <f t="shared" si="11"/>
        <v/>
      </c>
    </row>
    <row r="333">
      <c r="A333" s="6" t="str">
        <f>IFERROR(__xludf.DUMMYFUNCTION("""COMPUTED_VALUE"""),"MAX67")</f>
        <v>MAX67</v>
      </c>
      <c r="B333" s="204">
        <f>IFERROR(__xludf.DUMMYFUNCTION("""COMPUTED_VALUE"""),44601.0)</f>
        <v>44601</v>
      </c>
      <c r="C333" s="250">
        <f>IFERROR(__xludf.DUMMYFUNCTION("""COMPUTED_VALUE"""),0.34546296296296297)</f>
        <v>0.345462963</v>
      </c>
      <c r="D333" s="6" t="str">
        <f>IFERROR(__xludf.DUMMYFUNCTION("""COMPUTED_VALUE"""),"SpBEND394154")</f>
        <v>SpBEND394154</v>
      </c>
      <c r="E333" s="251"/>
      <c r="F333" s="251"/>
      <c r="G333" s="251" t="str">
        <f>IFERROR(__xludf.DUMMYFUNCTION("""COMPUTED_VALUE"""),"Negative")</f>
        <v>Negative</v>
      </c>
      <c r="H333" s="262" t="str">
        <f>IFERROR(__xludf.DUMMYFUNCTION("""COMPUTED_VALUE"""),"Negative")</f>
        <v>Negative</v>
      </c>
      <c r="I333" s="204">
        <f>IFERROR(__xludf.DUMMYFUNCTION("""COMPUTED_VALUE"""),44601.0)</f>
        <v>44601</v>
      </c>
      <c r="J333" s="252">
        <f>IFERROR(__xludf.DUMMYFUNCTION("""COMPUTED_VALUE"""),0.48203703703703704)</f>
        <v>0.482037037</v>
      </c>
      <c r="K333" s="56"/>
      <c r="L333" s="6"/>
      <c r="M333" s="61"/>
      <c r="N333" s="61">
        <f>IFERROR(__xludf.DUMMYFUNCTION("""COMPUTED_VALUE"""),1.0)</f>
        <v>1</v>
      </c>
      <c r="O333" s="61" t="str">
        <f t="shared" si="3"/>
        <v/>
      </c>
      <c r="P333" s="253">
        <f>IFERROR(__xludf.DUMMYFUNCTION("""COMPUTED_VALUE"""),0.0)</f>
        <v>0</v>
      </c>
      <c r="Q333" s="254" t="b">
        <f>VLOOKUP($B333,'Run Reconcile'!B$2:O799,14,FALSE)</f>
        <v>1</v>
      </c>
      <c r="R333" s="255" t="str">
        <f t="array" ref="R333">IF($Q333, INDEX('Run Reconcile'!A$2:A799,MATCH(B333,'Run Reconcile'!B$2:B799,0),1),IFERROR(0/0,""))</f>
        <v>RUN-BEND_2022-02-09_RFR-028</v>
      </c>
      <c r="S333" s="261" t="str">
        <f t="shared" ref="S333:T333" si="673">IF(COUNTIF(W$2:W799, $A333) &gt; 0,TRUE,IFERROR(0/0,""))</f>
        <v/>
      </c>
      <c r="T333" s="261" t="str">
        <f t="shared" si="673"/>
        <v/>
      </c>
      <c r="U333" s="257" t="str">
        <f t="array" ref="U333">IF(ISBLANK($R333), INDEX('Run Reconcile'!A$2:A799, MATCH($B333, 'Run Reconcile'!B$2:B799, 0)+Z333, 1), IFERROR(0/0,""))
</f>
        <v/>
      </c>
      <c r="V333" s="258" t="str">
        <f t="shared" si="480"/>
        <v>RUN-BEND_2022-02-09_RFR-028</v>
      </c>
      <c r="Y333" s="130" t="str">
        <f t="shared" si="487"/>
        <v/>
      </c>
      <c r="Z333" s="49" t="str">
        <f t="shared" si="7"/>
        <v/>
      </c>
      <c r="AA333" s="49" t="str">
        <f t="shared" si="8"/>
        <v/>
      </c>
      <c r="AB333" s="49" t="str">
        <f t="shared" si="9"/>
        <v/>
      </c>
      <c r="AC333" s="20" t="str">
        <f t="shared" ref="AC333:AD333" si="674">IF(_xlfn.ISFORMULA(S333),IFERROR(0/0,""),TRUE)</f>
        <v/>
      </c>
      <c r="AD333" s="20" t="str">
        <f t="shared" si="674"/>
        <v/>
      </c>
      <c r="AE333" s="43"/>
      <c r="AF333" s="62" t="s">
        <v>53</v>
      </c>
      <c r="AG333" s="57" t="str">
        <f t="shared" si="11"/>
        <v/>
      </c>
    </row>
    <row r="334">
      <c r="A334" s="6" t="str">
        <f>IFERROR(__xludf.DUMMYFUNCTION("""COMPUTED_VALUE"""),"MAX75")</f>
        <v>MAX75</v>
      </c>
      <c r="B334" s="204">
        <f>IFERROR(__xludf.DUMMYFUNCTION("""COMPUTED_VALUE"""),44601.0)</f>
        <v>44601</v>
      </c>
      <c r="C334" s="250">
        <f>IFERROR(__xludf.DUMMYFUNCTION("""COMPUTED_VALUE"""),0.34578703703703706)</f>
        <v>0.345787037</v>
      </c>
      <c r="D334" s="6" t="str">
        <f>IFERROR(__xludf.DUMMYFUNCTION("""COMPUTED_VALUE"""),"SpBEND394154")</f>
        <v>SpBEND394154</v>
      </c>
      <c r="E334" s="251"/>
      <c r="F334" s="251"/>
      <c r="G334" s="251" t="str">
        <f>IFERROR(__xludf.DUMMYFUNCTION("""COMPUTED_VALUE"""),"Negative")</f>
        <v>Negative</v>
      </c>
      <c r="H334" s="262" t="str">
        <f>IFERROR(__xludf.DUMMYFUNCTION("""COMPUTED_VALUE"""),"Negative")</f>
        <v>Negative</v>
      </c>
      <c r="I334" s="204">
        <f>IFERROR(__xludf.DUMMYFUNCTION("""COMPUTED_VALUE"""),44601.0)</f>
        <v>44601</v>
      </c>
      <c r="J334" s="252">
        <f>IFERROR(__xludf.DUMMYFUNCTION("""COMPUTED_VALUE"""),0.48203703703703704)</f>
        <v>0.482037037</v>
      </c>
      <c r="K334" s="56"/>
      <c r="L334" s="6"/>
      <c r="M334" s="61"/>
      <c r="N334" s="61">
        <f>IFERROR(__xludf.DUMMYFUNCTION("""COMPUTED_VALUE"""),1.0)</f>
        <v>1</v>
      </c>
      <c r="O334" s="61" t="str">
        <f t="shared" si="3"/>
        <v/>
      </c>
      <c r="P334" s="253">
        <f>IFERROR(__xludf.DUMMYFUNCTION("""COMPUTED_VALUE"""),0.0)</f>
        <v>0</v>
      </c>
      <c r="Q334" s="254" t="b">
        <f>VLOOKUP($B334,'Run Reconcile'!B$2:O799,14,FALSE)</f>
        <v>1</v>
      </c>
      <c r="R334" s="255" t="str">
        <f t="array" ref="R334">IF($Q334, INDEX('Run Reconcile'!A$2:A799,MATCH(B334,'Run Reconcile'!B$2:B799,0),1),IFERROR(0/0,""))</f>
        <v>RUN-BEND_2022-02-09_RFR-028</v>
      </c>
      <c r="S334" s="261" t="str">
        <f t="shared" ref="S334:T334" si="675">IF(COUNTIF(W$2:W799, $A334) &gt; 0,TRUE,IFERROR(0/0,""))</f>
        <v/>
      </c>
      <c r="T334" s="261" t="str">
        <f t="shared" si="675"/>
        <v/>
      </c>
      <c r="U334" s="257" t="str">
        <f t="array" ref="U334">IF(ISBLANK($R334), INDEX('Run Reconcile'!A$2:A799, MATCH($B334, 'Run Reconcile'!B$2:B799, 0)+Z334, 1), IFERROR(0/0,""))
</f>
        <v/>
      </c>
      <c r="V334" s="258" t="str">
        <f t="shared" si="480"/>
        <v>RUN-BEND_2022-02-09_RFR-028</v>
      </c>
      <c r="Y334" s="130" t="str">
        <f t="shared" si="487"/>
        <v/>
      </c>
      <c r="Z334" s="49" t="str">
        <f t="shared" si="7"/>
        <v/>
      </c>
      <c r="AA334" s="49" t="str">
        <f t="shared" si="8"/>
        <v/>
      </c>
      <c r="AB334" s="49" t="str">
        <f t="shared" si="9"/>
        <v/>
      </c>
      <c r="AC334" s="20" t="str">
        <f t="shared" ref="AC334:AD334" si="676">IF(_xlfn.ISFORMULA(S334),IFERROR(0/0,""),TRUE)</f>
        <v/>
      </c>
      <c r="AD334" s="20" t="str">
        <f t="shared" si="676"/>
        <v/>
      </c>
      <c r="AE334" s="43"/>
      <c r="AF334" s="62" t="s">
        <v>53</v>
      </c>
      <c r="AG334" s="57" t="str">
        <f t="shared" si="11"/>
        <v/>
      </c>
    </row>
    <row r="335">
      <c r="A335" s="6" t="str">
        <f>IFERROR(__xludf.DUMMYFUNCTION("""COMPUTED_VALUE"""),"MAX131")</f>
        <v>MAX131</v>
      </c>
      <c r="B335" s="204">
        <f>IFERROR(__xludf.DUMMYFUNCTION("""COMPUTED_VALUE"""),44601.0)</f>
        <v>44601</v>
      </c>
      <c r="C335" s="250">
        <f>IFERROR(__xludf.DUMMYFUNCTION("""COMPUTED_VALUE"""),0.34619212962962964)</f>
        <v>0.3461921296</v>
      </c>
      <c r="D335" s="6" t="str">
        <f>IFERROR(__xludf.DUMMYFUNCTION("""COMPUTED_VALUE"""),"SpBEND394154")</f>
        <v>SpBEND394154</v>
      </c>
      <c r="E335" s="251"/>
      <c r="F335" s="251"/>
      <c r="G335" s="251" t="str">
        <f>IFERROR(__xludf.DUMMYFUNCTION("""COMPUTED_VALUE"""),"Negative")</f>
        <v>Negative</v>
      </c>
      <c r="H335" s="262" t="str">
        <f>IFERROR(__xludf.DUMMYFUNCTION("""COMPUTED_VALUE"""),"Negative")</f>
        <v>Negative</v>
      </c>
      <c r="I335" s="204">
        <f>IFERROR(__xludf.DUMMYFUNCTION("""COMPUTED_VALUE"""),44601.0)</f>
        <v>44601</v>
      </c>
      <c r="J335" s="252">
        <f>IFERROR(__xludf.DUMMYFUNCTION("""COMPUTED_VALUE"""),0.48203703703703704)</f>
        <v>0.482037037</v>
      </c>
      <c r="K335" s="56"/>
      <c r="L335" s="6"/>
      <c r="M335" s="61"/>
      <c r="N335" s="61">
        <f>IFERROR(__xludf.DUMMYFUNCTION("""COMPUTED_VALUE"""),1.0)</f>
        <v>1</v>
      </c>
      <c r="O335" s="61" t="str">
        <f t="shared" si="3"/>
        <v/>
      </c>
      <c r="P335" s="253">
        <f>IFERROR(__xludf.DUMMYFUNCTION("""COMPUTED_VALUE"""),0.0)</f>
        <v>0</v>
      </c>
      <c r="Q335" s="254" t="b">
        <f>VLOOKUP($B335,'Run Reconcile'!B$2:O799,14,FALSE)</f>
        <v>1</v>
      </c>
      <c r="R335" s="255" t="str">
        <f t="array" ref="R335">IF($Q335, INDEX('Run Reconcile'!A$2:A799,MATCH(B335,'Run Reconcile'!B$2:B799,0),1),IFERROR(0/0,""))</f>
        <v>RUN-BEND_2022-02-09_RFR-028</v>
      </c>
      <c r="S335" s="261" t="str">
        <f t="shared" ref="S335:T335" si="677">IF(COUNTIF(W$2:W799, $A335) &gt; 0,TRUE,IFERROR(0/0,""))</f>
        <v/>
      </c>
      <c r="T335" s="261" t="str">
        <f t="shared" si="677"/>
        <v/>
      </c>
      <c r="U335" s="257" t="str">
        <f t="array" ref="U335">IF(ISBLANK($R335), INDEX('Run Reconcile'!A$2:A799, MATCH($B335, 'Run Reconcile'!B$2:B799, 0)+Z335, 1), IFERROR(0/0,""))
</f>
        <v/>
      </c>
      <c r="V335" s="258" t="str">
        <f t="shared" si="480"/>
        <v>RUN-BEND_2022-02-09_RFR-028</v>
      </c>
      <c r="Y335" s="130" t="str">
        <f t="shared" si="487"/>
        <v/>
      </c>
      <c r="Z335" s="49" t="str">
        <f t="shared" si="7"/>
        <v/>
      </c>
      <c r="AA335" s="49" t="str">
        <f t="shared" si="8"/>
        <v/>
      </c>
      <c r="AB335" s="49" t="str">
        <f t="shared" si="9"/>
        <v/>
      </c>
      <c r="AC335" s="20" t="str">
        <f t="shared" ref="AC335:AD335" si="678">IF(_xlfn.ISFORMULA(S335),IFERROR(0/0,""),TRUE)</f>
        <v/>
      </c>
      <c r="AD335" s="20" t="str">
        <f t="shared" si="678"/>
        <v/>
      </c>
      <c r="AE335" s="43"/>
      <c r="AF335" s="62" t="s">
        <v>53</v>
      </c>
      <c r="AG335" s="57" t="str">
        <f t="shared" si="11"/>
        <v/>
      </c>
    </row>
    <row r="336">
      <c r="A336" s="6" t="str">
        <f>IFERROR(__xludf.DUMMYFUNCTION("""COMPUTED_VALUE"""),"MAX120")</f>
        <v>MAX120</v>
      </c>
      <c r="B336" s="204">
        <f>IFERROR(__xludf.DUMMYFUNCTION("""COMPUTED_VALUE"""),44601.0)</f>
        <v>44601</v>
      </c>
      <c r="C336" s="250">
        <f>IFERROR(__xludf.DUMMYFUNCTION("""COMPUTED_VALUE"""),0.3908912037037037)</f>
        <v>0.3908912037</v>
      </c>
      <c r="D336" s="6" t="str">
        <f>IFERROR(__xludf.DUMMYFUNCTION("""COMPUTED_VALUE"""),"SpBEND394154")</f>
        <v>SpBEND394154</v>
      </c>
      <c r="E336" s="251"/>
      <c r="F336" s="251"/>
      <c r="G336" s="251" t="str">
        <f>IFERROR(__xludf.DUMMYFUNCTION("""COMPUTED_VALUE"""),"Negative")</f>
        <v>Negative</v>
      </c>
      <c r="H336" s="262" t="str">
        <f>IFERROR(__xludf.DUMMYFUNCTION("""COMPUTED_VALUE"""),"Negative")</f>
        <v>Negative</v>
      </c>
      <c r="I336" s="204">
        <f>IFERROR(__xludf.DUMMYFUNCTION("""COMPUTED_VALUE"""),44601.0)</f>
        <v>44601</v>
      </c>
      <c r="J336" s="252">
        <f>IFERROR(__xludf.DUMMYFUNCTION("""COMPUTED_VALUE"""),0.48203703703703704)</f>
        <v>0.482037037</v>
      </c>
      <c r="K336" s="56"/>
      <c r="L336" s="6"/>
      <c r="M336" s="61"/>
      <c r="N336" s="61">
        <f>IFERROR(__xludf.DUMMYFUNCTION("""COMPUTED_VALUE"""),1.0)</f>
        <v>1</v>
      </c>
      <c r="O336" s="61" t="str">
        <f t="shared" si="3"/>
        <v/>
      </c>
      <c r="P336" s="253">
        <f>IFERROR(__xludf.DUMMYFUNCTION("""COMPUTED_VALUE"""),0.0)</f>
        <v>0</v>
      </c>
      <c r="Q336" s="254" t="b">
        <f>VLOOKUP($B336,'Run Reconcile'!B$2:O799,14,FALSE)</f>
        <v>1</v>
      </c>
      <c r="R336" s="255" t="str">
        <f t="array" ref="R336">IF($Q336, INDEX('Run Reconcile'!A$2:A799,MATCH(B336,'Run Reconcile'!B$2:B799,0),1),IFERROR(0/0,""))</f>
        <v>RUN-BEND_2022-02-09_RFR-028</v>
      </c>
      <c r="S336" s="261" t="str">
        <f t="shared" ref="S336:T336" si="679">IF(COUNTIF(W$2:W799, $A336) &gt; 0,TRUE,IFERROR(0/0,""))</f>
        <v/>
      </c>
      <c r="T336" s="261" t="str">
        <f t="shared" si="679"/>
        <v/>
      </c>
      <c r="U336" s="257" t="str">
        <f t="array" ref="U336">IF(ISBLANK($R336), INDEX('Run Reconcile'!A$2:A799, MATCH($B336, 'Run Reconcile'!B$2:B799, 0)+Z336, 1), IFERROR(0/0,""))
</f>
        <v/>
      </c>
      <c r="V336" s="258" t="str">
        <f t="shared" si="480"/>
        <v>RUN-BEND_2022-02-09_RFR-028</v>
      </c>
      <c r="Y336" s="130" t="str">
        <f t="shared" si="487"/>
        <v/>
      </c>
      <c r="Z336" s="49" t="str">
        <f t="shared" si="7"/>
        <v/>
      </c>
      <c r="AA336" s="49" t="str">
        <f t="shared" si="8"/>
        <v/>
      </c>
      <c r="AB336" s="49" t="str">
        <f t="shared" si="9"/>
        <v/>
      </c>
      <c r="AC336" s="20" t="str">
        <f t="shared" ref="AC336:AD336" si="680">IF(_xlfn.ISFORMULA(S336),IFERROR(0/0,""),TRUE)</f>
        <v/>
      </c>
      <c r="AD336" s="20" t="str">
        <f t="shared" si="680"/>
        <v/>
      </c>
      <c r="AE336" s="43"/>
      <c r="AF336" s="62" t="s">
        <v>53</v>
      </c>
      <c r="AG336" s="57" t="str">
        <f t="shared" si="11"/>
        <v/>
      </c>
    </row>
    <row r="337">
      <c r="A337" s="6" t="str">
        <f>IFERROR(__xludf.DUMMYFUNCTION("""COMPUTED_VALUE"""),"MA1490")</f>
        <v>MA1490</v>
      </c>
      <c r="B337" s="204">
        <f>IFERROR(__xludf.DUMMYFUNCTION("""COMPUTED_VALUE"""),44601.0)</f>
        <v>44601</v>
      </c>
      <c r="C337" s="250">
        <f>IFERROR(__xludf.DUMMYFUNCTION("""COMPUTED_VALUE"""),0.3924884259259259)</f>
        <v>0.3924884259</v>
      </c>
      <c r="D337" s="6" t="str">
        <f>IFERROR(__xludf.DUMMYFUNCTION("""COMPUTED_VALUE"""),"SpBEND394154")</f>
        <v>SpBEND394154</v>
      </c>
      <c r="E337" s="251"/>
      <c r="F337" s="251"/>
      <c r="G337" s="251" t="str">
        <f>IFERROR(__xludf.DUMMYFUNCTION("""COMPUTED_VALUE"""),"Negative")</f>
        <v>Negative</v>
      </c>
      <c r="H337" s="262" t="str">
        <f>IFERROR(__xludf.DUMMYFUNCTION("""COMPUTED_VALUE"""),"Negative")</f>
        <v>Negative</v>
      </c>
      <c r="I337" s="204">
        <f>IFERROR(__xludf.DUMMYFUNCTION("""COMPUTED_VALUE"""),44601.0)</f>
        <v>44601</v>
      </c>
      <c r="J337" s="252">
        <f>IFERROR(__xludf.DUMMYFUNCTION("""COMPUTED_VALUE"""),0.48203703703703704)</f>
        <v>0.482037037</v>
      </c>
      <c r="K337" s="56"/>
      <c r="L337" s="6"/>
      <c r="M337" s="61"/>
      <c r="N337" s="61">
        <f>IFERROR(__xludf.DUMMYFUNCTION("""COMPUTED_VALUE"""),1.0)</f>
        <v>1</v>
      </c>
      <c r="O337" s="61" t="str">
        <f t="shared" si="3"/>
        <v/>
      </c>
      <c r="P337" s="253">
        <f>IFERROR(__xludf.DUMMYFUNCTION("""COMPUTED_VALUE"""),0.0)</f>
        <v>0</v>
      </c>
      <c r="Q337" s="254" t="b">
        <f>VLOOKUP($B337,'Run Reconcile'!B$2:O799,14,FALSE)</f>
        <v>1</v>
      </c>
      <c r="R337" s="255" t="str">
        <f t="array" ref="R337">IF($Q337, INDEX('Run Reconcile'!A$2:A799,MATCH(B337,'Run Reconcile'!B$2:B799,0),1),IFERROR(0/0,""))</f>
        <v>RUN-BEND_2022-02-09_RFR-028</v>
      </c>
      <c r="S337" s="261" t="str">
        <f t="shared" ref="S337:T337" si="681">IF(COUNTIF(W$2:W799, $A337) &gt; 0,TRUE,IFERROR(0/0,""))</f>
        <v/>
      </c>
      <c r="T337" s="261" t="str">
        <f t="shared" si="681"/>
        <v/>
      </c>
      <c r="U337" s="257" t="str">
        <f t="array" ref="U337">IF(ISBLANK($R337), INDEX('Run Reconcile'!A$2:A799, MATCH($B337, 'Run Reconcile'!B$2:B799, 0)+Z337, 1), IFERROR(0/0,""))
</f>
        <v/>
      </c>
      <c r="V337" s="258" t="str">
        <f t="shared" si="480"/>
        <v>RUN-BEND_2022-02-09_RFR-028</v>
      </c>
      <c r="Y337" s="130" t="str">
        <f t="shared" si="487"/>
        <v/>
      </c>
      <c r="Z337" s="49" t="str">
        <f t="shared" si="7"/>
        <v/>
      </c>
      <c r="AA337" s="49" t="str">
        <f t="shared" si="8"/>
        <v/>
      </c>
      <c r="AB337" s="49" t="str">
        <f t="shared" si="9"/>
        <v/>
      </c>
      <c r="AC337" s="20" t="str">
        <f t="shared" ref="AC337:AD337" si="682">IF(_xlfn.ISFORMULA(S337),IFERROR(0/0,""),TRUE)</f>
        <v/>
      </c>
      <c r="AD337" s="20" t="str">
        <f t="shared" si="682"/>
        <v/>
      </c>
      <c r="AE337" s="43"/>
      <c r="AF337" s="62" t="s">
        <v>53</v>
      </c>
      <c r="AG337" s="57" t="str">
        <f t="shared" si="11"/>
        <v/>
      </c>
    </row>
    <row r="338">
      <c r="A338" s="6" t="str">
        <f>IFERROR(__xludf.DUMMYFUNCTION("""COMPUTED_VALUE"""),"MA203")</f>
        <v>MA203</v>
      </c>
      <c r="B338" s="204">
        <f>IFERROR(__xludf.DUMMYFUNCTION("""COMPUTED_VALUE"""),44603.0)</f>
        <v>44603</v>
      </c>
      <c r="C338" s="250">
        <f>IFERROR(__xludf.DUMMYFUNCTION("""COMPUTED_VALUE"""),0.28810185185185183)</f>
        <v>0.2881018519</v>
      </c>
      <c r="D338" s="6" t="str">
        <f>IFERROR(__xludf.DUMMYFUNCTION("""COMPUTED_VALUE"""),"SpBEND528248")</f>
        <v>SpBEND528248</v>
      </c>
      <c r="E338" s="251"/>
      <c r="F338" s="251"/>
      <c r="G338" s="251" t="str">
        <f>IFERROR(__xludf.DUMMYFUNCTION("""COMPUTED_VALUE"""),"Negative")</f>
        <v>Negative</v>
      </c>
      <c r="H338" s="262" t="str">
        <f>IFERROR(__xludf.DUMMYFUNCTION("""COMPUTED_VALUE"""),"Negative")</f>
        <v>Negative</v>
      </c>
      <c r="I338" s="204">
        <f>IFERROR(__xludf.DUMMYFUNCTION("""COMPUTED_VALUE"""),44603.0)</f>
        <v>44603</v>
      </c>
      <c r="J338" s="252">
        <f>IFERROR(__xludf.DUMMYFUNCTION("""COMPUTED_VALUE"""),0.46979166666666666)</f>
        <v>0.4697916667</v>
      </c>
      <c r="K338" s="56"/>
      <c r="L338" s="6"/>
      <c r="M338" s="61"/>
      <c r="N338" s="61">
        <f>IFERROR(__xludf.DUMMYFUNCTION("""COMPUTED_VALUE"""),1.0)</f>
        <v>1</v>
      </c>
      <c r="O338" s="61" t="b">
        <f t="shared" si="3"/>
        <v>1</v>
      </c>
      <c r="P338" s="253">
        <f>IFERROR(__xludf.DUMMYFUNCTION("""COMPUTED_VALUE"""),0.0)</f>
        <v>0</v>
      </c>
      <c r="Q338" s="254" t="b">
        <f>VLOOKUP($B338,'Run Reconcile'!B$2:O799,14,FALSE)</f>
        <v>1</v>
      </c>
      <c r="R338" s="255" t="str">
        <f t="array" ref="R338">IF($Q338, INDEX('Run Reconcile'!A$2:A799,MATCH(B338,'Run Reconcile'!B$2:B799,0),1),IFERROR(0/0,""))</f>
        <v>RUN-BEND_2022-02-11_RFR-030</v>
      </c>
      <c r="S338" s="261" t="str">
        <f t="shared" ref="S338:T338" si="683">IF(COUNTIF(W$2:W799, $A338) &gt; 0,TRUE,IFERROR(0/0,""))</f>
        <v/>
      </c>
      <c r="T338" s="261" t="str">
        <f t="shared" si="683"/>
        <v/>
      </c>
      <c r="U338" s="257" t="str">
        <f t="array" ref="U338">IF(ISBLANK($R338), INDEX('Run Reconcile'!A$2:A799, MATCH($B338, 'Run Reconcile'!B$2:B799, 0)+Z338, 1), IFERROR(0/0,""))
</f>
        <v/>
      </c>
      <c r="V338" s="258" t="str">
        <f t="shared" si="480"/>
        <v>RUN-BEND_2022-02-11_RFR-030</v>
      </c>
      <c r="Y338" s="130" t="str">
        <f t="shared" si="487"/>
        <v/>
      </c>
      <c r="Z338" s="49" t="str">
        <f t="shared" si="7"/>
        <v/>
      </c>
      <c r="AA338" s="49" t="str">
        <f t="shared" si="8"/>
        <v/>
      </c>
      <c r="AB338" s="49" t="str">
        <f t="shared" si="9"/>
        <v/>
      </c>
      <c r="AC338" s="20" t="str">
        <f t="shared" ref="AC338:AD338" si="684">IF(_xlfn.ISFORMULA(S338),IFERROR(0/0,""),TRUE)</f>
        <v/>
      </c>
      <c r="AD338" s="20" t="str">
        <f t="shared" si="684"/>
        <v/>
      </c>
      <c r="AE338" s="43"/>
      <c r="AF338" s="62" t="s">
        <v>54</v>
      </c>
      <c r="AG338" s="57" t="str">
        <f t="shared" si="11"/>
        <v/>
      </c>
    </row>
    <row r="339">
      <c r="A339" s="6" t="str">
        <f>IFERROR(__xludf.DUMMYFUNCTION("""COMPUTED_VALUE"""),"FM804")</f>
        <v>FM804</v>
      </c>
      <c r="B339" s="204">
        <f>IFERROR(__xludf.DUMMYFUNCTION("""COMPUTED_VALUE"""),44603.0)</f>
        <v>44603</v>
      </c>
      <c r="C339" s="250">
        <f>IFERROR(__xludf.DUMMYFUNCTION("""COMPUTED_VALUE"""),0.3151736111111111)</f>
        <v>0.3151736111</v>
      </c>
      <c r="D339" s="6" t="str">
        <f>IFERROR(__xludf.DUMMYFUNCTION("""COMPUTED_VALUE"""),"SpBEND548976")</f>
        <v>SpBEND548976</v>
      </c>
      <c r="E339" s="251"/>
      <c r="F339" s="251"/>
      <c r="G339" s="251" t="str">
        <f>IFERROR(__xludf.DUMMYFUNCTION("""COMPUTED_VALUE"""),"Negative")</f>
        <v>Negative</v>
      </c>
      <c r="H339" s="262" t="str">
        <f>IFERROR(__xludf.DUMMYFUNCTION("""COMPUTED_VALUE"""),"Negative")</f>
        <v>Negative</v>
      </c>
      <c r="I339" s="204">
        <f>IFERROR(__xludf.DUMMYFUNCTION("""COMPUTED_VALUE"""),44603.0)</f>
        <v>44603</v>
      </c>
      <c r="J339" s="252">
        <f>IFERROR(__xludf.DUMMYFUNCTION("""COMPUTED_VALUE"""),0.46979166666666666)</f>
        <v>0.4697916667</v>
      </c>
      <c r="K339" s="56"/>
      <c r="L339" s="6"/>
      <c r="M339" s="61"/>
      <c r="N339" s="61">
        <f>IFERROR(__xludf.DUMMYFUNCTION("""COMPUTED_VALUE"""),1.0)</f>
        <v>1</v>
      </c>
      <c r="O339" s="61" t="str">
        <f t="shared" si="3"/>
        <v/>
      </c>
      <c r="P339" s="253">
        <f>IFERROR(__xludf.DUMMYFUNCTION("""COMPUTED_VALUE"""),0.0)</f>
        <v>0</v>
      </c>
      <c r="Q339" s="254" t="b">
        <f>VLOOKUP($B339,'Run Reconcile'!B$2:O799,14,FALSE)</f>
        <v>1</v>
      </c>
      <c r="R339" s="255" t="str">
        <f t="array" ref="R339">IF($Q339, INDEX('Run Reconcile'!A$2:A799,MATCH(B339,'Run Reconcile'!B$2:B799,0),1),IFERROR(0/0,""))</f>
        <v>RUN-BEND_2022-02-11_RFR-030</v>
      </c>
      <c r="S339" s="261" t="str">
        <f t="shared" ref="S339:T339" si="685">IF(COUNTIF(W$2:W799, $A339) &gt; 0,TRUE,IFERROR(0/0,""))</f>
        <v/>
      </c>
      <c r="T339" s="261" t="str">
        <f t="shared" si="685"/>
        <v/>
      </c>
      <c r="U339" s="257" t="str">
        <f t="array" ref="U339">IF(ISBLANK($R339), INDEX('Run Reconcile'!A$2:A799, MATCH($B339, 'Run Reconcile'!B$2:B799, 0)+Z339, 1), IFERROR(0/0,""))
</f>
        <v/>
      </c>
      <c r="V339" s="258" t="str">
        <f t="shared" si="480"/>
        <v>RUN-BEND_2022-02-11_RFR-030</v>
      </c>
      <c r="Y339" s="130" t="str">
        <f t="shared" si="487"/>
        <v/>
      </c>
      <c r="Z339" s="49" t="str">
        <f t="shared" si="7"/>
        <v/>
      </c>
      <c r="AA339" s="49" t="str">
        <f t="shared" si="8"/>
        <v/>
      </c>
      <c r="AB339" s="49" t="str">
        <f t="shared" si="9"/>
        <v/>
      </c>
      <c r="AC339" s="20" t="str">
        <f t="shared" ref="AC339:AD339" si="686">IF(_xlfn.ISFORMULA(S339),IFERROR(0/0,""),TRUE)</f>
        <v/>
      </c>
      <c r="AD339" s="20" t="str">
        <f t="shared" si="686"/>
        <v/>
      </c>
      <c r="AE339" s="43"/>
      <c r="AF339" s="62" t="s">
        <v>54</v>
      </c>
      <c r="AG339" s="57" t="str">
        <f t="shared" si="11"/>
        <v/>
      </c>
    </row>
    <row r="340">
      <c r="A340" s="6" t="str">
        <f>IFERROR(__xludf.DUMMYFUNCTION("""COMPUTED_VALUE"""),"MA1233")</f>
        <v>MA1233</v>
      </c>
      <c r="B340" s="204">
        <f>IFERROR(__xludf.DUMMYFUNCTION("""COMPUTED_VALUE"""),44603.0)</f>
        <v>44603</v>
      </c>
      <c r="C340" s="250">
        <f>IFERROR(__xludf.DUMMYFUNCTION("""COMPUTED_VALUE"""),0.31798611111111114)</f>
        <v>0.3179861111</v>
      </c>
      <c r="D340" s="6" t="str">
        <f>IFERROR(__xludf.DUMMYFUNCTION("""COMPUTED_VALUE"""),"SpBEND492052")</f>
        <v>SpBEND492052</v>
      </c>
      <c r="E340" s="251"/>
      <c r="F340" s="251"/>
      <c r="G340" s="251" t="str">
        <f>IFERROR(__xludf.DUMMYFUNCTION("""COMPUTED_VALUE"""),"Negative")</f>
        <v>Negative</v>
      </c>
      <c r="H340" s="262" t="str">
        <f>IFERROR(__xludf.DUMMYFUNCTION("""COMPUTED_VALUE"""),"Negative")</f>
        <v>Negative</v>
      </c>
      <c r="I340" s="204">
        <f>IFERROR(__xludf.DUMMYFUNCTION("""COMPUTED_VALUE"""),44603.0)</f>
        <v>44603</v>
      </c>
      <c r="J340" s="252">
        <f>IFERROR(__xludf.DUMMYFUNCTION("""COMPUTED_VALUE"""),0.46979166666666666)</f>
        <v>0.4697916667</v>
      </c>
      <c r="K340" s="56"/>
      <c r="L340" s="6"/>
      <c r="M340" s="61"/>
      <c r="N340" s="61">
        <f>IFERROR(__xludf.DUMMYFUNCTION("""COMPUTED_VALUE"""),1.0)</f>
        <v>1</v>
      </c>
      <c r="O340" s="61" t="str">
        <f t="shared" si="3"/>
        <v/>
      </c>
      <c r="P340" s="253">
        <f>IFERROR(__xludf.DUMMYFUNCTION("""COMPUTED_VALUE"""),0.0)</f>
        <v>0</v>
      </c>
      <c r="Q340" s="254" t="b">
        <f>VLOOKUP($B340,'Run Reconcile'!B$2:O799,14,FALSE)</f>
        <v>1</v>
      </c>
      <c r="R340" s="255" t="str">
        <f t="array" ref="R340">IF($Q340, INDEX('Run Reconcile'!A$2:A799,MATCH(B340,'Run Reconcile'!B$2:B799,0),1),IFERROR(0/0,""))</f>
        <v>RUN-BEND_2022-02-11_RFR-030</v>
      </c>
      <c r="S340" s="261" t="str">
        <f t="shared" ref="S340:T340" si="687">IF(COUNTIF(W$2:W799, $A340) &gt; 0,TRUE,IFERROR(0/0,""))</f>
        <v/>
      </c>
      <c r="T340" s="261" t="str">
        <f t="shared" si="687"/>
        <v/>
      </c>
      <c r="U340" s="257" t="str">
        <f t="array" ref="U340">IF(ISBLANK($R340), INDEX('Run Reconcile'!A$2:A799, MATCH($B340, 'Run Reconcile'!B$2:B799, 0)+Z340, 1), IFERROR(0/0,""))
</f>
        <v/>
      </c>
      <c r="V340" s="258" t="str">
        <f t="shared" si="480"/>
        <v>RUN-BEND_2022-02-11_RFR-030</v>
      </c>
      <c r="Y340" s="130" t="str">
        <f t="shared" si="487"/>
        <v/>
      </c>
      <c r="Z340" s="49" t="str">
        <f t="shared" si="7"/>
        <v/>
      </c>
      <c r="AA340" s="49" t="str">
        <f t="shared" si="8"/>
        <v/>
      </c>
      <c r="AB340" s="49" t="str">
        <f t="shared" si="9"/>
        <v/>
      </c>
      <c r="AC340" s="20" t="str">
        <f t="shared" ref="AC340:AD340" si="688">IF(_xlfn.ISFORMULA(S340),IFERROR(0/0,""),TRUE)</f>
        <v/>
      </c>
      <c r="AD340" s="20" t="str">
        <f t="shared" si="688"/>
        <v/>
      </c>
      <c r="AE340" s="43"/>
      <c r="AF340" s="62" t="s">
        <v>54</v>
      </c>
      <c r="AG340" s="57" t="str">
        <f t="shared" si="11"/>
        <v/>
      </c>
    </row>
    <row r="341">
      <c r="A341" s="6" t="str">
        <f>IFERROR(__xludf.DUMMYFUNCTION("""COMPUTED_VALUE"""),"FM90")</f>
        <v>FM90</v>
      </c>
      <c r="B341" s="204">
        <f>IFERROR(__xludf.DUMMYFUNCTION("""COMPUTED_VALUE"""),44603.0)</f>
        <v>44603</v>
      </c>
      <c r="C341" s="250">
        <f>IFERROR(__xludf.DUMMYFUNCTION("""COMPUTED_VALUE"""),0.3190972222222222)</f>
        <v>0.3190972222</v>
      </c>
      <c r="D341" s="6" t="str">
        <f>IFERROR(__xludf.DUMMYFUNCTION("""COMPUTED_VALUE"""),"SpBEND349435")</f>
        <v>SpBEND349435</v>
      </c>
      <c r="E341" s="251"/>
      <c r="F341" s="251"/>
      <c r="G341" s="251" t="str">
        <f>IFERROR(__xludf.DUMMYFUNCTION("""COMPUTED_VALUE"""),"Negative")</f>
        <v>Negative</v>
      </c>
      <c r="H341" s="262" t="str">
        <f>IFERROR(__xludf.DUMMYFUNCTION("""COMPUTED_VALUE"""),"Negative")</f>
        <v>Negative</v>
      </c>
      <c r="I341" s="204">
        <f>IFERROR(__xludf.DUMMYFUNCTION("""COMPUTED_VALUE"""),44603.0)</f>
        <v>44603</v>
      </c>
      <c r="J341" s="252">
        <f>IFERROR(__xludf.DUMMYFUNCTION("""COMPUTED_VALUE"""),0.46979166666666666)</f>
        <v>0.4697916667</v>
      </c>
      <c r="K341" s="56"/>
      <c r="L341" s="6"/>
      <c r="M341" s="61"/>
      <c r="N341" s="61">
        <f>IFERROR(__xludf.DUMMYFUNCTION("""COMPUTED_VALUE"""),1.0)</f>
        <v>1</v>
      </c>
      <c r="O341" s="61" t="str">
        <f t="shared" si="3"/>
        <v/>
      </c>
      <c r="P341" s="253">
        <f>IFERROR(__xludf.DUMMYFUNCTION("""COMPUTED_VALUE"""),0.0)</f>
        <v>0</v>
      </c>
      <c r="Q341" s="254" t="b">
        <f>VLOOKUP($B341,'Run Reconcile'!B$2:O799,14,FALSE)</f>
        <v>1</v>
      </c>
      <c r="R341" s="255" t="str">
        <f t="array" ref="R341">IF($Q341, INDEX('Run Reconcile'!A$2:A799,MATCH(B341,'Run Reconcile'!B$2:B799,0),1),IFERROR(0/0,""))</f>
        <v>RUN-BEND_2022-02-11_RFR-030</v>
      </c>
      <c r="S341" s="261" t="str">
        <f t="shared" ref="S341:T341" si="689">IF(COUNTIF(W$2:W799, $A341) &gt; 0,TRUE,IFERROR(0/0,""))</f>
        <v/>
      </c>
      <c r="T341" s="261" t="str">
        <f t="shared" si="689"/>
        <v/>
      </c>
      <c r="U341" s="257" t="str">
        <f t="array" ref="U341">IF(ISBLANK($R341), INDEX('Run Reconcile'!A$2:A799, MATCH($B341, 'Run Reconcile'!B$2:B799, 0)+Z341, 1), IFERROR(0/0,""))
</f>
        <v/>
      </c>
      <c r="V341" s="258" t="str">
        <f t="shared" si="480"/>
        <v>RUN-BEND_2022-02-11_RFR-030</v>
      </c>
      <c r="Y341" s="130" t="str">
        <f t="shared" si="487"/>
        <v/>
      </c>
      <c r="Z341" s="49" t="str">
        <f t="shared" si="7"/>
        <v/>
      </c>
      <c r="AA341" s="49" t="str">
        <f t="shared" si="8"/>
        <v/>
      </c>
      <c r="AB341" s="49" t="str">
        <f t="shared" si="9"/>
        <v/>
      </c>
      <c r="AC341" s="20" t="str">
        <f t="shared" ref="AC341:AD341" si="690">IF(_xlfn.ISFORMULA(S341),IFERROR(0/0,""),TRUE)</f>
        <v/>
      </c>
      <c r="AD341" s="20" t="str">
        <f t="shared" si="690"/>
        <v/>
      </c>
      <c r="AE341" s="43"/>
      <c r="AF341" s="62" t="s">
        <v>54</v>
      </c>
      <c r="AG341" s="57" t="str">
        <f t="shared" si="11"/>
        <v/>
      </c>
    </row>
    <row r="342">
      <c r="A342" s="6" t="str">
        <f>IFERROR(__xludf.DUMMYFUNCTION("""COMPUTED_VALUE"""),"FM71")</f>
        <v>FM71</v>
      </c>
      <c r="B342" s="204">
        <f>IFERROR(__xludf.DUMMYFUNCTION("""COMPUTED_VALUE"""),44603.0)</f>
        <v>44603</v>
      </c>
      <c r="C342" s="250">
        <f>IFERROR(__xludf.DUMMYFUNCTION("""COMPUTED_VALUE"""),0.3376851851851852)</f>
        <v>0.3376851852</v>
      </c>
      <c r="D342" s="6" t="str">
        <f>IFERROR(__xludf.DUMMYFUNCTION("""COMPUTED_VALUE"""),"SpBEND768497")</f>
        <v>SpBEND768497</v>
      </c>
      <c r="E342" s="251"/>
      <c r="F342" s="251"/>
      <c r="G342" s="251" t="str">
        <f>IFERROR(__xludf.DUMMYFUNCTION("""COMPUTED_VALUE"""),"Negative")</f>
        <v>Negative</v>
      </c>
      <c r="H342" s="262" t="str">
        <f>IFERROR(__xludf.DUMMYFUNCTION("""COMPUTED_VALUE"""),"Negative")</f>
        <v>Negative</v>
      </c>
      <c r="I342" s="204">
        <f>IFERROR(__xludf.DUMMYFUNCTION("""COMPUTED_VALUE"""),44603.0)</f>
        <v>44603</v>
      </c>
      <c r="J342" s="252">
        <f>IFERROR(__xludf.DUMMYFUNCTION("""COMPUTED_VALUE"""),0.46979166666666666)</f>
        <v>0.4697916667</v>
      </c>
      <c r="K342" s="56"/>
      <c r="L342" s="6"/>
      <c r="M342" s="61"/>
      <c r="N342" s="61">
        <f>IFERROR(__xludf.DUMMYFUNCTION("""COMPUTED_VALUE"""),1.0)</f>
        <v>1</v>
      </c>
      <c r="O342" s="61" t="str">
        <f t="shared" si="3"/>
        <v/>
      </c>
      <c r="P342" s="253">
        <f>IFERROR(__xludf.DUMMYFUNCTION("""COMPUTED_VALUE"""),0.0)</f>
        <v>0</v>
      </c>
      <c r="Q342" s="254" t="b">
        <f>VLOOKUP($B342,'Run Reconcile'!B$2:O799,14,FALSE)</f>
        <v>1</v>
      </c>
      <c r="R342" s="255" t="str">
        <f t="array" ref="R342">IF($Q342, INDEX('Run Reconcile'!A$2:A799,MATCH(B342,'Run Reconcile'!B$2:B799,0),1),IFERROR(0/0,""))</f>
        <v>RUN-BEND_2022-02-11_RFR-030</v>
      </c>
      <c r="S342" s="261" t="str">
        <f t="shared" ref="S342:T342" si="691">IF(COUNTIF(W$2:W799, $A342) &gt; 0,TRUE,IFERROR(0/0,""))</f>
        <v/>
      </c>
      <c r="T342" s="261" t="str">
        <f t="shared" si="691"/>
        <v/>
      </c>
      <c r="U342" s="257" t="str">
        <f t="array" ref="U342">IF(ISBLANK($R342), INDEX('Run Reconcile'!A$2:A799, MATCH($B342, 'Run Reconcile'!B$2:B799, 0)+Z342, 1), IFERROR(0/0,""))
</f>
        <v/>
      </c>
      <c r="V342" s="258" t="str">
        <f t="shared" si="480"/>
        <v>RUN-BEND_2022-02-11_RFR-030</v>
      </c>
      <c r="Y342" s="130" t="str">
        <f t="shared" si="487"/>
        <v/>
      </c>
      <c r="Z342" s="49" t="str">
        <f t="shared" si="7"/>
        <v/>
      </c>
      <c r="AA342" s="49" t="str">
        <f t="shared" si="8"/>
        <v/>
      </c>
      <c r="AB342" s="49" t="str">
        <f t="shared" si="9"/>
        <v/>
      </c>
      <c r="AC342" s="20" t="str">
        <f t="shared" ref="AC342:AD342" si="692">IF(_xlfn.ISFORMULA(S342),IFERROR(0/0,""),TRUE)</f>
        <v/>
      </c>
      <c r="AD342" s="20" t="str">
        <f t="shared" si="692"/>
        <v/>
      </c>
      <c r="AE342" s="43"/>
      <c r="AF342" s="62" t="s">
        <v>54</v>
      </c>
      <c r="AG342" s="57" t="str">
        <f t="shared" si="11"/>
        <v/>
      </c>
    </row>
    <row r="343">
      <c r="A343" s="6" t="str">
        <f>IFERROR(__xludf.DUMMYFUNCTION("""COMPUTED_VALUE"""),"MA632")</f>
        <v>MA632</v>
      </c>
      <c r="B343" s="204">
        <f>IFERROR(__xludf.DUMMYFUNCTION("""COMPUTED_VALUE"""),44603.0)</f>
        <v>44603</v>
      </c>
      <c r="C343" s="250">
        <f>IFERROR(__xludf.DUMMYFUNCTION("""COMPUTED_VALUE"""),0.3391550925925926)</f>
        <v>0.3391550926</v>
      </c>
      <c r="D343" s="6" t="str">
        <f>IFERROR(__xludf.DUMMYFUNCTION("""COMPUTED_VALUE"""),"SpBEND483335")</f>
        <v>SpBEND483335</v>
      </c>
      <c r="E343" s="251"/>
      <c r="F343" s="251"/>
      <c r="G343" s="251" t="str">
        <f>IFERROR(__xludf.DUMMYFUNCTION("""COMPUTED_VALUE"""),"Positive")</f>
        <v>Positive</v>
      </c>
      <c r="H343" s="262" t="str">
        <f>IFERROR(__xludf.DUMMYFUNCTION("""COMPUTED_VALUE"""),"Positive")</f>
        <v>Positive</v>
      </c>
      <c r="I343" s="204">
        <f>IFERROR(__xludf.DUMMYFUNCTION("""COMPUTED_VALUE"""),44603.0)</f>
        <v>44603</v>
      </c>
      <c r="J343" s="252">
        <f>IFERROR(__xludf.DUMMYFUNCTION("""COMPUTED_VALUE"""),0.46979166666666666)</f>
        <v>0.4697916667</v>
      </c>
      <c r="K343" s="56"/>
      <c r="L343" s="6"/>
      <c r="M343" s="61"/>
      <c r="N343" s="61">
        <f>IFERROR(__xludf.DUMMYFUNCTION("""COMPUTED_VALUE"""),1.0)</f>
        <v>1</v>
      </c>
      <c r="O343" s="61" t="str">
        <f t="shared" si="3"/>
        <v/>
      </c>
      <c r="P343" s="253">
        <f>IFERROR(__xludf.DUMMYFUNCTION("""COMPUTED_VALUE"""),0.0)</f>
        <v>0</v>
      </c>
      <c r="Q343" s="254" t="b">
        <f>VLOOKUP($B343,'Run Reconcile'!B$2:O799,14,FALSE)</f>
        <v>1</v>
      </c>
      <c r="R343" s="255" t="str">
        <f t="array" ref="R343">IF($Q343, INDEX('Run Reconcile'!A$2:A799,MATCH(B343,'Run Reconcile'!B$2:B799,0),1),IFERROR(0/0,""))</f>
        <v>RUN-BEND_2022-02-11_RFR-030</v>
      </c>
      <c r="S343" s="261" t="str">
        <f t="shared" ref="S343:T343" si="693">IF(COUNTIF(W$2:W799, $A343) &gt; 0,TRUE,IFERROR(0/0,""))</f>
        <v/>
      </c>
      <c r="T343" s="261" t="str">
        <f t="shared" si="693"/>
        <v/>
      </c>
      <c r="U343" s="257" t="str">
        <f t="array" ref="U343">IF(ISBLANK($R343), INDEX('Run Reconcile'!A$2:A799, MATCH($B343, 'Run Reconcile'!B$2:B799, 0)+Z343, 1), IFERROR(0/0,""))
</f>
        <v/>
      </c>
      <c r="V343" s="258" t="str">
        <f t="shared" si="480"/>
        <v>RUN-BEND_2022-02-11_RFR-030</v>
      </c>
      <c r="Y343" s="130" t="str">
        <f t="shared" si="487"/>
        <v/>
      </c>
      <c r="Z343" s="49" t="str">
        <f t="shared" si="7"/>
        <v/>
      </c>
      <c r="AA343" s="49" t="str">
        <f t="shared" si="8"/>
        <v/>
      </c>
      <c r="AB343" s="49" t="str">
        <f t="shared" si="9"/>
        <v/>
      </c>
      <c r="AC343" s="20" t="str">
        <f t="shared" ref="AC343:AD343" si="694">IF(_xlfn.ISFORMULA(S343),IFERROR(0/0,""),TRUE)</f>
        <v/>
      </c>
      <c r="AD343" s="20" t="str">
        <f t="shared" si="694"/>
        <v/>
      </c>
      <c r="AE343" s="43"/>
      <c r="AF343" s="62" t="s">
        <v>54</v>
      </c>
      <c r="AG343" s="57" t="str">
        <f t="shared" si="11"/>
        <v/>
      </c>
    </row>
    <row r="344">
      <c r="A344" s="6" t="str">
        <f>IFERROR(__xludf.DUMMYFUNCTION("""COMPUTED_VALUE"""),"MA620")</f>
        <v>MA620</v>
      </c>
      <c r="B344" s="204">
        <f>IFERROR(__xludf.DUMMYFUNCTION("""COMPUTED_VALUE"""),44603.0)</f>
        <v>44603</v>
      </c>
      <c r="C344" s="250">
        <f>IFERROR(__xludf.DUMMYFUNCTION("""COMPUTED_VALUE"""),0.33946759259259257)</f>
        <v>0.3394675926</v>
      </c>
      <c r="D344" s="6" t="str">
        <f>IFERROR(__xludf.DUMMYFUNCTION("""COMPUTED_VALUE"""),"SpBEND483335")</f>
        <v>SpBEND483335</v>
      </c>
      <c r="E344" s="251"/>
      <c r="F344" s="251"/>
      <c r="G344" s="251" t="str">
        <f>IFERROR(__xludf.DUMMYFUNCTION("""COMPUTED_VALUE"""),"Positive")</f>
        <v>Positive</v>
      </c>
      <c r="H344" s="262" t="str">
        <f>IFERROR(__xludf.DUMMYFUNCTION("""COMPUTED_VALUE"""),"Positive")</f>
        <v>Positive</v>
      </c>
      <c r="I344" s="204">
        <f>IFERROR(__xludf.DUMMYFUNCTION("""COMPUTED_VALUE"""),44603.0)</f>
        <v>44603</v>
      </c>
      <c r="J344" s="252">
        <f>IFERROR(__xludf.DUMMYFUNCTION("""COMPUTED_VALUE"""),0.46979166666666666)</f>
        <v>0.4697916667</v>
      </c>
      <c r="K344" s="56"/>
      <c r="L344" s="6"/>
      <c r="M344" s="61"/>
      <c r="N344" s="61">
        <f>IFERROR(__xludf.DUMMYFUNCTION("""COMPUTED_VALUE"""),1.0)</f>
        <v>1</v>
      </c>
      <c r="O344" s="61" t="str">
        <f t="shared" si="3"/>
        <v/>
      </c>
      <c r="P344" s="253">
        <f>IFERROR(__xludf.DUMMYFUNCTION("""COMPUTED_VALUE"""),0.0)</f>
        <v>0</v>
      </c>
      <c r="Q344" s="254" t="b">
        <f>VLOOKUP($B344,'Run Reconcile'!B$2:O799,14,FALSE)</f>
        <v>1</v>
      </c>
      <c r="R344" s="255" t="str">
        <f t="array" ref="R344">IF($Q344, INDEX('Run Reconcile'!A$2:A799,MATCH(B344,'Run Reconcile'!B$2:B799,0),1),IFERROR(0/0,""))</f>
        <v>RUN-BEND_2022-02-11_RFR-030</v>
      </c>
      <c r="S344" s="261" t="str">
        <f t="shared" ref="S344:T344" si="695">IF(COUNTIF(W$2:W799, $A344) &gt; 0,TRUE,IFERROR(0/0,""))</f>
        <v/>
      </c>
      <c r="T344" s="261" t="str">
        <f t="shared" si="695"/>
        <v/>
      </c>
      <c r="U344" s="257" t="str">
        <f t="array" ref="U344">IF(ISBLANK($R344), INDEX('Run Reconcile'!A$2:A799, MATCH($B344, 'Run Reconcile'!B$2:B799, 0)+Z344, 1), IFERROR(0/0,""))
</f>
        <v/>
      </c>
      <c r="V344" s="258" t="str">
        <f t="shared" si="480"/>
        <v>RUN-BEND_2022-02-11_RFR-030</v>
      </c>
      <c r="Y344" s="130" t="str">
        <f t="shared" si="487"/>
        <v/>
      </c>
      <c r="Z344" s="49" t="str">
        <f t="shared" si="7"/>
        <v/>
      </c>
      <c r="AA344" s="49" t="str">
        <f t="shared" si="8"/>
        <v/>
      </c>
      <c r="AB344" s="49" t="str">
        <f t="shared" si="9"/>
        <v/>
      </c>
      <c r="AC344" s="20" t="str">
        <f t="shared" ref="AC344:AD344" si="696">IF(_xlfn.ISFORMULA(S344),IFERROR(0/0,""),TRUE)</f>
        <v/>
      </c>
      <c r="AD344" s="20" t="str">
        <f t="shared" si="696"/>
        <v/>
      </c>
      <c r="AE344" s="43"/>
      <c r="AF344" s="62" t="s">
        <v>54</v>
      </c>
      <c r="AG344" s="57" t="str">
        <f t="shared" si="11"/>
        <v/>
      </c>
    </row>
    <row r="345">
      <c r="A345" s="6" t="str">
        <f>IFERROR(__xludf.DUMMYFUNCTION("""COMPUTED_VALUE"""),"MAX102")</f>
        <v>MAX102</v>
      </c>
      <c r="B345" s="204">
        <f>IFERROR(__xludf.DUMMYFUNCTION("""COMPUTED_VALUE"""),44603.0)</f>
        <v>44603</v>
      </c>
      <c r="C345" s="250">
        <f>IFERROR(__xludf.DUMMYFUNCTION("""COMPUTED_VALUE"""),0.3788888888888889)</f>
        <v>0.3788888889</v>
      </c>
      <c r="D345" s="6" t="str">
        <f>IFERROR(__xludf.DUMMYFUNCTION("""COMPUTED_VALUE"""),"SpBEND394154")</f>
        <v>SpBEND394154</v>
      </c>
      <c r="E345" s="251"/>
      <c r="F345" s="251"/>
      <c r="G345" s="251" t="str">
        <f>IFERROR(__xludf.DUMMYFUNCTION("""COMPUTED_VALUE"""),"Negative")</f>
        <v>Negative</v>
      </c>
      <c r="H345" s="262" t="str">
        <f>IFERROR(__xludf.DUMMYFUNCTION("""COMPUTED_VALUE"""),"Negative")</f>
        <v>Negative</v>
      </c>
      <c r="I345" s="204">
        <f>IFERROR(__xludf.DUMMYFUNCTION("""COMPUTED_VALUE"""),44603.0)</f>
        <v>44603</v>
      </c>
      <c r="J345" s="252">
        <f>IFERROR(__xludf.DUMMYFUNCTION("""COMPUTED_VALUE"""),0.46979166666666666)</f>
        <v>0.4697916667</v>
      </c>
      <c r="K345" s="56"/>
      <c r="L345" s="6"/>
      <c r="M345" s="61"/>
      <c r="N345" s="61">
        <f>IFERROR(__xludf.DUMMYFUNCTION("""COMPUTED_VALUE"""),1.0)</f>
        <v>1</v>
      </c>
      <c r="O345" s="61" t="str">
        <f t="shared" si="3"/>
        <v/>
      </c>
      <c r="P345" s="253">
        <f>IFERROR(__xludf.DUMMYFUNCTION("""COMPUTED_VALUE"""),0.0)</f>
        <v>0</v>
      </c>
      <c r="Q345" s="254" t="b">
        <f>VLOOKUP($B345,'Run Reconcile'!B$2:O799,14,FALSE)</f>
        <v>1</v>
      </c>
      <c r="R345" s="255" t="str">
        <f t="array" ref="R345">IF($Q345, INDEX('Run Reconcile'!A$2:A799,MATCH(B345,'Run Reconcile'!B$2:B799,0),1),IFERROR(0/0,""))</f>
        <v>RUN-BEND_2022-02-11_RFR-030</v>
      </c>
      <c r="S345" s="261" t="str">
        <f t="shared" ref="S345:T345" si="697">IF(COUNTIF(W$2:W799, $A345) &gt; 0,TRUE,IFERROR(0/0,""))</f>
        <v/>
      </c>
      <c r="T345" s="261" t="str">
        <f t="shared" si="697"/>
        <v/>
      </c>
      <c r="U345" s="257" t="str">
        <f t="array" ref="U345">IF(ISBLANK($R345), INDEX('Run Reconcile'!A$2:A799, MATCH($B345, 'Run Reconcile'!B$2:B799, 0)+Z345, 1), IFERROR(0/0,""))
</f>
        <v/>
      </c>
      <c r="V345" s="258" t="str">
        <f t="shared" si="480"/>
        <v>RUN-BEND_2022-02-11_RFR-030</v>
      </c>
      <c r="Y345" s="130" t="str">
        <f t="shared" si="487"/>
        <v/>
      </c>
      <c r="Z345" s="49" t="str">
        <f t="shared" si="7"/>
        <v/>
      </c>
      <c r="AA345" s="49" t="str">
        <f t="shared" si="8"/>
        <v/>
      </c>
      <c r="AB345" s="49" t="str">
        <f t="shared" si="9"/>
        <v/>
      </c>
      <c r="AC345" s="20" t="str">
        <f t="shared" ref="AC345:AD345" si="698">IF(_xlfn.ISFORMULA(S345),IFERROR(0/0,""),TRUE)</f>
        <v/>
      </c>
      <c r="AD345" s="20" t="str">
        <f t="shared" si="698"/>
        <v/>
      </c>
      <c r="AE345" s="43"/>
      <c r="AF345" s="62" t="s">
        <v>54</v>
      </c>
      <c r="AG345" s="57" t="str">
        <f t="shared" si="11"/>
        <v/>
      </c>
    </row>
    <row r="346">
      <c r="A346" s="6" t="str">
        <f>IFERROR(__xludf.DUMMYFUNCTION("""COMPUTED_VALUE"""),"MA1032")</f>
        <v>MA1032</v>
      </c>
      <c r="B346" s="204">
        <f>IFERROR(__xludf.DUMMYFUNCTION("""COMPUTED_VALUE"""),44603.0)</f>
        <v>44603</v>
      </c>
      <c r="C346" s="250">
        <f>IFERROR(__xludf.DUMMYFUNCTION("""COMPUTED_VALUE"""),0.42311342592592593)</f>
        <v>0.4231134259</v>
      </c>
      <c r="D346" s="6" t="str">
        <f>IFERROR(__xludf.DUMMYFUNCTION("""COMPUTED_VALUE"""),"SpBEND825522")</f>
        <v>SpBEND825522</v>
      </c>
      <c r="E346" s="251"/>
      <c r="F346" s="251"/>
      <c r="G346" s="251" t="str">
        <f>IFERROR(__xludf.DUMMYFUNCTION("""COMPUTED_VALUE"""),"Negative")</f>
        <v>Negative</v>
      </c>
      <c r="H346" s="262" t="str">
        <f>IFERROR(__xludf.DUMMYFUNCTION("""COMPUTED_VALUE"""),"Negative")</f>
        <v>Negative</v>
      </c>
      <c r="I346" s="204">
        <f>IFERROR(__xludf.DUMMYFUNCTION("""COMPUTED_VALUE"""),44603.0)</f>
        <v>44603</v>
      </c>
      <c r="J346" s="252">
        <f>IFERROR(__xludf.DUMMYFUNCTION("""COMPUTED_VALUE"""),0.46979166666666666)</f>
        <v>0.4697916667</v>
      </c>
      <c r="K346" s="56"/>
      <c r="L346" s="6"/>
      <c r="M346" s="61"/>
      <c r="N346" s="61">
        <f>IFERROR(__xludf.DUMMYFUNCTION("""COMPUTED_VALUE"""),1.0)</f>
        <v>1</v>
      </c>
      <c r="O346" s="61" t="str">
        <f t="shared" si="3"/>
        <v/>
      </c>
      <c r="P346" s="253">
        <f>IFERROR(__xludf.DUMMYFUNCTION("""COMPUTED_VALUE"""),0.0)</f>
        <v>0</v>
      </c>
      <c r="Q346" s="254" t="b">
        <f>VLOOKUP($B346,'Run Reconcile'!B$2:O799,14,FALSE)</f>
        <v>1</v>
      </c>
      <c r="R346" s="255" t="str">
        <f t="array" ref="R346">IF($Q346, INDEX('Run Reconcile'!A$2:A799,MATCH(B346,'Run Reconcile'!B$2:B799,0),1),IFERROR(0/0,""))</f>
        <v>RUN-BEND_2022-02-11_RFR-030</v>
      </c>
      <c r="S346" s="261" t="str">
        <f t="shared" ref="S346:T346" si="699">IF(COUNTIF(W$2:W799, $A346) &gt; 0,TRUE,IFERROR(0/0,""))</f>
        <v/>
      </c>
      <c r="T346" s="261" t="str">
        <f t="shared" si="699"/>
        <v/>
      </c>
      <c r="U346" s="257" t="str">
        <f t="array" ref="U346">IF(ISBLANK($R346), INDEX('Run Reconcile'!A$2:A799, MATCH($B346, 'Run Reconcile'!B$2:B799, 0)+Z346, 1), IFERROR(0/0,""))
</f>
        <v/>
      </c>
      <c r="V346" s="258" t="str">
        <f t="shared" si="480"/>
        <v>RUN-BEND_2022-02-11_RFR-030</v>
      </c>
      <c r="Y346" s="130" t="str">
        <f t="shared" si="487"/>
        <v/>
      </c>
      <c r="Z346" s="49" t="str">
        <f t="shared" si="7"/>
        <v/>
      </c>
      <c r="AA346" s="49" t="str">
        <f t="shared" si="8"/>
        <v/>
      </c>
      <c r="AB346" s="49" t="str">
        <f t="shared" si="9"/>
        <v/>
      </c>
      <c r="AC346" s="20" t="str">
        <f t="shared" ref="AC346:AD346" si="700">IF(_xlfn.ISFORMULA(S346),IFERROR(0/0,""),TRUE)</f>
        <v/>
      </c>
      <c r="AD346" s="20" t="str">
        <f t="shared" si="700"/>
        <v/>
      </c>
      <c r="AE346" s="43"/>
      <c r="AF346" s="62" t="s">
        <v>54</v>
      </c>
      <c r="AG346" s="57" t="str">
        <f t="shared" si="11"/>
        <v/>
      </c>
    </row>
    <row r="347">
      <c r="A347" s="6" t="str">
        <f>IFERROR(__xludf.DUMMYFUNCTION("""COMPUTED_VALUE"""),"MA1079")</f>
        <v>MA1079</v>
      </c>
      <c r="B347" s="204">
        <f>IFERROR(__xludf.DUMMYFUNCTION("""COMPUTED_VALUE"""),44604.0)</f>
        <v>44604</v>
      </c>
      <c r="C347" s="250">
        <f>IFERROR(__xludf.DUMMYFUNCTION("""COMPUTED_VALUE"""),0.3235763888888889)</f>
        <v>0.3235763889</v>
      </c>
      <c r="D347" s="6" t="str">
        <f>IFERROR(__xludf.DUMMYFUNCTION("""COMPUTED_VALUE"""),"SpBEND483335")</f>
        <v>SpBEND483335</v>
      </c>
      <c r="E347" s="251"/>
      <c r="F347" s="251"/>
      <c r="G347" s="251" t="str">
        <f>IFERROR(__xludf.DUMMYFUNCTION("""COMPUTED_VALUE"""),"Positive")</f>
        <v>Positive</v>
      </c>
      <c r="H347" s="262" t="str">
        <f>IFERROR(__xludf.DUMMYFUNCTION("""COMPUTED_VALUE"""),"Positive")</f>
        <v>Positive</v>
      </c>
      <c r="I347" s="204">
        <f>IFERROR(__xludf.DUMMYFUNCTION("""COMPUTED_VALUE"""),44604.0)</f>
        <v>44604</v>
      </c>
      <c r="J347" s="252">
        <f>IFERROR(__xludf.DUMMYFUNCTION("""COMPUTED_VALUE"""),0.3936689814814815)</f>
        <v>0.3936689815</v>
      </c>
      <c r="K347" s="56"/>
      <c r="L347" s="6"/>
      <c r="M347" s="61"/>
      <c r="N347" s="61">
        <f>IFERROR(__xludf.DUMMYFUNCTION("""COMPUTED_VALUE"""),1.0)</f>
        <v>1</v>
      </c>
      <c r="O347" s="61" t="b">
        <f t="shared" si="3"/>
        <v>1</v>
      </c>
      <c r="P347" s="253">
        <f>IFERROR(__xludf.DUMMYFUNCTION("""COMPUTED_VALUE"""),0.0)</f>
        <v>0</v>
      </c>
      <c r="Q347" s="254" t="b">
        <f>VLOOKUP($B347,'Run Reconcile'!B$2:O799,14,FALSE)</f>
        <v>1</v>
      </c>
      <c r="R347" s="255" t="str">
        <f t="array" ref="R347">IF($Q347, INDEX('Run Reconcile'!A$2:A799,MATCH(B347,'Run Reconcile'!B$2:B799,0),1),IFERROR(0/0,""))</f>
        <v>RUN-BEND_2022-02-12_RFR-031</v>
      </c>
      <c r="S347" s="261" t="str">
        <f t="shared" ref="S347:T347" si="701">IF(COUNTIF(W$2:W799, $A347) &gt; 0,TRUE,IFERROR(0/0,""))</f>
        <v/>
      </c>
      <c r="T347" s="261" t="str">
        <f t="shared" si="701"/>
        <v/>
      </c>
      <c r="U347" s="257" t="str">
        <f t="array" ref="U347">IF(ISBLANK($R347), INDEX('Run Reconcile'!A$2:A799, MATCH($B347, 'Run Reconcile'!B$2:B799, 0)+Z347, 1), IFERROR(0/0,""))
</f>
        <v/>
      </c>
      <c r="V347" s="258" t="str">
        <f t="shared" si="480"/>
        <v>RUN-BEND_2022-02-12_RFR-031</v>
      </c>
      <c r="Y347" s="130" t="str">
        <f t="shared" si="487"/>
        <v/>
      </c>
      <c r="Z347" s="49" t="str">
        <f t="shared" si="7"/>
        <v/>
      </c>
      <c r="AA347" s="49" t="str">
        <f t="shared" si="8"/>
        <v/>
      </c>
      <c r="AB347" s="49" t="str">
        <f t="shared" si="9"/>
        <v/>
      </c>
      <c r="AC347" s="20" t="str">
        <f t="shared" ref="AC347:AD347" si="702">IF(_xlfn.ISFORMULA(S347),IFERROR(0/0,""),TRUE)</f>
        <v/>
      </c>
      <c r="AD347" s="20" t="str">
        <f t="shared" si="702"/>
        <v/>
      </c>
      <c r="AE347" s="43"/>
      <c r="AF347" s="62" t="s">
        <v>55</v>
      </c>
      <c r="AG347" s="57" t="str">
        <f t="shared" si="11"/>
        <v/>
      </c>
    </row>
    <row r="348">
      <c r="A348" s="6" t="str">
        <f>IFERROR(__xludf.DUMMYFUNCTION("""COMPUTED_VALUE"""),"MA1111")</f>
        <v>MA1111</v>
      </c>
      <c r="B348" s="204">
        <f>IFERROR(__xludf.DUMMYFUNCTION("""COMPUTED_VALUE"""),44604.0)</f>
        <v>44604</v>
      </c>
      <c r="C348" s="250">
        <f>IFERROR(__xludf.DUMMYFUNCTION("""COMPUTED_VALUE"""),0.3247569444444444)</f>
        <v>0.3247569444</v>
      </c>
      <c r="D348" s="6" t="str">
        <f>IFERROR(__xludf.DUMMYFUNCTION("""COMPUTED_VALUE"""),"SpBEND483335")</f>
        <v>SpBEND483335</v>
      </c>
      <c r="E348" s="251"/>
      <c r="F348" s="251"/>
      <c r="G348" s="251" t="str">
        <f>IFERROR(__xludf.DUMMYFUNCTION("""COMPUTED_VALUE"""),"Positive")</f>
        <v>Positive</v>
      </c>
      <c r="H348" s="262" t="str">
        <f>IFERROR(__xludf.DUMMYFUNCTION("""COMPUTED_VALUE"""),"Positive")</f>
        <v>Positive</v>
      </c>
      <c r="I348" s="204">
        <f>IFERROR(__xludf.DUMMYFUNCTION("""COMPUTED_VALUE"""),44604.0)</f>
        <v>44604</v>
      </c>
      <c r="J348" s="252">
        <f>IFERROR(__xludf.DUMMYFUNCTION("""COMPUTED_VALUE"""),0.3936689814814815)</f>
        <v>0.3936689815</v>
      </c>
      <c r="K348" s="56"/>
      <c r="L348" s="6"/>
      <c r="M348" s="61"/>
      <c r="N348" s="61">
        <f>IFERROR(__xludf.DUMMYFUNCTION("""COMPUTED_VALUE"""),1.0)</f>
        <v>1</v>
      </c>
      <c r="O348" s="61" t="str">
        <f t="shared" si="3"/>
        <v/>
      </c>
      <c r="P348" s="253">
        <f>IFERROR(__xludf.DUMMYFUNCTION("""COMPUTED_VALUE"""),0.0)</f>
        <v>0</v>
      </c>
      <c r="Q348" s="254" t="b">
        <f>VLOOKUP($B348,'Run Reconcile'!B$2:O799,14,FALSE)</f>
        <v>1</v>
      </c>
      <c r="R348" s="255" t="str">
        <f t="array" ref="R348">IF($Q348, INDEX('Run Reconcile'!A$2:A799,MATCH(B348,'Run Reconcile'!B$2:B799,0),1),IFERROR(0/0,""))</f>
        <v>RUN-BEND_2022-02-12_RFR-031</v>
      </c>
      <c r="S348" s="261" t="str">
        <f t="shared" ref="S348:T348" si="703">IF(COUNTIF(W$2:W799, $A348) &gt; 0,TRUE,IFERROR(0/0,""))</f>
        <v/>
      </c>
      <c r="T348" s="261" t="str">
        <f t="shared" si="703"/>
        <v/>
      </c>
      <c r="U348" s="257" t="str">
        <f t="array" ref="U348">IF(ISBLANK($R348), INDEX('Run Reconcile'!A$2:A799, MATCH($B348, 'Run Reconcile'!B$2:B799, 0)+Z348, 1), IFERROR(0/0,""))
</f>
        <v/>
      </c>
      <c r="V348" s="258" t="str">
        <f t="shared" si="480"/>
        <v>RUN-BEND_2022-02-12_RFR-031</v>
      </c>
      <c r="Y348" s="130" t="str">
        <f t="shared" si="487"/>
        <v/>
      </c>
      <c r="Z348" s="49" t="str">
        <f t="shared" si="7"/>
        <v/>
      </c>
      <c r="AA348" s="49" t="str">
        <f t="shared" si="8"/>
        <v/>
      </c>
      <c r="AB348" s="49" t="str">
        <f t="shared" si="9"/>
        <v/>
      </c>
      <c r="AC348" s="20" t="str">
        <f t="shared" ref="AC348:AD348" si="704">IF(_xlfn.ISFORMULA(S348),IFERROR(0/0,""),TRUE)</f>
        <v/>
      </c>
      <c r="AD348" s="20" t="str">
        <f t="shared" si="704"/>
        <v/>
      </c>
      <c r="AE348" s="43"/>
      <c r="AF348" s="62" t="s">
        <v>55</v>
      </c>
      <c r="AG348" s="57" t="str">
        <f t="shared" si="11"/>
        <v/>
      </c>
    </row>
    <row r="349">
      <c r="A349" s="6" t="str">
        <f>IFERROR(__xludf.DUMMYFUNCTION("""COMPUTED_VALUE"""),"FM1")</f>
        <v>FM1</v>
      </c>
      <c r="B349" s="204">
        <f>IFERROR(__xludf.DUMMYFUNCTION("""COMPUTED_VALUE"""),44607.0)</f>
        <v>44607</v>
      </c>
      <c r="C349" s="250">
        <f>IFERROR(__xludf.DUMMYFUNCTION("""COMPUTED_VALUE"""),0.2629282407407407)</f>
        <v>0.2629282407</v>
      </c>
      <c r="D349" s="6" t="str">
        <f>IFERROR(__xludf.DUMMYFUNCTION("""COMPUTED_VALUE"""),"SpBEND617677")</f>
        <v>SpBEND617677</v>
      </c>
      <c r="E349" s="251"/>
      <c r="F349" s="251"/>
      <c r="G349" s="251" t="str">
        <f>IFERROR(__xludf.DUMMYFUNCTION("""COMPUTED_VALUE"""),"Negative")</f>
        <v>Negative</v>
      </c>
      <c r="H349" s="262" t="str">
        <f>IFERROR(__xludf.DUMMYFUNCTION("""COMPUTED_VALUE"""),"Negative")</f>
        <v>Negative</v>
      </c>
      <c r="I349" s="204">
        <f>IFERROR(__xludf.DUMMYFUNCTION("""COMPUTED_VALUE"""),44607.0)</f>
        <v>44607</v>
      </c>
      <c r="J349" s="252">
        <f>IFERROR(__xludf.DUMMYFUNCTION("""COMPUTED_VALUE"""),0.5867939814814814)</f>
        <v>0.5867939815</v>
      </c>
      <c r="K349" s="56"/>
      <c r="L349" s="6"/>
      <c r="M349" s="61"/>
      <c r="N349" s="61">
        <f>IFERROR(__xludf.DUMMYFUNCTION("""COMPUTED_VALUE"""),1.0)</f>
        <v>1</v>
      </c>
      <c r="O349" s="61" t="b">
        <f t="shared" si="3"/>
        <v>1</v>
      </c>
      <c r="P349" s="253">
        <f>IFERROR(__xludf.DUMMYFUNCTION("""COMPUTED_VALUE"""),0.0)</f>
        <v>0</v>
      </c>
      <c r="Q349" s="254" t="b">
        <f>VLOOKUP($B349,'Run Reconcile'!B$2:O799,14,FALSE)</f>
        <v>1</v>
      </c>
      <c r="R349" s="255" t="str">
        <f t="array" ref="R349">IF($Q349, INDEX('Run Reconcile'!A$2:A799,MATCH(B349,'Run Reconcile'!B$2:B799,0),1),IFERROR(0/0,""))</f>
        <v>RUN-BEND_2022-02-15_RFR-032</v>
      </c>
      <c r="S349" s="261" t="str">
        <f t="shared" ref="S349:T349" si="705">IF(COUNTIF(W$2:W799, $A349) &gt; 0,TRUE,IFERROR(0/0,""))</f>
        <v/>
      </c>
      <c r="T349" s="261" t="str">
        <f t="shared" si="705"/>
        <v/>
      </c>
      <c r="U349" s="257" t="str">
        <f t="array" ref="U349">IF(ISBLANK($R349), INDEX('Run Reconcile'!A$2:A799, MATCH($B349, 'Run Reconcile'!B$2:B799, 0)+Z349, 1), IFERROR(0/0,""))
</f>
        <v/>
      </c>
      <c r="V349" s="258" t="str">
        <f t="shared" si="480"/>
        <v>RUN-BEND_2022-02-15_RFR-032</v>
      </c>
      <c r="Y349" s="130" t="str">
        <f t="shared" si="487"/>
        <v/>
      </c>
      <c r="Z349" s="49" t="str">
        <f t="shared" si="7"/>
        <v/>
      </c>
      <c r="AA349" s="49" t="str">
        <f t="shared" si="8"/>
        <v/>
      </c>
      <c r="AB349" s="49" t="str">
        <f t="shared" si="9"/>
        <v/>
      </c>
      <c r="AC349" s="20" t="str">
        <f t="shared" ref="AC349:AD349" si="706">IF(_xlfn.ISFORMULA(S349),IFERROR(0/0,""),TRUE)</f>
        <v/>
      </c>
      <c r="AD349" s="20" t="str">
        <f t="shared" si="706"/>
        <v/>
      </c>
      <c r="AE349" s="43"/>
      <c r="AF349" s="62" t="s">
        <v>56</v>
      </c>
      <c r="AG349" s="57" t="str">
        <f t="shared" si="11"/>
        <v/>
      </c>
    </row>
    <row r="350">
      <c r="A350" s="6" t="str">
        <f>IFERROR(__xludf.DUMMYFUNCTION("""COMPUTED_VALUE"""),"MA362")</f>
        <v>MA362</v>
      </c>
      <c r="B350" s="204">
        <f>IFERROR(__xludf.DUMMYFUNCTION("""COMPUTED_VALUE"""),44607.0)</f>
        <v>44607</v>
      </c>
      <c r="C350" s="250">
        <f>IFERROR(__xludf.DUMMYFUNCTION("""COMPUTED_VALUE"""),0.2821412037037037)</f>
        <v>0.2821412037</v>
      </c>
      <c r="D350" s="6" t="str">
        <f>IFERROR(__xludf.DUMMYFUNCTION("""COMPUTED_VALUE"""),"SpBEND947055")</f>
        <v>SpBEND947055</v>
      </c>
      <c r="E350" s="251"/>
      <c r="F350" s="251"/>
      <c r="G350" s="251" t="str">
        <f>IFERROR(__xludf.DUMMYFUNCTION("""COMPUTED_VALUE"""),"Negative")</f>
        <v>Negative</v>
      </c>
      <c r="H350" s="262" t="str">
        <f>IFERROR(__xludf.DUMMYFUNCTION("""COMPUTED_VALUE"""),"Negative")</f>
        <v>Negative</v>
      </c>
      <c r="I350" s="204">
        <f>IFERROR(__xludf.DUMMYFUNCTION("""COMPUTED_VALUE"""),44607.0)</f>
        <v>44607</v>
      </c>
      <c r="J350" s="252">
        <f>IFERROR(__xludf.DUMMYFUNCTION("""COMPUTED_VALUE"""),0.5867939814814814)</f>
        <v>0.5867939815</v>
      </c>
      <c r="K350" s="56"/>
      <c r="L350" s="6"/>
      <c r="M350" s="61"/>
      <c r="N350" s="61">
        <f>IFERROR(__xludf.DUMMYFUNCTION("""COMPUTED_VALUE"""),1.0)</f>
        <v>1</v>
      </c>
      <c r="O350" s="61" t="str">
        <f t="shared" si="3"/>
        <v/>
      </c>
      <c r="P350" s="253">
        <f>IFERROR(__xludf.DUMMYFUNCTION("""COMPUTED_VALUE"""),0.0)</f>
        <v>0</v>
      </c>
      <c r="Q350" s="254" t="b">
        <f>VLOOKUP($B350,'Run Reconcile'!B$2:O799,14,FALSE)</f>
        <v>1</v>
      </c>
      <c r="R350" s="255" t="str">
        <f t="array" ref="R350">IF($Q350, INDEX('Run Reconcile'!A$2:A799,MATCH(B350,'Run Reconcile'!B$2:B799,0),1),IFERROR(0/0,""))</f>
        <v>RUN-BEND_2022-02-15_RFR-032</v>
      </c>
      <c r="S350" s="261" t="str">
        <f t="shared" ref="S350:T350" si="707">IF(COUNTIF(W$2:W799, $A350) &gt; 0,TRUE,IFERROR(0/0,""))</f>
        <v/>
      </c>
      <c r="T350" s="261" t="str">
        <f t="shared" si="707"/>
        <v/>
      </c>
      <c r="U350" s="257" t="str">
        <f t="array" ref="U350">IF(ISBLANK($R350), INDEX('Run Reconcile'!A$2:A799, MATCH($B350, 'Run Reconcile'!B$2:B799, 0)+Z350, 1), IFERROR(0/0,""))
</f>
        <v/>
      </c>
      <c r="V350" s="258" t="str">
        <f t="shared" si="480"/>
        <v>RUN-BEND_2022-02-15_RFR-032</v>
      </c>
      <c r="Y350" s="130" t="str">
        <f t="shared" si="487"/>
        <v/>
      </c>
      <c r="Z350" s="49" t="str">
        <f t="shared" si="7"/>
        <v/>
      </c>
      <c r="AA350" s="49" t="str">
        <f t="shared" si="8"/>
        <v/>
      </c>
      <c r="AB350" s="49" t="str">
        <f t="shared" si="9"/>
        <v/>
      </c>
      <c r="AC350" s="20" t="str">
        <f t="shared" ref="AC350:AD350" si="708">IF(_xlfn.ISFORMULA(S350),IFERROR(0/0,""),TRUE)</f>
        <v/>
      </c>
      <c r="AD350" s="20" t="str">
        <f t="shared" si="708"/>
        <v/>
      </c>
      <c r="AE350" s="43"/>
      <c r="AF350" s="62" t="s">
        <v>56</v>
      </c>
      <c r="AG350" s="57" t="str">
        <f t="shared" si="11"/>
        <v/>
      </c>
    </row>
    <row r="351">
      <c r="A351" s="6" t="str">
        <f>IFERROR(__xludf.DUMMYFUNCTION("""COMPUTED_VALUE"""),"MA1050")</f>
        <v>MA1050</v>
      </c>
      <c r="B351" s="204">
        <f>IFERROR(__xludf.DUMMYFUNCTION("""COMPUTED_VALUE"""),44607.0)</f>
        <v>44607</v>
      </c>
      <c r="C351" s="250">
        <f>IFERROR(__xludf.DUMMYFUNCTION("""COMPUTED_VALUE"""),0.29532407407407407)</f>
        <v>0.2953240741</v>
      </c>
      <c r="D351" s="6" t="str">
        <f>IFERROR(__xludf.DUMMYFUNCTION("""COMPUTED_VALUE"""),"SpBEND271847")</f>
        <v>SpBEND271847</v>
      </c>
      <c r="E351" s="251"/>
      <c r="F351" s="251"/>
      <c r="G351" s="251" t="str">
        <f>IFERROR(__xludf.DUMMYFUNCTION("""COMPUTED_VALUE"""),"Negative")</f>
        <v>Negative</v>
      </c>
      <c r="H351" s="262" t="str">
        <f>IFERROR(__xludf.DUMMYFUNCTION("""COMPUTED_VALUE"""),"Negative")</f>
        <v>Negative</v>
      </c>
      <c r="I351" s="204">
        <f>IFERROR(__xludf.DUMMYFUNCTION("""COMPUTED_VALUE"""),44607.0)</f>
        <v>44607</v>
      </c>
      <c r="J351" s="252">
        <f>IFERROR(__xludf.DUMMYFUNCTION("""COMPUTED_VALUE"""),0.5867939814814814)</f>
        <v>0.5867939815</v>
      </c>
      <c r="K351" s="56"/>
      <c r="L351" s="6"/>
      <c r="M351" s="61"/>
      <c r="N351" s="61">
        <f>IFERROR(__xludf.DUMMYFUNCTION("""COMPUTED_VALUE"""),1.0)</f>
        <v>1</v>
      </c>
      <c r="O351" s="61" t="str">
        <f t="shared" si="3"/>
        <v/>
      </c>
      <c r="P351" s="253">
        <f>IFERROR(__xludf.DUMMYFUNCTION("""COMPUTED_VALUE"""),0.0)</f>
        <v>0</v>
      </c>
      <c r="Q351" s="254" t="b">
        <f>VLOOKUP($B351,'Run Reconcile'!B$2:O799,14,FALSE)</f>
        <v>1</v>
      </c>
      <c r="R351" s="255" t="str">
        <f t="array" ref="R351">IF($Q351, INDEX('Run Reconcile'!A$2:A799,MATCH(B351,'Run Reconcile'!B$2:B799,0),1),IFERROR(0/0,""))</f>
        <v>RUN-BEND_2022-02-15_RFR-032</v>
      </c>
      <c r="S351" s="261" t="str">
        <f t="shared" ref="S351:T351" si="709">IF(COUNTIF(W$2:W799, $A351) &gt; 0,TRUE,IFERROR(0/0,""))</f>
        <v/>
      </c>
      <c r="T351" s="261" t="str">
        <f t="shared" si="709"/>
        <v/>
      </c>
      <c r="U351" s="257" t="str">
        <f t="array" ref="U351">IF(ISBLANK($R351), INDEX('Run Reconcile'!A$2:A799, MATCH($B351, 'Run Reconcile'!B$2:B799, 0)+Z351, 1), IFERROR(0/0,""))
</f>
        <v/>
      </c>
      <c r="V351" s="258" t="str">
        <f t="shared" si="480"/>
        <v>RUN-BEND_2022-02-15_RFR-032</v>
      </c>
      <c r="Y351" s="130" t="str">
        <f t="shared" si="487"/>
        <v/>
      </c>
      <c r="Z351" s="49" t="str">
        <f t="shared" si="7"/>
        <v/>
      </c>
      <c r="AA351" s="49" t="str">
        <f t="shared" si="8"/>
        <v/>
      </c>
      <c r="AB351" s="49" t="str">
        <f t="shared" si="9"/>
        <v/>
      </c>
      <c r="AC351" s="20" t="str">
        <f t="shared" ref="AC351:AD351" si="710">IF(_xlfn.ISFORMULA(S351),IFERROR(0/0,""),TRUE)</f>
        <v/>
      </c>
      <c r="AD351" s="20" t="str">
        <f t="shared" si="710"/>
        <v/>
      </c>
      <c r="AE351" s="43"/>
      <c r="AF351" s="62" t="s">
        <v>56</v>
      </c>
      <c r="AG351" s="57" t="str">
        <f t="shared" si="11"/>
        <v/>
      </c>
    </row>
    <row r="352">
      <c r="A352" s="6" t="str">
        <f>IFERROR(__xludf.DUMMYFUNCTION("""COMPUTED_VALUE"""),"MA398")</f>
        <v>MA398</v>
      </c>
      <c r="B352" s="204">
        <f>IFERROR(__xludf.DUMMYFUNCTION("""COMPUTED_VALUE"""),44607.0)</f>
        <v>44607</v>
      </c>
      <c r="C352" s="250">
        <f>IFERROR(__xludf.DUMMYFUNCTION("""COMPUTED_VALUE"""),0.2986226851851852)</f>
        <v>0.2986226852</v>
      </c>
      <c r="D352" s="6" t="str">
        <f>IFERROR(__xludf.DUMMYFUNCTION("""COMPUTED_VALUE"""),"SpBEND842248")</f>
        <v>SpBEND842248</v>
      </c>
      <c r="E352" s="251"/>
      <c r="F352" s="251"/>
      <c r="G352" s="251" t="str">
        <f>IFERROR(__xludf.DUMMYFUNCTION("""COMPUTED_VALUE"""),"Negative")</f>
        <v>Negative</v>
      </c>
      <c r="H352" s="262" t="str">
        <f>IFERROR(__xludf.DUMMYFUNCTION("""COMPUTED_VALUE"""),"Negative")</f>
        <v>Negative</v>
      </c>
      <c r="I352" s="204">
        <f>IFERROR(__xludf.DUMMYFUNCTION("""COMPUTED_VALUE"""),44607.0)</f>
        <v>44607</v>
      </c>
      <c r="J352" s="252">
        <f>IFERROR(__xludf.DUMMYFUNCTION("""COMPUTED_VALUE"""),0.5867939814814814)</f>
        <v>0.5867939815</v>
      </c>
      <c r="K352" s="56"/>
      <c r="L352" s="6"/>
      <c r="M352" s="61"/>
      <c r="N352" s="61">
        <f>IFERROR(__xludf.DUMMYFUNCTION("""COMPUTED_VALUE"""),1.0)</f>
        <v>1</v>
      </c>
      <c r="O352" s="61" t="str">
        <f t="shared" si="3"/>
        <v/>
      </c>
      <c r="P352" s="253">
        <f>IFERROR(__xludf.DUMMYFUNCTION("""COMPUTED_VALUE"""),0.0)</f>
        <v>0</v>
      </c>
      <c r="Q352" s="254" t="b">
        <f>VLOOKUP($B352,'Run Reconcile'!B$2:O799,14,FALSE)</f>
        <v>1</v>
      </c>
      <c r="R352" s="255" t="str">
        <f t="array" ref="R352">IF($Q352, INDEX('Run Reconcile'!A$2:A799,MATCH(B352,'Run Reconcile'!B$2:B799,0),1),IFERROR(0/0,""))</f>
        <v>RUN-BEND_2022-02-15_RFR-032</v>
      </c>
      <c r="S352" s="261" t="str">
        <f t="shared" ref="S352:T352" si="711">IF(COUNTIF(W$2:W799, $A352) &gt; 0,TRUE,IFERROR(0/0,""))</f>
        <v/>
      </c>
      <c r="T352" s="261" t="str">
        <f t="shared" si="711"/>
        <v/>
      </c>
      <c r="U352" s="257" t="str">
        <f t="array" ref="U352">IF(ISBLANK($R352), INDEX('Run Reconcile'!A$2:A799, MATCH($B352, 'Run Reconcile'!B$2:B799, 0)+Z352, 1), IFERROR(0/0,""))
</f>
        <v/>
      </c>
      <c r="V352" s="258" t="str">
        <f t="shared" si="480"/>
        <v>RUN-BEND_2022-02-15_RFR-032</v>
      </c>
      <c r="Y352" s="130" t="str">
        <f t="shared" si="487"/>
        <v/>
      </c>
      <c r="Z352" s="49" t="str">
        <f t="shared" si="7"/>
        <v/>
      </c>
      <c r="AA352" s="49" t="str">
        <f t="shared" si="8"/>
        <v/>
      </c>
      <c r="AB352" s="49" t="str">
        <f t="shared" si="9"/>
        <v/>
      </c>
      <c r="AC352" s="20" t="str">
        <f t="shared" ref="AC352:AD352" si="712">IF(_xlfn.ISFORMULA(S352),IFERROR(0/0,""),TRUE)</f>
        <v/>
      </c>
      <c r="AD352" s="20" t="str">
        <f t="shared" si="712"/>
        <v/>
      </c>
      <c r="AE352" s="43"/>
      <c r="AF352" s="62" t="s">
        <v>56</v>
      </c>
      <c r="AG352" s="57" t="str">
        <f t="shared" si="11"/>
        <v/>
      </c>
    </row>
    <row r="353">
      <c r="A353" s="6" t="str">
        <f>IFERROR(__xludf.DUMMYFUNCTION("""COMPUTED_VALUE"""),"FM459")</f>
        <v>FM459</v>
      </c>
      <c r="B353" s="204">
        <f>IFERROR(__xludf.DUMMYFUNCTION("""COMPUTED_VALUE"""),44607.0)</f>
        <v>44607</v>
      </c>
      <c r="C353" s="250">
        <f>IFERROR(__xludf.DUMMYFUNCTION("""COMPUTED_VALUE"""),0.2989583333333333)</f>
        <v>0.2989583333</v>
      </c>
      <c r="D353" s="6" t="str">
        <f>IFERROR(__xludf.DUMMYFUNCTION("""COMPUTED_VALUE"""),"SpBEND734943")</f>
        <v>SpBEND734943</v>
      </c>
      <c r="E353" s="251"/>
      <c r="F353" s="251"/>
      <c r="G353" s="251" t="str">
        <f>IFERROR(__xludf.DUMMYFUNCTION("""COMPUTED_VALUE"""),"Negative")</f>
        <v>Negative</v>
      </c>
      <c r="H353" s="262" t="str">
        <f>IFERROR(__xludf.DUMMYFUNCTION("""COMPUTED_VALUE"""),"Negative")</f>
        <v>Negative</v>
      </c>
      <c r="I353" s="204">
        <f>IFERROR(__xludf.DUMMYFUNCTION("""COMPUTED_VALUE"""),44607.0)</f>
        <v>44607</v>
      </c>
      <c r="J353" s="252">
        <f>IFERROR(__xludf.DUMMYFUNCTION("""COMPUTED_VALUE"""),0.5867939814814814)</f>
        <v>0.5867939815</v>
      </c>
      <c r="K353" s="56"/>
      <c r="L353" s="6"/>
      <c r="M353" s="61"/>
      <c r="N353" s="61">
        <f>IFERROR(__xludf.DUMMYFUNCTION("""COMPUTED_VALUE"""),1.0)</f>
        <v>1</v>
      </c>
      <c r="O353" s="61" t="str">
        <f t="shared" si="3"/>
        <v/>
      </c>
      <c r="P353" s="253">
        <f>IFERROR(__xludf.DUMMYFUNCTION("""COMPUTED_VALUE"""),0.0)</f>
        <v>0</v>
      </c>
      <c r="Q353" s="254" t="b">
        <f>VLOOKUP($B353,'Run Reconcile'!B$2:O799,14,FALSE)</f>
        <v>1</v>
      </c>
      <c r="R353" s="255" t="str">
        <f t="array" ref="R353">IF($Q353, INDEX('Run Reconcile'!A$2:A799,MATCH(B353,'Run Reconcile'!B$2:B799,0),1),IFERROR(0/0,""))</f>
        <v>RUN-BEND_2022-02-15_RFR-032</v>
      </c>
      <c r="S353" s="261" t="str">
        <f t="shared" ref="S353:T353" si="713">IF(COUNTIF(W$2:W799, $A353) &gt; 0,TRUE,IFERROR(0/0,""))</f>
        <v/>
      </c>
      <c r="T353" s="261" t="str">
        <f t="shared" si="713"/>
        <v/>
      </c>
      <c r="U353" s="257" t="str">
        <f t="array" ref="U353">IF(ISBLANK($R353), INDEX('Run Reconcile'!A$2:A799, MATCH($B353, 'Run Reconcile'!B$2:B799, 0)+Z353, 1), IFERROR(0/0,""))
</f>
        <v/>
      </c>
      <c r="V353" s="258" t="str">
        <f t="shared" si="480"/>
        <v>RUN-BEND_2022-02-15_RFR-032</v>
      </c>
      <c r="Y353" s="130" t="str">
        <f t="shared" si="487"/>
        <v/>
      </c>
      <c r="Z353" s="49" t="str">
        <f t="shared" si="7"/>
        <v/>
      </c>
      <c r="AA353" s="49" t="str">
        <f t="shared" si="8"/>
        <v/>
      </c>
      <c r="AB353" s="49" t="str">
        <f t="shared" si="9"/>
        <v/>
      </c>
      <c r="AC353" s="20" t="str">
        <f t="shared" ref="AC353:AD353" si="714">IF(_xlfn.ISFORMULA(S353),IFERROR(0/0,""),TRUE)</f>
        <v/>
      </c>
      <c r="AD353" s="20" t="str">
        <f t="shared" si="714"/>
        <v/>
      </c>
      <c r="AE353" s="43"/>
      <c r="AF353" s="62" t="s">
        <v>56</v>
      </c>
      <c r="AG353" s="57" t="str">
        <f t="shared" si="11"/>
        <v/>
      </c>
    </row>
    <row r="354">
      <c r="A354" s="6" t="str">
        <f>IFERROR(__xludf.DUMMYFUNCTION("""COMPUTED_VALUE"""),"FM485")</f>
        <v>FM485</v>
      </c>
      <c r="B354" s="204">
        <f>IFERROR(__xludf.DUMMYFUNCTION("""COMPUTED_VALUE"""),44607.0)</f>
        <v>44607</v>
      </c>
      <c r="C354" s="250">
        <f>IFERROR(__xludf.DUMMYFUNCTION("""COMPUTED_VALUE"""),0.30033564814814817)</f>
        <v>0.3003356481</v>
      </c>
      <c r="D354" s="6" t="str">
        <f>IFERROR(__xludf.DUMMYFUNCTION("""COMPUTED_VALUE"""),"SpBEND551372")</f>
        <v>SpBEND551372</v>
      </c>
      <c r="E354" s="251"/>
      <c r="F354" s="251"/>
      <c r="G354" s="251" t="str">
        <f>IFERROR(__xludf.DUMMYFUNCTION("""COMPUTED_VALUE"""),"Negative")</f>
        <v>Negative</v>
      </c>
      <c r="H354" s="262" t="str">
        <f>IFERROR(__xludf.DUMMYFUNCTION("""COMPUTED_VALUE"""),"Negative")</f>
        <v>Negative</v>
      </c>
      <c r="I354" s="204">
        <f>IFERROR(__xludf.DUMMYFUNCTION("""COMPUTED_VALUE"""),44607.0)</f>
        <v>44607</v>
      </c>
      <c r="J354" s="252">
        <f>IFERROR(__xludf.DUMMYFUNCTION("""COMPUTED_VALUE"""),0.5867939814814814)</f>
        <v>0.5867939815</v>
      </c>
      <c r="K354" s="56"/>
      <c r="L354" s="6"/>
      <c r="M354" s="61"/>
      <c r="N354" s="61">
        <f>IFERROR(__xludf.DUMMYFUNCTION("""COMPUTED_VALUE"""),1.0)</f>
        <v>1</v>
      </c>
      <c r="O354" s="61" t="str">
        <f t="shared" si="3"/>
        <v/>
      </c>
      <c r="P354" s="253">
        <f>IFERROR(__xludf.DUMMYFUNCTION("""COMPUTED_VALUE"""),0.0)</f>
        <v>0</v>
      </c>
      <c r="Q354" s="254" t="b">
        <f>VLOOKUP($B354,'Run Reconcile'!B$2:O799,14,FALSE)</f>
        <v>1</v>
      </c>
      <c r="R354" s="255" t="str">
        <f t="array" ref="R354">IF($Q354, INDEX('Run Reconcile'!A$2:A799,MATCH(B354,'Run Reconcile'!B$2:B799,0),1),IFERROR(0/0,""))</f>
        <v>RUN-BEND_2022-02-15_RFR-032</v>
      </c>
      <c r="S354" s="261" t="str">
        <f t="shared" ref="S354:T354" si="715">IF(COUNTIF(W$2:W799, $A354) &gt; 0,TRUE,IFERROR(0/0,""))</f>
        <v/>
      </c>
      <c r="T354" s="261" t="str">
        <f t="shared" si="715"/>
        <v/>
      </c>
      <c r="U354" s="257" t="str">
        <f t="array" ref="U354">IF(ISBLANK($R354), INDEX('Run Reconcile'!A$2:A799, MATCH($B354, 'Run Reconcile'!B$2:B799, 0)+Z354, 1), IFERROR(0/0,""))
</f>
        <v/>
      </c>
      <c r="V354" s="258" t="str">
        <f t="shared" si="480"/>
        <v>RUN-BEND_2022-02-15_RFR-032</v>
      </c>
      <c r="Y354" s="130" t="str">
        <f t="shared" si="487"/>
        <v/>
      </c>
      <c r="Z354" s="49" t="str">
        <f t="shared" si="7"/>
        <v/>
      </c>
      <c r="AA354" s="49" t="str">
        <f t="shared" si="8"/>
        <v/>
      </c>
      <c r="AB354" s="49" t="str">
        <f t="shared" si="9"/>
        <v/>
      </c>
      <c r="AC354" s="20" t="str">
        <f t="shared" ref="AC354:AD354" si="716">IF(_xlfn.ISFORMULA(S354),IFERROR(0/0,""),TRUE)</f>
        <v/>
      </c>
      <c r="AD354" s="20" t="str">
        <f t="shared" si="716"/>
        <v/>
      </c>
      <c r="AE354" s="43"/>
      <c r="AF354" s="62" t="s">
        <v>56</v>
      </c>
      <c r="AG354" s="57" t="str">
        <f t="shared" si="11"/>
        <v/>
      </c>
    </row>
    <row r="355">
      <c r="A355" s="6" t="str">
        <f>IFERROR(__xludf.DUMMYFUNCTION("""COMPUTED_VALUE"""),"MA189")</f>
        <v>MA189</v>
      </c>
      <c r="B355" s="204">
        <f>IFERROR(__xludf.DUMMYFUNCTION("""COMPUTED_VALUE"""),44607.0)</f>
        <v>44607</v>
      </c>
      <c r="C355" s="250">
        <f>IFERROR(__xludf.DUMMYFUNCTION("""COMPUTED_VALUE"""),0.31167824074074074)</f>
        <v>0.3116782407</v>
      </c>
      <c r="D355" s="6" t="str">
        <f>IFERROR(__xludf.DUMMYFUNCTION("""COMPUTED_VALUE"""),"SpBEND591184")</f>
        <v>SpBEND591184</v>
      </c>
      <c r="E355" s="251"/>
      <c r="F355" s="251"/>
      <c r="G355" s="251" t="str">
        <f>IFERROR(__xludf.DUMMYFUNCTION("""COMPUTED_VALUE"""),"Negative")</f>
        <v>Negative</v>
      </c>
      <c r="H355" s="262" t="str">
        <f>IFERROR(__xludf.DUMMYFUNCTION("""COMPUTED_VALUE"""),"Negative")</f>
        <v>Negative</v>
      </c>
      <c r="I355" s="204">
        <f>IFERROR(__xludf.DUMMYFUNCTION("""COMPUTED_VALUE"""),44607.0)</f>
        <v>44607</v>
      </c>
      <c r="J355" s="252">
        <f>IFERROR(__xludf.DUMMYFUNCTION("""COMPUTED_VALUE"""),0.5867939814814814)</f>
        <v>0.5867939815</v>
      </c>
      <c r="K355" s="56"/>
      <c r="L355" s="6"/>
      <c r="M355" s="61"/>
      <c r="N355" s="61">
        <f>IFERROR(__xludf.DUMMYFUNCTION("""COMPUTED_VALUE"""),1.0)</f>
        <v>1</v>
      </c>
      <c r="O355" s="61" t="str">
        <f t="shared" si="3"/>
        <v/>
      </c>
      <c r="P355" s="253">
        <f>IFERROR(__xludf.DUMMYFUNCTION("""COMPUTED_VALUE"""),0.0)</f>
        <v>0</v>
      </c>
      <c r="Q355" s="254" t="b">
        <f>VLOOKUP($B355,'Run Reconcile'!B$2:O799,14,FALSE)</f>
        <v>1</v>
      </c>
      <c r="R355" s="255" t="str">
        <f t="array" ref="R355">IF($Q355, INDEX('Run Reconcile'!A$2:A799,MATCH(B355,'Run Reconcile'!B$2:B799,0),1),IFERROR(0/0,""))</f>
        <v>RUN-BEND_2022-02-15_RFR-032</v>
      </c>
      <c r="S355" s="261" t="str">
        <f t="shared" ref="S355:T355" si="717">IF(COUNTIF(W$2:W799, $A355) &gt; 0,TRUE,IFERROR(0/0,""))</f>
        <v/>
      </c>
      <c r="T355" s="261" t="str">
        <f t="shared" si="717"/>
        <v/>
      </c>
      <c r="U355" s="257" t="str">
        <f t="array" ref="U355">IF(ISBLANK($R355), INDEX('Run Reconcile'!A$2:A799, MATCH($B355, 'Run Reconcile'!B$2:B799, 0)+Z355, 1), IFERROR(0/0,""))
</f>
        <v/>
      </c>
      <c r="V355" s="258" t="str">
        <f t="shared" si="480"/>
        <v>RUN-BEND_2022-02-15_RFR-032</v>
      </c>
      <c r="Y355" s="130" t="str">
        <f t="shared" si="487"/>
        <v/>
      </c>
      <c r="Z355" s="49" t="str">
        <f t="shared" si="7"/>
        <v/>
      </c>
      <c r="AA355" s="49" t="str">
        <f t="shared" si="8"/>
        <v/>
      </c>
      <c r="AB355" s="49" t="str">
        <f t="shared" si="9"/>
        <v/>
      </c>
      <c r="AC355" s="20" t="str">
        <f t="shared" ref="AC355:AD355" si="718">IF(_xlfn.ISFORMULA(S355),IFERROR(0/0,""),TRUE)</f>
        <v/>
      </c>
      <c r="AD355" s="20" t="str">
        <f t="shared" si="718"/>
        <v/>
      </c>
      <c r="AE355" s="43"/>
      <c r="AF355" s="62" t="s">
        <v>56</v>
      </c>
      <c r="AG355" s="57" t="str">
        <f t="shared" si="11"/>
        <v/>
      </c>
    </row>
    <row r="356">
      <c r="A356" s="6" t="str">
        <f>IFERROR(__xludf.DUMMYFUNCTION("""COMPUTED_VALUE"""),"FM73")</f>
        <v>FM73</v>
      </c>
      <c r="B356" s="204">
        <f>IFERROR(__xludf.DUMMYFUNCTION("""COMPUTED_VALUE"""),44607.0)</f>
        <v>44607</v>
      </c>
      <c r="C356" s="250">
        <f>IFERROR(__xludf.DUMMYFUNCTION("""COMPUTED_VALUE"""),0.3127083333333333)</f>
        <v>0.3127083333</v>
      </c>
      <c r="D356" s="6" t="str">
        <f>IFERROR(__xludf.DUMMYFUNCTION("""COMPUTED_VALUE"""),"SpBEND136234")</f>
        <v>SpBEND136234</v>
      </c>
      <c r="E356" s="251"/>
      <c r="F356" s="251"/>
      <c r="G356" s="251" t="str">
        <f>IFERROR(__xludf.DUMMYFUNCTION("""COMPUTED_VALUE"""),"Negative")</f>
        <v>Negative</v>
      </c>
      <c r="H356" s="262" t="str">
        <f>IFERROR(__xludf.DUMMYFUNCTION("""COMPUTED_VALUE"""),"Negative")</f>
        <v>Negative</v>
      </c>
      <c r="I356" s="204">
        <f>IFERROR(__xludf.DUMMYFUNCTION("""COMPUTED_VALUE"""),44607.0)</f>
        <v>44607</v>
      </c>
      <c r="J356" s="252">
        <f>IFERROR(__xludf.DUMMYFUNCTION("""COMPUTED_VALUE"""),0.5867939814814814)</f>
        <v>0.5867939815</v>
      </c>
      <c r="K356" s="56"/>
      <c r="L356" s="6"/>
      <c r="M356" s="61"/>
      <c r="N356" s="61">
        <f>IFERROR(__xludf.DUMMYFUNCTION("""COMPUTED_VALUE"""),1.0)</f>
        <v>1</v>
      </c>
      <c r="O356" s="61" t="str">
        <f t="shared" si="3"/>
        <v/>
      </c>
      <c r="P356" s="253">
        <f>IFERROR(__xludf.DUMMYFUNCTION("""COMPUTED_VALUE"""),0.0)</f>
        <v>0</v>
      </c>
      <c r="Q356" s="254" t="b">
        <f>VLOOKUP($B356,'Run Reconcile'!B$2:O799,14,FALSE)</f>
        <v>1</v>
      </c>
      <c r="R356" s="255" t="str">
        <f t="array" ref="R356">IF($Q356, INDEX('Run Reconcile'!A$2:A799,MATCH(B356,'Run Reconcile'!B$2:B799,0),1),IFERROR(0/0,""))</f>
        <v>RUN-BEND_2022-02-15_RFR-032</v>
      </c>
      <c r="S356" s="261" t="str">
        <f t="shared" ref="S356:T356" si="719">IF(COUNTIF(W$2:W799, $A356) &gt; 0,TRUE,IFERROR(0/0,""))</f>
        <v/>
      </c>
      <c r="T356" s="261" t="str">
        <f t="shared" si="719"/>
        <v/>
      </c>
      <c r="U356" s="257" t="str">
        <f t="array" ref="U356">IF(ISBLANK($R356), INDEX('Run Reconcile'!A$2:A799, MATCH($B356, 'Run Reconcile'!B$2:B799, 0)+Z356, 1), IFERROR(0/0,""))
</f>
        <v/>
      </c>
      <c r="V356" s="258" t="str">
        <f t="shared" si="480"/>
        <v>RUN-BEND_2022-02-15_RFR-032</v>
      </c>
      <c r="Y356" s="130" t="str">
        <f t="shared" si="487"/>
        <v/>
      </c>
      <c r="Z356" s="49" t="str">
        <f t="shared" si="7"/>
        <v/>
      </c>
      <c r="AA356" s="49" t="str">
        <f t="shared" si="8"/>
        <v/>
      </c>
      <c r="AB356" s="49" t="str">
        <f t="shared" si="9"/>
        <v/>
      </c>
      <c r="AC356" s="20" t="str">
        <f t="shared" ref="AC356:AD356" si="720">IF(_xlfn.ISFORMULA(S356),IFERROR(0/0,""),TRUE)</f>
        <v/>
      </c>
      <c r="AD356" s="20" t="str">
        <f t="shared" si="720"/>
        <v/>
      </c>
      <c r="AE356" s="43"/>
      <c r="AF356" s="62" t="s">
        <v>56</v>
      </c>
      <c r="AG356" s="57" t="str">
        <f t="shared" si="11"/>
        <v/>
      </c>
    </row>
    <row r="357">
      <c r="A357" s="6" t="str">
        <f>IFERROR(__xludf.DUMMYFUNCTION("""COMPUTED_VALUE"""),"MA294")</f>
        <v>MA294</v>
      </c>
      <c r="B357" s="204">
        <f>IFERROR(__xludf.DUMMYFUNCTION("""COMPUTED_VALUE"""),44607.0)</f>
        <v>44607</v>
      </c>
      <c r="C357" s="250">
        <f>IFERROR(__xludf.DUMMYFUNCTION("""COMPUTED_VALUE"""),0.31320601851851854)</f>
        <v>0.3132060185</v>
      </c>
      <c r="D357" s="6" t="str">
        <f>IFERROR(__xludf.DUMMYFUNCTION("""COMPUTED_VALUE"""),"SpBEND708976")</f>
        <v>SpBEND708976</v>
      </c>
      <c r="E357" s="251"/>
      <c r="F357" s="251"/>
      <c r="G357" s="251" t="str">
        <f>IFERROR(__xludf.DUMMYFUNCTION("""COMPUTED_VALUE"""),"Negative")</f>
        <v>Negative</v>
      </c>
      <c r="H357" s="262" t="str">
        <f>IFERROR(__xludf.DUMMYFUNCTION("""COMPUTED_VALUE"""),"Negative")</f>
        <v>Negative</v>
      </c>
      <c r="I357" s="204">
        <f>IFERROR(__xludf.DUMMYFUNCTION("""COMPUTED_VALUE"""),44607.0)</f>
        <v>44607</v>
      </c>
      <c r="J357" s="252">
        <f>IFERROR(__xludf.DUMMYFUNCTION("""COMPUTED_VALUE"""),0.5868055555555556)</f>
        <v>0.5868055556</v>
      </c>
      <c r="K357" s="56"/>
      <c r="L357" s="6"/>
      <c r="M357" s="61"/>
      <c r="N357" s="61">
        <f>IFERROR(__xludf.DUMMYFUNCTION("""COMPUTED_VALUE"""),1.0)</f>
        <v>1</v>
      </c>
      <c r="O357" s="61" t="str">
        <f t="shared" si="3"/>
        <v/>
      </c>
      <c r="P357" s="253">
        <f>IFERROR(__xludf.DUMMYFUNCTION("""COMPUTED_VALUE"""),0.0)</f>
        <v>0</v>
      </c>
      <c r="Q357" s="254" t="b">
        <f>VLOOKUP($B357,'Run Reconcile'!B$2:O799,14,FALSE)</f>
        <v>1</v>
      </c>
      <c r="R357" s="255" t="str">
        <f t="array" ref="R357">IF($Q357, INDEX('Run Reconcile'!A$2:A799,MATCH(B357,'Run Reconcile'!B$2:B799,0),1),IFERROR(0/0,""))</f>
        <v>RUN-BEND_2022-02-15_RFR-032</v>
      </c>
      <c r="S357" s="261" t="str">
        <f t="shared" ref="S357:T357" si="721">IF(COUNTIF(W$2:W799, $A357) &gt; 0,TRUE,IFERROR(0/0,""))</f>
        <v/>
      </c>
      <c r="T357" s="261" t="str">
        <f t="shared" si="721"/>
        <v/>
      </c>
      <c r="U357" s="257" t="str">
        <f t="array" ref="U357">IF(ISBLANK($R357), INDEX('Run Reconcile'!A$2:A799, MATCH($B357, 'Run Reconcile'!B$2:B799, 0)+Z357, 1), IFERROR(0/0,""))
</f>
        <v/>
      </c>
      <c r="V357" s="258" t="str">
        <f t="shared" si="480"/>
        <v>RUN-BEND_2022-02-15_RFR-032</v>
      </c>
      <c r="Y357" s="130" t="str">
        <f t="shared" si="487"/>
        <v/>
      </c>
      <c r="Z357" s="49" t="str">
        <f t="shared" si="7"/>
        <v/>
      </c>
      <c r="AA357" s="49" t="str">
        <f t="shared" si="8"/>
        <v/>
      </c>
      <c r="AB357" s="49" t="str">
        <f t="shared" si="9"/>
        <v/>
      </c>
      <c r="AC357" s="20" t="str">
        <f t="shared" ref="AC357:AD357" si="722">IF(_xlfn.ISFORMULA(S357),IFERROR(0/0,""),TRUE)</f>
        <v/>
      </c>
      <c r="AD357" s="20" t="str">
        <f t="shared" si="722"/>
        <v/>
      </c>
      <c r="AE357" s="43"/>
      <c r="AF357" s="62" t="s">
        <v>56</v>
      </c>
      <c r="AG357" s="57" t="str">
        <f t="shared" si="11"/>
        <v/>
      </c>
    </row>
    <row r="358">
      <c r="A358" s="6" t="str">
        <f>IFERROR(__xludf.DUMMYFUNCTION("""COMPUTED_VALUE"""),"MA290")</f>
        <v>MA290</v>
      </c>
      <c r="B358" s="204">
        <f>IFERROR(__xludf.DUMMYFUNCTION("""COMPUTED_VALUE"""),44607.0)</f>
        <v>44607</v>
      </c>
      <c r="C358" s="250">
        <f>IFERROR(__xludf.DUMMYFUNCTION("""COMPUTED_VALUE"""),0.31328703703703703)</f>
        <v>0.313287037</v>
      </c>
      <c r="D358" s="6" t="str">
        <f>IFERROR(__xludf.DUMMYFUNCTION("""COMPUTED_VALUE"""),"SpBEND634692")</f>
        <v>SpBEND634692</v>
      </c>
      <c r="E358" s="251"/>
      <c r="F358" s="251"/>
      <c r="G358" s="251" t="str">
        <f>IFERROR(__xludf.DUMMYFUNCTION("""COMPUTED_VALUE"""),"Negative")</f>
        <v>Negative</v>
      </c>
      <c r="H358" s="262" t="str">
        <f>IFERROR(__xludf.DUMMYFUNCTION("""COMPUTED_VALUE"""),"Negative")</f>
        <v>Negative</v>
      </c>
      <c r="I358" s="204">
        <f>IFERROR(__xludf.DUMMYFUNCTION("""COMPUTED_VALUE"""),44607.0)</f>
        <v>44607</v>
      </c>
      <c r="J358" s="252">
        <f>IFERROR(__xludf.DUMMYFUNCTION("""COMPUTED_VALUE"""),0.5868055555555556)</f>
        <v>0.5868055556</v>
      </c>
      <c r="K358" s="56"/>
      <c r="L358" s="6"/>
      <c r="M358" s="61"/>
      <c r="N358" s="61">
        <f>IFERROR(__xludf.DUMMYFUNCTION("""COMPUTED_VALUE"""),1.0)</f>
        <v>1</v>
      </c>
      <c r="O358" s="61" t="str">
        <f t="shared" si="3"/>
        <v/>
      </c>
      <c r="P358" s="253">
        <f>IFERROR(__xludf.DUMMYFUNCTION("""COMPUTED_VALUE"""),0.0)</f>
        <v>0</v>
      </c>
      <c r="Q358" s="254" t="b">
        <f>VLOOKUP($B358,'Run Reconcile'!B$2:O799,14,FALSE)</f>
        <v>1</v>
      </c>
      <c r="R358" s="255" t="str">
        <f t="array" ref="R358">IF($Q358, INDEX('Run Reconcile'!A$2:A799,MATCH(B358,'Run Reconcile'!B$2:B799,0),1),IFERROR(0/0,""))</f>
        <v>RUN-BEND_2022-02-15_RFR-032</v>
      </c>
      <c r="S358" s="261" t="str">
        <f t="shared" ref="S358:T358" si="723">IF(COUNTIF(W$2:W799, $A358) &gt; 0,TRUE,IFERROR(0/0,""))</f>
        <v/>
      </c>
      <c r="T358" s="261" t="str">
        <f t="shared" si="723"/>
        <v/>
      </c>
      <c r="U358" s="257" t="str">
        <f t="array" ref="U358">IF(ISBLANK($R358), INDEX('Run Reconcile'!A$2:A799, MATCH($B358, 'Run Reconcile'!B$2:B799, 0)+Z358, 1), IFERROR(0/0,""))
</f>
        <v/>
      </c>
      <c r="V358" s="258" t="str">
        <f t="shared" si="480"/>
        <v>RUN-BEND_2022-02-15_RFR-032</v>
      </c>
      <c r="Y358" s="130" t="str">
        <f t="shared" si="487"/>
        <v/>
      </c>
      <c r="Z358" s="49" t="str">
        <f t="shared" si="7"/>
        <v/>
      </c>
      <c r="AA358" s="49" t="str">
        <f t="shared" si="8"/>
        <v/>
      </c>
      <c r="AB358" s="49" t="str">
        <f t="shared" si="9"/>
        <v/>
      </c>
      <c r="AC358" s="20" t="str">
        <f t="shared" ref="AC358:AD358" si="724">IF(_xlfn.ISFORMULA(S358),IFERROR(0/0,""),TRUE)</f>
        <v/>
      </c>
      <c r="AD358" s="20" t="str">
        <f t="shared" si="724"/>
        <v/>
      </c>
      <c r="AE358" s="43"/>
      <c r="AF358" s="62" t="s">
        <v>56</v>
      </c>
      <c r="AG358" s="57" t="str">
        <f t="shared" si="11"/>
        <v/>
      </c>
    </row>
    <row r="359">
      <c r="A359" s="6" t="str">
        <f>IFERROR(__xludf.DUMMYFUNCTION("""COMPUTED_VALUE"""),"FM19")</f>
        <v>FM19</v>
      </c>
      <c r="B359" s="204">
        <f>IFERROR(__xludf.DUMMYFUNCTION("""COMPUTED_VALUE"""),44607.0)</f>
        <v>44607</v>
      </c>
      <c r="C359" s="250">
        <f>IFERROR(__xludf.DUMMYFUNCTION("""COMPUTED_VALUE"""),0.31342592592592594)</f>
        <v>0.3134259259</v>
      </c>
      <c r="D359" s="6" t="str">
        <f>IFERROR(__xludf.DUMMYFUNCTION("""COMPUTED_VALUE"""),"SpBEND481988")</f>
        <v>SpBEND481988</v>
      </c>
      <c r="E359" s="251"/>
      <c r="F359" s="251"/>
      <c r="G359" s="251" t="str">
        <f>IFERROR(__xludf.DUMMYFUNCTION("""COMPUTED_VALUE"""),"Negative")</f>
        <v>Negative</v>
      </c>
      <c r="H359" s="262" t="str">
        <f>IFERROR(__xludf.DUMMYFUNCTION("""COMPUTED_VALUE"""),"Negative")</f>
        <v>Negative</v>
      </c>
      <c r="I359" s="204">
        <f>IFERROR(__xludf.DUMMYFUNCTION("""COMPUTED_VALUE"""),44607.0)</f>
        <v>44607</v>
      </c>
      <c r="J359" s="252">
        <f>IFERROR(__xludf.DUMMYFUNCTION("""COMPUTED_VALUE"""),0.5868055555555556)</f>
        <v>0.5868055556</v>
      </c>
      <c r="K359" s="56"/>
      <c r="L359" s="6"/>
      <c r="M359" s="61"/>
      <c r="N359" s="61">
        <f>IFERROR(__xludf.DUMMYFUNCTION("""COMPUTED_VALUE"""),1.0)</f>
        <v>1</v>
      </c>
      <c r="O359" s="61" t="str">
        <f t="shared" si="3"/>
        <v/>
      </c>
      <c r="P359" s="253">
        <f>IFERROR(__xludf.DUMMYFUNCTION("""COMPUTED_VALUE"""),0.0)</f>
        <v>0</v>
      </c>
      <c r="Q359" s="254" t="b">
        <f>VLOOKUP($B359,'Run Reconcile'!B$2:O799,14,FALSE)</f>
        <v>1</v>
      </c>
      <c r="R359" s="255" t="str">
        <f t="array" ref="R359">IF($Q359, INDEX('Run Reconcile'!A$2:A799,MATCH(B359,'Run Reconcile'!B$2:B799,0),1),IFERROR(0/0,""))</f>
        <v>RUN-BEND_2022-02-15_RFR-032</v>
      </c>
      <c r="S359" s="261" t="str">
        <f t="shared" ref="S359:T359" si="725">IF(COUNTIF(W$2:W799, $A359) &gt; 0,TRUE,IFERROR(0/0,""))</f>
        <v/>
      </c>
      <c r="T359" s="261" t="str">
        <f t="shared" si="725"/>
        <v/>
      </c>
      <c r="U359" s="257" t="str">
        <f t="array" ref="U359">IF(ISBLANK($R359), INDEX('Run Reconcile'!A$2:A799, MATCH($B359, 'Run Reconcile'!B$2:B799, 0)+Z359, 1), IFERROR(0/0,""))
</f>
        <v/>
      </c>
      <c r="V359" s="258" t="str">
        <f t="shared" si="480"/>
        <v>RUN-BEND_2022-02-15_RFR-032</v>
      </c>
      <c r="Y359" s="130" t="str">
        <f t="shared" si="487"/>
        <v/>
      </c>
      <c r="Z359" s="49" t="str">
        <f t="shared" si="7"/>
        <v/>
      </c>
      <c r="AA359" s="49" t="str">
        <f t="shared" si="8"/>
        <v/>
      </c>
      <c r="AB359" s="49" t="str">
        <f t="shared" si="9"/>
        <v/>
      </c>
      <c r="AC359" s="20" t="str">
        <f t="shared" ref="AC359:AD359" si="726">IF(_xlfn.ISFORMULA(S359),IFERROR(0/0,""),TRUE)</f>
        <v/>
      </c>
      <c r="AD359" s="20" t="str">
        <f t="shared" si="726"/>
        <v/>
      </c>
      <c r="AE359" s="43"/>
      <c r="AF359" s="62" t="s">
        <v>56</v>
      </c>
      <c r="AG359" s="57" t="str">
        <f t="shared" si="11"/>
        <v/>
      </c>
    </row>
    <row r="360">
      <c r="A360" s="6" t="str">
        <f>IFERROR(__xludf.DUMMYFUNCTION("""COMPUTED_VALUE"""),"FM782")</f>
        <v>FM782</v>
      </c>
      <c r="B360" s="204">
        <f>IFERROR(__xludf.DUMMYFUNCTION("""COMPUTED_VALUE"""),44607.0)</f>
        <v>44607</v>
      </c>
      <c r="C360" s="250">
        <f>IFERROR(__xludf.DUMMYFUNCTION("""COMPUTED_VALUE"""),0.3134953703703704)</f>
        <v>0.3134953704</v>
      </c>
      <c r="D360" s="6" t="str">
        <f>IFERROR(__xludf.DUMMYFUNCTION("""COMPUTED_VALUE"""),"SpBEND691307")</f>
        <v>SpBEND691307</v>
      </c>
      <c r="E360" s="251"/>
      <c r="F360" s="251"/>
      <c r="G360" s="251" t="str">
        <f>IFERROR(__xludf.DUMMYFUNCTION("""COMPUTED_VALUE"""),"Negative")</f>
        <v>Negative</v>
      </c>
      <c r="H360" s="262" t="str">
        <f>IFERROR(__xludf.DUMMYFUNCTION("""COMPUTED_VALUE"""),"Negative")</f>
        <v>Negative</v>
      </c>
      <c r="I360" s="204">
        <f>IFERROR(__xludf.DUMMYFUNCTION("""COMPUTED_VALUE"""),44607.0)</f>
        <v>44607</v>
      </c>
      <c r="J360" s="252">
        <f>IFERROR(__xludf.DUMMYFUNCTION("""COMPUTED_VALUE"""),0.5868055555555556)</f>
        <v>0.5868055556</v>
      </c>
      <c r="K360" s="56"/>
      <c r="L360" s="6"/>
      <c r="M360" s="61"/>
      <c r="N360" s="61">
        <f>IFERROR(__xludf.DUMMYFUNCTION("""COMPUTED_VALUE"""),1.0)</f>
        <v>1</v>
      </c>
      <c r="O360" s="61" t="str">
        <f t="shared" si="3"/>
        <v/>
      </c>
      <c r="P360" s="253">
        <f>IFERROR(__xludf.DUMMYFUNCTION("""COMPUTED_VALUE"""),0.0)</f>
        <v>0</v>
      </c>
      <c r="Q360" s="254" t="b">
        <f>VLOOKUP($B360,'Run Reconcile'!B$2:O799,14,FALSE)</f>
        <v>1</v>
      </c>
      <c r="R360" s="255" t="str">
        <f t="array" ref="R360">IF($Q360, INDEX('Run Reconcile'!A$2:A799,MATCH(B360,'Run Reconcile'!B$2:B799,0),1),IFERROR(0/0,""))</f>
        <v>RUN-BEND_2022-02-15_RFR-032</v>
      </c>
      <c r="S360" s="261" t="str">
        <f t="shared" ref="S360:T360" si="727">IF(COUNTIF(W$2:W799, $A360) &gt; 0,TRUE,IFERROR(0/0,""))</f>
        <v/>
      </c>
      <c r="T360" s="261" t="str">
        <f t="shared" si="727"/>
        <v/>
      </c>
      <c r="U360" s="257" t="str">
        <f t="array" ref="U360">IF(ISBLANK($R360), INDEX('Run Reconcile'!A$2:A799, MATCH($B360, 'Run Reconcile'!B$2:B799, 0)+Z360, 1), IFERROR(0/0,""))
</f>
        <v/>
      </c>
      <c r="V360" s="258" t="str">
        <f t="shared" si="480"/>
        <v>RUN-BEND_2022-02-15_RFR-032</v>
      </c>
      <c r="Y360" s="130" t="str">
        <f t="shared" si="487"/>
        <v/>
      </c>
      <c r="Z360" s="49" t="str">
        <f t="shared" si="7"/>
        <v/>
      </c>
      <c r="AA360" s="49" t="str">
        <f t="shared" si="8"/>
        <v/>
      </c>
      <c r="AB360" s="49" t="str">
        <f t="shared" si="9"/>
        <v/>
      </c>
      <c r="AC360" s="20" t="str">
        <f t="shared" ref="AC360:AD360" si="728">IF(_xlfn.ISFORMULA(S360),IFERROR(0/0,""),TRUE)</f>
        <v/>
      </c>
      <c r="AD360" s="20" t="str">
        <f t="shared" si="728"/>
        <v/>
      </c>
      <c r="AE360" s="43"/>
      <c r="AF360" s="62" t="s">
        <v>56</v>
      </c>
      <c r="AG360" s="57" t="str">
        <f t="shared" si="11"/>
        <v/>
      </c>
    </row>
    <row r="361">
      <c r="A361" s="6" t="str">
        <f>IFERROR(__xludf.DUMMYFUNCTION("""COMPUTED_VALUE"""),"MA1064")</f>
        <v>MA1064</v>
      </c>
      <c r="B361" s="204">
        <f>IFERROR(__xludf.DUMMYFUNCTION("""COMPUTED_VALUE"""),44607.0)</f>
        <v>44607</v>
      </c>
      <c r="C361" s="250">
        <f>IFERROR(__xludf.DUMMYFUNCTION("""COMPUTED_VALUE"""),0.314224537037037)</f>
        <v>0.314224537</v>
      </c>
      <c r="D361" s="6" t="str">
        <f>IFERROR(__xludf.DUMMYFUNCTION("""COMPUTED_VALUE"""),"SpBEND985296")</f>
        <v>SpBEND985296</v>
      </c>
      <c r="E361" s="251"/>
      <c r="F361" s="251"/>
      <c r="G361" s="251" t="str">
        <f>IFERROR(__xludf.DUMMYFUNCTION("""COMPUTED_VALUE"""),"Negative")</f>
        <v>Negative</v>
      </c>
      <c r="H361" s="262" t="str">
        <f>IFERROR(__xludf.DUMMYFUNCTION("""COMPUTED_VALUE"""),"Negative")</f>
        <v>Negative</v>
      </c>
      <c r="I361" s="204">
        <f>IFERROR(__xludf.DUMMYFUNCTION("""COMPUTED_VALUE"""),44607.0)</f>
        <v>44607</v>
      </c>
      <c r="J361" s="252">
        <f>IFERROR(__xludf.DUMMYFUNCTION("""COMPUTED_VALUE"""),0.5868055555555556)</f>
        <v>0.5868055556</v>
      </c>
      <c r="K361" s="56"/>
      <c r="L361" s="6"/>
      <c r="M361" s="61"/>
      <c r="N361" s="61">
        <f>IFERROR(__xludf.DUMMYFUNCTION("""COMPUTED_VALUE"""),1.0)</f>
        <v>1</v>
      </c>
      <c r="O361" s="61" t="str">
        <f t="shared" si="3"/>
        <v/>
      </c>
      <c r="P361" s="253">
        <f>IFERROR(__xludf.DUMMYFUNCTION("""COMPUTED_VALUE"""),0.0)</f>
        <v>0</v>
      </c>
      <c r="Q361" s="254" t="b">
        <f>VLOOKUP($B361,'Run Reconcile'!B$2:O799,14,FALSE)</f>
        <v>1</v>
      </c>
      <c r="R361" s="255" t="str">
        <f t="array" ref="R361">IF($Q361, INDEX('Run Reconcile'!A$2:A799,MATCH(B361,'Run Reconcile'!B$2:B799,0),1),IFERROR(0/0,""))</f>
        <v>RUN-BEND_2022-02-15_RFR-032</v>
      </c>
      <c r="S361" s="261" t="str">
        <f t="shared" ref="S361:T361" si="729">IF(COUNTIF(W$2:W799, $A361) &gt; 0,TRUE,IFERROR(0/0,""))</f>
        <v/>
      </c>
      <c r="T361" s="261" t="str">
        <f t="shared" si="729"/>
        <v/>
      </c>
      <c r="U361" s="257" t="str">
        <f t="array" ref="U361">IF(ISBLANK($R361), INDEX('Run Reconcile'!A$2:A799, MATCH($B361, 'Run Reconcile'!B$2:B799, 0)+Z361, 1), IFERROR(0/0,""))
</f>
        <v/>
      </c>
      <c r="V361" s="258" t="str">
        <f t="shared" si="480"/>
        <v>RUN-BEND_2022-02-15_RFR-032</v>
      </c>
      <c r="Y361" s="130" t="str">
        <f t="shared" si="487"/>
        <v/>
      </c>
      <c r="Z361" s="49" t="str">
        <f t="shared" si="7"/>
        <v/>
      </c>
      <c r="AA361" s="49" t="str">
        <f t="shared" si="8"/>
        <v/>
      </c>
      <c r="AB361" s="49" t="str">
        <f t="shared" si="9"/>
        <v/>
      </c>
      <c r="AC361" s="20" t="str">
        <f t="shared" ref="AC361:AD361" si="730">IF(_xlfn.ISFORMULA(S361),IFERROR(0/0,""),TRUE)</f>
        <v/>
      </c>
      <c r="AD361" s="20" t="str">
        <f t="shared" si="730"/>
        <v/>
      </c>
      <c r="AE361" s="43"/>
      <c r="AF361" s="62" t="s">
        <v>56</v>
      </c>
      <c r="AG361" s="57" t="str">
        <f t="shared" si="11"/>
        <v/>
      </c>
    </row>
    <row r="362">
      <c r="A362" s="6" t="str">
        <f>IFERROR(__xludf.DUMMYFUNCTION("""COMPUTED_VALUE"""),"MA1103")</f>
        <v>MA1103</v>
      </c>
      <c r="B362" s="204">
        <f>IFERROR(__xludf.DUMMYFUNCTION("""COMPUTED_VALUE"""),44607.0)</f>
        <v>44607</v>
      </c>
      <c r="C362" s="250">
        <f>IFERROR(__xludf.DUMMYFUNCTION("""COMPUTED_VALUE"""),0.3147337962962963)</f>
        <v>0.3147337963</v>
      </c>
      <c r="D362" s="6" t="str">
        <f>IFERROR(__xludf.DUMMYFUNCTION("""COMPUTED_VALUE"""),"SpBEND501019")</f>
        <v>SpBEND501019</v>
      </c>
      <c r="E362" s="251"/>
      <c r="F362" s="251"/>
      <c r="G362" s="251" t="str">
        <f>IFERROR(__xludf.DUMMYFUNCTION("""COMPUTED_VALUE"""),"Negative")</f>
        <v>Negative</v>
      </c>
      <c r="H362" s="262" t="str">
        <f>IFERROR(__xludf.DUMMYFUNCTION("""COMPUTED_VALUE"""),"Negative")</f>
        <v>Negative</v>
      </c>
      <c r="I362" s="204">
        <f>IFERROR(__xludf.DUMMYFUNCTION("""COMPUTED_VALUE"""),44607.0)</f>
        <v>44607</v>
      </c>
      <c r="J362" s="252">
        <f>IFERROR(__xludf.DUMMYFUNCTION("""COMPUTED_VALUE"""),0.5868055555555556)</f>
        <v>0.5868055556</v>
      </c>
      <c r="K362" s="56"/>
      <c r="L362" s="6"/>
      <c r="M362" s="61"/>
      <c r="N362" s="61">
        <f>IFERROR(__xludf.DUMMYFUNCTION("""COMPUTED_VALUE"""),1.0)</f>
        <v>1</v>
      </c>
      <c r="O362" s="61" t="str">
        <f t="shared" si="3"/>
        <v/>
      </c>
      <c r="P362" s="253">
        <f>IFERROR(__xludf.DUMMYFUNCTION("""COMPUTED_VALUE"""),0.0)</f>
        <v>0</v>
      </c>
      <c r="Q362" s="254" t="b">
        <f>VLOOKUP($B362,'Run Reconcile'!B$2:O799,14,FALSE)</f>
        <v>1</v>
      </c>
      <c r="R362" s="255" t="str">
        <f t="array" ref="R362">IF($Q362, INDEX('Run Reconcile'!A$2:A799,MATCH(B362,'Run Reconcile'!B$2:B799,0),1),IFERROR(0/0,""))</f>
        <v>RUN-BEND_2022-02-15_RFR-032</v>
      </c>
      <c r="S362" s="261" t="str">
        <f t="shared" ref="S362:T362" si="731">IF(COUNTIF(W$2:W799, $A362) &gt; 0,TRUE,IFERROR(0/0,""))</f>
        <v/>
      </c>
      <c r="T362" s="261" t="str">
        <f t="shared" si="731"/>
        <v/>
      </c>
      <c r="U362" s="257" t="str">
        <f t="array" ref="U362">IF(ISBLANK($R362), INDEX('Run Reconcile'!A$2:A799, MATCH($B362, 'Run Reconcile'!B$2:B799, 0)+Z362, 1), IFERROR(0/0,""))
</f>
        <v/>
      </c>
      <c r="V362" s="258" t="str">
        <f t="shared" si="480"/>
        <v>RUN-BEND_2022-02-15_RFR-032</v>
      </c>
      <c r="Y362" s="130" t="str">
        <f t="shared" si="487"/>
        <v/>
      </c>
      <c r="Z362" s="49" t="str">
        <f t="shared" si="7"/>
        <v/>
      </c>
      <c r="AA362" s="49" t="str">
        <f t="shared" si="8"/>
        <v/>
      </c>
      <c r="AB362" s="49" t="str">
        <f t="shared" si="9"/>
        <v/>
      </c>
      <c r="AC362" s="20" t="str">
        <f t="shared" ref="AC362:AD362" si="732">IF(_xlfn.ISFORMULA(S362),IFERROR(0/0,""),TRUE)</f>
        <v/>
      </c>
      <c r="AD362" s="20" t="str">
        <f t="shared" si="732"/>
        <v/>
      </c>
      <c r="AE362" s="43"/>
      <c r="AF362" s="62" t="s">
        <v>56</v>
      </c>
      <c r="AG362" s="57" t="str">
        <f t="shared" si="11"/>
        <v/>
      </c>
    </row>
    <row r="363">
      <c r="A363" s="6" t="str">
        <f>IFERROR(__xludf.DUMMYFUNCTION("""COMPUTED_VALUE"""),"MA1259")</f>
        <v>MA1259</v>
      </c>
      <c r="B363" s="204">
        <f>IFERROR(__xludf.DUMMYFUNCTION("""COMPUTED_VALUE"""),44607.0)</f>
        <v>44607</v>
      </c>
      <c r="C363" s="250">
        <f>IFERROR(__xludf.DUMMYFUNCTION("""COMPUTED_VALUE"""),0.31958333333333333)</f>
        <v>0.3195833333</v>
      </c>
      <c r="D363" s="6" t="str">
        <f>IFERROR(__xludf.DUMMYFUNCTION("""COMPUTED_VALUE"""),"SpBEND183210")</f>
        <v>SpBEND183210</v>
      </c>
      <c r="E363" s="251"/>
      <c r="F363" s="251"/>
      <c r="G363" s="251" t="str">
        <f>IFERROR(__xludf.DUMMYFUNCTION("""COMPUTED_VALUE"""),"Negative")</f>
        <v>Negative</v>
      </c>
      <c r="H363" s="262" t="str">
        <f>IFERROR(__xludf.DUMMYFUNCTION("""COMPUTED_VALUE"""),"Negative")</f>
        <v>Negative</v>
      </c>
      <c r="I363" s="204">
        <f>IFERROR(__xludf.DUMMYFUNCTION("""COMPUTED_VALUE"""),44607.0)</f>
        <v>44607</v>
      </c>
      <c r="J363" s="252">
        <f>IFERROR(__xludf.DUMMYFUNCTION("""COMPUTED_VALUE"""),0.5868055555555556)</f>
        <v>0.5868055556</v>
      </c>
      <c r="K363" s="56"/>
      <c r="L363" s="6"/>
      <c r="M363" s="61"/>
      <c r="N363" s="61">
        <f>IFERROR(__xludf.DUMMYFUNCTION("""COMPUTED_VALUE"""),1.0)</f>
        <v>1</v>
      </c>
      <c r="O363" s="61" t="str">
        <f t="shared" si="3"/>
        <v/>
      </c>
      <c r="P363" s="253">
        <f>IFERROR(__xludf.DUMMYFUNCTION("""COMPUTED_VALUE"""),0.0)</f>
        <v>0</v>
      </c>
      <c r="Q363" s="254" t="b">
        <f>VLOOKUP($B363,'Run Reconcile'!B$2:O799,14,FALSE)</f>
        <v>1</v>
      </c>
      <c r="R363" s="255" t="str">
        <f t="array" ref="R363">IF($Q363, INDEX('Run Reconcile'!A$2:A799,MATCH(B363,'Run Reconcile'!B$2:B799,0),1),IFERROR(0/0,""))</f>
        <v>RUN-BEND_2022-02-15_RFR-032</v>
      </c>
      <c r="S363" s="261" t="str">
        <f t="shared" ref="S363:T363" si="733">IF(COUNTIF(W$2:W799, $A363) &gt; 0,TRUE,IFERROR(0/0,""))</f>
        <v/>
      </c>
      <c r="T363" s="261" t="str">
        <f t="shared" si="733"/>
        <v/>
      </c>
      <c r="U363" s="257" t="str">
        <f t="array" ref="U363">IF(ISBLANK($R363), INDEX('Run Reconcile'!A$2:A799, MATCH($B363, 'Run Reconcile'!B$2:B799, 0)+Z363, 1), IFERROR(0/0,""))
</f>
        <v/>
      </c>
      <c r="V363" s="258" t="str">
        <f t="shared" si="480"/>
        <v>RUN-BEND_2022-02-15_RFR-032</v>
      </c>
      <c r="Y363" s="130" t="str">
        <f t="shared" si="487"/>
        <v/>
      </c>
      <c r="Z363" s="49" t="str">
        <f t="shared" si="7"/>
        <v/>
      </c>
      <c r="AA363" s="49" t="str">
        <f t="shared" si="8"/>
        <v/>
      </c>
      <c r="AB363" s="49" t="str">
        <f t="shared" si="9"/>
        <v/>
      </c>
      <c r="AC363" s="20" t="str">
        <f t="shared" ref="AC363:AD363" si="734">IF(_xlfn.ISFORMULA(S363),IFERROR(0/0,""),TRUE)</f>
        <v/>
      </c>
      <c r="AD363" s="20" t="str">
        <f t="shared" si="734"/>
        <v/>
      </c>
      <c r="AE363" s="43"/>
      <c r="AF363" s="62" t="s">
        <v>56</v>
      </c>
      <c r="AG363" s="57" t="str">
        <f t="shared" si="11"/>
        <v/>
      </c>
    </row>
    <row r="364">
      <c r="A364" s="6" t="str">
        <f>IFERROR(__xludf.DUMMYFUNCTION("""COMPUTED_VALUE"""),"MA1261")</f>
        <v>MA1261</v>
      </c>
      <c r="B364" s="204">
        <f>IFERROR(__xludf.DUMMYFUNCTION("""COMPUTED_VALUE"""),44607.0)</f>
        <v>44607</v>
      </c>
      <c r="C364" s="250">
        <f>IFERROR(__xludf.DUMMYFUNCTION("""COMPUTED_VALUE"""),0.32024305555555554)</f>
        <v>0.3202430556</v>
      </c>
      <c r="D364" s="6" t="str">
        <f>IFERROR(__xludf.DUMMYFUNCTION("""COMPUTED_VALUE"""),"SpBEND815974")</f>
        <v>SpBEND815974</v>
      </c>
      <c r="E364" s="251"/>
      <c r="F364" s="251"/>
      <c r="G364" s="251" t="str">
        <f>IFERROR(__xludf.DUMMYFUNCTION("""COMPUTED_VALUE"""),"Negative")</f>
        <v>Negative</v>
      </c>
      <c r="H364" s="262" t="str">
        <f>IFERROR(__xludf.DUMMYFUNCTION("""COMPUTED_VALUE"""),"Negative")</f>
        <v>Negative</v>
      </c>
      <c r="I364" s="204">
        <f>IFERROR(__xludf.DUMMYFUNCTION("""COMPUTED_VALUE"""),44607.0)</f>
        <v>44607</v>
      </c>
      <c r="J364" s="252">
        <f>IFERROR(__xludf.DUMMYFUNCTION("""COMPUTED_VALUE"""),0.5868055555555556)</f>
        <v>0.5868055556</v>
      </c>
      <c r="K364" s="56"/>
      <c r="L364" s="6"/>
      <c r="M364" s="61"/>
      <c r="N364" s="61">
        <f>IFERROR(__xludf.DUMMYFUNCTION("""COMPUTED_VALUE"""),1.0)</f>
        <v>1</v>
      </c>
      <c r="O364" s="61" t="str">
        <f t="shared" si="3"/>
        <v/>
      </c>
      <c r="P364" s="253">
        <f>IFERROR(__xludf.DUMMYFUNCTION("""COMPUTED_VALUE"""),0.0)</f>
        <v>0</v>
      </c>
      <c r="Q364" s="254" t="b">
        <f>VLOOKUP($B364,'Run Reconcile'!B$2:O799,14,FALSE)</f>
        <v>1</v>
      </c>
      <c r="R364" s="255" t="str">
        <f t="array" ref="R364">IF($Q364, INDEX('Run Reconcile'!A$2:A799,MATCH(B364,'Run Reconcile'!B$2:B799,0),1),IFERROR(0/0,""))</f>
        <v>RUN-BEND_2022-02-15_RFR-032</v>
      </c>
      <c r="S364" s="261" t="str">
        <f t="shared" ref="S364:T364" si="735">IF(COUNTIF(W$2:W799, $A364) &gt; 0,TRUE,IFERROR(0/0,""))</f>
        <v/>
      </c>
      <c r="T364" s="261" t="str">
        <f t="shared" si="735"/>
        <v/>
      </c>
      <c r="U364" s="257" t="str">
        <f t="array" ref="U364">IF(ISBLANK($R364), INDEX('Run Reconcile'!A$2:A799, MATCH($B364, 'Run Reconcile'!B$2:B799, 0)+Z364, 1), IFERROR(0/0,""))
</f>
        <v/>
      </c>
      <c r="V364" s="258" t="str">
        <f t="shared" si="480"/>
        <v>RUN-BEND_2022-02-15_RFR-032</v>
      </c>
      <c r="Y364" s="130" t="str">
        <f t="shared" si="487"/>
        <v/>
      </c>
      <c r="Z364" s="49" t="str">
        <f t="shared" si="7"/>
        <v/>
      </c>
      <c r="AA364" s="49" t="str">
        <f t="shared" si="8"/>
        <v/>
      </c>
      <c r="AB364" s="49" t="str">
        <f t="shared" si="9"/>
        <v/>
      </c>
      <c r="AC364" s="20" t="str">
        <f t="shared" ref="AC364:AD364" si="736">IF(_xlfn.ISFORMULA(S364),IFERROR(0/0,""),TRUE)</f>
        <v/>
      </c>
      <c r="AD364" s="20" t="str">
        <f t="shared" si="736"/>
        <v/>
      </c>
      <c r="AE364" s="43"/>
      <c r="AF364" s="62" t="s">
        <v>56</v>
      </c>
      <c r="AG364" s="57" t="str">
        <f t="shared" si="11"/>
        <v/>
      </c>
    </row>
    <row r="365">
      <c r="A365" s="6" t="str">
        <f>IFERROR(__xludf.DUMMYFUNCTION("""COMPUTED_VALUE"""),"FM513")</f>
        <v>FM513</v>
      </c>
      <c r="B365" s="204">
        <f>IFERROR(__xludf.DUMMYFUNCTION("""COMPUTED_VALUE"""),44607.0)</f>
        <v>44607</v>
      </c>
      <c r="C365" s="250">
        <f>IFERROR(__xludf.DUMMYFUNCTION("""COMPUTED_VALUE"""),0.32314814814814813)</f>
        <v>0.3231481481</v>
      </c>
      <c r="D365" s="6" t="str">
        <f>IFERROR(__xludf.DUMMYFUNCTION("""COMPUTED_VALUE"""),"SpBEND672680")</f>
        <v>SpBEND672680</v>
      </c>
      <c r="E365" s="251"/>
      <c r="F365" s="251"/>
      <c r="G365" s="251" t="str">
        <f>IFERROR(__xludf.DUMMYFUNCTION("""COMPUTED_VALUE"""),"Negative")</f>
        <v>Negative</v>
      </c>
      <c r="H365" s="262" t="str">
        <f>IFERROR(__xludf.DUMMYFUNCTION("""COMPUTED_VALUE"""),"Negative")</f>
        <v>Negative</v>
      </c>
      <c r="I365" s="204">
        <f>IFERROR(__xludf.DUMMYFUNCTION("""COMPUTED_VALUE"""),44607.0)</f>
        <v>44607</v>
      </c>
      <c r="J365" s="252">
        <f>IFERROR(__xludf.DUMMYFUNCTION("""COMPUTED_VALUE"""),0.5868055555555556)</f>
        <v>0.5868055556</v>
      </c>
      <c r="K365" s="56"/>
      <c r="L365" s="6"/>
      <c r="M365" s="61"/>
      <c r="N365" s="61">
        <f>IFERROR(__xludf.DUMMYFUNCTION("""COMPUTED_VALUE"""),1.0)</f>
        <v>1</v>
      </c>
      <c r="O365" s="61" t="str">
        <f t="shared" si="3"/>
        <v/>
      </c>
      <c r="P365" s="253">
        <f>IFERROR(__xludf.DUMMYFUNCTION("""COMPUTED_VALUE"""),0.0)</f>
        <v>0</v>
      </c>
      <c r="Q365" s="254" t="b">
        <f>VLOOKUP($B365,'Run Reconcile'!B$2:O799,14,FALSE)</f>
        <v>1</v>
      </c>
      <c r="R365" s="255" t="str">
        <f t="array" ref="R365">IF($Q365, INDEX('Run Reconcile'!A$2:A799,MATCH(B365,'Run Reconcile'!B$2:B799,0),1),IFERROR(0/0,""))</f>
        <v>RUN-BEND_2022-02-15_RFR-032</v>
      </c>
      <c r="S365" s="261" t="str">
        <f t="shared" ref="S365:T365" si="737">IF(COUNTIF(W$2:W799, $A365) &gt; 0,TRUE,IFERROR(0/0,""))</f>
        <v/>
      </c>
      <c r="T365" s="261" t="str">
        <f t="shared" si="737"/>
        <v/>
      </c>
      <c r="U365" s="257" t="str">
        <f t="array" ref="U365">IF(ISBLANK($R365), INDEX('Run Reconcile'!A$2:A799, MATCH($B365, 'Run Reconcile'!B$2:B799, 0)+Z365, 1), IFERROR(0/0,""))
</f>
        <v/>
      </c>
      <c r="V365" s="258" t="str">
        <f t="shared" si="480"/>
        <v>RUN-BEND_2022-02-15_RFR-032</v>
      </c>
      <c r="Y365" s="130" t="str">
        <f t="shared" si="487"/>
        <v/>
      </c>
      <c r="Z365" s="49" t="str">
        <f t="shared" si="7"/>
        <v/>
      </c>
      <c r="AA365" s="49" t="str">
        <f t="shared" si="8"/>
        <v/>
      </c>
      <c r="AB365" s="49" t="str">
        <f t="shared" si="9"/>
        <v/>
      </c>
      <c r="AC365" s="20" t="str">
        <f t="shared" ref="AC365:AD365" si="738">IF(_xlfn.ISFORMULA(S365),IFERROR(0/0,""),TRUE)</f>
        <v/>
      </c>
      <c r="AD365" s="20" t="str">
        <f t="shared" si="738"/>
        <v/>
      </c>
      <c r="AE365" s="43"/>
      <c r="AF365" s="62" t="s">
        <v>56</v>
      </c>
      <c r="AG365" s="57" t="str">
        <f t="shared" si="11"/>
        <v/>
      </c>
    </row>
    <row r="366">
      <c r="A366" s="6" t="str">
        <f>IFERROR(__xludf.DUMMYFUNCTION("""COMPUTED_VALUE"""),"MA296")</f>
        <v>MA296</v>
      </c>
      <c r="B366" s="204">
        <f>IFERROR(__xludf.DUMMYFUNCTION("""COMPUTED_VALUE"""),44607.0)</f>
        <v>44607</v>
      </c>
      <c r="C366" s="250">
        <f>IFERROR(__xludf.DUMMYFUNCTION("""COMPUTED_VALUE"""),0.32350694444444444)</f>
        <v>0.3235069444</v>
      </c>
      <c r="D366" s="6" t="str">
        <f>IFERROR(__xludf.DUMMYFUNCTION("""COMPUTED_VALUE"""),"SpBEND302553")</f>
        <v>SpBEND302553</v>
      </c>
      <c r="E366" s="251"/>
      <c r="F366" s="251"/>
      <c r="G366" s="251" t="str">
        <f>IFERROR(__xludf.DUMMYFUNCTION("""COMPUTED_VALUE"""),"Negative")</f>
        <v>Negative</v>
      </c>
      <c r="H366" s="262" t="str">
        <f>IFERROR(__xludf.DUMMYFUNCTION("""COMPUTED_VALUE"""),"Negative")</f>
        <v>Negative</v>
      </c>
      <c r="I366" s="204">
        <f>IFERROR(__xludf.DUMMYFUNCTION("""COMPUTED_VALUE"""),44607.0)</f>
        <v>44607</v>
      </c>
      <c r="J366" s="252">
        <f>IFERROR(__xludf.DUMMYFUNCTION("""COMPUTED_VALUE"""),0.5868055555555556)</f>
        <v>0.5868055556</v>
      </c>
      <c r="K366" s="56"/>
      <c r="L366" s="6"/>
      <c r="M366" s="61"/>
      <c r="N366" s="61">
        <f>IFERROR(__xludf.DUMMYFUNCTION("""COMPUTED_VALUE"""),1.0)</f>
        <v>1</v>
      </c>
      <c r="O366" s="61" t="str">
        <f t="shared" si="3"/>
        <v/>
      </c>
      <c r="P366" s="253">
        <f>IFERROR(__xludf.DUMMYFUNCTION("""COMPUTED_VALUE"""),0.0)</f>
        <v>0</v>
      </c>
      <c r="Q366" s="254" t="b">
        <f>VLOOKUP($B366,'Run Reconcile'!B$2:O799,14,FALSE)</f>
        <v>1</v>
      </c>
      <c r="R366" s="255" t="str">
        <f t="array" ref="R366">IF($Q366, INDEX('Run Reconcile'!A$2:A799,MATCH(B366,'Run Reconcile'!B$2:B799,0),1),IFERROR(0/0,""))</f>
        <v>RUN-BEND_2022-02-15_RFR-032</v>
      </c>
      <c r="S366" s="261" t="str">
        <f t="shared" ref="S366:T366" si="739">IF(COUNTIF(W$2:W799, $A366) &gt; 0,TRUE,IFERROR(0/0,""))</f>
        <v/>
      </c>
      <c r="T366" s="261" t="str">
        <f t="shared" si="739"/>
        <v/>
      </c>
      <c r="U366" s="257" t="str">
        <f t="array" ref="U366">IF(ISBLANK($R366), INDEX('Run Reconcile'!A$2:A799, MATCH($B366, 'Run Reconcile'!B$2:B799, 0)+Z366, 1), IFERROR(0/0,""))
</f>
        <v/>
      </c>
      <c r="V366" s="258" t="str">
        <f t="shared" si="480"/>
        <v>RUN-BEND_2022-02-15_RFR-032</v>
      </c>
      <c r="Y366" s="130" t="str">
        <f t="shared" si="487"/>
        <v/>
      </c>
      <c r="Z366" s="49" t="str">
        <f t="shared" si="7"/>
        <v/>
      </c>
      <c r="AA366" s="49" t="str">
        <f t="shared" si="8"/>
        <v/>
      </c>
      <c r="AB366" s="49" t="str">
        <f t="shared" si="9"/>
        <v/>
      </c>
      <c r="AC366" s="20" t="str">
        <f t="shared" ref="AC366:AD366" si="740">IF(_xlfn.ISFORMULA(S366),IFERROR(0/0,""),TRUE)</f>
        <v/>
      </c>
      <c r="AD366" s="20" t="str">
        <f t="shared" si="740"/>
        <v/>
      </c>
      <c r="AE366" s="43"/>
      <c r="AF366" s="62" t="s">
        <v>56</v>
      </c>
      <c r="AG366" s="57" t="str">
        <f t="shared" si="11"/>
        <v/>
      </c>
    </row>
    <row r="367">
      <c r="A367" s="6" t="str">
        <f>IFERROR(__xludf.DUMMYFUNCTION("""COMPUTED_VALUE"""),"MAX135")</f>
        <v>MAX135</v>
      </c>
      <c r="B367" s="204">
        <f>IFERROR(__xludf.DUMMYFUNCTION("""COMPUTED_VALUE"""),44607.0)</f>
        <v>44607</v>
      </c>
      <c r="C367" s="250">
        <f>IFERROR(__xludf.DUMMYFUNCTION("""COMPUTED_VALUE"""),0.3248726851851852)</f>
        <v>0.3248726852</v>
      </c>
      <c r="D367" s="6" t="str">
        <f>IFERROR(__xludf.DUMMYFUNCTION("""COMPUTED_VALUE"""),"SpBEND139816")</f>
        <v>SpBEND139816</v>
      </c>
      <c r="E367" s="251"/>
      <c r="F367" s="251"/>
      <c r="G367" s="251" t="str">
        <f>IFERROR(__xludf.DUMMYFUNCTION("""COMPUTED_VALUE"""),"Negative")</f>
        <v>Negative</v>
      </c>
      <c r="H367" s="262" t="str">
        <f>IFERROR(__xludf.DUMMYFUNCTION("""COMPUTED_VALUE"""),"Negative")</f>
        <v>Negative</v>
      </c>
      <c r="I367" s="204">
        <f>IFERROR(__xludf.DUMMYFUNCTION("""COMPUTED_VALUE"""),44607.0)</f>
        <v>44607</v>
      </c>
      <c r="J367" s="252">
        <f>IFERROR(__xludf.DUMMYFUNCTION("""COMPUTED_VALUE"""),0.5868055555555556)</f>
        <v>0.5868055556</v>
      </c>
      <c r="K367" s="56"/>
      <c r="L367" s="6"/>
      <c r="M367" s="61"/>
      <c r="N367" s="61">
        <f>IFERROR(__xludf.DUMMYFUNCTION("""COMPUTED_VALUE"""),1.0)</f>
        <v>1</v>
      </c>
      <c r="O367" s="61" t="str">
        <f t="shared" si="3"/>
        <v/>
      </c>
      <c r="P367" s="253">
        <f>IFERROR(__xludf.DUMMYFUNCTION("""COMPUTED_VALUE"""),0.0)</f>
        <v>0</v>
      </c>
      <c r="Q367" s="254" t="b">
        <f>VLOOKUP($B367,'Run Reconcile'!B$2:O799,14,FALSE)</f>
        <v>1</v>
      </c>
      <c r="R367" s="255" t="str">
        <f t="array" ref="R367">IF($Q367, INDEX('Run Reconcile'!A$2:A799,MATCH(B367,'Run Reconcile'!B$2:B799,0),1),IFERROR(0/0,""))</f>
        <v>RUN-BEND_2022-02-15_RFR-032</v>
      </c>
      <c r="S367" s="261" t="str">
        <f t="shared" ref="S367:T367" si="741">IF(COUNTIF(W$2:W799, $A367) &gt; 0,TRUE,IFERROR(0/0,""))</f>
        <v/>
      </c>
      <c r="T367" s="261" t="str">
        <f t="shared" si="741"/>
        <v/>
      </c>
      <c r="U367" s="257" t="str">
        <f t="array" ref="U367">IF(ISBLANK($R367), INDEX('Run Reconcile'!A$2:A799, MATCH($B367, 'Run Reconcile'!B$2:B799, 0)+Z367, 1), IFERROR(0/0,""))
</f>
        <v/>
      </c>
      <c r="V367" s="258" t="str">
        <f t="shared" si="480"/>
        <v>RUN-BEND_2022-02-15_RFR-032</v>
      </c>
      <c r="Y367" s="130" t="str">
        <f t="shared" si="487"/>
        <v/>
      </c>
      <c r="Z367" s="49" t="str">
        <f t="shared" si="7"/>
        <v/>
      </c>
      <c r="AA367" s="49" t="str">
        <f t="shared" si="8"/>
        <v/>
      </c>
      <c r="AB367" s="49" t="str">
        <f t="shared" si="9"/>
        <v/>
      </c>
      <c r="AC367" s="20" t="str">
        <f t="shared" ref="AC367:AD367" si="742">IF(_xlfn.ISFORMULA(S367),IFERROR(0/0,""),TRUE)</f>
        <v/>
      </c>
      <c r="AD367" s="20" t="str">
        <f t="shared" si="742"/>
        <v/>
      </c>
      <c r="AE367" s="43"/>
      <c r="AF367" s="62" t="s">
        <v>56</v>
      </c>
      <c r="AG367" s="57" t="str">
        <f t="shared" si="11"/>
        <v/>
      </c>
    </row>
    <row r="368">
      <c r="A368" s="6" t="str">
        <f>IFERROR(__xludf.DUMMYFUNCTION("""COMPUTED_VALUE"""),"MA1069")</f>
        <v>MA1069</v>
      </c>
      <c r="B368" s="204">
        <f>IFERROR(__xludf.DUMMYFUNCTION("""COMPUTED_VALUE"""),44607.0)</f>
        <v>44607</v>
      </c>
      <c r="C368" s="250">
        <f>IFERROR(__xludf.DUMMYFUNCTION("""COMPUTED_VALUE"""),0.32538194444444446)</f>
        <v>0.3253819444</v>
      </c>
      <c r="D368" s="6" t="str">
        <f>IFERROR(__xludf.DUMMYFUNCTION("""COMPUTED_VALUE"""),"SpBEND967817")</f>
        <v>SpBEND967817</v>
      </c>
      <c r="E368" s="251"/>
      <c r="F368" s="251"/>
      <c r="G368" s="251" t="str">
        <f>IFERROR(__xludf.DUMMYFUNCTION("""COMPUTED_VALUE"""),"Negative")</f>
        <v>Negative</v>
      </c>
      <c r="H368" s="262" t="str">
        <f>IFERROR(__xludf.DUMMYFUNCTION("""COMPUTED_VALUE"""),"Negative")</f>
        <v>Negative</v>
      </c>
      <c r="I368" s="204">
        <f>IFERROR(__xludf.DUMMYFUNCTION("""COMPUTED_VALUE"""),44607.0)</f>
        <v>44607</v>
      </c>
      <c r="J368" s="252">
        <f>IFERROR(__xludf.DUMMYFUNCTION("""COMPUTED_VALUE"""),0.5868055555555556)</f>
        <v>0.5868055556</v>
      </c>
      <c r="K368" s="56"/>
      <c r="L368" s="6"/>
      <c r="M368" s="61"/>
      <c r="N368" s="61">
        <f>IFERROR(__xludf.DUMMYFUNCTION("""COMPUTED_VALUE"""),1.0)</f>
        <v>1</v>
      </c>
      <c r="O368" s="61" t="str">
        <f t="shared" si="3"/>
        <v/>
      </c>
      <c r="P368" s="253">
        <f>IFERROR(__xludf.DUMMYFUNCTION("""COMPUTED_VALUE"""),0.0)</f>
        <v>0</v>
      </c>
      <c r="Q368" s="254" t="b">
        <f>VLOOKUP($B368,'Run Reconcile'!B$2:O799,14,FALSE)</f>
        <v>1</v>
      </c>
      <c r="R368" s="255" t="str">
        <f t="array" ref="R368">IF($Q368, INDEX('Run Reconcile'!A$2:A799,MATCH(B368,'Run Reconcile'!B$2:B799,0),1),IFERROR(0/0,""))</f>
        <v>RUN-BEND_2022-02-15_RFR-032</v>
      </c>
      <c r="S368" s="261" t="str">
        <f t="shared" ref="S368:T368" si="743">IF(COUNTIF(W$2:W799, $A368) &gt; 0,TRUE,IFERROR(0/0,""))</f>
        <v/>
      </c>
      <c r="T368" s="261" t="str">
        <f t="shared" si="743"/>
        <v/>
      </c>
      <c r="U368" s="257" t="str">
        <f t="array" ref="U368">IF(ISBLANK($R368), INDEX('Run Reconcile'!A$2:A799, MATCH($B368, 'Run Reconcile'!B$2:B799, 0)+Z368, 1), IFERROR(0/0,""))
</f>
        <v/>
      </c>
      <c r="V368" s="258" t="str">
        <f t="shared" si="480"/>
        <v>RUN-BEND_2022-02-15_RFR-032</v>
      </c>
      <c r="Y368" s="130" t="str">
        <f t="shared" si="487"/>
        <v/>
      </c>
      <c r="Z368" s="49" t="str">
        <f t="shared" si="7"/>
        <v/>
      </c>
      <c r="AA368" s="49" t="str">
        <f t="shared" si="8"/>
        <v/>
      </c>
      <c r="AB368" s="49" t="str">
        <f t="shared" si="9"/>
        <v/>
      </c>
      <c r="AC368" s="20" t="str">
        <f t="shared" ref="AC368:AD368" si="744">IF(_xlfn.ISFORMULA(S368),IFERROR(0/0,""),TRUE)</f>
        <v/>
      </c>
      <c r="AD368" s="20" t="str">
        <f t="shared" si="744"/>
        <v/>
      </c>
      <c r="AE368" s="43"/>
      <c r="AF368" s="62" t="s">
        <v>56</v>
      </c>
      <c r="AG368" s="57" t="str">
        <f t="shared" si="11"/>
        <v/>
      </c>
    </row>
    <row r="369">
      <c r="A369" s="6" t="str">
        <f>IFERROR(__xludf.DUMMYFUNCTION("""COMPUTED_VALUE"""),"MA391")</f>
        <v>MA391</v>
      </c>
      <c r="B369" s="204">
        <f>IFERROR(__xludf.DUMMYFUNCTION("""COMPUTED_VALUE"""),44607.0)</f>
        <v>44607</v>
      </c>
      <c r="C369" s="250">
        <f>IFERROR(__xludf.DUMMYFUNCTION("""COMPUTED_VALUE"""),0.3254398148148148)</f>
        <v>0.3254398148</v>
      </c>
      <c r="D369" s="6" t="str">
        <f>IFERROR(__xludf.DUMMYFUNCTION("""COMPUTED_VALUE"""),"SpBEND490402")</f>
        <v>SpBEND490402</v>
      </c>
      <c r="E369" s="251"/>
      <c r="F369" s="251"/>
      <c r="G369" s="251" t="str">
        <f>IFERROR(__xludf.DUMMYFUNCTION("""COMPUTED_VALUE"""),"Negative")</f>
        <v>Negative</v>
      </c>
      <c r="H369" s="262" t="str">
        <f>IFERROR(__xludf.DUMMYFUNCTION("""COMPUTED_VALUE"""),"Negative")</f>
        <v>Negative</v>
      </c>
      <c r="I369" s="204">
        <f>IFERROR(__xludf.DUMMYFUNCTION("""COMPUTED_VALUE"""),44607.0)</f>
        <v>44607</v>
      </c>
      <c r="J369" s="252">
        <f>IFERROR(__xludf.DUMMYFUNCTION("""COMPUTED_VALUE"""),0.5868055555555556)</f>
        <v>0.5868055556</v>
      </c>
      <c r="K369" s="56"/>
      <c r="L369" s="6"/>
      <c r="M369" s="61"/>
      <c r="N369" s="61">
        <f>IFERROR(__xludf.DUMMYFUNCTION("""COMPUTED_VALUE"""),1.0)</f>
        <v>1</v>
      </c>
      <c r="O369" s="61" t="str">
        <f t="shared" si="3"/>
        <v/>
      </c>
      <c r="P369" s="253">
        <f>IFERROR(__xludf.DUMMYFUNCTION("""COMPUTED_VALUE"""),0.0)</f>
        <v>0</v>
      </c>
      <c r="Q369" s="254" t="b">
        <f>VLOOKUP($B369,'Run Reconcile'!B$2:O799,14,FALSE)</f>
        <v>1</v>
      </c>
      <c r="R369" s="255" t="str">
        <f t="array" ref="R369">IF($Q369, INDEX('Run Reconcile'!A$2:A799,MATCH(B369,'Run Reconcile'!B$2:B799,0),1),IFERROR(0/0,""))</f>
        <v>RUN-BEND_2022-02-15_RFR-032</v>
      </c>
      <c r="S369" s="261" t="str">
        <f t="shared" ref="S369:T369" si="745">IF(COUNTIF(W$2:W799, $A369) &gt; 0,TRUE,IFERROR(0/0,""))</f>
        <v/>
      </c>
      <c r="T369" s="261" t="str">
        <f t="shared" si="745"/>
        <v/>
      </c>
      <c r="U369" s="257" t="str">
        <f t="array" ref="U369">IF(ISBLANK($R369), INDEX('Run Reconcile'!A$2:A799, MATCH($B369, 'Run Reconcile'!B$2:B799, 0)+Z369, 1), IFERROR(0/0,""))
</f>
        <v/>
      </c>
      <c r="V369" s="258" t="str">
        <f t="shared" si="480"/>
        <v>RUN-BEND_2022-02-15_RFR-032</v>
      </c>
      <c r="Y369" s="130" t="str">
        <f t="shared" si="487"/>
        <v/>
      </c>
      <c r="Z369" s="49" t="str">
        <f t="shared" si="7"/>
        <v/>
      </c>
      <c r="AA369" s="49" t="str">
        <f t="shared" si="8"/>
        <v/>
      </c>
      <c r="AB369" s="49" t="str">
        <f t="shared" si="9"/>
        <v/>
      </c>
      <c r="AC369" s="20" t="str">
        <f t="shared" ref="AC369:AD369" si="746">IF(_xlfn.ISFORMULA(S369),IFERROR(0/0,""),TRUE)</f>
        <v/>
      </c>
      <c r="AD369" s="20" t="str">
        <f t="shared" si="746"/>
        <v/>
      </c>
      <c r="AE369" s="43"/>
      <c r="AF369" s="62" t="s">
        <v>56</v>
      </c>
      <c r="AG369" s="57" t="str">
        <f t="shared" si="11"/>
        <v/>
      </c>
    </row>
    <row r="370">
      <c r="A370" s="6" t="str">
        <f>IFERROR(__xludf.DUMMYFUNCTION("""COMPUTED_VALUE"""),"FM452")</f>
        <v>FM452</v>
      </c>
      <c r="B370" s="204">
        <f>IFERROR(__xludf.DUMMYFUNCTION("""COMPUTED_VALUE"""),44607.0)</f>
        <v>44607</v>
      </c>
      <c r="C370" s="250">
        <f>IFERROR(__xludf.DUMMYFUNCTION("""COMPUTED_VALUE"""),0.32666666666666666)</f>
        <v>0.3266666667</v>
      </c>
      <c r="D370" s="6" t="str">
        <f>IFERROR(__xludf.DUMMYFUNCTION("""COMPUTED_VALUE"""),"SpBEND642175")</f>
        <v>SpBEND642175</v>
      </c>
      <c r="E370" s="251"/>
      <c r="F370" s="251"/>
      <c r="G370" s="251" t="str">
        <f>IFERROR(__xludf.DUMMYFUNCTION("""COMPUTED_VALUE"""),"Negative")</f>
        <v>Negative</v>
      </c>
      <c r="H370" s="262" t="str">
        <f>IFERROR(__xludf.DUMMYFUNCTION("""COMPUTED_VALUE"""),"Negative")</f>
        <v>Negative</v>
      </c>
      <c r="I370" s="204">
        <f>IFERROR(__xludf.DUMMYFUNCTION("""COMPUTED_VALUE"""),44607.0)</f>
        <v>44607</v>
      </c>
      <c r="J370" s="252">
        <f>IFERROR(__xludf.DUMMYFUNCTION("""COMPUTED_VALUE"""),0.5868055555555556)</f>
        <v>0.5868055556</v>
      </c>
      <c r="K370" s="56"/>
      <c r="L370" s="6"/>
      <c r="M370" s="61"/>
      <c r="N370" s="61">
        <f>IFERROR(__xludf.DUMMYFUNCTION("""COMPUTED_VALUE"""),1.0)</f>
        <v>1</v>
      </c>
      <c r="O370" s="61" t="str">
        <f t="shared" si="3"/>
        <v/>
      </c>
      <c r="P370" s="253">
        <f>IFERROR(__xludf.DUMMYFUNCTION("""COMPUTED_VALUE"""),0.0)</f>
        <v>0</v>
      </c>
      <c r="Q370" s="254" t="b">
        <f>VLOOKUP($B370,'Run Reconcile'!B$2:O799,14,FALSE)</f>
        <v>1</v>
      </c>
      <c r="R370" s="255" t="str">
        <f t="array" ref="R370">IF($Q370, INDEX('Run Reconcile'!A$2:A799,MATCH(B370,'Run Reconcile'!B$2:B799,0),1),IFERROR(0/0,""))</f>
        <v>RUN-BEND_2022-02-15_RFR-032</v>
      </c>
      <c r="S370" s="261" t="str">
        <f t="shared" ref="S370:T370" si="747">IF(COUNTIF(W$2:W799, $A370) &gt; 0,TRUE,IFERROR(0/0,""))</f>
        <v/>
      </c>
      <c r="T370" s="261" t="str">
        <f t="shared" si="747"/>
        <v/>
      </c>
      <c r="U370" s="257" t="str">
        <f t="array" ref="U370">IF(ISBLANK($R370), INDEX('Run Reconcile'!A$2:A799, MATCH($B370, 'Run Reconcile'!B$2:B799, 0)+Z370, 1), IFERROR(0/0,""))
</f>
        <v/>
      </c>
      <c r="V370" s="258" t="str">
        <f t="shared" si="480"/>
        <v>RUN-BEND_2022-02-15_RFR-032</v>
      </c>
      <c r="Y370" s="130" t="str">
        <f t="shared" si="487"/>
        <v/>
      </c>
      <c r="Z370" s="49" t="str">
        <f t="shared" si="7"/>
        <v/>
      </c>
      <c r="AA370" s="49" t="str">
        <f t="shared" si="8"/>
        <v/>
      </c>
      <c r="AB370" s="49" t="str">
        <f t="shared" si="9"/>
        <v/>
      </c>
      <c r="AC370" s="20" t="str">
        <f t="shared" ref="AC370:AD370" si="748">IF(_xlfn.ISFORMULA(S370),IFERROR(0/0,""),TRUE)</f>
        <v/>
      </c>
      <c r="AD370" s="20" t="str">
        <f t="shared" si="748"/>
        <v/>
      </c>
      <c r="AE370" s="43"/>
      <c r="AF370" s="62" t="s">
        <v>56</v>
      </c>
      <c r="AG370" s="57" t="str">
        <f t="shared" si="11"/>
        <v/>
      </c>
    </row>
    <row r="371">
      <c r="A371" s="6" t="str">
        <f>IFERROR(__xludf.DUMMYFUNCTION("""COMPUTED_VALUE"""),"FM59")</f>
        <v>FM59</v>
      </c>
      <c r="B371" s="204">
        <f>IFERROR(__xludf.DUMMYFUNCTION("""COMPUTED_VALUE"""),44607.0)</f>
        <v>44607</v>
      </c>
      <c r="C371" s="250">
        <f>IFERROR(__xludf.DUMMYFUNCTION("""COMPUTED_VALUE"""),0.32873842592592595)</f>
        <v>0.3287384259</v>
      </c>
      <c r="D371" s="6" t="str">
        <f>IFERROR(__xludf.DUMMYFUNCTION("""COMPUTED_VALUE"""),"SpBEND643855")</f>
        <v>SpBEND643855</v>
      </c>
      <c r="E371" s="251"/>
      <c r="F371" s="251"/>
      <c r="G371" s="251" t="str">
        <f>IFERROR(__xludf.DUMMYFUNCTION("""COMPUTED_VALUE"""),"Negative")</f>
        <v>Negative</v>
      </c>
      <c r="H371" s="262" t="str">
        <f>IFERROR(__xludf.DUMMYFUNCTION("""COMPUTED_VALUE"""),"Negative")</f>
        <v>Negative</v>
      </c>
      <c r="I371" s="204">
        <f>IFERROR(__xludf.DUMMYFUNCTION("""COMPUTED_VALUE"""),44607.0)</f>
        <v>44607</v>
      </c>
      <c r="J371" s="252">
        <f>IFERROR(__xludf.DUMMYFUNCTION("""COMPUTED_VALUE"""),0.5868055555555556)</f>
        <v>0.5868055556</v>
      </c>
      <c r="K371" s="56"/>
      <c r="L371" s="6"/>
      <c r="M371" s="61"/>
      <c r="N371" s="61">
        <f>IFERROR(__xludf.DUMMYFUNCTION("""COMPUTED_VALUE"""),1.0)</f>
        <v>1</v>
      </c>
      <c r="O371" s="61" t="str">
        <f t="shared" si="3"/>
        <v/>
      </c>
      <c r="P371" s="253">
        <f>IFERROR(__xludf.DUMMYFUNCTION("""COMPUTED_VALUE"""),0.0)</f>
        <v>0</v>
      </c>
      <c r="Q371" s="254" t="b">
        <f>VLOOKUP($B371,'Run Reconcile'!B$2:O799,14,FALSE)</f>
        <v>1</v>
      </c>
      <c r="R371" s="255" t="str">
        <f t="array" ref="R371">IF($Q371, INDEX('Run Reconcile'!A$2:A799,MATCH(B371,'Run Reconcile'!B$2:B799,0),1),IFERROR(0/0,""))</f>
        <v>RUN-BEND_2022-02-15_RFR-032</v>
      </c>
      <c r="S371" s="261" t="str">
        <f t="shared" ref="S371:T371" si="749">IF(COUNTIF(W$2:W799, $A371) &gt; 0,TRUE,IFERROR(0/0,""))</f>
        <v/>
      </c>
      <c r="T371" s="261" t="str">
        <f t="shared" si="749"/>
        <v/>
      </c>
      <c r="U371" s="257" t="str">
        <f t="array" ref="U371">IF(ISBLANK($R371), INDEX('Run Reconcile'!A$2:A799, MATCH($B371, 'Run Reconcile'!B$2:B799, 0)+Z371, 1), IFERROR(0/0,""))
</f>
        <v/>
      </c>
      <c r="V371" s="258" t="str">
        <f t="shared" si="480"/>
        <v>RUN-BEND_2022-02-15_RFR-032</v>
      </c>
      <c r="Y371" s="130" t="str">
        <f t="shared" si="487"/>
        <v/>
      </c>
      <c r="Z371" s="49" t="str">
        <f t="shared" si="7"/>
        <v/>
      </c>
      <c r="AA371" s="49" t="str">
        <f t="shared" si="8"/>
        <v/>
      </c>
      <c r="AB371" s="49" t="str">
        <f t="shared" si="9"/>
        <v/>
      </c>
      <c r="AC371" s="20" t="str">
        <f t="shared" ref="AC371:AD371" si="750">IF(_xlfn.ISFORMULA(S371),IFERROR(0/0,""),TRUE)</f>
        <v/>
      </c>
      <c r="AD371" s="20" t="str">
        <f t="shared" si="750"/>
        <v/>
      </c>
      <c r="AE371" s="43"/>
      <c r="AF371" s="62" t="s">
        <v>56</v>
      </c>
      <c r="AG371" s="57" t="str">
        <f t="shared" si="11"/>
        <v/>
      </c>
    </row>
    <row r="372">
      <c r="A372" s="6" t="str">
        <f>IFERROR(__xludf.DUMMYFUNCTION("""COMPUTED_VALUE"""),"MA211")</f>
        <v>MA211</v>
      </c>
      <c r="B372" s="204">
        <f>IFERROR(__xludf.DUMMYFUNCTION("""COMPUTED_VALUE"""),44607.0)</f>
        <v>44607</v>
      </c>
      <c r="C372" s="250">
        <f>IFERROR(__xludf.DUMMYFUNCTION("""COMPUTED_VALUE"""),0.3297685185185185)</f>
        <v>0.3297685185</v>
      </c>
      <c r="D372" s="6" t="str">
        <f>IFERROR(__xludf.DUMMYFUNCTION("""COMPUTED_VALUE"""),"SpBEND454594")</f>
        <v>SpBEND454594</v>
      </c>
      <c r="E372" s="251"/>
      <c r="F372" s="251"/>
      <c r="G372" s="251" t="str">
        <f>IFERROR(__xludf.DUMMYFUNCTION("""COMPUTED_VALUE"""),"Negative")</f>
        <v>Negative</v>
      </c>
      <c r="H372" s="262" t="str">
        <f>IFERROR(__xludf.DUMMYFUNCTION("""COMPUTED_VALUE"""),"Negative")</f>
        <v>Negative</v>
      </c>
      <c r="I372" s="204">
        <f>IFERROR(__xludf.DUMMYFUNCTION("""COMPUTED_VALUE"""),44607.0)</f>
        <v>44607</v>
      </c>
      <c r="J372" s="252">
        <f>IFERROR(__xludf.DUMMYFUNCTION("""COMPUTED_VALUE"""),0.5868171296296296)</f>
        <v>0.5868171296</v>
      </c>
      <c r="K372" s="56"/>
      <c r="L372" s="6"/>
      <c r="M372" s="61"/>
      <c r="N372" s="61">
        <f>IFERROR(__xludf.DUMMYFUNCTION("""COMPUTED_VALUE"""),1.0)</f>
        <v>1</v>
      </c>
      <c r="O372" s="61" t="str">
        <f t="shared" si="3"/>
        <v/>
      </c>
      <c r="P372" s="253">
        <f>IFERROR(__xludf.DUMMYFUNCTION("""COMPUTED_VALUE"""),0.0)</f>
        <v>0</v>
      </c>
      <c r="Q372" s="254" t="b">
        <f>VLOOKUP($B372,'Run Reconcile'!B$2:O799,14,FALSE)</f>
        <v>1</v>
      </c>
      <c r="R372" s="255" t="str">
        <f t="array" ref="R372">IF($Q372, INDEX('Run Reconcile'!A$2:A799,MATCH(B372,'Run Reconcile'!B$2:B799,0),1),IFERROR(0/0,""))</f>
        <v>RUN-BEND_2022-02-15_RFR-032</v>
      </c>
      <c r="S372" s="261" t="str">
        <f t="shared" ref="S372:T372" si="751">IF(COUNTIF(W$2:W799, $A372) &gt; 0,TRUE,IFERROR(0/0,""))</f>
        <v/>
      </c>
      <c r="T372" s="261" t="str">
        <f t="shared" si="751"/>
        <v/>
      </c>
      <c r="U372" s="257" t="str">
        <f t="array" ref="U372">IF(ISBLANK($R372), INDEX('Run Reconcile'!A$2:A799, MATCH($B372, 'Run Reconcile'!B$2:B799, 0)+Z372, 1), IFERROR(0/0,""))
</f>
        <v/>
      </c>
      <c r="V372" s="258" t="str">
        <f t="shared" si="480"/>
        <v>RUN-BEND_2022-02-15_RFR-032</v>
      </c>
      <c r="Y372" s="130" t="str">
        <f t="shared" si="487"/>
        <v/>
      </c>
      <c r="Z372" s="49" t="str">
        <f t="shared" si="7"/>
        <v/>
      </c>
      <c r="AA372" s="49" t="str">
        <f t="shared" si="8"/>
        <v/>
      </c>
      <c r="AB372" s="49" t="str">
        <f t="shared" si="9"/>
        <v/>
      </c>
      <c r="AC372" s="20" t="str">
        <f t="shared" ref="AC372:AD372" si="752">IF(_xlfn.ISFORMULA(S372),IFERROR(0/0,""),TRUE)</f>
        <v/>
      </c>
      <c r="AD372" s="20" t="str">
        <f t="shared" si="752"/>
        <v/>
      </c>
      <c r="AE372" s="43"/>
      <c r="AF372" s="62" t="s">
        <v>56</v>
      </c>
      <c r="AG372" s="57" t="str">
        <f t="shared" si="11"/>
        <v/>
      </c>
    </row>
    <row r="373">
      <c r="A373" s="6" t="str">
        <f>IFERROR(__xludf.DUMMYFUNCTION("""COMPUTED_VALUE"""),"MA1055")</f>
        <v>MA1055</v>
      </c>
      <c r="B373" s="204">
        <f>IFERROR(__xludf.DUMMYFUNCTION("""COMPUTED_VALUE"""),44607.0)</f>
        <v>44607</v>
      </c>
      <c r="C373" s="250">
        <f>IFERROR(__xludf.DUMMYFUNCTION("""COMPUTED_VALUE"""),0.33239583333333333)</f>
        <v>0.3323958333</v>
      </c>
      <c r="D373" s="6" t="str">
        <f>IFERROR(__xludf.DUMMYFUNCTION("""COMPUTED_VALUE"""),"SpBEND382241")</f>
        <v>SpBEND382241</v>
      </c>
      <c r="E373" s="251"/>
      <c r="F373" s="251"/>
      <c r="G373" s="251" t="str">
        <f>IFERROR(__xludf.DUMMYFUNCTION("""COMPUTED_VALUE"""),"Negative")</f>
        <v>Negative</v>
      </c>
      <c r="H373" s="262" t="str">
        <f>IFERROR(__xludf.DUMMYFUNCTION("""COMPUTED_VALUE"""),"Negative")</f>
        <v>Negative</v>
      </c>
      <c r="I373" s="204">
        <f>IFERROR(__xludf.DUMMYFUNCTION("""COMPUTED_VALUE"""),44607.0)</f>
        <v>44607</v>
      </c>
      <c r="J373" s="252">
        <f>IFERROR(__xludf.DUMMYFUNCTION("""COMPUTED_VALUE"""),0.5868171296296296)</f>
        <v>0.5868171296</v>
      </c>
      <c r="K373" s="56"/>
      <c r="L373" s="6"/>
      <c r="M373" s="61"/>
      <c r="N373" s="61">
        <f>IFERROR(__xludf.DUMMYFUNCTION("""COMPUTED_VALUE"""),1.0)</f>
        <v>1</v>
      </c>
      <c r="O373" s="61" t="str">
        <f t="shared" si="3"/>
        <v/>
      </c>
      <c r="P373" s="253">
        <f>IFERROR(__xludf.DUMMYFUNCTION("""COMPUTED_VALUE"""),0.0)</f>
        <v>0</v>
      </c>
      <c r="Q373" s="254" t="b">
        <f>VLOOKUP($B373,'Run Reconcile'!B$2:O799,14,FALSE)</f>
        <v>1</v>
      </c>
      <c r="R373" s="255" t="str">
        <f t="array" ref="R373">IF($Q373, INDEX('Run Reconcile'!A$2:A799,MATCH(B373,'Run Reconcile'!B$2:B799,0),1),IFERROR(0/0,""))</f>
        <v>RUN-BEND_2022-02-15_RFR-032</v>
      </c>
      <c r="S373" s="261" t="str">
        <f t="shared" ref="S373:T373" si="753">IF(COUNTIF(W$2:W799, $A373) &gt; 0,TRUE,IFERROR(0/0,""))</f>
        <v/>
      </c>
      <c r="T373" s="261" t="str">
        <f t="shared" si="753"/>
        <v/>
      </c>
      <c r="U373" s="257" t="str">
        <f t="array" ref="U373">IF(ISBLANK($R373), INDEX('Run Reconcile'!A$2:A799, MATCH($B373, 'Run Reconcile'!B$2:B799, 0)+Z373, 1), IFERROR(0/0,""))
</f>
        <v/>
      </c>
      <c r="V373" s="258" t="str">
        <f t="shared" si="480"/>
        <v>RUN-BEND_2022-02-15_RFR-032</v>
      </c>
      <c r="Y373" s="130" t="str">
        <f t="shared" si="487"/>
        <v/>
      </c>
      <c r="Z373" s="49" t="str">
        <f t="shared" si="7"/>
        <v/>
      </c>
      <c r="AA373" s="49" t="str">
        <f t="shared" si="8"/>
        <v/>
      </c>
      <c r="AB373" s="49" t="str">
        <f t="shared" si="9"/>
        <v/>
      </c>
      <c r="AC373" s="20" t="str">
        <f t="shared" ref="AC373:AD373" si="754">IF(_xlfn.ISFORMULA(S373),IFERROR(0/0,""),TRUE)</f>
        <v/>
      </c>
      <c r="AD373" s="20" t="str">
        <f t="shared" si="754"/>
        <v/>
      </c>
      <c r="AE373" s="43"/>
      <c r="AF373" s="62" t="s">
        <v>56</v>
      </c>
      <c r="AG373" s="57" t="str">
        <f t="shared" si="11"/>
        <v/>
      </c>
    </row>
    <row r="374">
      <c r="A374" s="6" t="str">
        <f>IFERROR(__xludf.DUMMYFUNCTION("""COMPUTED_VALUE"""),"FM442")</f>
        <v>FM442</v>
      </c>
      <c r="B374" s="204">
        <f>IFERROR(__xludf.DUMMYFUNCTION("""COMPUTED_VALUE"""),44607.0)</f>
        <v>44607</v>
      </c>
      <c r="C374" s="250">
        <f>IFERROR(__xludf.DUMMYFUNCTION("""COMPUTED_VALUE"""),0.33417824074074076)</f>
        <v>0.3341782407</v>
      </c>
      <c r="D374" s="6" t="str">
        <f>IFERROR(__xludf.DUMMYFUNCTION("""COMPUTED_VALUE"""),"SpBEND216695")</f>
        <v>SpBEND216695</v>
      </c>
      <c r="E374" s="251"/>
      <c r="F374" s="251"/>
      <c r="G374" s="251" t="str">
        <f>IFERROR(__xludf.DUMMYFUNCTION("""COMPUTED_VALUE"""),"Negative")</f>
        <v>Negative</v>
      </c>
      <c r="H374" s="262" t="str">
        <f>IFERROR(__xludf.DUMMYFUNCTION("""COMPUTED_VALUE"""),"Negative")</f>
        <v>Negative</v>
      </c>
      <c r="I374" s="204">
        <f>IFERROR(__xludf.DUMMYFUNCTION("""COMPUTED_VALUE"""),44607.0)</f>
        <v>44607</v>
      </c>
      <c r="J374" s="252">
        <f>IFERROR(__xludf.DUMMYFUNCTION("""COMPUTED_VALUE"""),0.5868171296296296)</f>
        <v>0.5868171296</v>
      </c>
      <c r="K374" s="56"/>
      <c r="L374" s="6"/>
      <c r="M374" s="61"/>
      <c r="N374" s="61">
        <f>IFERROR(__xludf.DUMMYFUNCTION("""COMPUTED_VALUE"""),1.0)</f>
        <v>1</v>
      </c>
      <c r="O374" s="61" t="str">
        <f t="shared" si="3"/>
        <v/>
      </c>
      <c r="P374" s="253">
        <f>IFERROR(__xludf.DUMMYFUNCTION("""COMPUTED_VALUE"""),0.0)</f>
        <v>0</v>
      </c>
      <c r="Q374" s="254" t="b">
        <f>VLOOKUP($B374,'Run Reconcile'!B$2:O799,14,FALSE)</f>
        <v>1</v>
      </c>
      <c r="R374" s="255" t="str">
        <f t="array" ref="R374">IF($Q374, INDEX('Run Reconcile'!A$2:A799,MATCH(B374,'Run Reconcile'!B$2:B799,0),1),IFERROR(0/0,""))</f>
        <v>RUN-BEND_2022-02-15_RFR-032</v>
      </c>
      <c r="S374" s="261" t="str">
        <f t="shared" ref="S374:T374" si="755">IF(COUNTIF(W$2:W799, $A374) &gt; 0,TRUE,IFERROR(0/0,""))</f>
        <v/>
      </c>
      <c r="T374" s="261" t="str">
        <f t="shared" si="755"/>
        <v/>
      </c>
      <c r="U374" s="257" t="str">
        <f t="array" ref="U374">IF(ISBLANK($R374), INDEX('Run Reconcile'!A$2:A799, MATCH($B374, 'Run Reconcile'!B$2:B799, 0)+Z374, 1), IFERROR(0/0,""))
</f>
        <v/>
      </c>
      <c r="V374" s="258" t="str">
        <f t="shared" si="480"/>
        <v>RUN-BEND_2022-02-15_RFR-032</v>
      </c>
      <c r="Y374" s="130" t="str">
        <f t="shared" si="487"/>
        <v/>
      </c>
      <c r="Z374" s="49" t="str">
        <f t="shared" si="7"/>
        <v/>
      </c>
      <c r="AA374" s="49" t="str">
        <f t="shared" si="8"/>
        <v/>
      </c>
      <c r="AB374" s="49" t="str">
        <f t="shared" si="9"/>
        <v/>
      </c>
      <c r="AC374" s="20" t="str">
        <f t="shared" ref="AC374:AD374" si="756">IF(_xlfn.ISFORMULA(S374),IFERROR(0/0,""),TRUE)</f>
        <v/>
      </c>
      <c r="AD374" s="20" t="str">
        <f t="shared" si="756"/>
        <v/>
      </c>
      <c r="AE374" s="43"/>
      <c r="AF374" s="62" t="s">
        <v>56</v>
      </c>
      <c r="AG374" s="57" t="str">
        <f t="shared" si="11"/>
        <v/>
      </c>
    </row>
    <row r="375">
      <c r="A375" s="6" t="str">
        <f>IFERROR(__xludf.DUMMYFUNCTION("""COMPUTED_VALUE"""),"MA301")</f>
        <v>MA301</v>
      </c>
      <c r="B375" s="204">
        <f>IFERROR(__xludf.DUMMYFUNCTION("""COMPUTED_VALUE"""),44607.0)</f>
        <v>44607</v>
      </c>
      <c r="C375" s="250">
        <f>IFERROR(__xludf.DUMMYFUNCTION("""COMPUTED_VALUE"""),0.33814814814814814)</f>
        <v>0.3381481481</v>
      </c>
      <c r="D375" s="6" t="str">
        <f>IFERROR(__xludf.DUMMYFUNCTION("""COMPUTED_VALUE"""),"SpBEND435789")</f>
        <v>SpBEND435789</v>
      </c>
      <c r="E375" s="251"/>
      <c r="F375" s="251"/>
      <c r="G375" s="251" t="str">
        <f>IFERROR(__xludf.DUMMYFUNCTION("""COMPUTED_VALUE"""),"Negative")</f>
        <v>Negative</v>
      </c>
      <c r="H375" s="262" t="str">
        <f>IFERROR(__xludf.DUMMYFUNCTION("""COMPUTED_VALUE"""),"Negative")</f>
        <v>Negative</v>
      </c>
      <c r="I375" s="204">
        <f>IFERROR(__xludf.DUMMYFUNCTION("""COMPUTED_VALUE"""),44607.0)</f>
        <v>44607</v>
      </c>
      <c r="J375" s="252">
        <f>IFERROR(__xludf.DUMMYFUNCTION("""COMPUTED_VALUE"""),0.5868171296296296)</f>
        <v>0.5868171296</v>
      </c>
      <c r="K375" s="56"/>
      <c r="L375" s="6"/>
      <c r="M375" s="61"/>
      <c r="N375" s="61">
        <f>IFERROR(__xludf.DUMMYFUNCTION("""COMPUTED_VALUE"""),1.0)</f>
        <v>1</v>
      </c>
      <c r="O375" s="61" t="str">
        <f t="shared" si="3"/>
        <v/>
      </c>
      <c r="P375" s="253">
        <f>IFERROR(__xludf.DUMMYFUNCTION("""COMPUTED_VALUE"""),0.0)</f>
        <v>0</v>
      </c>
      <c r="Q375" s="254" t="b">
        <f>VLOOKUP($B375,'Run Reconcile'!B$2:O799,14,FALSE)</f>
        <v>1</v>
      </c>
      <c r="R375" s="255" t="str">
        <f t="array" ref="R375">IF($Q375, INDEX('Run Reconcile'!A$2:A799,MATCH(B375,'Run Reconcile'!B$2:B799,0),1),IFERROR(0/0,""))</f>
        <v>RUN-BEND_2022-02-15_RFR-032</v>
      </c>
      <c r="S375" s="261" t="str">
        <f t="shared" ref="S375:T375" si="757">IF(COUNTIF(W$2:W799, $A375) &gt; 0,TRUE,IFERROR(0/0,""))</f>
        <v/>
      </c>
      <c r="T375" s="261" t="str">
        <f t="shared" si="757"/>
        <v/>
      </c>
      <c r="U375" s="257" t="str">
        <f t="array" ref="U375">IF(ISBLANK($R375), INDEX('Run Reconcile'!A$2:A799, MATCH($B375, 'Run Reconcile'!B$2:B799, 0)+Z375, 1), IFERROR(0/0,""))
</f>
        <v/>
      </c>
      <c r="V375" s="258" t="str">
        <f t="shared" si="480"/>
        <v>RUN-BEND_2022-02-15_RFR-032</v>
      </c>
      <c r="Y375" s="130" t="str">
        <f t="shared" si="487"/>
        <v/>
      </c>
      <c r="Z375" s="49" t="str">
        <f t="shared" si="7"/>
        <v/>
      </c>
      <c r="AA375" s="49" t="str">
        <f t="shared" si="8"/>
        <v/>
      </c>
      <c r="AB375" s="49" t="str">
        <f t="shared" si="9"/>
        <v/>
      </c>
      <c r="AC375" s="20" t="str">
        <f t="shared" ref="AC375:AD375" si="758">IF(_xlfn.ISFORMULA(S375),IFERROR(0/0,""),TRUE)</f>
        <v/>
      </c>
      <c r="AD375" s="20" t="str">
        <f t="shared" si="758"/>
        <v/>
      </c>
      <c r="AE375" s="43"/>
      <c r="AF375" s="62" t="s">
        <v>56</v>
      </c>
      <c r="AG375" s="57" t="str">
        <f t="shared" si="11"/>
        <v/>
      </c>
    </row>
    <row r="376">
      <c r="A376" s="6" t="str">
        <f>IFERROR(__xludf.DUMMYFUNCTION("""COMPUTED_VALUE"""),"MA412")</f>
        <v>MA412</v>
      </c>
      <c r="B376" s="204">
        <f>IFERROR(__xludf.DUMMYFUNCTION("""COMPUTED_VALUE"""),44607.0)</f>
        <v>44607</v>
      </c>
      <c r="C376" s="250">
        <f>IFERROR(__xludf.DUMMYFUNCTION("""COMPUTED_VALUE"""),0.34164351851851854)</f>
        <v>0.3416435185</v>
      </c>
      <c r="D376" s="6" t="str">
        <f>IFERROR(__xludf.DUMMYFUNCTION("""COMPUTED_VALUE"""),"SpBEND824412")</f>
        <v>SpBEND824412</v>
      </c>
      <c r="E376" s="251"/>
      <c r="F376" s="251"/>
      <c r="G376" s="251" t="str">
        <f>IFERROR(__xludf.DUMMYFUNCTION("""COMPUTED_VALUE"""),"Negative")</f>
        <v>Negative</v>
      </c>
      <c r="H376" s="262" t="str">
        <f>IFERROR(__xludf.DUMMYFUNCTION("""COMPUTED_VALUE"""),"Negative")</f>
        <v>Negative</v>
      </c>
      <c r="I376" s="204">
        <f>IFERROR(__xludf.DUMMYFUNCTION("""COMPUTED_VALUE"""),44607.0)</f>
        <v>44607</v>
      </c>
      <c r="J376" s="252">
        <f>IFERROR(__xludf.DUMMYFUNCTION("""COMPUTED_VALUE"""),0.5868171296296296)</f>
        <v>0.5868171296</v>
      </c>
      <c r="K376" s="56"/>
      <c r="L376" s="6"/>
      <c r="M376" s="61"/>
      <c r="N376" s="61">
        <f>IFERROR(__xludf.DUMMYFUNCTION("""COMPUTED_VALUE"""),1.0)</f>
        <v>1</v>
      </c>
      <c r="O376" s="61" t="str">
        <f t="shared" si="3"/>
        <v/>
      </c>
      <c r="P376" s="253">
        <f>IFERROR(__xludf.DUMMYFUNCTION("""COMPUTED_VALUE"""),0.0)</f>
        <v>0</v>
      </c>
      <c r="Q376" s="254" t="b">
        <f>VLOOKUP($B376,'Run Reconcile'!B$2:O799,14,FALSE)</f>
        <v>1</v>
      </c>
      <c r="R376" s="255" t="str">
        <f t="array" ref="R376">IF($Q376, INDEX('Run Reconcile'!A$2:A799,MATCH(B376,'Run Reconcile'!B$2:B799,0),1),IFERROR(0/0,""))</f>
        <v>RUN-BEND_2022-02-15_RFR-032</v>
      </c>
      <c r="S376" s="261" t="str">
        <f t="shared" ref="S376:T376" si="759">IF(COUNTIF(W$2:W799, $A376) &gt; 0,TRUE,IFERROR(0/0,""))</f>
        <v/>
      </c>
      <c r="T376" s="261" t="str">
        <f t="shared" si="759"/>
        <v/>
      </c>
      <c r="U376" s="257" t="str">
        <f t="array" ref="U376">IF(ISBLANK($R376), INDEX('Run Reconcile'!A$2:A799, MATCH($B376, 'Run Reconcile'!B$2:B799, 0)+Z376, 1), IFERROR(0/0,""))
</f>
        <v/>
      </c>
      <c r="V376" s="258" t="str">
        <f t="shared" si="480"/>
        <v>RUN-BEND_2022-02-15_RFR-032</v>
      </c>
      <c r="Y376" s="130" t="str">
        <f t="shared" si="487"/>
        <v/>
      </c>
      <c r="Z376" s="49" t="str">
        <f t="shared" si="7"/>
        <v/>
      </c>
      <c r="AA376" s="49" t="str">
        <f t="shared" si="8"/>
        <v/>
      </c>
      <c r="AB376" s="49" t="str">
        <f t="shared" si="9"/>
        <v/>
      </c>
      <c r="AC376" s="20" t="str">
        <f t="shared" ref="AC376:AD376" si="760">IF(_xlfn.ISFORMULA(S376),IFERROR(0/0,""),TRUE)</f>
        <v/>
      </c>
      <c r="AD376" s="20" t="str">
        <f t="shared" si="760"/>
        <v/>
      </c>
      <c r="AE376" s="43"/>
      <c r="AF376" s="62" t="s">
        <v>56</v>
      </c>
      <c r="AG376" s="57" t="str">
        <f t="shared" si="11"/>
        <v/>
      </c>
    </row>
    <row r="377">
      <c r="A377" s="6" t="str">
        <f>IFERROR(__xludf.DUMMYFUNCTION("""COMPUTED_VALUE"""),"FM34")</f>
        <v>FM34</v>
      </c>
      <c r="B377" s="204">
        <f>IFERROR(__xludf.DUMMYFUNCTION("""COMPUTED_VALUE"""),44607.0)</f>
        <v>44607</v>
      </c>
      <c r="C377" s="250">
        <f>IFERROR(__xludf.DUMMYFUNCTION("""COMPUTED_VALUE"""),0.3449537037037037)</f>
        <v>0.3449537037</v>
      </c>
      <c r="D377" s="6" t="str">
        <f>IFERROR(__xludf.DUMMYFUNCTION("""COMPUTED_VALUE"""),"SpBEND899578")</f>
        <v>SpBEND899578</v>
      </c>
      <c r="E377" s="251"/>
      <c r="F377" s="251"/>
      <c r="G377" s="251" t="str">
        <f>IFERROR(__xludf.DUMMYFUNCTION("""COMPUTED_VALUE"""),"Negative")</f>
        <v>Negative</v>
      </c>
      <c r="H377" s="262" t="str">
        <f>IFERROR(__xludf.DUMMYFUNCTION("""COMPUTED_VALUE"""),"Negative")</f>
        <v>Negative</v>
      </c>
      <c r="I377" s="204">
        <f>IFERROR(__xludf.DUMMYFUNCTION("""COMPUTED_VALUE"""),44607.0)</f>
        <v>44607</v>
      </c>
      <c r="J377" s="252">
        <f>IFERROR(__xludf.DUMMYFUNCTION("""COMPUTED_VALUE"""),0.5868171296296296)</f>
        <v>0.5868171296</v>
      </c>
      <c r="K377" s="56"/>
      <c r="L377" s="6"/>
      <c r="M377" s="61"/>
      <c r="N377" s="61">
        <f>IFERROR(__xludf.DUMMYFUNCTION("""COMPUTED_VALUE"""),1.0)</f>
        <v>1</v>
      </c>
      <c r="O377" s="61" t="str">
        <f t="shared" si="3"/>
        <v/>
      </c>
      <c r="P377" s="253">
        <f>IFERROR(__xludf.DUMMYFUNCTION("""COMPUTED_VALUE"""),0.0)</f>
        <v>0</v>
      </c>
      <c r="Q377" s="254" t="b">
        <f>VLOOKUP($B377,'Run Reconcile'!B$2:O799,14,FALSE)</f>
        <v>1</v>
      </c>
      <c r="R377" s="255" t="str">
        <f t="array" ref="R377">IF($Q377, INDEX('Run Reconcile'!A$2:A799,MATCH(B377,'Run Reconcile'!B$2:B799,0),1),IFERROR(0/0,""))</f>
        <v>RUN-BEND_2022-02-15_RFR-032</v>
      </c>
      <c r="S377" s="261" t="str">
        <f t="shared" ref="S377:T377" si="761">IF(COUNTIF(W$2:W799, $A377) &gt; 0,TRUE,IFERROR(0/0,""))</f>
        <v/>
      </c>
      <c r="T377" s="261" t="str">
        <f t="shared" si="761"/>
        <v/>
      </c>
      <c r="U377" s="257" t="str">
        <f t="array" ref="U377">IF(ISBLANK($R377), INDEX('Run Reconcile'!A$2:A799, MATCH($B377, 'Run Reconcile'!B$2:B799, 0)+Z377, 1), IFERROR(0/0,""))
</f>
        <v/>
      </c>
      <c r="V377" s="258" t="str">
        <f t="shared" si="480"/>
        <v>RUN-BEND_2022-02-15_RFR-032</v>
      </c>
      <c r="Y377" s="130" t="str">
        <f t="shared" si="487"/>
        <v/>
      </c>
      <c r="Z377" s="49" t="str">
        <f t="shared" si="7"/>
        <v/>
      </c>
      <c r="AA377" s="49" t="str">
        <f t="shared" si="8"/>
        <v/>
      </c>
      <c r="AB377" s="49" t="str">
        <f t="shared" si="9"/>
        <v/>
      </c>
      <c r="AC377" s="20" t="str">
        <f t="shared" ref="AC377:AD377" si="762">IF(_xlfn.ISFORMULA(S377),IFERROR(0/0,""),TRUE)</f>
        <v/>
      </c>
      <c r="AD377" s="20" t="str">
        <f t="shared" si="762"/>
        <v/>
      </c>
      <c r="AE377" s="43"/>
      <c r="AF377" s="62" t="s">
        <v>56</v>
      </c>
      <c r="AG377" s="57" t="str">
        <f t="shared" si="11"/>
        <v/>
      </c>
    </row>
    <row r="378">
      <c r="A378" s="6" t="str">
        <f>IFERROR(__xludf.DUMMYFUNCTION("""COMPUTED_VALUE"""),"MA1029")</f>
        <v>MA1029</v>
      </c>
      <c r="B378" s="204">
        <f>IFERROR(__xludf.DUMMYFUNCTION("""COMPUTED_VALUE"""),44607.0)</f>
        <v>44607</v>
      </c>
      <c r="C378" s="250">
        <f>IFERROR(__xludf.DUMMYFUNCTION("""COMPUTED_VALUE"""),0.3477546296296296)</f>
        <v>0.3477546296</v>
      </c>
      <c r="D378" s="6" t="str">
        <f>IFERROR(__xludf.DUMMYFUNCTION("""COMPUTED_VALUE"""),"SpBEND372845")</f>
        <v>SpBEND372845</v>
      </c>
      <c r="E378" s="251"/>
      <c r="F378" s="251"/>
      <c r="G378" s="251" t="str">
        <f>IFERROR(__xludf.DUMMYFUNCTION("""COMPUTED_VALUE"""),"Negative")</f>
        <v>Negative</v>
      </c>
      <c r="H378" s="262" t="str">
        <f>IFERROR(__xludf.DUMMYFUNCTION("""COMPUTED_VALUE"""),"Negative")</f>
        <v>Negative</v>
      </c>
      <c r="I378" s="204">
        <f>IFERROR(__xludf.DUMMYFUNCTION("""COMPUTED_VALUE"""),44607.0)</f>
        <v>44607</v>
      </c>
      <c r="J378" s="252">
        <f>IFERROR(__xludf.DUMMYFUNCTION("""COMPUTED_VALUE"""),0.5868171296296296)</f>
        <v>0.5868171296</v>
      </c>
      <c r="K378" s="56"/>
      <c r="L378" s="6"/>
      <c r="M378" s="61"/>
      <c r="N378" s="61">
        <f>IFERROR(__xludf.DUMMYFUNCTION("""COMPUTED_VALUE"""),1.0)</f>
        <v>1</v>
      </c>
      <c r="O378" s="61" t="str">
        <f t="shared" si="3"/>
        <v/>
      </c>
      <c r="P378" s="253">
        <f>IFERROR(__xludf.DUMMYFUNCTION("""COMPUTED_VALUE"""),0.0)</f>
        <v>0</v>
      </c>
      <c r="Q378" s="254" t="b">
        <f>VLOOKUP($B378,'Run Reconcile'!B$2:O799,14,FALSE)</f>
        <v>1</v>
      </c>
      <c r="R378" s="255" t="str">
        <f t="array" ref="R378">IF($Q378, INDEX('Run Reconcile'!A$2:A799,MATCH(B378,'Run Reconcile'!B$2:B799,0),1),IFERROR(0/0,""))</f>
        <v>RUN-BEND_2022-02-15_RFR-032</v>
      </c>
      <c r="S378" s="261" t="str">
        <f t="shared" ref="S378:T378" si="763">IF(COUNTIF(W$2:W799, $A378) &gt; 0,TRUE,IFERROR(0/0,""))</f>
        <v/>
      </c>
      <c r="T378" s="261" t="str">
        <f t="shared" si="763"/>
        <v/>
      </c>
      <c r="U378" s="257" t="str">
        <f t="array" ref="U378">IF(ISBLANK($R378), INDEX('Run Reconcile'!A$2:A799, MATCH($B378, 'Run Reconcile'!B$2:B799, 0)+Z378, 1), IFERROR(0/0,""))
</f>
        <v/>
      </c>
      <c r="V378" s="258" t="str">
        <f t="shared" si="480"/>
        <v>RUN-BEND_2022-02-15_RFR-032</v>
      </c>
      <c r="Y378" s="130" t="str">
        <f t="shared" si="487"/>
        <v/>
      </c>
      <c r="Z378" s="49" t="str">
        <f t="shared" si="7"/>
        <v/>
      </c>
      <c r="AA378" s="49" t="str">
        <f t="shared" si="8"/>
        <v/>
      </c>
      <c r="AB378" s="49" t="str">
        <f t="shared" si="9"/>
        <v/>
      </c>
      <c r="AC378" s="20" t="str">
        <f t="shared" ref="AC378:AD378" si="764">IF(_xlfn.ISFORMULA(S378),IFERROR(0/0,""),TRUE)</f>
        <v/>
      </c>
      <c r="AD378" s="20" t="str">
        <f t="shared" si="764"/>
        <v/>
      </c>
      <c r="AE378" s="43"/>
      <c r="AF378" s="62" t="s">
        <v>56</v>
      </c>
      <c r="AG378" s="57" t="str">
        <f t="shared" si="11"/>
        <v/>
      </c>
    </row>
    <row r="379">
      <c r="A379" s="6" t="str">
        <f>IFERROR(__xludf.DUMMYFUNCTION("""COMPUTED_VALUE"""),"FM428")</f>
        <v>FM428</v>
      </c>
      <c r="B379" s="204">
        <f>IFERROR(__xludf.DUMMYFUNCTION("""COMPUTED_VALUE"""),44607.0)</f>
        <v>44607</v>
      </c>
      <c r="C379" s="250">
        <f>IFERROR(__xludf.DUMMYFUNCTION("""COMPUTED_VALUE"""),0.3717361111111111)</f>
        <v>0.3717361111</v>
      </c>
      <c r="D379" s="6" t="str">
        <f>IFERROR(__xludf.DUMMYFUNCTION("""COMPUTED_VALUE"""),"SpBEND737678")</f>
        <v>SpBEND737678</v>
      </c>
      <c r="E379" s="251"/>
      <c r="F379" s="251"/>
      <c r="G379" s="251" t="str">
        <f>IFERROR(__xludf.DUMMYFUNCTION("""COMPUTED_VALUE"""),"Negative")</f>
        <v>Negative</v>
      </c>
      <c r="H379" s="262" t="str">
        <f>IFERROR(__xludf.DUMMYFUNCTION("""COMPUTED_VALUE"""),"Negative")</f>
        <v>Negative</v>
      </c>
      <c r="I379" s="204">
        <f>IFERROR(__xludf.DUMMYFUNCTION("""COMPUTED_VALUE"""),44607.0)</f>
        <v>44607</v>
      </c>
      <c r="J379" s="252">
        <f>IFERROR(__xludf.DUMMYFUNCTION("""COMPUTED_VALUE"""),0.5868171296296296)</f>
        <v>0.5868171296</v>
      </c>
      <c r="K379" s="56"/>
      <c r="L379" s="6"/>
      <c r="M379" s="61"/>
      <c r="N379" s="61">
        <f>IFERROR(__xludf.DUMMYFUNCTION("""COMPUTED_VALUE"""),1.0)</f>
        <v>1</v>
      </c>
      <c r="O379" s="61" t="str">
        <f t="shared" si="3"/>
        <v/>
      </c>
      <c r="P379" s="253">
        <f>IFERROR(__xludf.DUMMYFUNCTION("""COMPUTED_VALUE"""),0.0)</f>
        <v>0</v>
      </c>
      <c r="Q379" s="254" t="b">
        <f>VLOOKUP($B379,'Run Reconcile'!B$2:O799,14,FALSE)</f>
        <v>1</v>
      </c>
      <c r="R379" s="255" t="str">
        <f t="array" ref="R379">IF($Q379, INDEX('Run Reconcile'!A$2:A799,MATCH(B379,'Run Reconcile'!B$2:B799,0),1),IFERROR(0/0,""))</f>
        <v>RUN-BEND_2022-02-15_RFR-032</v>
      </c>
      <c r="S379" s="261" t="str">
        <f t="shared" ref="S379:T379" si="765">IF(COUNTIF(W$2:W799, $A379) &gt; 0,TRUE,IFERROR(0/0,""))</f>
        <v/>
      </c>
      <c r="T379" s="261" t="str">
        <f t="shared" si="765"/>
        <v/>
      </c>
      <c r="U379" s="257" t="str">
        <f t="array" ref="U379">IF(ISBLANK($R379), INDEX('Run Reconcile'!A$2:A799, MATCH($B379, 'Run Reconcile'!B$2:B799, 0)+Z379, 1), IFERROR(0/0,""))
</f>
        <v/>
      </c>
      <c r="V379" s="258" t="str">
        <f t="shared" si="480"/>
        <v>RUN-BEND_2022-02-15_RFR-032</v>
      </c>
      <c r="Y379" s="130" t="str">
        <f t="shared" si="487"/>
        <v/>
      </c>
      <c r="Z379" s="49" t="str">
        <f t="shared" si="7"/>
        <v/>
      </c>
      <c r="AA379" s="49" t="str">
        <f t="shared" si="8"/>
        <v/>
      </c>
      <c r="AB379" s="49" t="str">
        <f t="shared" si="9"/>
        <v/>
      </c>
      <c r="AC379" s="20" t="str">
        <f t="shared" ref="AC379:AD379" si="766">IF(_xlfn.ISFORMULA(S379),IFERROR(0/0,""),TRUE)</f>
        <v/>
      </c>
      <c r="AD379" s="20" t="str">
        <f t="shared" si="766"/>
        <v/>
      </c>
      <c r="AE379" s="43"/>
      <c r="AF379" s="62" t="s">
        <v>56</v>
      </c>
      <c r="AG379" s="57" t="str">
        <f t="shared" si="11"/>
        <v/>
      </c>
    </row>
    <row r="380">
      <c r="A380" s="6" t="str">
        <f>IFERROR(__xludf.DUMMYFUNCTION("""COMPUTED_VALUE"""),"MA312")</f>
        <v>MA312</v>
      </c>
      <c r="B380" s="204">
        <f>IFERROR(__xludf.DUMMYFUNCTION("""COMPUTED_VALUE"""),44607.0)</f>
        <v>44607</v>
      </c>
      <c r="C380" s="250">
        <f>IFERROR(__xludf.DUMMYFUNCTION("""COMPUTED_VALUE"""),0.3924884259259259)</f>
        <v>0.3924884259</v>
      </c>
      <c r="D380" s="6" t="str">
        <f>IFERROR(__xludf.DUMMYFUNCTION("""COMPUTED_VALUE"""),"SpBEND670368")</f>
        <v>SpBEND670368</v>
      </c>
      <c r="E380" s="251"/>
      <c r="F380" s="251"/>
      <c r="G380" s="251" t="str">
        <f>IFERROR(__xludf.DUMMYFUNCTION("""COMPUTED_VALUE"""),"Negative")</f>
        <v>Negative</v>
      </c>
      <c r="H380" s="262" t="str">
        <f>IFERROR(__xludf.DUMMYFUNCTION("""COMPUTED_VALUE"""),"Negative")</f>
        <v>Negative</v>
      </c>
      <c r="I380" s="204">
        <f>IFERROR(__xludf.DUMMYFUNCTION("""COMPUTED_VALUE"""),44607.0)</f>
        <v>44607</v>
      </c>
      <c r="J380" s="252">
        <f>IFERROR(__xludf.DUMMYFUNCTION("""COMPUTED_VALUE"""),0.5868171296296296)</f>
        <v>0.5868171296</v>
      </c>
      <c r="K380" s="56"/>
      <c r="L380" s="6"/>
      <c r="M380" s="61"/>
      <c r="N380" s="61">
        <f>IFERROR(__xludf.DUMMYFUNCTION("""COMPUTED_VALUE"""),1.0)</f>
        <v>1</v>
      </c>
      <c r="O380" s="61" t="str">
        <f t="shared" si="3"/>
        <v/>
      </c>
      <c r="P380" s="253">
        <f>IFERROR(__xludf.DUMMYFUNCTION("""COMPUTED_VALUE"""),0.0)</f>
        <v>0</v>
      </c>
      <c r="Q380" s="254" t="b">
        <f>VLOOKUP($B380,'Run Reconcile'!B$2:O799,14,FALSE)</f>
        <v>1</v>
      </c>
      <c r="R380" s="255" t="str">
        <f t="array" ref="R380">IF($Q380, INDEX('Run Reconcile'!A$2:A799,MATCH(B380,'Run Reconcile'!B$2:B799,0),1),IFERROR(0/0,""))</f>
        <v>RUN-BEND_2022-02-15_RFR-032</v>
      </c>
      <c r="S380" s="261" t="str">
        <f t="shared" ref="S380:T380" si="767">IF(COUNTIF(W$2:W799, $A380) &gt; 0,TRUE,IFERROR(0/0,""))</f>
        <v/>
      </c>
      <c r="T380" s="261" t="str">
        <f t="shared" si="767"/>
        <v/>
      </c>
      <c r="U380" s="257" t="str">
        <f t="array" ref="U380">IF(ISBLANK($R380), INDEX('Run Reconcile'!A$2:A799, MATCH($B380, 'Run Reconcile'!B$2:B799, 0)+Z380, 1), IFERROR(0/0,""))
</f>
        <v/>
      </c>
      <c r="V380" s="258" t="str">
        <f t="shared" si="480"/>
        <v>RUN-BEND_2022-02-15_RFR-032</v>
      </c>
      <c r="Y380" s="130" t="str">
        <f t="shared" si="487"/>
        <v/>
      </c>
      <c r="Z380" s="49" t="str">
        <f t="shared" si="7"/>
        <v/>
      </c>
      <c r="AA380" s="49" t="str">
        <f t="shared" si="8"/>
        <v/>
      </c>
      <c r="AB380" s="49" t="str">
        <f t="shared" si="9"/>
        <v/>
      </c>
      <c r="AC380" s="20" t="str">
        <f t="shared" ref="AC380:AD380" si="768">IF(_xlfn.ISFORMULA(S380),IFERROR(0/0,""),TRUE)</f>
        <v/>
      </c>
      <c r="AD380" s="20" t="str">
        <f t="shared" si="768"/>
        <v/>
      </c>
      <c r="AE380" s="43"/>
      <c r="AF380" s="62" t="s">
        <v>56</v>
      </c>
      <c r="AG380" s="57" t="str">
        <f t="shared" si="11"/>
        <v/>
      </c>
    </row>
    <row r="381">
      <c r="A381" s="6" t="str">
        <f>IFERROR(__xludf.DUMMYFUNCTION("""COMPUTED_VALUE"""),"FM50")</f>
        <v>FM50</v>
      </c>
      <c r="B381" s="204">
        <f>IFERROR(__xludf.DUMMYFUNCTION("""COMPUTED_VALUE"""),44607.0)</f>
        <v>44607</v>
      </c>
      <c r="C381" s="250">
        <f>IFERROR(__xludf.DUMMYFUNCTION("""COMPUTED_VALUE"""),0.5372106481481481)</f>
        <v>0.5372106481</v>
      </c>
      <c r="D381" s="6" t="str">
        <f>IFERROR(__xludf.DUMMYFUNCTION("""COMPUTED_VALUE"""),"SpBEND394154")</f>
        <v>SpBEND394154</v>
      </c>
      <c r="E381" s="251"/>
      <c r="F381" s="251"/>
      <c r="G381" s="251" t="str">
        <f>IFERROR(__xludf.DUMMYFUNCTION("""COMPUTED_VALUE"""),"Null")</f>
        <v>Null</v>
      </c>
      <c r="H381" s="262" t="str">
        <f>IFERROR(__xludf.DUMMYFUNCTION("""COMPUTED_VALUE"""),"Negative")</f>
        <v>Negative</v>
      </c>
      <c r="I381" s="262"/>
      <c r="J381" s="56"/>
      <c r="K381" s="56">
        <f>IFERROR(__xludf.DUMMYFUNCTION("""COMPUTED_VALUE"""),2.0)</f>
        <v>2</v>
      </c>
      <c r="L381" s="6"/>
      <c r="M381" s="61"/>
      <c r="N381" s="61">
        <f>IFERROR(__xludf.DUMMYFUNCTION("""COMPUTED_VALUE"""),1.0)</f>
        <v>1</v>
      </c>
      <c r="O381" s="61" t="str">
        <f t="shared" si="3"/>
        <v/>
      </c>
      <c r="P381" s="253">
        <f>IFERROR(__xludf.DUMMYFUNCTION("""COMPUTED_VALUE"""),-1.0)</f>
        <v>-1</v>
      </c>
      <c r="Q381" s="254" t="b">
        <f>VLOOKUP($B381,'Run Reconcile'!B$2:O799,14,FALSE)</f>
        <v>1</v>
      </c>
      <c r="R381" s="255" t="str">
        <f t="array" ref="R381">IF($Q381, INDEX('Run Reconcile'!A$2:A799,MATCH(B381,'Run Reconcile'!B$2:B799,0),1),IFERROR(0/0,""))</f>
        <v>RUN-BEND_2022-02-15_RFR-032</v>
      </c>
      <c r="S381" s="261" t="str">
        <f t="shared" ref="S381:T381" si="769">IF(COUNTIF(W$2:W799, $A381) &gt; 0,TRUE,IFERROR(0/0,""))</f>
        <v/>
      </c>
      <c r="T381" s="261" t="str">
        <f t="shared" si="769"/>
        <v/>
      </c>
      <c r="U381" s="257" t="str">
        <f t="array" ref="U381">IF(ISBLANK($R381), INDEX('Run Reconcile'!A$2:A799, MATCH($B381, 'Run Reconcile'!B$2:B799, 0)+Z381, 1), IFERROR(0/0,""))
</f>
        <v/>
      </c>
      <c r="V381" s="258" t="str">
        <f t="shared" si="480"/>
        <v>RUN-BEND_2022-02-15_RFR-032</v>
      </c>
      <c r="Y381" s="130" t="str">
        <f t="shared" si="487"/>
        <v/>
      </c>
      <c r="Z381" s="49" t="str">
        <f t="shared" si="7"/>
        <v/>
      </c>
      <c r="AA381" s="49" t="str">
        <f t="shared" si="8"/>
        <v/>
      </c>
      <c r="AB381" s="49" t="str">
        <f t="shared" si="9"/>
        <v/>
      </c>
      <c r="AC381" s="20" t="str">
        <f t="shared" ref="AC381:AD381" si="770">IF(_xlfn.ISFORMULA(S381),IFERROR(0/0,""),TRUE)</f>
        <v/>
      </c>
      <c r="AD381" s="20" t="str">
        <f t="shared" si="770"/>
        <v/>
      </c>
      <c r="AE381" s="43"/>
      <c r="AF381" s="62" t="s">
        <v>56</v>
      </c>
      <c r="AG381" s="57" t="str">
        <f t="shared" si="11"/>
        <v/>
      </c>
    </row>
    <row r="382">
      <c r="A382" s="6" t="str">
        <f>IFERROR(__xludf.DUMMYFUNCTION("""COMPUTED_VALUE"""),"MA408")</f>
        <v>MA408</v>
      </c>
      <c r="B382" s="204">
        <f>IFERROR(__xludf.DUMMYFUNCTION("""COMPUTED_VALUE"""),44609.0)</f>
        <v>44609</v>
      </c>
      <c r="C382" s="250">
        <f>IFERROR(__xludf.DUMMYFUNCTION("""COMPUTED_VALUE"""),0.28282407407407406)</f>
        <v>0.2828240741</v>
      </c>
      <c r="D382" s="6" t="str">
        <f>IFERROR(__xludf.DUMMYFUNCTION("""COMPUTED_VALUE"""),"SpBEND982195")</f>
        <v>SpBEND982195</v>
      </c>
      <c r="E382" s="251"/>
      <c r="F382" s="251"/>
      <c r="G382" s="251" t="str">
        <f>IFERROR(__xludf.DUMMYFUNCTION("""COMPUTED_VALUE"""),"Negative")</f>
        <v>Negative</v>
      </c>
      <c r="H382" s="262" t="str">
        <f>IFERROR(__xludf.DUMMYFUNCTION("""COMPUTED_VALUE"""),"Negative")</f>
        <v>Negative</v>
      </c>
      <c r="I382" s="204">
        <f>IFERROR(__xludf.DUMMYFUNCTION("""COMPUTED_VALUE"""),44611.0)</f>
        <v>44611</v>
      </c>
      <c r="J382" s="252">
        <f>IFERROR(__xludf.DUMMYFUNCTION("""COMPUTED_VALUE"""),0.3895601851851852)</f>
        <v>0.3895601852</v>
      </c>
      <c r="K382" s="56"/>
      <c r="L382" s="6"/>
      <c r="M382" s="61"/>
      <c r="N382" s="61">
        <f>IFERROR(__xludf.DUMMYFUNCTION("""COMPUTED_VALUE"""),1.0)</f>
        <v>1</v>
      </c>
      <c r="O382" s="61" t="b">
        <f t="shared" si="3"/>
        <v>1</v>
      </c>
      <c r="P382" s="253">
        <f>IFERROR(__xludf.DUMMYFUNCTION("""COMPUTED_VALUE"""),2.0)</f>
        <v>2</v>
      </c>
      <c r="Q382" s="254" t="str">
        <f>VLOOKUP($B382,'Run Reconcile'!B$2:O799,14,FALSE)</f>
        <v/>
      </c>
      <c r="R382" s="255" t="str">
        <f t="array" ref="R382">IF($Q382, INDEX('Run Reconcile'!A$2:A799,MATCH(B382,'Run Reconcile'!B$2:B799,0),1),IFERROR(0/0,""))</f>
        <v/>
      </c>
      <c r="S382" s="261" t="str">
        <f t="shared" ref="S382:T382" si="771">IF(COUNTIF(W$2:W799, $A382) &gt; 0,TRUE,IFERROR(0/0,""))</f>
        <v/>
      </c>
      <c r="T382" s="261" t="str">
        <f t="shared" si="771"/>
        <v/>
      </c>
      <c r="U382" s="257" t="str">
        <f t="array" ref="U382">IF(ISBLANK($R382), INDEX('Run Reconcile'!A$2:A799, MATCH($B382, 'Run Reconcile'!B$2:B799, 0)+Z382, 1), IFERROR(0/0,""))
</f>
        <v>RUN-BEND_2022-02-17_RFR-035</v>
      </c>
      <c r="V382" s="258" t="str">
        <f t="shared" si="480"/>
        <v>RUN-BEND_2022-02-17_RFR-035</v>
      </c>
      <c r="Y382" s="130" t="str">
        <f t="shared" si="487"/>
        <v/>
      </c>
      <c r="Z382" s="49" t="str">
        <f t="shared" si="7"/>
        <v/>
      </c>
      <c r="AA382" s="49" t="str">
        <f t="shared" si="8"/>
        <v/>
      </c>
      <c r="AB382" s="49" t="str">
        <f t="shared" si="9"/>
        <v/>
      </c>
      <c r="AC382" s="20" t="str">
        <f t="shared" ref="AC382:AD382" si="772">IF(_xlfn.ISFORMULA(S382),IFERROR(0/0,""),TRUE)</f>
        <v/>
      </c>
      <c r="AD382" s="20" t="str">
        <f t="shared" si="772"/>
        <v/>
      </c>
      <c r="AE382" s="43"/>
      <c r="AF382" s="62" t="s">
        <v>57</v>
      </c>
      <c r="AG382" s="57" t="str">
        <f t="shared" si="11"/>
        <v/>
      </c>
    </row>
    <row r="383">
      <c r="A383" s="6" t="str">
        <f>IFERROR(__xludf.DUMMYFUNCTION("""COMPUTED_VALUE"""),"MA226")</f>
        <v>MA226</v>
      </c>
      <c r="B383" s="204">
        <f>IFERROR(__xludf.DUMMYFUNCTION("""COMPUTED_VALUE"""),44609.0)</f>
        <v>44609</v>
      </c>
      <c r="C383" s="250">
        <f>IFERROR(__xludf.DUMMYFUNCTION("""COMPUTED_VALUE"""),0.29255787037037034)</f>
        <v>0.2925578704</v>
      </c>
      <c r="D383" s="6" t="str">
        <f>IFERROR(__xludf.DUMMYFUNCTION("""COMPUTED_VALUE"""),"SpBEND264858")</f>
        <v>SpBEND264858</v>
      </c>
      <c r="E383" s="251"/>
      <c r="F383" s="251"/>
      <c r="G383" s="251" t="str">
        <f>IFERROR(__xludf.DUMMYFUNCTION("""COMPUTED_VALUE"""),"Negative")</f>
        <v>Negative</v>
      </c>
      <c r="H383" s="262" t="str">
        <f>IFERROR(__xludf.DUMMYFUNCTION("""COMPUTED_VALUE"""),"Negative")</f>
        <v>Negative</v>
      </c>
      <c r="I383" s="204">
        <f>IFERROR(__xludf.DUMMYFUNCTION("""COMPUTED_VALUE"""),44611.0)</f>
        <v>44611</v>
      </c>
      <c r="J383" s="252">
        <f>IFERROR(__xludf.DUMMYFUNCTION("""COMPUTED_VALUE"""),0.3895601851851852)</f>
        <v>0.3895601852</v>
      </c>
      <c r="K383" s="56"/>
      <c r="L383" s="6"/>
      <c r="M383" s="61"/>
      <c r="N383" s="61">
        <f>IFERROR(__xludf.DUMMYFUNCTION("""COMPUTED_VALUE"""),1.0)</f>
        <v>1</v>
      </c>
      <c r="O383" s="61" t="str">
        <f t="shared" si="3"/>
        <v/>
      </c>
      <c r="P383" s="253">
        <f>IFERROR(__xludf.DUMMYFUNCTION("""COMPUTED_VALUE"""),2.0)</f>
        <v>2</v>
      </c>
      <c r="Q383" s="254" t="str">
        <f>VLOOKUP($B383,'Run Reconcile'!B$2:O799,14,FALSE)</f>
        <v/>
      </c>
      <c r="R383" s="255" t="str">
        <f t="array" ref="R383">IF($Q383, INDEX('Run Reconcile'!A$2:A799,MATCH(B383,'Run Reconcile'!B$2:B799,0),1),IFERROR(0/0,""))</f>
        <v/>
      </c>
      <c r="S383" s="261" t="str">
        <f t="shared" ref="S383:T383" si="773">IF(COUNTIF(W$2:W799, $A383) &gt; 0,TRUE,IFERROR(0/0,""))</f>
        <v/>
      </c>
      <c r="T383" s="261" t="str">
        <f t="shared" si="773"/>
        <v/>
      </c>
      <c r="U383" s="257" t="str">
        <f t="array" ref="U383">IF(ISBLANK($R383), INDEX('Run Reconcile'!A$2:A799, MATCH($B383, 'Run Reconcile'!B$2:B799, 0)+Z383, 1), IFERROR(0/0,""))
</f>
        <v>RUN-BEND_2022-02-17_RFR-035</v>
      </c>
      <c r="V383" s="258" t="str">
        <f t="shared" si="480"/>
        <v>RUN-BEND_2022-02-17_RFR-035</v>
      </c>
      <c r="Y383" s="130" t="str">
        <f t="shared" si="487"/>
        <v/>
      </c>
      <c r="Z383" s="49" t="str">
        <f t="shared" si="7"/>
        <v/>
      </c>
      <c r="AA383" s="49" t="str">
        <f t="shared" si="8"/>
        <v/>
      </c>
      <c r="AB383" s="49" t="str">
        <f t="shared" si="9"/>
        <v/>
      </c>
      <c r="AC383" s="20" t="str">
        <f t="shared" ref="AC383:AD383" si="774">IF(_xlfn.ISFORMULA(S383),IFERROR(0/0,""),TRUE)</f>
        <v/>
      </c>
      <c r="AD383" s="20" t="str">
        <f t="shared" si="774"/>
        <v/>
      </c>
      <c r="AE383" s="43"/>
      <c r="AF383" s="62" t="s">
        <v>57</v>
      </c>
      <c r="AG383" s="57" t="str">
        <f t="shared" si="11"/>
        <v/>
      </c>
    </row>
    <row r="384">
      <c r="A384" s="6" t="str">
        <f>IFERROR(__xludf.DUMMYFUNCTION("""COMPUTED_VALUE"""),"MAX117")</f>
        <v>MAX117</v>
      </c>
      <c r="B384" s="204">
        <f>IFERROR(__xludf.DUMMYFUNCTION("""COMPUTED_VALUE"""),44609.0)</f>
        <v>44609</v>
      </c>
      <c r="C384" s="250">
        <f>IFERROR(__xludf.DUMMYFUNCTION("""COMPUTED_VALUE"""),0.2935185185185185)</f>
        <v>0.2935185185</v>
      </c>
      <c r="D384" s="6" t="str">
        <f>IFERROR(__xludf.DUMMYFUNCTION("""COMPUTED_VALUE"""),"SpBEND394154")</f>
        <v>SpBEND394154</v>
      </c>
      <c r="E384" s="251"/>
      <c r="F384" s="251"/>
      <c r="G384" s="251" t="str">
        <f>IFERROR(__xludf.DUMMYFUNCTION("""COMPUTED_VALUE"""),"Negative")</f>
        <v>Negative</v>
      </c>
      <c r="H384" s="262" t="str">
        <f>IFERROR(__xludf.DUMMYFUNCTION("""COMPUTED_VALUE"""),"Negative")</f>
        <v>Negative</v>
      </c>
      <c r="I384" s="204">
        <f>IFERROR(__xludf.DUMMYFUNCTION("""COMPUTED_VALUE"""),44611.0)</f>
        <v>44611</v>
      </c>
      <c r="J384" s="252">
        <f>IFERROR(__xludf.DUMMYFUNCTION("""COMPUTED_VALUE"""),0.3895601851851852)</f>
        <v>0.3895601852</v>
      </c>
      <c r="K384" s="56"/>
      <c r="L384" s="6"/>
      <c r="M384" s="61"/>
      <c r="N384" s="61">
        <f>IFERROR(__xludf.DUMMYFUNCTION("""COMPUTED_VALUE"""),1.0)</f>
        <v>1</v>
      </c>
      <c r="O384" s="61" t="str">
        <f t="shared" si="3"/>
        <v/>
      </c>
      <c r="P384" s="253">
        <f>IFERROR(__xludf.DUMMYFUNCTION("""COMPUTED_VALUE"""),2.0)</f>
        <v>2</v>
      </c>
      <c r="Q384" s="254" t="str">
        <f>VLOOKUP($B384,'Run Reconcile'!B$2:O799,14,FALSE)</f>
        <v/>
      </c>
      <c r="R384" s="255" t="str">
        <f t="array" ref="R384">IF($Q384, INDEX('Run Reconcile'!A$2:A799,MATCH(B384,'Run Reconcile'!B$2:B799,0),1),IFERROR(0/0,""))</f>
        <v/>
      </c>
      <c r="S384" s="261" t="str">
        <f t="shared" ref="S384:T384" si="775">IF(COUNTIF(W$2:W799, $A384) &gt; 0,TRUE,IFERROR(0/0,""))</f>
        <v/>
      </c>
      <c r="T384" s="261" t="str">
        <f t="shared" si="775"/>
        <v/>
      </c>
      <c r="U384" s="257" t="str">
        <f t="array" ref="U384">IF(ISBLANK($R384), INDEX('Run Reconcile'!A$2:A799, MATCH($B384, 'Run Reconcile'!B$2:B799, 0)+Z384, 1), IFERROR(0/0,""))
</f>
        <v>RUN-BEND_2022-02-17_RFR-035</v>
      </c>
      <c r="V384" s="258" t="str">
        <f t="shared" si="480"/>
        <v>RUN-BEND_2022-02-17_RFR-035</v>
      </c>
      <c r="Y384" s="130" t="str">
        <f t="shared" si="487"/>
        <v/>
      </c>
      <c r="Z384" s="49" t="str">
        <f t="shared" si="7"/>
        <v/>
      </c>
      <c r="AA384" s="49" t="str">
        <f t="shared" si="8"/>
        <v/>
      </c>
      <c r="AB384" s="49" t="str">
        <f t="shared" si="9"/>
        <v/>
      </c>
      <c r="AC384" s="20" t="str">
        <f t="shared" ref="AC384:AD384" si="776">IF(_xlfn.ISFORMULA(S384),IFERROR(0/0,""),TRUE)</f>
        <v/>
      </c>
      <c r="AD384" s="20" t="str">
        <f t="shared" si="776"/>
        <v/>
      </c>
      <c r="AE384" s="43"/>
      <c r="AF384" s="62" t="s">
        <v>57</v>
      </c>
      <c r="AG384" s="57" t="str">
        <f t="shared" si="11"/>
        <v/>
      </c>
    </row>
    <row r="385">
      <c r="A385" s="6" t="str">
        <f>IFERROR(__xludf.DUMMYFUNCTION("""COMPUTED_VALUE"""),"MAX115")</f>
        <v>MAX115</v>
      </c>
      <c r="B385" s="204">
        <f>IFERROR(__xludf.DUMMYFUNCTION("""COMPUTED_VALUE"""),44609.0)</f>
        <v>44609</v>
      </c>
      <c r="C385" s="250">
        <f>IFERROR(__xludf.DUMMYFUNCTION("""COMPUTED_VALUE"""),0.2938541666666667)</f>
        <v>0.2938541667</v>
      </c>
      <c r="D385" s="6" t="str">
        <f>IFERROR(__xludf.DUMMYFUNCTION("""COMPUTED_VALUE"""),"SpBEND394154")</f>
        <v>SpBEND394154</v>
      </c>
      <c r="E385" s="251"/>
      <c r="F385" s="251"/>
      <c r="G385" s="251" t="str">
        <f>IFERROR(__xludf.DUMMYFUNCTION("""COMPUTED_VALUE"""),"Negative")</f>
        <v>Negative</v>
      </c>
      <c r="H385" s="262" t="str">
        <f>IFERROR(__xludf.DUMMYFUNCTION("""COMPUTED_VALUE"""),"Negative")</f>
        <v>Negative</v>
      </c>
      <c r="I385" s="204">
        <f>IFERROR(__xludf.DUMMYFUNCTION("""COMPUTED_VALUE"""),44611.0)</f>
        <v>44611</v>
      </c>
      <c r="J385" s="252">
        <f>IFERROR(__xludf.DUMMYFUNCTION("""COMPUTED_VALUE"""),0.3895601851851852)</f>
        <v>0.3895601852</v>
      </c>
      <c r="K385" s="56"/>
      <c r="L385" s="6"/>
      <c r="M385" s="61"/>
      <c r="N385" s="61">
        <f>IFERROR(__xludf.DUMMYFUNCTION("""COMPUTED_VALUE"""),1.0)</f>
        <v>1</v>
      </c>
      <c r="O385" s="61" t="str">
        <f t="shared" si="3"/>
        <v/>
      </c>
      <c r="P385" s="253">
        <f>IFERROR(__xludf.DUMMYFUNCTION("""COMPUTED_VALUE"""),2.0)</f>
        <v>2</v>
      </c>
      <c r="Q385" s="254" t="str">
        <f>VLOOKUP($B385,'Run Reconcile'!B$2:O799,14,FALSE)</f>
        <v/>
      </c>
      <c r="R385" s="255" t="str">
        <f t="array" ref="R385">IF($Q385, INDEX('Run Reconcile'!A$2:A799,MATCH(B385,'Run Reconcile'!B$2:B799,0),1),IFERROR(0/0,""))</f>
        <v/>
      </c>
      <c r="S385" s="261" t="str">
        <f t="shared" ref="S385:T385" si="777">IF(COUNTIF(W$2:W799, $A385) &gt; 0,TRUE,IFERROR(0/0,""))</f>
        <v/>
      </c>
      <c r="T385" s="261" t="str">
        <f t="shared" si="777"/>
        <v/>
      </c>
      <c r="U385" s="257" t="str">
        <f t="array" ref="U385">IF(ISBLANK($R385), INDEX('Run Reconcile'!A$2:A799, MATCH($B385, 'Run Reconcile'!B$2:B799, 0)+Z385, 1), IFERROR(0/0,""))
</f>
        <v>RUN-BEND_2022-02-17_RFR-035</v>
      </c>
      <c r="V385" s="258" t="str">
        <f t="shared" si="480"/>
        <v>RUN-BEND_2022-02-17_RFR-035</v>
      </c>
      <c r="Y385" s="130" t="str">
        <f t="shared" si="487"/>
        <v/>
      </c>
      <c r="Z385" s="49" t="str">
        <f t="shared" si="7"/>
        <v/>
      </c>
      <c r="AA385" s="49" t="str">
        <f t="shared" si="8"/>
        <v/>
      </c>
      <c r="AB385" s="49" t="str">
        <f t="shared" si="9"/>
        <v/>
      </c>
      <c r="AC385" s="20" t="str">
        <f t="shared" ref="AC385:AD385" si="778">IF(_xlfn.ISFORMULA(S385),IFERROR(0/0,""),TRUE)</f>
        <v/>
      </c>
      <c r="AD385" s="20" t="str">
        <f t="shared" si="778"/>
        <v/>
      </c>
      <c r="AE385" s="43"/>
      <c r="AF385" s="62" t="s">
        <v>57</v>
      </c>
      <c r="AG385" s="57" t="str">
        <f t="shared" si="11"/>
        <v/>
      </c>
    </row>
    <row r="386">
      <c r="A386" s="6" t="str">
        <f>IFERROR(__xludf.DUMMYFUNCTION("""COMPUTED_VALUE"""),"MAX8")</f>
        <v>MAX8</v>
      </c>
      <c r="B386" s="204">
        <f>IFERROR(__xludf.DUMMYFUNCTION("""COMPUTED_VALUE"""),44609.0)</f>
        <v>44609</v>
      </c>
      <c r="C386" s="250">
        <f>IFERROR(__xludf.DUMMYFUNCTION("""COMPUTED_VALUE"""),0.2951736111111111)</f>
        <v>0.2951736111</v>
      </c>
      <c r="D386" s="6" t="str">
        <f>IFERROR(__xludf.DUMMYFUNCTION("""COMPUTED_VALUE"""),"SpBEND394154")</f>
        <v>SpBEND394154</v>
      </c>
      <c r="E386" s="251"/>
      <c r="F386" s="251"/>
      <c r="G386" s="251" t="str">
        <f>IFERROR(__xludf.DUMMYFUNCTION("""COMPUTED_VALUE"""),"Negative")</f>
        <v>Negative</v>
      </c>
      <c r="H386" s="262" t="str">
        <f>IFERROR(__xludf.DUMMYFUNCTION("""COMPUTED_VALUE"""),"Negative")</f>
        <v>Negative</v>
      </c>
      <c r="I386" s="204">
        <f>IFERROR(__xludf.DUMMYFUNCTION("""COMPUTED_VALUE"""),44611.0)</f>
        <v>44611</v>
      </c>
      <c r="J386" s="252">
        <f>IFERROR(__xludf.DUMMYFUNCTION("""COMPUTED_VALUE"""),0.3895601851851852)</f>
        <v>0.3895601852</v>
      </c>
      <c r="K386" s="56"/>
      <c r="L386" s="6"/>
      <c r="M386" s="61"/>
      <c r="N386" s="61">
        <f>IFERROR(__xludf.DUMMYFUNCTION("""COMPUTED_VALUE"""),1.0)</f>
        <v>1</v>
      </c>
      <c r="O386" s="61" t="str">
        <f t="shared" si="3"/>
        <v/>
      </c>
      <c r="P386" s="253">
        <f>IFERROR(__xludf.DUMMYFUNCTION("""COMPUTED_VALUE"""),2.0)</f>
        <v>2</v>
      </c>
      <c r="Q386" s="254" t="str">
        <f>VLOOKUP($B386,'Run Reconcile'!B$2:O799,14,FALSE)</f>
        <v/>
      </c>
      <c r="R386" s="255" t="str">
        <f t="array" ref="R386">IF($Q386, INDEX('Run Reconcile'!A$2:A799,MATCH(B386,'Run Reconcile'!B$2:B799,0),1),IFERROR(0/0,""))</f>
        <v/>
      </c>
      <c r="S386" s="261" t="str">
        <f t="shared" ref="S386:T386" si="779">IF(COUNTIF(W$2:W799, $A386) &gt; 0,TRUE,IFERROR(0/0,""))</f>
        <v/>
      </c>
      <c r="T386" s="261" t="str">
        <f t="shared" si="779"/>
        <v/>
      </c>
      <c r="U386" s="257" t="str">
        <f t="array" ref="U386">IF(ISBLANK($R386), INDEX('Run Reconcile'!A$2:A799, MATCH($B386, 'Run Reconcile'!B$2:B799, 0)+Z386, 1), IFERROR(0/0,""))
</f>
        <v>RUN-BEND_2022-02-17_RFR-035</v>
      </c>
      <c r="V386" s="258" t="str">
        <f t="shared" si="480"/>
        <v>RUN-BEND_2022-02-17_RFR-035</v>
      </c>
      <c r="Y386" s="130" t="str">
        <f t="shared" si="487"/>
        <v/>
      </c>
      <c r="Z386" s="49" t="str">
        <f t="shared" si="7"/>
        <v/>
      </c>
      <c r="AA386" s="49" t="str">
        <f t="shared" si="8"/>
        <v/>
      </c>
      <c r="AB386" s="49" t="str">
        <f t="shared" si="9"/>
        <v/>
      </c>
      <c r="AC386" s="20" t="str">
        <f t="shared" ref="AC386:AD386" si="780">IF(_xlfn.ISFORMULA(S386),IFERROR(0/0,""),TRUE)</f>
        <v/>
      </c>
      <c r="AD386" s="20" t="str">
        <f t="shared" si="780"/>
        <v/>
      </c>
      <c r="AE386" s="43"/>
      <c r="AF386" s="62" t="s">
        <v>57</v>
      </c>
      <c r="AG386" s="57" t="str">
        <f t="shared" si="11"/>
        <v/>
      </c>
    </row>
    <row r="387">
      <c r="A387" s="6" t="str">
        <f>IFERROR(__xludf.DUMMYFUNCTION("""COMPUTED_VALUE"""),"FM3")</f>
        <v>FM3</v>
      </c>
      <c r="B387" s="204">
        <f>IFERROR(__xludf.DUMMYFUNCTION("""COMPUTED_VALUE"""),44609.0)</f>
        <v>44609</v>
      </c>
      <c r="C387" s="250">
        <f>IFERROR(__xludf.DUMMYFUNCTION("""COMPUTED_VALUE"""),0.3042824074074074)</f>
        <v>0.3042824074</v>
      </c>
      <c r="D387" s="6" t="str">
        <f>IFERROR(__xludf.DUMMYFUNCTION("""COMPUTED_VALUE"""),"SpBEND349435")</f>
        <v>SpBEND349435</v>
      </c>
      <c r="E387" s="251"/>
      <c r="F387" s="251"/>
      <c r="G387" s="251" t="str">
        <f>IFERROR(__xludf.DUMMYFUNCTION("""COMPUTED_VALUE"""),"Negative")</f>
        <v>Negative</v>
      </c>
      <c r="H387" s="262" t="str">
        <f>IFERROR(__xludf.DUMMYFUNCTION("""COMPUTED_VALUE"""),"Negative")</f>
        <v>Negative</v>
      </c>
      <c r="I387" s="204">
        <f>IFERROR(__xludf.DUMMYFUNCTION("""COMPUTED_VALUE"""),44611.0)</f>
        <v>44611</v>
      </c>
      <c r="J387" s="252">
        <f>IFERROR(__xludf.DUMMYFUNCTION("""COMPUTED_VALUE"""),0.3895601851851852)</f>
        <v>0.3895601852</v>
      </c>
      <c r="K387" s="56"/>
      <c r="L387" s="6"/>
      <c r="M387" s="61"/>
      <c r="N387" s="61">
        <f>IFERROR(__xludf.DUMMYFUNCTION("""COMPUTED_VALUE"""),1.0)</f>
        <v>1</v>
      </c>
      <c r="O387" s="61" t="str">
        <f t="shared" si="3"/>
        <v/>
      </c>
      <c r="P387" s="253">
        <f>IFERROR(__xludf.DUMMYFUNCTION("""COMPUTED_VALUE"""),2.0)</f>
        <v>2</v>
      </c>
      <c r="Q387" s="254" t="str">
        <f>VLOOKUP($B387,'Run Reconcile'!B$2:O799,14,FALSE)</f>
        <v/>
      </c>
      <c r="R387" s="255" t="str">
        <f t="array" ref="R387">IF($Q387, INDEX('Run Reconcile'!A$2:A799,MATCH(B387,'Run Reconcile'!B$2:B799,0),1),IFERROR(0/0,""))</f>
        <v/>
      </c>
      <c r="S387" s="261" t="str">
        <f t="shared" ref="S387:T387" si="781">IF(COUNTIF(W$2:W799, $A387) &gt; 0,TRUE,IFERROR(0/0,""))</f>
        <v/>
      </c>
      <c r="T387" s="261" t="str">
        <f t="shared" si="781"/>
        <v/>
      </c>
      <c r="U387" s="257" t="str">
        <f t="array" ref="U387">IF(ISBLANK($R387), INDEX('Run Reconcile'!A$2:A799, MATCH($B387, 'Run Reconcile'!B$2:B799, 0)+Z387, 1), IFERROR(0/0,""))
</f>
        <v>RUN-BEND_2022-02-17_RFR-035</v>
      </c>
      <c r="V387" s="258" t="str">
        <f t="shared" si="480"/>
        <v>RUN-BEND_2022-02-17_RFR-035</v>
      </c>
      <c r="Y387" s="130" t="str">
        <f t="shared" si="487"/>
        <v/>
      </c>
      <c r="Z387" s="49" t="str">
        <f t="shared" si="7"/>
        <v/>
      </c>
      <c r="AA387" s="49" t="str">
        <f t="shared" si="8"/>
        <v/>
      </c>
      <c r="AB387" s="49" t="str">
        <f t="shared" si="9"/>
        <v/>
      </c>
      <c r="AC387" s="20" t="str">
        <f t="shared" ref="AC387:AD387" si="782">IF(_xlfn.ISFORMULA(S387),IFERROR(0/0,""),TRUE)</f>
        <v/>
      </c>
      <c r="AD387" s="20" t="str">
        <f t="shared" si="782"/>
        <v/>
      </c>
      <c r="AE387" s="43"/>
      <c r="AF387" s="62" t="s">
        <v>57</v>
      </c>
      <c r="AG387" s="57" t="str">
        <f t="shared" si="11"/>
        <v/>
      </c>
    </row>
    <row r="388">
      <c r="A388" s="6" t="str">
        <f>IFERROR(__xludf.DUMMYFUNCTION("""COMPUTED_VALUE"""),"FM57")</f>
        <v>FM57</v>
      </c>
      <c r="B388" s="204">
        <f>IFERROR(__xludf.DUMMYFUNCTION("""COMPUTED_VALUE"""),44609.0)</f>
        <v>44609</v>
      </c>
      <c r="C388" s="250">
        <f>IFERROR(__xludf.DUMMYFUNCTION("""COMPUTED_VALUE"""),0.3059953703703704)</f>
        <v>0.3059953704</v>
      </c>
      <c r="D388" s="6" t="str">
        <f>IFERROR(__xludf.DUMMYFUNCTION("""COMPUTED_VALUE"""),"SpBEND481988")</f>
        <v>SpBEND481988</v>
      </c>
      <c r="E388" s="251"/>
      <c r="F388" s="251"/>
      <c r="G388" s="251" t="str">
        <f>IFERROR(__xludf.DUMMYFUNCTION("""COMPUTED_VALUE"""),"Negative")</f>
        <v>Negative</v>
      </c>
      <c r="H388" s="262" t="str">
        <f>IFERROR(__xludf.DUMMYFUNCTION("""COMPUTED_VALUE"""),"Negative")</f>
        <v>Negative</v>
      </c>
      <c r="I388" s="204">
        <f>IFERROR(__xludf.DUMMYFUNCTION("""COMPUTED_VALUE"""),44611.0)</f>
        <v>44611</v>
      </c>
      <c r="J388" s="252">
        <f>IFERROR(__xludf.DUMMYFUNCTION("""COMPUTED_VALUE"""),0.38957175925925924)</f>
        <v>0.3895717593</v>
      </c>
      <c r="K388" s="56"/>
      <c r="L388" s="6"/>
      <c r="M388" s="61"/>
      <c r="N388" s="61">
        <f>IFERROR(__xludf.DUMMYFUNCTION("""COMPUTED_VALUE"""),1.0)</f>
        <v>1</v>
      </c>
      <c r="O388" s="61" t="str">
        <f t="shared" si="3"/>
        <v/>
      </c>
      <c r="P388" s="253">
        <f>IFERROR(__xludf.DUMMYFUNCTION("""COMPUTED_VALUE"""),2.0)</f>
        <v>2</v>
      </c>
      <c r="Q388" s="254" t="str">
        <f>VLOOKUP($B388,'Run Reconcile'!B$2:O799,14,FALSE)</f>
        <v/>
      </c>
      <c r="R388" s="255" t="str">
        <f t="array" ref="R388">IF($Q388, INDEX('Run Reconcile'!A$2:A799,MATCH(B388,'Run Reconcile'!B$2:B799,0),1),IFERROR(0/0,""))</f>
        <v/>
      </c>
      <c r="S388" s="261" t="str">
        <f t="shared" ref="S388:T388" si="783">IF(COUNTIF(W$2:W799, $A388) &gt; 0,TRUE,IFERROR(0/0,""))</f>
        <v/>
      </c>
      <c r="T388" s="261" t="str">
        <f t="shared" si="783"/>
        <v/>
      </c>
      <c r="U388" s="257" t="str">
        <f t="array" ref="U388">IF(ISBLANK($R388), INDEX('Run Reconcile'!A$2:A799, MATCH($B388, 'Run Reconcile'!B$2:B799, 0)+Z388, 1), IFERROR(0/0,""))
</f>
        <v>RUN-BEND_2022-02-17_RFR-035</v>
      </c>
      <c r="V388" s="258" t="str">
        <f t="shared" si="480"/>
        <v>RUN-BEND_2022-02-17_RFR-035</v>
      </c>
      <c r="Y388" s="130" t="str">
        <f t="shared" si="487"/>
        <v/>
      </c>
      <c r="Z388" s="49" t="str">
        <f t="shared" si="7"/>
        <v/>
      </c>
      <c r="AA388" s="49" t="str">
        <f t="shared" si="8"/>
        <v/>
      </c>
      <c r="AB388" s="49" t="str">
        <f t="shared" si="9"/>
        <v/>
      </c>
      <c r="AC388" s="20" t="str">
        <f t="shared" ref="AC388:AD388" si="784">IF(_xlfn.ISFORMULA(S388),IFERROR(0/0,""),TRUE)</f>
        <v/>
      </c>
      <c r="AD388" s="20" t="str">
        <f t="shared" si="784"/>
        <v/>
      </c>
      <c r="AE388" s="43"/>
      <c r="AF388" s="62" t="s">
        <v>57</v>
      </c>
      <c r="AG388" s="57" t="str">
        <f t="shared" si="11"/>
        <v/>
      </c>
    </row>
    <row r="389">
      <c r="A389" s="6" t="str">
        <f>IFERROR(__xludf.DUMMYFUNCTION("""COMPUTED_VALUE"""),"FM432")</f>
        <v>FM432</v>
      </c>
      <c r="B389" s="204">
        <f>IFERROR(__xludf.DUMMYFUNCTION("""COMPUTED_VALUE"""),44609.0)</f>
        <v>44609</v>
      </c>
      <c r="C389" s="250">
        <f>IFERROR(__xludf.DUMMYFUNCTION("""COMPUTED_VALUE"""),0.3083680555555556)</f>
        <v>0.3083680556</v>
      </c>
      <c r="D389" s="6" t="str">
        <f>IFERROR(__xludf.DUMMYFUNCTION("""COMPUTED_VALUE"""),"SpBEND541174")</f>
        <v>SpBEND541174</v>
      </c>
      <c r="E389" s="251"/>
      <c r="F389" s="251"/>
      <c r="G389" s="251" t="str">
        <f>IFERROR(__xludf.DUMMYFUNCTION("""COMPUTED_VALUE"""),"Negative")</f>
        <v>Negative</v>
      </c>
      <c r="H389" s="262" t="str">
        <f>IFERROR(__xludf.DUMMYFUNCTION("""COMPUTED_VALUE"""),"Negative")</f>
        <v>Negative</v>
      </c>
      <c r="I389" s="204">
        <f>IFERROR(__xludf.DUMMYFUNCTION("""COMPUTED_VALUE"""),44611.0)</f>
        <v>44611</v>
      </c>
      <c r="J389" s="252">
        <f>IFERROR(__xludf.DUMMYFUNCTION("""COMPUTED_VALUE"""),0.38957175925925924)</f>
        <v>0.3895717593</v>
      </c>
      <c r="K389" s="56"/>
      <c r="L389" s="6"/>
      <c r="M389" s="61"/>
      <c r="N389" s="61">
        <f>IFERROR(__xludf.DUMMYFUNCTION("""COMPUTED_VALUE"""),1.0)</f>
        <v>1</v>
      </c>
      <c r="O389" s="61" t="str">
        <f t="shared" si="3"/>
        <v/>
      </c>
      <c r="P389" s="253">
        <f>IFERROR(__xludf.DUMMYFUNCTION("""COMPUTED_VALUE"""),2.0)</f>
        <v>2</v>
      </c>
      <c r="Q389" s="254" t="str">
        <f>VLOOKUP($B389,'Run Reconcile'!B$2:O799,14,FALSE)</f>
        <v/>
      </c>
      <c r="R389" s="255" t="str">
        <f t="array" ref="R389">IF($Q389, INDEX('Run Reconcile'!A$2:A799,MATCH(B389,'Run Reconcile'!B$2:B799,0),1),IFERROR(0/0,""))</f>
        <v/>
      </c>
      <c r="S389" s="261" t="str">
        <f t="shared" ref="S389:T389" si="785">IF(COUNTIF(W$2:W799, $A389) &gt; 0,TRUE,IFERROR(0/0,""))</f>
        <v/>
      </c>
      <c r="T389" s="261" t="str">
        <f t="shared" si="785"/>
        <v/>
      </c>
      <c r="U389" s="257" t="str">
        <f t="array" ref="U389">IF(ISBLANK($R389), INDEX('Run Reconcile'!A$2:A799, MATCH($B389, 'Run Reconcile'!B$2:B799, 0)+Z389, 1), IFERROR(0/0,""))
</f>
        <v>RUN-BEND_2022-02-17_RFR-035</v>
      </c>
      <c r="V389" s="258" t="str">
        <f t="shared" si="480"/>
        <v>RUN-BEND_2022-02-17_RFR-035</v>
      </c>
      <c r="Y389" s="130" t="str">
        <f t="shared" si="487"/>
        <v/>
      </c>
      <c r="Z389" s="49" t="str">
        <f t="shared" si="7"/>
        <v/>
      </c>
      <c r="AA389" s="49" t="str">
        <f t="shared" si="8"/>
        <v/>
      </c>
      <c r="AB389" s="49" t="str">
        <f t="shared" si="9"/>
        <v/>
      </c>
      <c r="AC389" s="20" t="str">
        <f t="shared" ref="AC389:AD389" si="786">IF(_xlfn.ISFORMULA(S389),IFERROR(0/0,""),TRUE)</f>
        <v/>
      </c>
      <c r="AD389" s="20" t="str">
        <f t="shared" si="786"/>
        <v/>
      </c>
      <c r="AE389" s="43"/>
      <c r="AF389" s="62" t="s">
        <v>57</v>
      </c>
      <c r="AG389" s="57" t="str">
        <f t="shared" si="11"/>
        <v/>
      </c>
    </row>
    <row r="390">
      <c r="A390" s="6" t="str">
        <f>IFERROR(__xludf.DUMMYFUNCTION("""COMPUTED_VALUE"""),"FM429")</f>
        <v>FM429</v>
      </c>
      <c r="B390" s="204">
        <f>IFERROR(__xludf.DUMMYFUNCTION("""COMPUTED_VALUE"""),44609.0)</f>
        <v>44609</v>
      </c>
      <c r="C390" s="250">
        <f>IFERROR(__xludf.DUMMYFUNCTION("""COMPUTED_VALUE"""),0.3095833333333333)</f>
        <v>0.3095833333</v>
      </c>
      <c r="D390" s="6" t="str">
        <f>IFERROR(__xludf.DUMMYFUNCTION("""COMPUTED_VALUE"""),"SpBEND292213")</f>
        <v>SpBEND292213</v>
      </c>
      <c r="E390" s="251"/>
      <c r="F390" s="251"/>
      <c r="G390" s="251" t="str">
        <f>IFERROR(__xludf.DUMMYFUNCTION("""COMPUTED_VALUE"""),"Negative")</f>
        <v>Negative</v>
      </c>
      <c r="H390" s="262" t="str">
        <f>IFERROR(__xludf.DUMMYFUNCTION("""COMPUTED_VALUE"""),"Negative")</f>
        <v>Negative</v>
      </c>
      <c r="I390" s="204">
        <f>IFERROR(__xludf.DUMMYFUNCTION("""COMPUTED_VALUE"""),44611.0)</f>
        <v>44611</v>
      </c>
      <c r="J390" s="252">
        <f>IFERROR(__xludf.DUMMYFUNCTION("""COMPUTED_VALUE"""),0.38957175925925924)</f>
        <v>0.3895717593</v>
      </c>
      <c r="K390" s="56"/>
      <c r="L390" s="6"/>
      <c r="M390" s="61"/>
      <c r="N390" s="61">
        <f>IFERROR(__xludf.DUMMYFUNCTION("""COMPUTED_VALUE"""),1.0)</f>
        <v>1</v>
      </c>
      <c r="O390" s="61" t="str">
        <f t="shared" si="3"/>
        <v/>
      </c>
      <c r="P390" s="253">
        <f>IFERROR(__xludf.DUMMYFUNCTION("""COMPUTED_VALUE"""),2.0)</f>
        <v>2</v>
      </c>
      <c r="Q390" s="254" t="str">
        <f>VLOOKUP($B390,'Run Reconcile'!B$2:O799,14,FALSE)</f>
        <v/>
      </c>
      <c r="R390" s="255" t="str">
        <f t="array" ref="R390">IF($Q390, INDEX('Run Reconcile'!A$2:A799,MATCH(B390,'Run Reconcile'!B$2:B799,0),1),IFERROR(0/0,""))</f>
        <v/>
      </c>
      <c r="S390" s="261" t="str">
        <f t="shared" ref="S390:T390" si="787">IF(COUNTIF(W$2:W799, $A390) &gt; 0,TRUE,IFERROR(0/0,""))</f>
        <v/>
      </c>
      <c r="T390" s="261" t="str">
        <f t="shared" si="787"/>
        <v/>
      </c>
      <c r="U390" s="257" t="str">
        <f t="array" ref="U390">IF(ISBLANK($R390), INDEX('Run Reconcile'!A$2:A799, MATCH($B390, 'Run Reconcile'!B$2:B799, 0)+Z390, 1), IFERROR(0/0,""))
</f>
        <v>RUN-BEND_2022-02-17_RFR-035</v>
      </c>
      <c r="V390" s="258" t="str">
        <f t="shared" si="480"/>
        <v>RUN-BEND_2022-02-17_RFR-035</v>
      </c>
      <c r="Y390" s="130" t="str">
        <f t="shared" si="487"/>
        <v/>
      </c>
      <c r="Z390" s="49" t="str">
        <f t="shared" si="7"/>
        <v/>
      </c>
      <c r="AA390" s="49" t="str">
        <f t="shared" si="8"/>
        <v/>
      </c>
      <c r="AB390" s="49" t="str">
        <f t="shared" si="9"/>
        <v/>
      </c>
      <c r="AC390" s="20" t="str">
        <f t="shared" ref="AC390:AD390" si="788">IF(_xlfn.ISFORMULA(S390),IFERROR(0/0,""),TRUE)</f>
        <v/>
      </c>
      <c r="AD390" s="20" t="str">
        <f t="shared" si="788"/>
        <v/>
      </c>
      <c r="AE390" s="43"/>
      <c r="AF390" s="62" t="s">
        <v>57</v>
      </c>
      <c r="AG390" s="57" t="str">
        <f t="shared" si="11"/>
        <v/>
      </c>
    </row>
    <row r="391">
      <c r="A391" s="6" t="str">
        <f>IFERROR(__xludf.DUMMYFUNCTION("""COMPUTED_VALUE"""),"FM443")</f>
        <v>FM443</v>
      </c>
      <c r="B391" s="204">
        <f>IFERROR(__xludf.DUMMYFUNCTION("""COMPUTED_VALUE"""),44609.0)</f>
        <v>44609</v>
      </c>
      <c r="C391" s="250">
        <f>IFERROR(__xludf.DUMMYFUNCTION("""COMPUTED_VALUE"""),0.3115625)</f>
        <v>0.3115625</v>
      </c>
      <c r="D391" s="6" t="str">
        <f>IFERROR(__xludf.DUMMYFUNCTION("""COMPUTED_VALUE"""),"SpBEND953422")</f>
        <v>SpBEND953422</v>
      </c>
      <c r="E391" s="251"/>
      <c r="F391" s="251"/>
      <c r="G391" s="251" t="str">
        <f>IFERROR(__xludf.DUMMYFUNCTION("""COMPUTED_VALUE"""),"Negative")</f>
        <v>Negative</v>
      </c>
      <c r="H391" s="262" t="str">
        <f>IFERROR(__xludf.DUMMYFUNCTION("""COMPUTED_VALUE"""),"Negative")</f>
        <v>Negative</v>
      </c>
      <c r="I391" s="204">
        <f>IFERROR(__xludf.DUMMYFUNCTION("""COMPUTED_VALUE"""),44611.0)</f>
        <v>44611</v>
      </c>
      <c r="J391" s="252">
        <f>IFERROR(__xludf.DUMMYFUNCTION("""COMPUTED_VALUE"""),0.38957175925925924)</f>
        <v>0.3895717593</v>
      </c>
      <c r="K391" s="56"/>
      <c r="L391" s="6"/>
      <c r="M391" s="61"/>
      <c r="N391" s="61">
        <f>IFERROR(__xludf.DUMMYFUNCTION("""COMPUTED_VALUE"""),1.0)</f>
        <v>1</v>
      </c>
      <c r="O391" s="61" t="str">
        <f t="shared" si="3"/>
        <v/>
      </c>
      <c r="P391" s="253">
        <f>IFERROR(__xludf.DUMMYFUNCTION("""COMPUTED_VALUE"""),2.0)</f>
        <v>2</v>
      </c>
      <c r="Q391" s="254" t="str">
        <f>VLOOKUP($B391,'Run Reconcile'!B$2:O799,14,FALSE)</f>
        <v/>
      </c>
      <c r="R391" s="255" t="str">
        <f t="array" ref="R391">IF($Q391, INDEX('Run Reconcile'!A$2:A799,MATCH(B391,'Run Reconcile'!B$2:B799,0),1),IFERROR(0/0,""))</f>
        <v/>
      </c>
      <c r="S391" s="261" t="str">
        <f t="shared" ref="S391:T391" si="789">IF(COUNTIF(W$2:W799, $A391) &gt; 0,TRUE,IFERROR(0/0,""))</f>
        <v/>
      </c>
      <c r="T391" s="261" t="str">
        <f t="shared" si="789"/>
        <v/>
      </c>
      <c r="U391" s="257" t="str">
        <f t="array" ref="U391">IF(ISBLANK($R391), INDEX('Run Reconcile'!A$2:A799, MATCH($B391, 'Run Reconcile'!B$2:B799, 0)+Z391, 1), IFERROR(0/0,""))
</f>
        <v>RUN-BEND_2022-02-17_RFR-035</v>
      </c>
      <c r="V391" s="258" t="str">
        <f t="shared" si="480"/>
        <v>RUN-BEND_2022-02-17_RFR-035</v>
      </c>
      <c r="Y391" s="130" t="str">
        <f t="shared" si="487"/>
        <v/>
      </c>
      <c r="Z391" s="49" t="str">
        <f t="shared" si="7"/>
        <v/>
      </c>
      <c r="AA391" s="49" t="str">
        <f t="shared" si="8"/>
        <v/>
      </c>
      <c r="AB391" s="49" t="str">
        <f t="shared" si="9"/>
        <v/>
      </c>
      <c r="AC391" s="20" t="str">
        <f t="shared" ref="AC391:AD391" si="790">IF(_xlfn.ISFORMULA(S391),IFERROR(0/0,""),TRUE)</f>
        <v/>
      </c>
      <c r="AD391" s="20" t="str">
        <f t="shared" si="790"/>
        <v/>
      </c>
      <c r="AE391" s="43"/>
      <c r="AF391" s="62" t="s">
        <v>57</v>
      </c>
      <c r="AG391" s="57" t="str">
        <f t="shared" si="11"/>
        <v/>
      </c>
    </row>
    <row r="392">
      <c r="A392" s="6" t="str">
        <f>IFERROR(__xludf.DUMMYFUNCTION("""COMPUTED_VALUE"""),"FM9")</f>
        <v>FM9</v>
      </c>
      <c r="B392" s="204">
        <f>IFERROR(__xludf.DUMMYFUNCTION("""COMPUTED_VALUE"""),44609.0)</f>
        <v>44609</v>
      </c>
      <c r="C392" s="250">
        <f>IFERROR(__xludf.DUMMYFUNCTION("""COMPUTED_VALUE"""),0.31168981481481484)</f>
        <v>0.3116898148</v>
      </c>
      <c r="D392" s="6" t="str">
        <f>IFERROR(__xludf.DUMMYFUNCTION("""COMPUTED_VALUE"""),"SpBEND842248")</f>
        <v>SpBEND842248</v>
      </c>
      <c r="E392" s="251"/>
      <c r="F392" s="251"/>
      <c r="G392" s="251" t="str">
        <f>IFERROR(__xludf.DUMMYFUNCTION("""COMPUTED_VALUE"""),"Negative")</f>
        <v>Negative</v>
      </c>
      <c r="H392" s="262" t="str">
        <f>IFERROR(__xludf.DUMMYFUNCTION("""COMPUTED_VALUE"""),"Negative")</f>
        <v>Negative</v>
      </c>
      <c r="I392" s="204">
        <f>IFERROR(__xludf.DUMMYFUNCTION("""COMPUTED_VALUE"""),44611.0)</f>
        <v>44611</v>
      </c>
      <c r="J392" s="252">
        <f>IFERROR(__xludf.DUMMYFUNCTION("""COMPUTED_VALUE"""),0.38957175925925924)</f>
        <v>0.3895717593</v>
      </c>
      <c r="K392" s="56"/>
      <c r="L392" s="6"/>
      <c r="M392" s="61"/>
      <c r="N392" s="61">
        <f>IFERROR(__xludf.DUMMYFUNCTION("""COMPUTED_VALUE"""),1.0)</f>
        <v>1</v>
      </c>
      <c r="O392" s="61" t="str">
        <f t="shared" si="3"/>
        <v/>
      </c>
      <c r="P392" s="253">
        <f>IFERROR(__xludf.DUMMYFUNCTION("""COMPUTED_VALUE"""),2.0)</f>
        <v>2</v>
      </c>
      <c r="Q392" s="254" t="str">
        <f>VLOOKUP($B392,'Run Reconcile'!B$2:O799,14,FALSE)</f>
        <v/>
      </c>
      <c r="R392" s="255" t="str">
        <f t="array" ref="R392">IF($Q392, INDEX('Run Reconcile'!A$2:A799,MATCH(B392,'Run Reconcile'!B$2:B799,0),1),IFERROR(0/0,""))</f>
        <v/>
      </c>
      <c r="S392" s="261" t="str">
        <f t="shared" ref="S392:T392" si="791">IF(COUNTIF(W$2:W799, $A392) &gt; 0,TRUE,IFERROR(0/0,""))</f>
        <v/>
      </c>
      <c r="T392" s="261" t="str">
        <f t="shared" si="791"/>
        <v/>
      </c>
      <c r="U392" s="257" t="str">
        <f t="array" ref="U392">IF(ISBLANK($R392), INDEX('Run Reconcile'!A$2:A799, MATCH($B392, 'Run Reconcile'!B$2:B799, 0)+Z392, 1), IFERROR(0/0,""))
</f>
        <v>RUN-BEND_2022-02-17_RFR-035</v>
      </c>
      <c r="V392" s="258" t="str">
        <f t="shared" si="480"/>
        <v>RUN-BEND_2022-02-17_RFR-035</v>
      </c>
      <c r="Y392" s="130" t="str">
        <f t="shared" si="487"/>
        <v/>
      </c>
      <c r="Z392" s="49" t="str">
        <f t="shared" si="7"/>
        <v/>
      </c>
      <c r="AA392" s="49" t="str">
        <f t="shared" si="8"/>
        <v/>
      </c>
      <c r="AB392" s="49" t="str">
        <f t="shared" si="9"/>
        <v/>
      </c>
      <c r="AC392" s="20" t="str">
        <f t="shared" ref="AC392:AD392" si="792">IF(_xlfn.ISFORMULA(S392),IFERROR(0/0,""),TRUE)</f>
        <v/>
      </c>
      <c r="AD392" s="20" t="str">
        <f t="shared" si="792"/>
        <v/>
      </c>
      <c r="AE392" s="43"/>
      <c r="AF392" s="62" t="s">
        <v>57</v>
      </c>
      <c r="AG392" s="57" t="str">
        <f t="shared" si="11"/>
        <v/>
      </c>
    </row>
    <row r="393">
      <c r="A393" s="6" t="str">
        <f>IFERROR(__xludf.DUMMYFUNCTION("""COMPUTED_VALUE"""),"MA182")</f>
        <v>MA182</v>
      </c>
      <c r="B393" s="204">
        <f>IFERROR(__xludf.DUMMYFUNCTION("""COMPUTED_VALUE"""),44609.0)</f>
        <v>44609</v>
      </c>
      <c r="C393" s="250">
        <f>IFERROR(__xludf.DUMMYFUNCTION("""COMPUTED_VALUE"""),0.31559027777777776)</f>
        <v>0.3155902778</v>
      </c>
      <c r="D393" s="6" t="str">
        <f>IFERROR(__xludf.DUMMYFUNCTION("""COMPUTED_VALUE"""),"SpBEND584950")</f>
        <v>SpBEND584950</v>
      </c>
      <c r="E393" s="251"/>
      <c r="F393" s="251"/>
      <c r="G393" s="251" t="str">
        <f>IFERROR(__xludf.DUMMYFUNCTION("""COMPUTED_VALUE"""),"Negative")</f>
        <v>Negative</v>
      </c>
      <c r="H393" s="262" t="str">
        <f>IFERROR(__xludf.DUMMYFUNCTION("""COMPUTED_VALUE"""),"Negative")</f>
        <v>Negative</v>
      </c>
      <c r="I393" s="204">
        <f>IFERROR(__xludf.DUMMYFUNCTION("""COMPUTED_VALUE"""),44611.0)</f>
        <v>44611</v>
      </c>
      <c r="J393" s="252">
        <f>IFERROR(__xludf.DUMMYFUNCTION("""COMPUTED_VALUE"""),0.38957175925925924)</f>
        <v>0.3895717593</v>
      </c>
      <c r="K393" s="56"/>
      <c r="L393" s="6"/>
      <c r="M393" s="61"/>
      <c r="N393" s="61">
        <f>IFERROR(__xludf.DUMMYFUNCTION("""COMPUTED_VALUE"""),1.0)</f>
        <v>1</v>
      </c>
      <c r="O393" s="61" t="str">
        <f t="shared" si="3"/>
        <v/>
      </c>
      <c r="P393" s="253">
        <f>IFERROR(__xludf.DUMMYFUNCTION("""COMPUTED_VALUE"""),2.0)</f>
        <v>2</v>
      </c>
      <c r="Q393" s="254" t="str">
        <f>VLOOKUP($B393,'Run Reconcile'!B$2:O799,14,FALSE)</f>
        <v/>
      </c>
      <c r="R393" s="255" t="str">
        <f t="array" ref="R393">IF($Q393, INDEX('Run Reconcile'!A$2:A799,MATCH(B393,'Run Reconcile'!B$2:B799,0),1),IFERROR(0/0,""))</f>
        <v/>
      </c>
      <c r="S393" s="261" t="str">
        <f t="shared" ref="S393:T393" si="793">IF(COUNTIF(W$2:W799, $A393) &gt; 0,TRUE,IFERROR(0/0,""))</f>
        <v/>
      </c>
      <c r="T393" s="261" t="str">
        <f t="shared" si="793"/>
        <v/>
      </c>
      <c r="U393" s="257" t="str">
        <f t="array" ref="U393">IF(ISBLANK($R393), INDEX('Run Reconcile'!A$2:A799, MATCH($B393, 'Run Reconcile'!B$2:B799, 0)+Z393, 1), IFERROR(0/0,""))
</f>
        <v>RUN-BEND_2022-02-17_RFR-035</v>
      </c>
      <c r="V393" s="258" t="str">
        <f t="shared" si="480"/>
        <v>RUN-BEND_2022-02-17_RFR-035</v>
      </c>
      <c r="Y393" s="130" t="str">
        <f t="shared" si="487"/>
        <v/>
      </c>
      <c r="Z393" s="49" t="str">
        <f t="shared" si="7"/>
        <v/>
      </c>
      <c r="AA393" s="49" t="str">
        <f t="shared" si="8"/>
        <v/>
      </c>
      <c r="AB393" s="49" t="str">
        <f t="shared" si="9"/>
        <v/>
      </c>
      <c r="AC393" s="20" t="str">
        <f t="shared" ref="AC393:AD393" si="794">IF(_xlfn.ISFORMULA(S393),IFERROR(0/0,""),TRUE)</f>
        <v/>
      </c>
      <c r="AD393" s="20" t="str">
        <f t="shared" si="794"/>
        <v/>
      </c>
      <c r="AE393" s="43"/>
      <c r="AF393" s="62" t="s">
        <v>57</v>
      </c>
      <c r="AG393" s="57" t="str">
        <f t="shared" si="11"/>
        <v/>
      </c>
    </row>
    <row r="394">
      <c r="A394" s="6" t="str">
        <f>IFERROR(__xludf.DUMMYFUNCTION("""COMPUTED_VALUE"""),"MA206")</f>
        <v>MA206</v>
      </c>
      <c r="B394" s="204">
        <f>IFERROR(__xludf.DUMMYFUNCTION("""COMPUTED_VALUE"""),44609.0)</f>
        <v>44609</v>
      </c>
      <c r="C394" s="250">
        <f>IFERROR(__xludf.DUMMYFUNCTION("""COMPUTED_VALUE"""),0.3156365740740741)</f>
        <v>0.3156365741</v>
      </c>
      <c r="D394" s="6" t="str">
        <f>IFERROR(__xludf.DUMMYFUNCTION("""COMPUTED_VALUE"""),"SpBEND492052")</f>
        <v>SpBEND492052</v>
      </c>
      <c r="E394" s="251"/>
      <c r="F394" s="251"/>
      <c r="G394" s="251" t="str">
        <f>IFERROR(__xludf.DUMMYFUNCTION("""COMPUTED_VALUE"""),"Negative")</f>
        <v>Negative</v>
      </c>
      <c r="H394" s="262" t="str">
        <f>IFERROR(__xludf.DUMMYFUNCTION("""COMPUTED_VALUE"""),"Negative")</f>
        <v>Negative</v>
      </c>
      <c r="I394" s="204">
        <f>IFERROR(__xludf.DUMMYFUNCTION("""COMPUTED_VALUE"""),44611.0)</f>
        <v>44611</v>
      </c>
      <c r="J394" s="252">
        <f>IFERROR(__xludf.DUMMYFUNCTION("""COMPUTED_VALUE"""),0.38957175925925924)</f>
        <v>0.3895717593</v>
      </c>
      <c r="K394" s="56"/>
      <c r="L394" s="6"/>
      <c r="M394" s="61"/>
      <c r="N394" s="61">
        <f>IFERROR(__xludf.DUMMYFUNCTION("""COMPUTED_VALUE"""),1.0)</f>
        <v>1</v>
      </c>
      <c r="O394" s="61" t="str">
        <f t="shared" si="3"/>
        <v/>
      </c>
      <c r="P394" s="253">
        <f>IFERROR(__xludf.DUMMYFUNCTION("""COMPUTED_VALUE"""),2.0)</f>
        <v>2</v>
      </c>
      <c r="Q394" s="254" t="str">
        <f>VLOOKUP($B394,'Run Reconcile'!B$2:O799,14,FALSE)</f>
        <v/>
      </c>
      <c r="R394" s="255" t="str">
        <f t="array" ref="R394">IF($Q394, INDEX('Run Reconcile'!A$2:A799,MATCH(B394,'Run Reconcile'!B$2:B799,0),1),IFERROR(0/0,""))</f>
        <v/>
      </c>
      <c r="S394" s="261" t="str">
        <f t="shared" ref="S394:T394" si="795">IF(COUNTIF(W$2:W799, $A394) &gt; 0,TRUE,IFERROR(0/0,""))</f>
        <v/>
      </c>
      <c r="T394" s="261" t="str">
        <f t="shared" si="795"/>
        <v/>
      </c>
      <c r="U394" s="257" t="str">
        <f t="array" ref="U394">IF(ISBLANK($R394), INDEX('Run Reconcile'!A$2:A799, MATCH($B394, 'Run Reconcile'!B$2:B799, 0)+Z394, 1), IFERROR(0/0,""))
</f>
        <v>RUN-BEND_2022-02-17_RFR-035</v>
      </c>
      <c r="V394" s="258" t="str">
        <f t="shared" si="480"/>
        <v>RUN-BEND_2022-02-17_RFR-035</v>
      </c>
      <c r="Y394" s="130" t="str">
        <f t="shared" si="487"/>
        <v/>
      </c>
      <c r="Z394" s="49" t="str">
        <f t="shared" si="7"/>
        <v/>
      </c>
      <c r="AA394" s="49" t="str">
        <f t="shared" si="8"/>
        <v/>
      </c>
      <c r="AB394" s="49" t="str">
        <f t="shared" si="9"/>
        <v/>
      </c>
      <c r="AC394" s="20" t="str">
        <f t="shared" ref="AC394:AD394" si="796">IF(_xlfn.ISFORMULA(S394),IFERROR(0/0,""),TRUE)</f>
        <v/>
      </c>
      <c r="AD394" s="20" t="str">
        <f t="shared" si="796"/>
        <v/>
      </c>
      <c r="AE394" s="43"/>
      <c r="AF394" s="62" t="s">
        <v>57</v>
      </c>
      <c r="AG394" s="57" t="str">
        <f t="shared" si="11"/>
        <v/>
      </c>
    </row>
    <row r="395">
      <c r="A395" s="6" t="str">
        <f>IFERROR(__xludf.DUMMYFUNCTION("""COMPUTED_VALUE"""),"MA255")</f>
        <v>MA255</v>
      </c>
      <c r="B395" s="204">
        <f>IFERROR(__xludf.DUMMYFUNCTION("""COMPUTED_VALUE"""),44609.0)</f>
        <v>44609</v>
      </c>
      <c r="C395" s="250">
        <f>IFERROR(__xludf.DUMMYFUNCTION("""COMPUTED_VALUE"""),0.31603009259259257)</f>
        <v>0.3160300926</v>
      </c>
      <c r="D395" s="6" t="str">
        <f>IFERROR(__xludf.DUMMYFUNCTION("""COMPUTED_VALUE"""),"SpBEND305944")</f>
        <v>SpBEND305944</v>
      </c>
      <c r="E395" s="251"/>
      <c r="F395" s="251"/>
      <c r="G395" s="251" t="str">
        <f>IFERROR(__xludf.DUMMYFUNCTION("""COMPUTED_VALUE"""),"Negative")</f>
        <v>Negative</v>
      </c>
      <c r="H395" s="262" t="str">
        <f>IFERROR(__xludf.DUMMYFUNCTION("""COMPUTED_VALUE"""),"Negative")</f>
        <v>Negative</v>
      </c>
      <c r="I395" s="204">
        <f>IFERROR(__xludf.DUMMYFUNCTION("""COMPUTED_VALUE"""),44611.0)</f>
        <v>44611</v>
      </c>
      <c r="J395" s="252">
        <f>IFERROR(__xludf.DUMMYFUNCTION("""COMPUTED_VALUE"""),0.38957175925925924)</f>
        <v>0.3895717593</v>
      </c>
      <c r="K395" s="56"/>
      <c r="L395" s="6"/>
      <c r="M395" s="61"/>
      <c r="N395" s="61">
        <f>IFERROR(__xludf.DUMMYFUNCTION("""COMPUTED_VALUE"""),1.0)</f>
        <v>1</v>
      </c>
      <c r="O395" s="61" t="str">
        <f t="shared" si="3"/>
        <v/>
      </c>
      <c r="P395" s="253">
        <f>IFERROR(__xludf.DUMMYFUNCTION("""COMPUTED_VALUE"""),2.0)</f>
        <v>2</v>
      </c>
      <c r="Q395" s="254" t="str">
        <f>VLOOKUP($B395,'Run Reconcile'!B$2:O799,14,FALSE)</f>
        <v/>
      </c>
      <c r="R395" s="255" t="str">
        <f t="array" ref="R395">IF($Q395, INDEX('Run Reconcile'!A$2:A799,MATCH(B395,'Run Reconcile'!B$2:B799,0),1),IFERROR(0/0,""))</f>
        <v/>
      </c>
      <c r="S395" s="261" t="str">
        <f t="shared" ref="S395:T395" si="797">IF(COUNTIF(W$2:W799, $A395) &gt; 0,TRUE,IFERROR(0/0,""))</f>
        <v/>
      </c>
      <c r="T395" s="261" t="str">
        <f t="shared" si="797"/>
        <v/>
      </c>
      <c r="U395" s="257" t="str">
        <f t="array" ref="U395">IF(ISBLANK($R395), INDEX('Run Reconcile'!A$2:A799, MATCH($B395, 'Run Reconcile'!B$2:B799, 0)+Z395, 1), IFERROR(0/0,""))
</f>
        <v>RUN-BEND_2022-02-17_RFR-035</v>
      </c>
      <c r="V395" s="258" t="str">
        <f t="shared" si="480"/>
        <v>RUN-BEND_2022-02-17_RFR-035</v>
      </c>
      <c r="Y395" s="130" t="str">
        <f t="shared" si="487"/>
        <v/>
      </c>
      <c r="Z395" s="49" t="str">
        <f t="shared" si="7"/>
        <v/>
      </c>
      <c r="AA395" s="49" t="str">
        <f t="shared" si="8"/>
        <v/>
      </c>
      <c r="AB395" s="49" t="str">
        <f t="shared" si="9"/>
        <v/>
      </c>
      <c r="AC395" s="20" t="str">
        <f t="shared" ref="AC395:AD395" si="798">IF(_xlfn.ISFORMULA(S395),IFERROR(0/0,""),TRUE)</f>
        <v/>
      </c>
      <c r="AD395" s="20" t="str">
        <f t="shared" si="798"/>
        <v/>
      </c>
      <c r="AE395" s="43"/>
      <c r="AF395" s="62" t="s">
        <v>57</v>
      </c>
      <c r="AG395" s="57" t="str">
        <f t="shared" si="11"/>
        <v/>
      </c>
    </row>
    <row r="396">
      <c r="A396" s="6" t="str">
        <f>IFERROR(__xludf.DUMMYFUNCTION("""COMPUTED_VALUE"""),"FM819")</f>
        <v>FM819</v>
      </c>
      <c r="B396" s="204">
        <f>IFERROR(__xludf.DUMMYFUNCTION("""COMPUTED_VALUE"""),44609.0)</f>
        <v>44609</v>
      </c>
      <c r="C396" s="250">
        <f>IFERROR(__xludf.DUMMYFUNCTION("""COMPUTED_VALUE"""),0.31753472222222223)</f>
        <v>0.3175347222</v>
      </c>
      <c r="D396" s="6" t="str">
        <f>IFERROR(__xludf.DUMMYFUNCTION("""COMPUTED_VALUE"""),"SpBEND825522")</f>
        <v>SpBEND825522</v>
      </c>
      <c r="E396" s="251"/>
      <c r="F396" s="251"/>
      <c r="G396" s="251" t="str">
        <f>IFERROR(__xludf.DUMMYFUNCTION("""COMPUTED_VALUE"""),"Negative")</f>
        <v>Negative</v>
      </c>
      <c r="H396" s="262" t="str">
        <f>IFERROR(__xludf.DUMMYFUNCTION("""COMPUTED_VALUE"""),"Negative")</f>
        <v>Negative</v>
      </c>
      <c r="I396" s="204">
        <f>IFERROR(__xludf.DUMMYFUNCTION("""COMPUTED_VALUE"""),44611.0)</f>
        <v>44611</v>
      </c>
      <c r="J396" s="252">
        <f>IFERROR(__xludf.DUMMYFUNCTION("""COMPUTED_VALUE"""),0.38957175925925924)</f>
        <v>0.3895717593</v>
      </c>
      <c r="K396" s="56"/>
      <c r="L396" s="6"/>
      <c r="M396" s="61"/>
      <c r="N396" s="61">
        <f>IFERROR(__xludf.DUMMYFUNCTION("""COMPUTED_VALUE"""),1.0)</f>
        <v>1</v>
      </c>
      <c r="O396" s="61" t="str">
        <f t="shared" si="3"/>
        <v/>
      </c>
      <c r="P396" s="253">
        <f>IFERROR(__xludf.DUMMYFUNCTION("""COMPUTED_VALUE"""),2.0)</f>
        <v>2</v>
      </c>
      <c r="Q396" s="254" t="str">
        <f>VLOOKUP($B396,'Run Reconcile'!B$2:O799,14,FALSE)</f>
        <v/>
      </c>
      <c r="R396" s="255" t="str">
        <f t="array" ref="R396">IF($Q396, INDEX('Run Reconcile'!A$2:A799,MATCH(B396,'Run Reconcile'!B$2:B799,0),1),IFERROR(0/0,""))</f>
        <v/>
      </c>
      <c r="S396" s="261" t="str">
        <f t="shared" ref="S396:T396" si="799">IF(COUNTIF(W$2:W799, $A396) &gt; 0,TRUE,IFERROR(0/0,""))</f>
        <v/>
      </c>
      <c r="T396" s="261" t="str">
        <f t="shared" si="799"/>
        <v/>
      </c>
      <c r="U396" s="257" t="str">
        <f t="array" ref="U396">IF(ISBLANK($R396), INDEX('Run Reconcile'!A$2:A799, MATCH($B396, 'Run Reconcile'!B$2:B799, 0)+Z396, 1), IFERROR(0/0,""))
</f>
        <v>RUN-BEND_2022-02-17_RFR-035</v>
      </c>
      <c r="V396" s="258" t="str">
        <f t="shared" si="480"/>
        <v>RUN-BEND_2022-02-17_RFR-035</v>
      </c>
      <c r="Y396" s="130" t="str">
        <f t="shared" si="487"/>
        <v/>
      </c>
      <c r="Z396" s="49" t="str">
        <f t="shared" si="7"/>
        <v/>
      </c>
      <c r="AA396" s="49" t="str">
        <f t="shared" si="8"/>
        <v/>
      </c>
      <c r="AB396" s="49" t="str">
        <f t="shared" si="9"/>
        <v/>
      </c>
      <c r="AC396" s="20" t="str">
        <f t="shared" ref="AC396:AD396" si="800">IF(_xlfn.ISFORMULA(S396),IFERROR(0/0,""),TRUE)</f>
        <v/>
      </c>
      <c r="AD396" s="20" t="str">
        <f t="shared" si="800"/>
        <v/>
      </c>
      <c r="AE396" s="43"/>
      <c r="AF396" s="62" t="s">
        <v>57</v>
      </c>
      <c r="AG396" s="57" t="str">
        <f t="shared" si="11"/>
        <v/>
      </c>
    </row>
    <row r="397">
      <c r="A397" s="6" t="str">
        <f>IFERROR(__xludf.DUMMYFUNCTION("""COMPUTED_VALUE"""),"MA259")</f>
        <v>MA259</v>
      </c>
      <c r="B397" s="204">
        <f>IFERROR(__xludf.DUMMYFUNCTION("""COMPUTED_VALUE"""),44609.0)</f>
        <v>44609</v>
      </c>
      <c r="C397" s="250">
        <f>IFERROR(__xludf.DUMMYFUNCTION("""COMPUTED_VALUE"""),0.31873842592592594)</f>
        <v>0.3187384259</v>
      </c>
      <c r="D397" s="6" t="str">
        <f>IFERROR(__xludf.DUMMYFUNCTION("""COMPUTED_VALUE"""),"SpBEND184203")</f>
        <v>SpBEND184203</v>
      </c>
      <c r="E397" s="251"/>
      <c r="F397" s="251"/>
      <c r="G397" s="251" t="str">
        <f>IFERROR(__xludf.DUMMYFUNCTION("""COMPUTED_VALUE"""),"Negative")</f>
        <v>Negative</v>
      </c>
      <c r="H397" s="262" t="str">
        <f>IFERROR(__xludf.DUMMYFUNCTION("""COMPUTED_VALUE"""),"Negative")</f>
        <v>Negative</v>
      </c>
      <c r="I397" s="204">
        <f>IFERROR(__xludf.DUMMYFUNCTION("""COMPUTED_VALUE"""),44611.0)</f>
        <v>44611</v>
      </c>
      <c r="J397" s="252">
        <f>IFERROR(__xludf.DUMMYFUNCTION("""COMPUTED_VALUE"""),0.38957175925925924)</f>
        <v>0.3895717593</v>
      </c>
      <c r="K397" s="56"/>
      <c r="L397" s="6"/>
      <c r="M397" s="61"/>
      <c r="N397" s="61">
        <f>IFERROR(__xludf.DUMMYFUNCTION("""COMPUTED_VALUE"""),1.0)</f>
        <v>1</v>
      </c>
      <c r="O397" s="61" t="str">
        <f t="shared" si="3"/>
        <v/>
      </c>
      <c r="P397" s="253">
        <f>IFERROR(__xludf.DUMMYFUNCTION("""COMPUTED_VALUE"""),2.0)</f>
        <v>2</v>
      </c>
      <c r="Q397" s="254" t="str">
        <f>VLOOKUP($B397,'Run Reconcile'!B$2:O799,14,FALSE)</f>
        <v/>
      </c>
      <c r="R397" s="255" t="str">
        <f t="array" ref="R397">IF($Q397, INDEX('Run Reconcile'!A$2:A799,MATCH(B397,'Run Reconcile'!B$2:B799,0),1),IFERROR(0/0,""))</f>
        <v/>
      </c>
      <c r="S397" s="261" t="str">
        <f t="shared" ref="S397:T397" si="801">IF(COUNTIF(W$2:W799, $A397) &gt; 0,TRUE,IFERROR(0/0,""))</f>
        <v/>
      </c>
      <c r="T397" s="261" t="str">
        <f t="shared" si="801"/>
        <v/>
      </c>
      <c r="U397" s="257" t="str">
        <f t="array" ref="U397">IF(ISBLANK($R397), INDEX('Run Reconcile'!A$2:A799, MATCH($B397, 'Run Reconcile'!B$2:B799, 0)+Z397, 1), IFERROR(0/0,""))
</f>
        <v>RUN-BEND_2022-02-17_RFR-035</v>
      </c>
      <c r="V397" s="258" t="str">
        <f t="shared" si="480"/>
        <v>RUN-BEND_2022-02-17_RFR-035</v>
      </c>
      <c r="Y397" s="130" t="str">
        <f t="shared" si="487"/>
        <v/>
      </c>
      <c r="Z397" s="49" t="str">
        <f t="shared" si="7"/>
        <v/>
      </c>
      <c r="AA397" s="49" t="str">
        <f t="shared" si="8"/>
        <v/>
      </c>
      <c r="AB397" s="49" t="str">
        <f t="shared" si="9"/>
        <v/>
      </c>
      <c r="AC397" s="20" t="str">
        <f t="shared" ref="AC397:AD397" si="802">IF(_xlfn.ISFORMULA(S397),IFERROR(0/0,""),TRUE)</f>
        <v/>
      </c>
      <c r="AD397" s="20" t="str">
        <f t="shared" si="802"/>
        <v/>
      </c>
      <c r="AE397" s="43"/>
      <c r="AF397" s="62" t="s">
        <v>57</v>
      </c>
      <c r="AG397" s="57" t="str">
        <f t="shared" si="11"/>
        <v/>
      </c>
    </row>
    <row r="398">
      <c r="A398" s="6" t="str">
        <f>IFERROR(__xludf.DUMMYFUNCTION("""COMPUTED_VALUE"""),"MA181")</f>
        <v>MA181</v>
      </c>
      <c r="B398" s="204">
        <f>IFERROR(__xludf.DUMMYFUNCTION("""COMPUTED_VALUE"""),44609.0)</f>
        <v>44609</v>
      </c>
      <c r="C398" s="250">
        <f>IFERROR(__xludf.DUMMYFUNCTION("""COMPUTED_VALUE"""),0.3194328703703704)</f>
        <v>0.3194328704</v>
      </c>
      <c r="D398" s="6" t="str">
        <f>IFERROR(__xludf.DUMMYFUNCTION("""COMPUTED_VALUE"""),"SpBEND862115")</f>
        <v>SpBEND862115</v>
      </c>
      <c r="E398" s="251"/>
      <c r="F398" s="251"/>
      <c r="G398" s="251" t="str">
        <f>IFERROR(__xludf.DUMMYFUNCTION("""COMPUTED_VALUE"""),"Negative")</f>
        <v>Negative</v>
      </c>
      <c r="H398" s="262" t="str">
        <f>IFERROR(__xludf.DUMMYFUNCTION("""COMPUTED_VALUE"""),"Negative")</f>
        <v>Negative</v>
      </c>
      <c r="I398" s="204">
        <f>IFERROR(__xludf.DUMMYFUNCTION("""COMPUTED_VALUE"""),44611.0)</f>
        <v>44611</v>
      </c>
      <c r="J398" s="252">
        <f>IFERROR(__xludf.DUMMYFUNCTION("""COMPUTED_VALUE"""),0.38957175925925924)</f>
        <v>0.3895717593</v>
      </c>
      <c r="K398" s="56"/>
      <c r="L398" s="6"/>
      <c r="M398" s="61"/>
      <c r="N398" s="61">
        <f>IFERROR(__xludf.DUMMYFUNCTION("""COMPUTED_VALUE"""),1.0)</f>
        <v>1</v>
      </c>
      <c r="O398" s="61" t="str">
        <f t="shared" si="3"/>
        <v/>
      </c>
      <c r="P398" s="253">
        <f>IFERROR(__xludf.DUMMYFUNCTION("""COMPUTED_VALUE"""),2.0)</f>
        <v>2</v>
      </c>
      <c r="Q398" s="254" t="str">
        <f>VLOOKUP($B398,'Run Reconcile'!B$2:O799,14,FALSE)</f>
        <v/>
      </c>
      <c r="R398" s="255" t="str">
        <f t="array" ref="R398">IF($Q398, INDEX('Run Reconcile'!A$2:A799,MATCH(B398,'Run Reconcile'!B$2:B799,0),1),IFERROR(0/0,""))</f>
        <v/>
      </c>
      <c r="S398" s="261" t="str">
        <f t="shared" ref="S398:T398" si="803">IF(COUNTIF(W$2:W799, $A398) &gt; 0,TRUE,IFERROR(0/0,""))</f>
        <v/>
      </c>
      <c r="T398" s="261" t="str">
        <f t="shared" si="803"/>
        <v/>
      </c>
      <c r="U398" s="257" t="str">
        <f t="array" ref="U398">IF(ISBLANK($R398), INDEX('Run Reconcile'!A$2:A799, MATCH($B398, 'Run Reconcile'!B$2:B799, 0)+Z398, 1), IFERROR(0/0,""))
</f>
        <v>RUN-BEND_2022-02-17_RFR-035</v>
      </c>
      <c r="V398" s="258" t="str">
        <f t="shared" si="480"/>
        <v>RUN-BEND_2022-02-17_RFR-035</v>
      </c>
      <c r="Y398" s="130" t="str">
        <f t="shared" si="487"/>
        <v/>
      </c>
      <c r="Z398" s="49" t="str">
        <f t="shared" si="7"/>
        <v/>
      </c>
      <c r="AA398" s="49" t="str">
        <f t="shared" si="8"/>
        <v/>
      </c>
      <c r="AB398" s="49" t="str">
        <f t="shared" si="9"/>
        <v/>
      </c>
      <c r="AC398" s="20" t="str">
        <f t="shared" ref="AC398:AD398" si="804">IF(_xlfn.ISFORMULA(S398),IFERROR(0/0,""),TRUE)</f>
        <v/>
      </c>
      <c r="AD398" s="20" t="str">
        <f t="shared" si="804"/>
        <v/>
      </c>
      <c r="AE398" s="43"/>
      <c r="AF398" s="62" t="s">
        <v>57</v>
      </c>
      <c r="AG398" s="57" t="str">
        <f t="shared" si="11"/>
        <v/>
      </c>
    </row>
    <row r="399">
      <c r="A399" s="6" t="str">
        <f>IFERROR(__xludf.DUMMYFUNCTION("""COMPUTED_VALUE"""),"MAX101")</f>
        <v>MAX101</v>
      </c>
      <c r="B399" s="204">
        <f>IFERROR(__xludf.DUMMYFUNCTION("""COMPUTED_VALUE"""),44609.0)</f>
        <v>44609</v>
      </c>
      <c r="C399" s="250">
        <f>IFERROR(__xludf.DUMMYFUNCTION("""COMPUTED_VALUE"""),0.3199768518518519)</f>
        <v>0.3199768519</v>
      </c>
      <c r="D399" s="6" t="str">
        <f>IFERROR(__xludf.DUMMYFUNCTION("""COMPUTED_VALUE"""),"SpBEND363177")</f>
        <v>SpBEND363177</v>
      </c>
      <c r="E399" s="251"/>
      <c r="F399" s="251"/>
      <c r="G399" s="251" t="str">
        <f>IFERROR(__xludf.DUMMYFUNCTION("""COMPUTED_VALUE"""),"Negative")</f>
        <v>Negative</v>
      </c>
      <c r="H399" s="262" t="str">
        <f>IFERROR(__xludf.DUMMYFUNCTION("""COMPUTED_VALUE"""),"Negative")</f>
        <v>Negative</v>
      </c>
      <c r="I399" s="204">
        <f>IFERROR(__xludf.DUMMYFUNCTION("""COMPUTED_VALUE"""),44611.0)</f>
        <v>44611</v>
      </c>
      <c r="J399" s="252">
        <f>IFERROR(__xludf.DUMMYFUNCTION("""COMPUTED_VALUE"""),0.38957175925925924)</f>
        <v>0.3895717593</v>
      </c>
      <c r="K399" s="56"/>
      <c r="L399" s="6"/>
      <c r="M399" s="61"/>
      <c r="N399" s="61">
        <f>IFERROR(__xludf.DUMMYFUNCTION("""COMPUTED_VALUE"""),1.0)</f>
        <v>1</v>
      </c>
      <c r="O399" s="61" t="str">
        <f t="shared" si="3"/>
        <v/>
      </c>
      <c r="P399" s="253">
        <f>IFERROR(__xludf.DUMMYFUNCTION("""COMPUTED_VALUE"""),2.0)</f>
        <v>2</v>
      </c>
      <c r="Q399" s="254" t="str">
        <f>VLOOKUP($B399,'Run Reconcile'!B$2:O799,14,FALSE)</f>
        <v/>
      </c>
      <c r="R399" s="255" t="str">
        <f t="array" ref="R399">IF($Q399, INDEX('Run Reconcile'!A$2:A799,MATCH(B399,'Run Reconcile'!B$2:B799,0),1),IFERROR(0/0,""))</f>
        <v/>
      </c>
      <c r="S399" s="261" t="str">
        <f t="shared" ref="S399:T399" si="805">IF(COUNTIF(W$2:W799, $A399) &gt; 0,TRUE,IFERROR(0/0,""))</f>
        <v/>
      </c>
      <c r="T399" s="261" t="str">
        <f t="shared" si="805"/>
        <v/>
      </c>
      <c r="U399" s="257" t="str">
        <f t="array" ref="U399">IF(ISBLANK($R399), INDEX('Run Reconcile'!A$2:A799, MATCH($B399, 'Run Reconcile'!B$2:B799, 0)+Z399, 1), IFERROR(0/0,""))
</f>
        <v>RUN-BEND_2022-02-17_RFR-035</v>
      </c>
      <c r="V399" s="258" t="str">
        <f t="shared" si="480"/>
        <v>RUN-BEND_2022-02-17_RFR-035</v>
      </c>
      <c r="Y399" s="130" t="str">
        <f t="shared" si="487"/>
        <v/>
      </c>
      <c r="Z399" s="49" t="str">
        <f t="shared" si="7"/>
        <v/>
      </c>
      <c r="AA399" s="49" t="str">
        <f t="shared" si="8"/>
        <v/>
      </c>
      <c r="AB399" s="49" t="str">
        <f t="shared" si="9"/>
        <v/>
      </c>
      <c r="AC399" s="20" t="str">
        <f t="shared" ref="AC399:AD399" si="806">IF(_xlfn.ISFORMULA(S399),IFERROR(0/0,""),TRUE)</f>
        <v/>
      </c>
      <c r="AD399" s="20" t="str">
        <f t="shared" si="806"/>
        <v/>
      </c>
      <c r="AE399" s="43"/>
      <c r="AF399" s="62" t="s">
        <v>57</v>
      </c>
      <c r="AG399" s="57" t="str">
        <f t="shared" si="11"/>
        <v/>
      </c>
    </row>
    <row r="400">
      <c r="A400" s="6" t="str">
        <f>IFERROR(__xludf.DUMMYFUNCTION("""COMPUTED_VALUE"""),"FM996")</f>
        <v>FM996</v>
      </c>
      <c r="B400" s="204">
        <f>IFERROR(__xludf.DUMMYFUNCTION("""COMPUTED_VALUE"""),44609.0)</f>
        <v>44609</v>
      </c>
      <c r="C400" s="250">
        <f>IFERROR(__xludf.DUMMYFUNCTION("""COMPUTED_VALUE"""),0.3274884259259259)</f>
        <v>0.3274884259</v>
      </c>
      <c r="D400" s="6" t="str">
        <f>IFERROR(__xludf.DUMMYFUNCTION("""COMPUTED_VALUE"""),"SpBEND328905")</f>
        <v>SpBEND328905</v>
      </c>
      <c r="E400" s="251"/>
      <c r="F400" s="251"/>
      <c r="G400" s="251" t="str">
        <f>IFERROR(__xludf.DUMMYFUNCTION("""COMPUTED_VALUE"""),"Negative")</f>
        <v>Negative</v>
      </c>
      <c r="H400" s="262" t="str">
        <f>IFERROR(__xludf.DUMMYFUNCTION("""COMPUTED_VALUE"""),"Inconclusive")</f>
        <v>Inconclusive</v>
      </c>
      <c r="I400" s="204">
        <f>IFERROR(__xludf.DUMMYFUNCTION("""COMPUTED_VALUE"""),44611.0)</f>
        <v>44611</v>
      </c>
      <c r="J400" s="252">
        <f>IFERROR(__xludf.DUMMYFUNCTION("""COMPUTED_VALUE"""),0.3895601851851852)</f>
        <v>0.3895601852</v>
      </c>
      <c r="K400" s="56">
        <f>IFERROR(__xludf.DUMMYFUNCTION("""COMPUTED_VALUE"""),4.1)</f>
        <v>4.1</v>
      </c>
      <c r="L400" s="6" t="str">
        <f>IFERROR(__xludf.DUMMYFUNCTION("""COMPUTED_VALUE"""),"Negative to Inconclusive based  on RFR Audit and LUM (RT Jan26)")</f>
        <v>Negative to Inconclusive based  on RFR Audit and LUM (RT Jan26)</v>
      </c>
      <c r="M400" s="61"/>
      <c r="N400" s="61">
        <f>IFERROR(__xludf.DUMMYFUNCTION("""COMPUTED_VALUE"""),1.0)</f>
        <v>1</v>
      </c>
      <c r="O400" s="61" t="str">
        <f t="shared" si="3"/>
        <v/>
      </c>
      <c r="P400" s="253">
        <f>IFERROR(__xludf.DUMMYFUNCTION("""COMPUTED_VALUE"""),2.0)</f>
        <v>2</v>
      </c>
      <c r="Q400" s="254" t="str">
        <f>VLOOKUP($B400,'Run Reconcile'!B$2:O799,14,FALSE)</f>
        <v/>
      </c>
      <c r="R400" s="255" t="str">
        <f t="array" ref="R400">IF($Q400, INDEX('Run Reconcile'!A$2:A799,MATCH(B400,'Run Reconcile'!B$2:B799,0),1),IFERROR(0/0,""))</f>
        <v/>
      </c>
      <c r="S400" s="261" t="str">
        <f t="shared" ref="S400:T400" si="807">IF(COUNTIF(W$2:W799, $A400) &gt; 0,TRUE,IFERROR(0/0,""))</f>
        <v/>
      </c>
      <c r="T400" s="261" t="str">
        <f t="shared" si="807"/>
        <v/>
      </c>
      <c r="U400" s="257" t="str">
        <f t="array" ref="U400">IF(ISBLANK($R400), INDEX('Run Reconcile'!A$2:A799, MATCH($B400, 'Run Reconcile'!B$2:B799, 0)+Z400, 1), IFERROR(0/0,""))
</f>
        <v>RUN-BEND_2022-02-17_RFR-035</v>
      </c>
      <c r="V400" s="258" t="str">
        <f t="shared" si="480"/>
        <v>RUN-BEND_2022-02-17_RFR-035</v>
      </c>
      <c r="Y400" s="130" t="str">
        <f t="shared" si="487"/>
        <v/>
      </c>
      <c r="Z400" s="49" t="str">
        <f t="shared" si="7"/>
        <v/>
      </c>
      <c r="AA400" s="49" t="str">
        <f t="shared" si="8"/>
        <v/>
      </c>
      <c r="AB400" s="49" t="str">
        <f t="shared" si="9"/>
        <v/>
      </c>
      <c r="AC400" s="20" t="str">
        <f t="shared" ref="AC400:AD400" si="808">IF(_xlfn.ISFORMULA(S400),IFERROR(0/0,""),TRUE)</f>
        <v/>
      </c>
      <c r="AD400" s="20" t="str">
        <f t="shared" si="808"/>
        <v/>
      </c>
      <c r="AE400" s="43"/>
      <c r="AF400" s="62" t="s">
        <v>57</v>
      </c>
      <c r="AG400" s="57" t="str">
        <f t="shared" si="11"/>
        <v/>
      </c>
    </row>
    <row r="401">
      <c r="A401" s="6" t="str">
        <f>IFERROR(__xludf.DUMMYFUNCTION("""COMPUTED_VALUE"""),"FM56")</f>
        <v>FM56</v>
      </c>
      <c r="B401" s="204">
        <f>IFERROR(__xludf.DUMMYFUNCTION("""COMPUTED_VALUE"""),44609.0)</f>
        <v>44609</v>
      </c>
      <c r="C401" s="250">
        <f>IFERROR(__xludf.DUMMYFUNCTION("""COMPUTED_VALUE"""),0.3275578703703704)</f>
        <v>0.3275578704</v>
      </c>
      <c r="D401" s="6" t="str">
        <f>IFERROR(__xludf.DUMMYFUNCTION("""COMPUTED_VALUE"""),"SpBEND643855")</f>
        <v>SpBEND643855</v>
      </c>
      <c r="E401" s="251"/>
      <c r="F401" s="251"/>
      <c r="G401" s="251" t="str">
        <f>IFERROR(__xludf.DUMMYFUNCTION("""COMPUTED_VALUE"""),"Negative")</f>
        <v>Negative</v>
      </c>
      <c r="H401" s="262" t="str">
        <f>IFERROR(__xludf.DUMMYFUNCTION("""COMPUTED_VALUE"""),"Negative")</f>
        <v>Negative</v>
      </c>
      <c r="I401" s="204">
        <f>IFERROR(__xludf.DUMMYFUNCTION("""COMPUTED_VALUE"""),44611.0)</f>
        <v>44611</v>
      </c>
      <c r="J401" s="252">
        <f>IFERROR(__xludf.DUMMYFUNCTION("""COMPUTED_VALUE"""),0.38957175925925924)</f>
        <v>0.3895717593</v>
      </c>
      <c r="K401" s="56"/>
      <c r="L401" s="6"/>
      <c r="M401" s="61"/>
      <c r="N401" s="61">
        <f>IFERROR(__xludf.DUMMYFUNCTION("""COMPUTED_VALUE"""),1.0)</f>
        <v>1</v>
      </c>
      <c r="O401" s="61" t="str">
        <f t="shared" si="3"/>
        <v/>
      </c>
      <c r="P401" s="253">
        <f>IFERROR(__xludf.DUMMYFUNCTION("""COMPUTED_VALUE"""),2.0)</f>
        <v>2</v>
      </c>
      <c r="Q401" s="254" t="str">
        <f>VLOOKUP($B401,'Run Reconcile'!B$2:O799,14,FALSE)</f>
        <v/>
      </c>
      <c r="R401" s="255" t="str">
        <f t="array" ref="R401">IF($Q401, INDEX('Run Reconcile'!A$2:A799,MATCH(B401,'Run Reconcile'!B$2:B799,0),1),IFERROR(0/0,""))</f>
        <v/>
      </c>
      <c r="S401" s="261" t="str">
        <f t="shared" ref="S401:T401" si="809">IF(COUNTIF(W$2:W799, $A401) &gt; 0,TRUE,IFERROR(0/0,""))</f>
        <v/>
      </c>
      <c r="T401" s="261" t="str">
        <f t="shared" si="809"/>
        <v/>
      </c>
      <c r="U401" s="257" t="str">
        <f t="array" ref="U401">IF(ISBLANK($R401), INDEX('Run Reconcile'!A$2:A799, MATCH($B401, 'Run Reconcile'!B$2:B799, 0)+Z401, 1), IFERROR(0/0,""))
</f>
        <v>RUN-BEND_2022-02-17_RFR-035</v>
      </c>
      <c r="V401" s="258" t="str">
        <f t="shared" si="480"/>
        <v>RUN-BEND_2022-02-17_RFR-035</v>
      </c>
      <c r="Y401" s="130" t="str">
        <f t="shared" si="487"/>
        <v/>
      </c>
      <c r="Z401" s="49" t="str">
        <f t="shared" si="7"/>
        <v/>
      </c>
      <c r="AA401" s="49" t="str">
        <f t="shared" si="8"/>
        <v/>
      </c>
      <c r="AB401" s="49" t="str">
        <f t="shared" si="9"/>
        <v/>
      </c>
      <c r="AC401" s="20" t="str">
        <f t="shared" ref="AC401:AD401" si="810">IF(_xlfn.ISFORMULA(S401),IFERROR(0/0,""),TRUE)</f>
        <v/>
      </c>
      <c r="AD401" s="20" t="str">
        <f t="shared" si="810"/>
        <v/>
      </c>
      <c r="AE401" s="43"/>
      <c r="AF401" s="62" t="s">
        <v>57</v>
      </c>
      <c r="AG401" s="57" t="str">
        <f t="shared" si="11"/>
        <v/>
      </c>
    </row>
    <row r="402">
      <c r="A402" s="6" t="str">
        <f>IFERROR(__xludf.DUMMYFUNCTION("""COMPUTED_VALUE"""),"FM33")</f>
        <v>FM33</v>
      </c>
      <c r="B402" s="204">
        <f>IFERROR(__xludf.DUMMYFUNCTION("""COMPUTED_VALUE"""),44609.0)</f>
        <v>44609</v>
      </c>
      <c r="C402" s="250">
        <f>IFERROR(__xludf.DUMMYFUNCTION("""COMPUTED_VALUE"""),0.32760416666666664)</f>
        <v>0.3276041667</v>
      </c>
      <c r="D402" s="6" t="str">
        <f>IFERROR(__xludf.DUMMYFUNCTION("""COMPUTED_VALUE"""),"SpBEND768497")</f>
        <v>SpBEND768497</v>
      </c>
      <c r="E402" s="251"/>
      <c r="F402" s="251"/>
      <c r="G402" s="251" t="str">
        <f>IFERROR(__xludf.DUMMYFUNCTION("""COMPUTED_VALUE"""),"Negative")</f>
        <v>Negative</v>
      </c>
      <c r="H402" s="262" t="str">
        <f>IFERROR(__xludf.DUMMYFUNCTION("""COMPUTED_VALUE"""),"Negative")</f>
        <v>Negative</v>
      </c>
      <c r="I402" s="204">
        <f>IFERROR(__xludf.DUMMYFUNCTION("""COMPUTED_VALUE"""),44611.0)</f>
        <v>44611</v>
      </c>
      <c r="J402" s="252">
        <f>IFERROR(__xludf.DUMMYFUNCTION("""COMPUTED_VALUE"""),0.38958333333333334)</f>
        <v>0.3895833333</v>
      </c>
      <c r="K402" s="56"/>
      <c r="L402" s="6"/>
      <c r="M402" s="61"/>
      <c r="N402" s="61">
        <f>IFERROR(__xludf.DUMMYFUNCTION("""COMPUTED_VALUE"""),1.0)</f>
        <v>1</v>
      </c>
      <c r="O402" s="61" t="str">
        <f t="shared" si="3"/>
        <v/>
      </c>
      <c r="P402" s="253">
        <f>IFERROR(__xludf.DUMMYFUNCTION("""COMPUTED_VALUE"""),2.0)</f>
        <v>2</v>
      </c>
      <c r="Q402" s="254" t="str">
        <f>VLOOKUP($B402,'Run Reconcile'!B$2:O799,14,FALSE)</f>
        <v/>
      </c>
      <c r="R402" s="255" t="str">
        <f t="array" ref="R402">IF($Q402, INDEX('Run Reconcile'!A$2:A799,MATCH(B402,'Run Reconcile'!B$2:B799,0),1),IFERROR(0/0,""))</f>
        <v/>
      </c>
      <c r="S402" s="261" t="str">
        <f t="shared" ref="S402:T402" si="811">IF(COUNTIF(W$2:W799, $A402) &gt; 0,TRUE,IFERROR(0/0,""))</f>
        <v/>
      </c>
      <c r="T402" s="261" t="str">
        <f t="shared" si="811"/>
        <v/>
      </c>
      <c r="U402" s="257" t="str">
        <f t="array" ref="U402">IF(ISBLANK($R402), INDEX('Run Reconcile'!A$2:A799, MATCH($B402, 'Run Reconcile'!B$2:B799, 0)+Z402, 1), IFERROR(0/0,""))
</f>
        <v>RUN-BEND_2022-02-17_RFR-035</v>
      </c>
      <c r="V402" s="258" t="str">
        <f t="shared" si="480"/>
        <v>RUN-BEND_2022-02-17_RFR-035</v>
      </c>
      <c r="Y402" s="130" t="str">
        <f t="shared" si="487"/>
        <v/>
      </c>
      <c r="Z402" s="49" t="str">
        <f t="shared" si="7"/>
        <v/>
      </c>
      <c r="AA402" s="49" t="str">
        <f t="shared" si="8"/>
        <v/>
      </c>
      <c r="AB402" s="49" t="str">
        <f t="shared" si="9"/>
        <v/>
      </c>
      <c r="AC402" s="20" t="str">
        <f t="shared" ref="AC402:AD402" si="812">IF(_xlfn.ISFORMULA(S402),IFERROR(0/0,""),TRUE)</f>
        <v/>
      </c>
      <c r="AD402" s="20" t="str">
        <f t="shared" si="812"/>
        <v/>
      </c>
      <c r="AE402" s="43"/>
      <c r="AF402" s="62" t="s">
        <v>57</v>
      </c>
      <c r="AG402" s="57" t="str">
        <f t="shared" si="11"/>
        <v/>
      </c>
    </row>
    <row r="403">
      <c r="A403" s="6" t="str">
        <f>IFERROR(__xludf.DUMMYFUNCTION("""COMPUTED_VALUE"""),"FM472")</f>
        <v>FM472</v>
      </c>
      <c r="B403" s="204">
        <f>IFERROR(__xludf.DUMMYFUNCTION("""COMPUTED_VALUE"""),44609.0)</f>
        <v>44609</v>
      </c>
      <c r="C403" s="250">
        <f>IFERROR(__xludf.DUMMYFUNCTION("""COMPUTED_VALUE"""),0.32766203703703706)</f>
        <v>0.327662037</v>
      </c>
      <c r="D403" s="6" t="str">
        <f>IFERROR(__xludf.DUMMYFUNCTION("""COMPUTED_VALUE"""),"SpBEND214692")</f>
        <v>SpBEND214692</v>
      </c>
      <c r="E403" s="251"/>
      <c r="F403" s="251"/>
      <c r="G403" s="251" t="str">
        <f>IFERROR(__xludf.DUMMYFUNCTION("""COMPUTED_VALUE"""),"Negative")</f>
        <v>Negative</v>
      </c>
      <c r="H403" s="262" t="str">
        <f>IFERROR(__xludf.DUMMYFUNCTION("""COMPUTED_VALUE"""),"Negative")</f>
        <v>Negative</v>
      </c>
      <c r="I403" s="204">
        <f>IFERROR(__xludf.DUMMYFUNCTION("""COMPUTED_VALUE"""),44611.0)</f>
        <v>44611</v>
      </c>
      <c r="J403" s="252">
        <f>IFERROR(__xludf.DUMMYFUNCTION("""COMPUTED_VALUE"""),0.38958333333333334)</f>
        <v>0.3895833333</v>
      </c>
      <c r="K403" s="56"/>
      <c r="L403" s="6"/>
      <c r="M403" s="61"/>
      <c r="N403" s="61">
        <f>IFERROR(__xludf.DUMMYFUNCTION("""COMPUTED_VALUE"""),1.0)</f>
        <v>1</v>
      </c>
      <c r="O403" s="61" t="str">
        <f t="shared" si="3"/>
        <v/>
      </c>
      <c r="P403" s="253">
        <f>IFERROR(__xludf.DUMMYFUNCTION("""COMPUTED_VALUE"""),2.0)</f>
        <v>2</v>
      </c>
      <c r="Q403" s="254" t="str">
        <f>VLOOKUP($B403,'Run Reconcile'!B$2:O799,14,FALSE)</f>
        <v/>
      </c>
      <c r="R403" s="255" t="str">
        <f t="array" ref="R403">IF($Q403, INDEX('Run Reconcile'!A$2:A799,MATCH(B403,'Run Reconcile'!B$2:B799,0),1),IFERROR(0/0,""))</f>
        <v/>
      </c>
      <c r="S403" s="261" t="str">
        <f t="shared" ref="S403:T403" si="813">IF(COUNTIF(W$2:W799, $A403) &gt; 0,TRUE,IFERROR(0/0,""))</f>
        <v/>
      </c>
      <c r="T403" s="261" t="str">
        <f t="shared" si="813"/>
        <v/>
      </c>
      <c r="U403" s="257" t="str">
        <f t="array" ref="U403">IF(ISBLANK($R403), INDEX('Run Reconcile'!A$2:A799, MATCH($B403, 'Run Reconcile'!B$2:B799, 0)+Z403, 1), IFERROR(0/0,""))
</f>
        <v>RUN-BEND_2022-02-17_RFR-035</v>
      </c>
      <c r="V403" s="258" t="str">
        <f t="shared" si="480"/>
        <v>RUN-BEND_2022-02-17_RFR-035</v>
      </c>
      <c r="Y403" s="130" t="str">
        <f t="shared" si="487"/>
        <v/>
      </c>
      <c r="Z403" s="49" t="str">
        <f t="shared" si="7"/>
        <v/>
      </c>
      <c r="AA403" s="49" t="str">
        <f t="shared" si="8"/>
        <v/>
      </c>
      <c r="AB403" s="49" t="str">
        <f t="shared" si="9"/>
        <v/>
      </c>
      <c r="AC403" s="20" t="str">
        <f t="shared" ref="AC403:AD403" si="814">IF(_xlfn.ISFORMULA(S403),IFERROR(0/0,""),TRUE)</f>
        <v/>
      </c>
      <c r="AD403" s="20" t="str">
        <f t="shared" si="814"/>
        <v/>
      </c>
      <c r="AE403" s="43"/>
      <c r="AF403" s="62" t="s">
        <v>57</v>
      </c>
      <c r="AG403" s="57" t="str">
        <f t="shared" si="11"/>
        <v/>
      </c>
    </row>
    <row r="404">
      <c r="A404" s="6" t="str">
        <f>IFERROR(__xludf.DUMMYFUNCTION("""COMPUTED_VALUE"""),"FM967")</f>
        <v>FM967</v>
      </c>
      <c r="B404" s="204">
        <f>IFERROR(__xludf.DUMMYFUNCTION("""COMPUTED_VALUE"""),44609.0)</f>
        <v>44609</v>
      </c>
      <c r="C404" s="250">
        <f>IFERROR(__xludf.DUMMYFUNCTION("""COMPUTED_VALUE"""),0.3283101851851852)</f>
        <v>0.3283101852</v>
      </c>
      <c r="D404" s="6" t="str">
        <f>IFERROR(__xludf.DUMMYFUNCTION("""COMPUTED_VALUE"""),"SpBEND982485")</f>
        <v>SpBEND982485</v>
      </c>
      <c r="E404" s="251"/>
      <c r="F404" s="251"/>
      <c r="G404" s="251" t="str">
        <f>IFERROR(__xludf.DUMMYFUNCTION("""COMPUTED_VALUE"""),"Negative")</f>
        <v>Negative</v>
      </c>
      <c r="H404" s="262" t="str">
        <f>IFERROR(__xludf.DUMMYFUNCTION("""COMPUTED_VALUE"""),"Negative")</f>
        <v>Negative</v>
      </c>
      <c r="I404" s="204">
        <f>IFERROR(__xludf.DUMMYFUNCTION("""COMPUTED_VALUE"""),44611.0)</f>
        <v>44611</v>
      </c>
      <c r="J404" s="252">
        <f>IFERROR(__xludf.DUMMYFUNCTION("""COMPUTED_VALUE"""),0.38958333333333334)</f>
        <v>0.3895833333</v>
      </c>
      <c r="K404" s="56"/>
      <c r="L404" s="6"/>
      <c r="M404" s="61"/>
      <c r="N404" s="61">
        <f>IFERROR(__xludf.DUMMYFUNCTION("""COMPUTED_VALUE"""),1.0)</f>
        <v>1</v>
      </c>
      <c r="O404" s="61" t="str">
        <f t="shared" si="3"/>
        <v/>
      </c>
      <c r="P404" s="253">
        <f>IFERROR(__xludf.DUMMYFUNCTION("""COMPUTED_VALUE"""),2.0)</f>
        <v>2</v>
      </c>
      <c r="Q404" s="254" t="str">
        <f>VLOOKUP($B404,'Run Reconcile'!B$2:O799,14,FALSE)</f>
        <v/>
      </c>
      <c r="R404" s="255" t="str">
        <f t="array" ref="R404">IF($Q404, INDEX('Run Reconcile'!A$2:A799,MATCH(B404,'Run Reconcile'!B$2:B799,0),1),IFERROR(0/0,""))</f>
        <v/>
      </c>
      <c r="S404" s="261" t="str">
        <f t="shared" ref="S404:T404" si="815">IF(COUNTIF(W$2:W799, $A404) &gt; 0,TRUE,IFERROR(0/0,""))</f>
        <v/>
      </c>
      <c r="T404" s="261" t="str">
        <f t="shared" si="815"/>
        <v/>
      </c>
      <c r="U404" s="257" t="str">
        <f t="array" ref="U404">IF(ISBLANK($R404), INDEX('Run Reconcile'!A$2:A799, MATCH($B404, 'Run Reconcile'!B$2:B799, 0)+Z404, 1), IFERROR(0/0,""))
</f>
        <v>RUN-BEND_2022-02-17_RFR-035</v>
      </c>
      <c r="V404" s="258" t="str">
        <f t="shared" si="480"/>
        <v>RUN-BEND_2022-02-17_RFR-035</v>
      </c>
      <c r="Y404" s="130" t="str">
        <f t="shared" si="487"/>
        <v/>
      </c>
      <c r="Z404" s="49" t="str">
        <f t="shared" si="7"/>
        <v/>
      </c>
      <c r="AA404" s="49" t="str">
        <f t="shared" si="8"/>
        <v/>
      </c>
      <c r="AB404" s="49" t="str">
        <f t="shared" si="9"/>
        <v/>
      </c>
      <c r="AC404" s="20" t="str">
        <f t="shared" ref="AC404:AD404" si="816">IF(_xlfn.ISFORMULA(S404),IFERROR(0/0,""),TRUE)</f>
        <v/>
      </c>
      <c r="AD404" s="20" t="str">
        <f t="shared" si="816"/>
        <v/>
      </c>
      <c r="AE404" s="43"/>
      <c r="AF404" s="62" t="s">
        <v>57</v>
      </c>
      <c r="AG404" s="57" t="str">
        <f t="shared" si="11"/>
        <v/>
      </c>
    </row>
    <row r="405">
      <c r="A405" s="6" t="str">
        <f>IFERROR(__xludf.DUMMYFUNCTION("""COMPUTED_VALUE"""),"FM816")</f>
        <v>FM816</v>
      </c>
      <c r="B405" s="204">
        <f>IFERROR(__xludf.DUMMYFUNCTION("""COMPUTED_VALUE"""),44609.0)</f>
        <v>44609</v>
      </c>
      <c r="C405" s="250">
        <f>IFERROR(__xludf.DUMMYFUNCTION("""COMPUTED_VALUE"""),0.33189814814814816)</f>
        <v>0.3318981481</v>
      </c>
      <c r="D405" s="6" t="str">
        <f>IFERROR(__xludf.DUMMYFUNCTION("""COMPUTED_VALUE"""),"SpBEND914710")</f>
        <v>SpBEND914710</v>
      </c>
      <c r="E405" s="251"/>
      <c r="F405" s="251"/>
      <c r="G405" s="251" t="str">
        <f>IFERROR(__xludf.DUMMYFUNCTION("""COMPUTED_VALUE"""),"Negative")</f>
        <v>Negative</v>
      </c>
      <c r="H405" s="262" t="str">
        <f>IFERROR(__xludf.DUMMYFUNCTION("""COMPUTED_VALUE"""),"Negative")</f>
        <v>Negative</v>
      </c>
      <c r="I405" s="204">
        <f>IFERROR(__xludf.DUMMYFUNCTION("""COMPUTED_VALUE"""),44611.0)</f>
        <v>44611</v>
      </c>
      <c r="J405" s="252">
        <f>IFERROR(__xludf.DUMMYFUNCTION("""COMPUTED_VALUE"""),0.38958333333333334)</f>
        <v>0.3895833333</v>
      </c>
      <c r="K405" s="56"/>
      <c r="L405" s="6"/>
      <c r="M405" s="61"/>
      <c r="N405" s="61">
        <f>IFERROR(__xludf.DUMMYFUNCTION("""COMPUTED_VALUE"""),1.0)</f>
        <v>1</v>
      </c>
      <c r="O405" s="61" t="str">
        <f t="shared" si="3"/>
        <v/>
      </c>
      <c r="P405" s="253">
        <f>IFERROR(__xludf.DUMMYFUNCTION("""COMPUTED_VALUE"""),2.0)</f>
        <v>2</v>
      </c>
      <c r="Q405" s="254" t="str">
        <f>VLOOKUP($B405,'Run Reconcile'!B$2:O799,14,FALSE)</f>
        <v/>
      </c>
      <c r="R405" s="255" t="str">
        <f t="array" ref="R405">IF($Q405, INDEX('Run Reconcile'!A$2:A799,MATCH(B405,'Run Reconcile'!B$2:B799,0),1),IFERROR(0/0,""))</f>
        <v/>
      </c>
      <c r="S405" s="261" t="str">
        <f t="shared" ref="S405:T405" si="817">IF(COUNTIF(W$2:W799, $A405) &gt; 0,TRUE,IFERROR(0/0,""))</f>
        <v/>
      </c>
      <c r="T405" s="261" t="str">
        <f t="shared" si="817"/>
        <v/>
      </c>
      <c r="U405" s="257" t="str">
        <f t="array" ref="U405">IF(ISBLANK($R405), INDEX('Run Reconcile'!A$2:A799, MATCH($B405, 'Run Reconcile'!B$2:B799, 0)+Z405, 1), IFERROR(0/0,""))
</f>
        <v>RUN-BEND_2022-02-17_RFR-035</v>
      </c>
      <c r="V405" s="258" t="str">
        <f t="shared" si="480"/>
        <v>RUN-BEND_2022-02-17_RFR-035</v>
      </c>
      <c r="Y405" s="130" t="str">
        <f t="shared" si="487"/>
        <v/>
      </c>
      <c r="Z405" s="49" t="str">
        <f t="shared" si="7"/>
        <v/>
      </c>
      <c r="AA405" s="49" t="str">
        <f t="shared" si="8"/>
        <v/>
      </c>
      <c r="AB405" s="49" t="str">
        <f t="shared" si="9"/>
        <v/>
      </c>
      <c r="AC405" s="20" t="str">
        <f t="shared" ref="AC405:AD405" si="818">IF(_xlfn.ISFORMULA(S405),IFERROR(0/0,""),TRUE)</f>
        <v/>
      </c>
      <c r="AD405" s="20" t="str">
        <f t="shared" si="818"/>
        <v/>
      </c>
      <c r="AE405" s="43"/>
      <c r="AF405" s="62" t="s">
        <v>57</v>
      </c>
      <c r="AG405" s="57" t="str">
        <f t="shared" si="11"/>
        <v/>
      </c>
    </row>
    <row r="406">
      <c r="A406" s="6" t="str">
        <f>IFERROR(__xludf.DUMMYFUNCTION("""COMPUTED_VALUE"""),"FM972")</f>
        <v>FM972</v>
      </c>
      <c r="B406" s="204">
        <f>IFERROR(__xludf.DUMMYFUNCTION("""COMPUTED_VALUE"""),44609.0)</f>
        <v>44609</v>
      </c>
      <c r="C406" s="250">
        <f>IFERROR(__xludf.DUMMYFUNCTION("""COMPUTED_VALUE"""),0.3327199074074074)</f>
        <v>0.3327199074</v>
      </c>
      <c r="D406" s="6" t="str">
        <f>IFERROR(__xludf.DUMMYFUNCTION("""COMPUTED_VALUE"""),"SpBEND914710")</f>
        <v>SpBEND914710</v>
      </c>
      <c r="E406" s="251"/>
      <c r="F406" s="251"/>
      <c r="G406" s="251" t="str">
        <f>IFERROR(__xludf.DUMMYFUNCTION("""COMPUTED_VALUE"""),"Negative")</f>
        <v>Negative</v>
      </c>
      <c r="H406" s="262" t="str">
        <f>IFERROR(__xludf.DUMMYFUNCTION("""COMPUTED_VALUE"""),"Negative")</f>
        <v>Negative</v>
      </c>
      <c r="I406" s="204">
        <f>IFERROR(__xludf.DUMMYFUNCTION("""COMPUTED_VALUE"""),44611.0)</f>
        <v>44611</v>
      </c>
      <c r="J406" s="252">
        <f>IFERROR(__xludf.DUMMYFUNCTION("""COMPUTED_VALUE"""),0.38958333333333334)</f>
        <v>0.3895833333</v>
      </c>
      <c r="K406" s="56"/>
      <c r="L406" s="6"/>
      <c r="M406" s="61"/>
      <c r="N406" s="61">
        <f>IFERROR(__xludf.DUMMYFUNCTION("""COMPUTED_VALUE"""),1.0)</f>
        <v>1</v>
      </c>
      <c r="O406" s="61" t="str">
        <f t="shared" si="3"/>
        <v/>
      </c>
      <c r="P406" s="253">
        <f>IFERROR(__xludf.DUMMYFUNCTION("""COMPUTED_VALUE"""),2.0)</f>
        <v>2</v>
      </c>
      <c r="Q406" s="254" t="str">
        <f>VLOOKUP($B406,'Run Reconcile'!B$2:O799,14,FALSE)</f>
        <v/>
      </c>
      <c r="R406" s="255" t="str">
        <f t="array" ref="R406">IF($Q406, INDEX('Run Reconcile'!A$2:A799,MATCH(B406,'Run Reconcile'!B$2:B799,0),1),IFERROR(0/0,""))</f>
        <v/>
      </c>
      <c r="S406" s="261" t="str">
        <f t="shared" ref="S406:T406" si="819">IF(COUNTIF(W$2:W799, $A406) &gt; 0,TRUE,IFERROR(0/0,""))</f>
        <v/>
      </c>
      <c r="T406" s="261" t="str">
        <f t="shared" si="819"/>
        <v/>
      </c>
      <c r="U406" s="257" t="str">
        <f t="array" ref="U406">IF(ISBLANK($R406), INDEX('Run Reconcile'!A$2:A799, MATCH($B406, 'Run Reconcile'!B$2:B799, 0)+Z406, 1), IFERROR(0/0,""))
</f>
        <v>RUN-BEND_2022-02-17_RFR-035</v>
      </c>
      <c r="V406" s="258" t="str">
        <f t="shared" si="480"/>
        <v>RUN-BEND_2022-02-17_RFR-035</v>
      </c>
      <c r="Y406" s="130" t="str">
        <f t="shared" si="487"/>
        <v/>
      </c>
      <c r="Z406" s="49" t="str">
        <f t="shared" si="7"/>
        <v/>
      </c>
      <c r="AA406" s="49" t="str">
        <f t="shared" si="8"/>
        <v/>
      </c>
      <c r="AB406" s="49" t="str">
        <f t="shared" si="9"/>
        <v/>
      </c>
      <c r="AC406" s="20" t="str">
        <f t="shared" ref="AC406:AD406" si="820">IF(_xlfn.ISFORMULA(S406),IFERROR(0/0,""),TRUE)</f>
        <v/>
      </c>
      <c r="AD406" s="20" t="str">
        <f t="shared" si="820"/>
        <v/>
      </c>
      <c r="AE406" s="43"/>
      <c r="AF406" s="62" t="s">
        <v>57</v>
      </c>
      <c r="AG406" s="57" t="str">
        <f t="shared" si="11"/>
        <v/>
      </c>
    </row>
    <row r="407">
      <c r="A407" s="6" t="str">
        <f>IFERROR(__xludf.DUMMYFUNCTION("""COMPUTED_VALUE"""),"MA292")</f>
        <v>MA292</v>
      </c>
      <c r="B407" s="204">
        <f>IFERROR(__xludf.DUMMYFUNCTION("""COMPUTED_VALUE"""),44609.0)</f>
        <v>44609</v>
      </c>
      <c r="C407" s="250">
        <f>IFERROR(__xludf.DUMMYFUNCTION("""COMPUTED_VALUE"""),0.33399305555555553)</f>
        <v>0.3339930556</v>
      </c>
      <c r="D407" s="6" t="str">
        <f>IFERROR(__xludf.DUMMYFUNCTION("""COMPUTED_VALUE"""),"SpBEND611299")</f>
        <v>SpBEND611299</v>
      </c>
      <c r="E407" s="251"/>
      <c r="F407" s="251"/>
      <c r="G407" s="251" t="str">
        <f>IFERROR(__xludf.DUMMYFUNCTION("""COMPUTED_VALUE"""),"Negative")</f>
        <v>Negative</v>
      </c>
      <c r="H407" s="262" t="str">
        <f>IFERROR(__xludf.DUMMYFUNCTION("""COMPUTED_VALUE"""),"Negative")</f>
        <v>Negative</v>
      </c>
      <c r="I407" s="204">
        <f>IFERROR(__xludf.DUMMYFUNCTION("""COMPUTED_VALUE"""),44611.0)</f>
        <v>44611</v>
      </c>
      <c r="J407" s="252">
        <f>IFERROR(__xludf.DUMMYFUNCTION("""COMPUTED_VALUE"""),0.38958333333333334)</f>
        <v>0.3895833333</v>
      </c>
      <c r="K407" s="56"/>
      <c r="L407" s="6"/>
      <c r="M407" s="61"/>
      <c r="N407" s="61">
        <f>IFERROR(__xludf.DUMMYFUNCTION("""COMPUTED_VALUE"""),1.0)</f>
        <v>1</v>
      </c>
      <c r="O407" s="61" t="str">
        <f t="shared" si="3"/>
        <v/>
      </c>
      <c r="P407" s="253">
        <f>IFERROR(__xludf.DUMMYFUNCTION("""COMPUTED_VALUE"""),2.0)</f>
        <v>2</v>
      </c>
      <c r="Q407" s="254" t="str">
        <f>VLOOKUP($B407,'Run Reconcile'!B$2:O799,14,FALSE)</f>
        <v/>
      </c>
      <c r="R407" s="255" t="str">
        <f t="array" ref="R407">IF($Q407, INDEX('Run Reconcile'!A$2:A799,MATCH(B407,'Run Reconcile'!B$2:B799,0),1),IFERROR(0/0,""))</f>
        <v/>
      </c>
      <c r="S407" s="261" t="str">
        <f t="shared" ref="S407:T407" si="821">IF(COUNTIF(W$2:W799, $A407) &gt; 0,TRUE,IFERROR(0/0,""))</f>
        <v/>
      </c>
      <c r="T407" s="261" t="str">
        <f t="shared" si="821"/>
        <v/>
      </c>
      <c r="U407" s="257" t="str">
        <f t="array" ref="U407">IF(ISBLANK($R407), INDEX('Run Reconcile'!A$2:A799, MATCH($B407, 'Run Reconcile'!B$2:B799, 0)+Z407, 1), IFERROR(0/0,""))
</f>
        <v>RUN-BEND_2022-02-17_RFR-035</v>
      </c>
      <c r="V407" s="258" t="str">
        <f t="shared" si="480"/>
        <v>RUN-BEND_2022-02-17_RFR-035</v>
      </c>
      <c r="Y407" s="130" t="str">
        <f t="shared" si="487"/>
        <v/>
      </c>
      <c r="Z407" s="49" t="str">
        <f t="shared" si="7"/>
        <v/>
      </c>
      <c r="AA407" s="49" t="str">
        <f t="shared" si="8"/>
        <v/>
      </c>
      <c r="AB407" s="49" t="str">
        <f t="shared" si="9"/>
        <v/>
      </c>
      <c r="AC407" s="20" t="str">
        <f t="shared" ref="AC407:AD407" si="822">IF(_xlfn.ISFORMULA(S407),IFERROR(0/0,""),TRUE)</f>
        <v/>
      </c>
      <c r="AD407" s="20" t="str">
        <f t="shared" si="822"/>
        <v/>
      </c>
      <c r="AE407" s="43"/>
      <c r="AF407" s="62" t="s">
        <v>57</v>
      </c>
      <c r="AG407" s="57" t="str">
        <f t="shared" si="11"/>
        <v/>
      </c>
    </row>
    <row r="408">
      <c r="A408" s="6" t="str">
        <f>IFERROR(__xludf.DUMMYFUNCTION("""COMPUTED_VALUE"""),"MA291")</f>
        <v>MA291</v>
      </c>
      <c r="B408" s="204">
        <f>IFERROR(__xludf.DUMMYFUNCTION("""COMPUTED_VALUE"""),44609.0)</f>
        <v>44609</v>
      </c>
      <c r="C408" s="250">
        <f>IFERROR(__xludf.DUMMYFUNCTION("""COMPUTED_VALUE"""),0.33414351851851853)</f>
        <v>0.3341435185</v>
      </c>
      <c r="D408" s="6" t="str">
        <f>IFERROR(__xludf.DUMMYFUNCTION("""COMPUTED_VALUE"""),"SpBEND413838")</f>
        <v>SpBEND413838</v>
      </c>
      <c r="E408" s="251"/>
      <c r="F408" s="251"/>
      <c r="G408" s="251" t="str">
        <f>IFERROR(__xludf.DUMMYFUNCTION("""COMPUTED_VALUE"""),"Negative")</f>
        <v>Negative</v>
      </c>
      <c r="H408" s="262" t="str">
        <f>IFERROR(__xludf.DUMMYFUNCTION("""COMPUTED_VALUE"""),"Negative")</f>
        <v>Negative</v>
      </c>
      <c r="I408" s="204">
        <f>IFERROR(__xludf.DUMMYFUNCTION("""COMPUTED_VALUE"""),44611.0)</f>
        <v>44611</v>
      </c>
      <c r="J408" s="252">
        <f>IFERROR(__xludf.DUMMYFUNCTION("""COMPUTED_VALUE"""),0.38958333333333334)</f>
        <v>0.3895833333</v>
      </c>
      <c r="K408" s="56"/>
      <c r="L408" s="6"/>
      <c r="M408" s="61"/>
      <c r="N408" s="61">
        <f>IFERROR(__xludf.DUMMYFUNCTION("""COMPUTED_VALUE"""),1.0)</f>
        <v>1</v>
      </c>
      <c r="O408" s="61" t="str">
        <f t="shared" si="3"/>
        <v/>
      </c>
      <c r="P408" s="253">
        <f>IFERROR(__xludf.DUMMYFUNCTION("""COMPUTED_VALUE"""),2.0)</f>
        <v>2</v>
      </c>
      <c r="Q408" s="254" t="str">
        <f>VLOOKUP($B408,'Run Reconcile'!B$2:O799,14,FALSE)</f>
        <v/>
      </c>
      <c r="R408" s="255" t="str">
        <f t="array" ref="R408">IF($Q408, INDEX('Run Reconcile'!A$2:A799,MATCH(B408,'Run Reconcile'!B$2:B799,0),1),IFERROR(0/0,""))</f>
        <v/>
      </c>
      <c r="S408" s="261" t="str">
        <f t="shared" ref="S408:T408" si="823">IF(COUNTIF(W$2:W799, $A408) &gt; 0,TRUE,IFERROR(0/0,""))</f>
        <v/>
      </c>
      <c r="T408" s="261" t="str">
        <f t="shared" si="823"/>
        <v/>
      </c>
      <c r="U408" s="257" t="str">
        <f t="array" ref="U408">IF(ISBLANK($R408), INDEX('Run Reconcile'!A$2:A799, MATCH($B408, 'Run Reconcile'!B$2:B799, 0)+Z408, 1), IFERROR(0/0,""))
</f>
        <v>RUN-BEND_2022-02-17_RFR-035</v>
      </c>
      <c r="V408" s="258" t="str">
        <f t="shared" si="480"/>
        <v>RUN-BEND_2022-02-17_RFR-035</v>
      </c>
      <c r="Y408" s="130" t="str">
        <f t="shared" si="487"/>
        <v/>
      </c>
      <c r="Z408" s="49" t="str">
        <f t="shared" si="7"/>
        <v/>
      </c>
      <c r="AA408" s="49" t="str">
        <f t="shared" si="8"/>
        <v/>
      </c>
      <c r="AB408" s="49" t="str">
        <f t="shared" si="9"/>
        <v/>
      </c>
      <c r="AC408" s="20" t="str">
        <f t="shared" ref="AC408:AD408" si="824">IF(_xlfn.ISFORMULA(S408),IFERROR(0/0,""),TRUE)</f>
        <v/>
      </c>
      <c r="AD408" s="20" t="str">
        <f t="shared" si="824"/>
        <v/>
      </c>
      <c r="AE408" s="43"/>
      <c r="AF408" s="62" t="s">
        <v>57</v>
      </c>
      <c r="AG408" s="57" t="str">
        <f t="shared" si="11"/>
        <v/>
      </c>
    </row>
    <row r="409">
      <c r="A409" s="6" t="str">
        <f>IFERROR(__xludf.DUMMYFUNCTION("""COMPUTED_VALUE"""),"MA1054")</f>
        <v>MA1054</v>
      </c>
      <c r="B409" s="204">
        <f>IFERROR(__xludf.DUMMYFUNCTION("""COMPUTED_VALUE"""),44609.0)</f>
        <v>44609</v>
      </c>
      <c r="C409" s="250">
        <f>IFERROR(__xludf.DUMMYFUNCTION("""COMPUTED_VALUE"""),0.33719907407407407)</f>
        <v>0.3371990741</v>
      </c>
      <c r="D409" s="6" t="str">
        <f>IFERROR(__xludf.DUMMYFUNCTION("""COMPUTED_VALUE"""),"SpBEND815974")</f>
        <v>SpBEND815974</v>
      </c>
      <c r="E409" s="251"/>
      <c r="F409" s="251"/>
      <c r="G409" s="251" t="str">
        <f>IFERROR(__xludf.DUMMYFUNCTION("""COMPUTED_VALUE"""),"Negative")</f>
        <v>Negative</v>
      </c>
      <c r="H409" s="262" t="str">
        <f>IFERROR(__xludf.DUMMYFUNCTION("""COMPUTED_VALUE"""),"Negative")</f>
        <v>Negative</v>
      </c>
      <c r="I409" s="204">
        <f>IFERROR(__xludf.DUMMYFUNCTION("""COMPUTED_VALUE"""),44611.0)</f>
        <v>44611</v>
      </c>
      <c r="J409" s="252">
        <f>IFERROR(__xludf.DUMMYFUNCTION("""COMPUTED_VALUE"""),0.38958333333333334)</f>
        <v>0.3895833333</v>
      </c>
      <c r="K409" s="56"/>
      <c r="L409" s="6"/>
      <c r="M409" s="61"/>
      <c r="N409" s="61">
        <f>IFERROR(__xludf.DUMMYFUNCTION("""COMPUTED_VALUE"""),1.0)</f>
        <v>1</v>
      </c>
      <c r="O409" s="61" t="str">
        <f t="shared" si="3"/>
        <v/>
      </c>
      <c r="P409" s="253">
        <f>IFERROR(__xludf.DUMMYFUNCTION("""COMPUTED_VALUE"""),2.0)</f>
        <v>2</v>
      </c>
      <c r="Q409" s="254" t="str">
        <f>VLOOKUP($B409,'Run Reconcile'!B$2:O799,14,FALSE)</f>
        <v/>
      </c>
      <c r="R409" s="255" t="str">
        <f t="array" ref="R409">IF($Q409, INDEX('Run Reconcile'!A$2:A799,MATCH(B409,'Run Reconcile'!B$2:B799,0),1),IFERROR(0/0,""))</f>
        <v/>
      </c>
      <c r="S409" s="261" t="str">
        <f t="shared" ref="S409:T409" si="825">IF(COUNTIF(W$2:W799, $A409) &gt; 0,TRUE,IFERROR(0/0,""))</f>
        <v/>
      </c>
      <c r="T409" s="261" t="str">
        <f t="shared" si="825"/>
        <v/>
      </c>
      <c r="U409" s="257" t="str">
        <f t="array" ref="U409">IF(ISBLANK($R409), INDEX('Run Reconcile'!A$2:A799, MATCH($B409, 'Run Reconcile'!B$2:B799, 0)+Z409, 1), IFERROR(0/0,""))
</f>
        <v>RUN-BEND_2022-02-17_RFR-035</v>
      </c>
      <c r="V409" s="258" t="str">
        <f t="shared" si="480"/>
        <v>RUN-BEND_2022-02-17_RFR-035</v>
      </c>
      <c r="Y409" s="130" t="str">
        <f t="shared" si="487"/>
        <v/>
      </c>
      <c r="Z409" s="49" t="str">
        <f t="shared" si="7"/>
        <v/>
      </c>
      <c r="AA409" s="49" t="str">
        <f t="shared" si="8"/>
        <v/>
      </c>
      <c r="AB409" s="49" t="str">
        <f t="shared" si="9"/>
        <v/>
      </c>
      <c r="AC409" s="20" t="str">
        <f t="shared" ref="AC409:AD409" si="826">IF(_xlfn.ISFORMULA(S409),IFERROR(0/0,""),TRUE)</f>
        <v/>
      </c>
      <c r="AD409" s="20" t="str">
        <f t="shared" si="826"/>
        <v/>
      </c>
      <c r="AE409" s="43"/>
      <c r="AF409" s="62" t="s">
        <v>57</v>
      </c>
      <c r="AG409" s="57" t="str">
        <f t="shared" si="11"/>
        <v/>
      </c>
    </row>
    <row r="410">
      <c r="A410" s="6" t="str">
        <f>IFERROR(__xludf.DUMMYFUNCTION("""COMPUTED_VALUE"""),"MA1087")</f>
        <v>MA1087</v>
      </c>
      <c r="B410" s="204">
        <f>IFERROR(__xludf.DUMMYFUNCTION("""COMPUTED_VALUE"""),44609.0)</f>
        <v>44609</v>
      </c>
      <c r="C410" s="250">
        <f>IFERROR(__xludf.DUMMYFUNCTION("""COMPUTED_VALUE"""),0.34019675925925924)</f>
        <v>0.3401967593</v>
      </c>
      <c r="D410" s="6" t="str">
        <f>IFERROR(__xludf.DUMMYFUNCTION("""COMPUTED_VALUE"""),"SpBEND445560")</f>
        <v>SpBEND445560</v>
      </c>
      <c r="E410" s="251"/>
      <c r="F410" s="251"/>
      <c r="G410" s="251" t="str">
        <f>IFERROR(__xludf.DUMMYFUNCTION("""COMPUTED_VALUE"""),"Negative")</f>
        <v>Negative</v>
      </c>
      <c r="H410" s="262" t="str">
        <f>IFERROR(__xludf.DUMMYFUNCTION("""COMPUTED_VALUE"""),"Negative")</f>
        <v>Negative</v>
      </c>
      <c r="I410" s="204">
        <f>IFERROR(__xludf.DUMMYFUNCTION("""COMPUTED_VALUE"""),44611.0)</f>
        <v>44611</v>
      </c>
      <c r="J410" s="252">
        <f>IFERROR(__xludf.DUMMYFUNCTION("""COMPUTED_VALUE"""),0.38958333333333334)</f>
        <v>0.3895833333</v>
      </c>
      <c r="K410" s="56"/>
      <c r="L410" s="6"/>
      <c r="M410" s="61"/>
      <c r="N410" s="61">
        <f>IFERROR(__xludf.DUMMYFUNCTION("""COMPUTED_VALUE"""),1.0)</f>
        <v>1</v>
      </c>
      <c r="O410" s="61" t="str">
        <f t="shared" si="3"/>
        <v/>
      </c>
      <c r="P410" s="253">
        <f>IFERROR(__xludf.DUMMYFUNCTION("""COMPUTED_VALUE"""),2.0)</f>
        <v>2</v>
      </c>
      <c r="Q410" s="254" t="str">
        <f>VLOOKUP($B410,'Run Reconcile'!B$2:O799,14,FALSE)</f>
        <v/>
      </c>
      <c r="R410" s="255" t="str">
        <f t="array" ref="R410">IF($Q410, INDEX('Run Reconcile'!A$2:A799,MATCH(B410,'Run Reconcile'!B$2:B799,0),1),IFERROR(0/0,""))</f>
        <v/>
      </c>
      <c r="S410" s="261" t="str">
        <f t="shared" ref="S410:T410" si="827">IF(COUNTIF(W$2:W799, $A410) &gt; 0,TRUE,IFERROR(0/0,""))</f>
        <v/>
      </c>
      <c r="T410" s="261" t="str">
        <f t="shared" si="827"/>
        <v/>
      </c>
      <c r="U410" s="257" t="str">
        <f t="array" ref="U410">IF(ISBLANK($R410), INDEX('Run Reconcile'!A$2:A799, MATCH($B410, 'Run Reconcile'!B$2:B799, 0)+Z410, 1), IFERROR(0/0,""))
</f>
        <v>RUN-BEND_2022-02-17_RFR-035</v>
      </c>
      <c r="V410" s="258" t="str">
        <f t="shared" si="480"/>
        <v>RUN-BEND_2022-02-17_RFR-035</v>
      </c>
      <c r="Y410" s="130" t="str">
        <f t="shared" si="487"/>
        <v/>
      </c>
      <c r="Z410" s="49" t="str">
        <f t="shared" si="7"/>
        <v/>
      </c>
      <c r="AA410" s="49" t="str">
        <f t="shared" si="8"/>
        <v/>
      </c>
      <c r="AB410" s="49" t="str">
        <f t="shared" si="9"/>
        <v/>
      </c>
      <c r="AC410" s="20" t="str">
        <f t="shared" ref="AC410:AD410" si="828">IF(_xlfn.ISFORMULA(S410),IFERROR(0/0,""),TRUE)</f>
        <v/>
      </c>
      <c r="AD410" s="20" t="str">
        <f t="shared" si="828"/>
        <v/>
      </c>
      <c r="AE410" s="43"/>
      <c r="AF410" s="62" t="s">
        <v>57</v>
      </c>
      <c r="AG410" s="57" t="str">
        <f t="shared" si="11"/>
        <v/>
      </c>
    </row>
    <row r="411">
      <c r="A411" s="6" t="str">
        <f>IFERROR(__xludf.DUMMYFUNCTION("""COMPUTED_VALUE"""),"MA237")</f>
        <v>MA237</v>
      </c>
      <c r="B411" s="204">
        <f>IFERROR(__xludf.DUMMYFUNCTION("""COMPUTED_VALUE"""),44609.0)</f>
        <v>44609</v>
      </c>
      <c r="C411" s="250">
        <f>IFERROR(__xludf.DUMMYFUNCTION("""COMPUTED_VALUE"""),0.3439814814814815)</f>
        <v>0.3439814815</v>
      </c>
      <c r="D411" s="6" t="str">
        <f>IFERROR(__xludf.DUMMYFUNCTION("""COMPUTED_VALUE"""),"SpBEND977859")</f>
        <v>SpBEND977859</v>
      </c>
      <c r="E411" s="251"/>
      <c r="F411" s="251"/>
      <c r="G411" s="251" t="str">
        <f>IFERROR(__xludf.DUMMYFUNCTION("""COMPUTED_VALUE"""),"Negative")</f>
        <v>Negative</v>
      </c>
      <c r="H411" s="262" t="str">
        <f>IFERROR(__xludf.DUMMYFUNCTION("""COMPUTED_VALUE"""),"Negative")</f>
        <v>Negative</v>
      </c>
      <c r="I411" s="204">
        <f>IFERROR(__xludf.DUMMYFUNCTION("""COMPUTED_VALUE"""),44611.0)</f>
        <v>44611</v>
      </c>
      <c r="J411" s="252">
        <f>IFERROR(__xludf.DUMMYFUNCTION("""COMPUTED_VALUE"""),0.38958333333333334)</f>
        <v>0.3895833333</v>
      </c>
      <c r="K411" s="56"/>
      <c r="L411" s="6"/>
      <c r="M411" s="61"/>
      <c r="N411" s="61">
        <f>IFERROR(__xludf.DUMMYFUNCTION("""COMPUTED_VALUE"""),1.0)</f>
        <v>1</v>
      </c>
      <c r="O411" s="61" t="str">
        <f t="shared" si="3"/>
        <v/>
      </c>
      <c r="P411" s="253">
        <f>IFERROR(__xludf.DUMMYFUNCTION("""COMPUTED_VALUE"""),2.0)</f>
        <v>2</v>
      </c>
      <c r="Q411" s="254" t="str">
        <f>VLOOKUP($B411,'Run Reconcile'!B$2:O799,14,FALSE)</f>
        <v/>
      </c>
      <c r="R411" s="255" t="str">
        <f t="array" ref="R411">IF($Q411, INDEX('Run Reconcile'!A$2:A799,MATCH(B411,'Run Reconcile'!B$2:B799,0),1),IFERROR(0/0,""))</f>
        <v/>
      </c>
      <c r="S411" s="261" t="str">
        <f t="shared" ref="S411:T411" si="829">IF(COUNTIF(W$2:W799, $A411) &gt; 0,TRUE,IFERROR(0/0,""))</f>
        <v/>
      </c>
      <c r="T411" s="261" t="str">
        <f t="shared" si="829"/>
        <v/>
      </c>
      <c r="U411" s="257" t="str">
        <f t="array" ref="U411">IF(ISBLANK($R411), INDEX('Run Reconcile'!A$2:A799, MATCH($B411, 'Run Reconcile'!B$2:B799, 0)+Z411, 1), IFERROR(0/0,""))
</f>
        <v>RUN-BEND_2022-02-17_RFR-035</v>
      </c>
      <c r="V411" s="258" t="str">
        <f t="shared" si="480"/>
        <v>RUN-BEND_2022-02-17_RFR-035</v>
      </c>
      <c r="Y411" s="130" t="str">
        <f t="shared" si="487"/>
        <v/>
      </c>
      <c r="Z411" s="49" t="str">
        <f t="shared" si="7"/>
        <v/>
      </c>
      <c r="AA411" s="49" t="str">
        <f t="shared" si="8"/>
        <v/>
      </c>
      <c r="AB411" s="49" t="str">
        <f t="shared" si="9"/>
        <v/>
      </c>
      <c r="AC411" s="20" t="str">
        <f t="shared" ref="AC411:AD411" si="830">IF(_xlfn.ISFORMULA(S411),IFERROR(0/0,""),TRUE)</f>
        <v/>
      </c>
      <c r="AD411" s="20" t="str">
        <f t="shared" si="830"/>
        <v/>
      </c>
      <c r="AE411" s="43"/>
      <c r="AF411" s="62" t="s">
        <v>57</v>
      </c>
      <c r="AG411" s="57" t="str">
        <f t="shared" si="11"/>
        <v/>
      </c>
    </row>
    <row r="412">
      <c r="A412" s="6" t="str">
        <f>IFERROR(__xludf.DUMMYFUNCTION("""COMPUTED_VALUE"""),"FM55")</f>
        <v>FM55</v>
      </c>
      <c r="B412" s="204">
        <f>IFERROR(__xludf.DUMMYFUNCTION("""COMPUTED_VALUE"""),44609.0)</f>
        <v>44609</v>
      </c>
      <c r="C412" s="250">
        <f>IFERROR(__xludf.DUMMYFUNCTION("""COMPUTED_VALUE"""),0.3441666666666667)</f>
        <v>0.3441666667</v>
      </c>
      <c r="D412" s="6" t="str">
        <f>IFERROR(__xludf.DUMMYFUNCTION("""COMPUTED_VALUE"""),"SpBEND136234")</f>
        <v>SpBEND136234</v>
      </c>
      <c r="E412" s="251"/>
      <c r="F412" s="251"/>
      <c r="G412" s="251" t="str">
        <f>IFERROR(__xludf.DUMMYFUNCTION("""COMPUTED_VALUE"""),"Negative")</f>
        <v>Negative</v>
      </c>
      <c r="H412" s="262" t="str">
        <f>IFERROR(__xludf.DUMMYFUNCTION("""COMPUTED_VALUE"""),"Negative")</f>
        <v>Negative</v>
      </c>
      <c r="I412" s="204">
        <f>IFERROR(__xludf.DUMMYFUNCTION("""COMPUTED_VALUE"""),44611.0)</f>
        <v>44611</v>
      </c>
      <c r="J412" s="252">
        <f>IFERROR(__xludf.DUMMYFUNCTION("""COMPUTED_VALUE"""),0.38958333333333334)</f>
        <v>0.3895833333</v>
      </c>
      <c r="K412" s="56"/>
      <c r="L412" s="6"/>
      <c r="M412" s="61"/>
      <c r="N412" s="61">
        <f>IFERROR(__xludf.DUMMYFUNCTION("""COMPUTED_VALUE"""),1.0)</f>
        <v>1</v>
      </c>
      <c r="O412" s="61" t="str">
        <f t="shared" si="3"/>
        <v/>
      </c>
      <c r="P412" s="253">
        <f>IFERROR(__xludf.DUMMYFUNCTION("""COMPUTED_VALUE"""),2.0)</f>
        <v>2</v>
      </c>
      <c r="Q412" s="254" t="str">
        <f>VLOOKUP($B412,'Run Reconcile'!B$2:O799,14,FALSE)</f>
        <v/>
      </c>
      <c r="R412" s="255" t="str">
        <f t="array" ref="R412">IF($Q412, INDEX('Run Reconcile'!A$2:A799,MATCH(B412,'Run Reconcile'!B$2:B799,0),1),IFERROR(0/0,""))</f>
        <v/>
      </c>
      <c r="S412" s="261" t="str">
        <f t="shared" ref="S412:T412" si="831">IF(COUNTIF(W$2:W799, $A412) &gt; 0,TRUE,IFERROR(0/0,""))</f>
        <v/>
      </c>
      <c r="T412" s="261" t="str">
        <f t="shared" si="831"/>
        <v/>
      </c>
      <c r="U412" s="257" t="str">
        <f t="array" ref="U412">IF(ISBLANK($R412), INDEX('Run Reconcile'!A$2:A799, MATCH($B412, 'Run Reconcile'!B$2:B799, 0)+Z412, 1), IFERROR(0/0,""))
</f>
        <v>RUN-BEND_2022-02-17_RFR-035</v>
      </c>
      <c r="V412" s="258" t="str">
        <f t="shared" si="480"/>
        <v>RUN-BEND_2022-02-17_RFR-035</v>
      </c>
      <c r="Y412" s="130" t="str">
        <f t="shared" si="487"/>
        <v/>
      </c>
      <c r="Z412" s="49" t="str">
        <f t="shared" si="7"/>
        <v/>
      </c>
      <c r="AA412" s="49" t="str">
        <f t="shared" si="8"/>
        <v/>
      </c>
      <c r="AB412" s="49" t="str">
        <f t="shared" si="9"/>
        <v/>
      </c>
      <c r="AC412" s="20" t="str">
        <f t="shared" ref="AC412:AD412" si="832">IF(_xlfn.ISFORMULA(S412),IFERROR(0/0,""),TRUE)</f>
        <v/>
      </c>
      <c r="AD412" s="20" t="str">
        <f t="shared" si="832"/>
        <v/>
      </c>
      <c r="AE412" s="43"/>
      <c r="AF412" s="62" t="s">
        <v>57</v>
      </c>
      <c r="AG412" s="57" t="str">
        <f t="shared" si="11"/>
        <v/>
      </c>
    </row>
    <row r="413">
      <c r="A413" s="6" t="str">
        <f>IFERROR(__xludf.DUMMYFUNCTION("""COMPUTED_VALUE"""),"FM26")</f>
        <v>FM26</v>
      </c>
      <c r="B413" s="204">
        <f>IFERROR(__xludf.DUMMYFUNCTION("""COMPUTED_VALUE"""),44609.0)</f>
        <v>44609</v>
      </c>
      <c r="C413" s="250">
        <f>IFERROR(__xludf.DUMMYFUNCTION("""COMPUTED_VALUE"""),0.35497685185185185)</f>
        <v>0.3549768519</v>
      </c>
      <c r="D413" s="6" t="str">
        <f>IFERROR(__xludf.DUMMYFUNCTION("""COMPUTED_VALUE"""),"SpBEND640412")</f>
        <v>SpBEND640412</v>
      </c>
      <c r="E413" s="251"/>
      <c r="F413" s="251"/>
      <c r="G413" s="251" t="str">
        <f>IFERROR(__xludf.DUMMYFUNCTION("""COMPUTED_VALUE"""),"Negative")</f>
        <v>Negative</v>
      </c>
      <c r="H413" s="262" t="str">
        <f>IFERROR(__xludf.DUMMYFUNCTION("""COMPUTED_VALUE"""),"Negative")</f>
        <v>Negative</v>
      </c>
      <c r="I413" s="204">
        <f>IFERROR(__xludf.DUMMYFUNCTION("""COMPUTED_VALUE"""),44611.0)</f>
        <v>44611</v>
      </c>
      <c r="J413" s="252">
        <f>IFERROR(__xludf.DUMMYFUNCTION("""COMPUTED_VALUE"""),0.38958333333333334)</f>
        <v>0.3895833333</v>
      </c>
      <c r="K413" s="56"/>
      <c r="L413" s="6"/>
      <c r="M413" s="61"/>
      <c r="N413" s="61">
        <f>IFERROR(__xludf.DUMMYFUNCTION("""COMPUTED_VALUE"""),1.0)</f>
        <v>1</v>
      </c>
      <c r="O413" s="61" t="str">
        <f t="shared" si="3"/>
        <v/>
      </c>
      <c r="P413" s="253">
        <f>IFERROR(__xludf.DUMMYFUNCTION("""COMPUTED_VALUE"""),2.0)</f>
        <v>2</v>
      </c>
      <c r="Q413" s="254" t="str">
        <f>VLOOKUP($B413,'Run Reconcile'!B$2:O799,14,FALSE)</f>
        <v/>
      </c>
      <c r="R413" s="255" t="str">
        <f t="array" ref="R413">IF($Q413, INDEX('Run Reconcile'!A$2:A799,MATCH(B413,'Run Reconcile'!B$2:B799,0),1),IFERROR(0/0,""))</f>
        <v/>
      </c>
      <c r="S413" s="261" t="str">
        <f t="shared" ref="S413:T413" si="833">IF(COUNTIF(W$2:W799, $A413) &gt; 0,TRUE,IFERROR(0/0,""))</f>
        <v/>
      </c>
      <c r="T413" s="261" t="str">
        <f t="shared" si="833"/>
        <v/>
      </c>
      <c r="U413" s="257" t="str">
        <f t="array" ref="U413">IF(ISBLANK($R413), INDEX('Run Reconcile'!A$2:A799, MATCH($B413, 'Run Reconcile'!B$2:B799, 0)+Z413, 1), IFERROR(0/0,""))
</f>
        <v>RUN-BEND_2022-02-17_RFR-035</v>
      </c>
      <c r="V413" s="258" t="str">
        <f t="shared" si="480"/>
        <v>RUN-BEND_2022-02-17_RFR-035</v>
      </c>
      <c r="Y413" s="130" t="str">
        <f t="shared" si="487"/>
        <v/>
      </c>
      <c r="Z413" s="49" t="str">
        <f t="shared" si="7"/>
        <v/>
      </c>
      <c r="AA413" s="49" t="str">
        <f t="shared" si="8"/>
        <v/>
      </c>
      <c r="AB413" s="49" t="str">
        <f t="shared" si="9"/>
        <v/>
      </c>
      <c r="AC413" s="20" t="str">
        <f t="shared" ref="AC413:AD413" si="834">IF(_xlfn.ISFORMULA(S413),IFERROR(0/0,""),TRUE)</f>
        <v/>
      </c>
      <c r="AD413" s="20" t="str">
        <f t="shared" si="834"/>
        <v/>
      </c>
      <c r="AE413" s="43"/>
      <c r="AF413" s="62" t="s">
        <v>57</v>
      </c>
      <c r="AG413" s="57" t="str">
        <f t="shared" si="11"/>
        <v/>
      </c>
    </row>
    <row r="414">
      <c r="A414" s="6" t="str">
        <f>IFERROR(__xludf.DUMMYFUNCTION("""COMPUTED_VALUE"""),"MA1139")</f>
        <v>MA1139</v>
      </c>
      <c r="B414" s="204">
        <f>IFERROR(__xludf.DUMMYFUNCTION("""COMPUTED_VALUE"""),44609.0)</f>
        <v>44609</v>
      </c>
      <c r="C414" s="250">
        <f>IFERROR(__xludf.DUMMYFUNCTION("""COMPUTED_VALUE"""),0.3872685185185185)</f>
        <v>0.3872685185</v>
      </c>
      <c r="D414" s="6" t="str">
        <f>IFERROR(__xludf.DUMMYFUNCTION("""COMPUTED_VALUE"""),"SpBEND331858")</f>
        <v>SpBEND331858</v>
      </c>
      <c r="E414" s="251"/>
      <c r="F414" s="251"/>
      <c r="G414" s="251" t="str">
        <f>IFERROR(__xludf.DUMMYFUNCTION("""COMPUTED_VALUE"""),"Negative")</f>
        <v>Negative</v>
      </c>
      <c r="H414" s="262" t="str">
        <f>IFERROR(__xludf.DUMMYFUNCTION("""COMPUTED_VALUE"""),"Negative")</f>
        <v>Negative</v>
      </c>
      <c r="I414" s="204">
        <f>IFERROR(__xludf.DUMMYFUNCTION("""COMPUTED_VALUE"""),44611.0)</f>
        <v>44611</v>
      </c>
      <c r="J414" s="252">
        <f>IFERROR(__xludf.DUMMYFUNCTION("""COMPUTED_VALUE"""),0.48824074074074075)</f>
        <v>0.4882407407</v>
      </c>
      <c r="K414" s="56"/>
      <c r="L414" s="6"/>
      <c r="M414" s="61"/>
      <c r="N414" s="61">
        <f>IFERROR(__xludf.DUMMYFUNCTION("""COMPUTED_VALUE"""),1.0)</f>
        <v>1</v>
      </c>
      <c r="O414" s="61" t="str">
        <f t="shared" si="3"/>
        <v/>
      </c>
      <c r="P414" s="253">
        <f>IFERROR(__xludf.DUMMYFUNCTION("""COMPUTED_VALUE"""),2.0)</f>
        <v>2</v>
      </c>
      <c r="Q414" s="254" t="str">
        <f>VLOOKUP($B414,'Run Reconcile'!B$2:O799,14,FALSE)</f>
        <v/>
      </c>
      <c r="R414" s="255" t="str">
        <f t="array" ref="R414">IF($Q414, INDEX('Run Reconcile'!A$2:A799,MATCH(B414,'Run Reconcile'!B$2:B799,0),1),IFERROR(0/0,""))</f>
        <v/>
      </c>
      <c r="S414" s="261" t="str">
        <f t="shared" ref="S414:T414" si="835">IF(COUNTIF(W$2:W799, $A414) &gt; 0,TRUE,IFERROR(0/0,""))</f>
        <v/>
      </c>
      <c r="T414" s="261" t="str">
        <f t="shared" si="835"/>
        <v/>
      </c>
      <c r="U414" s="257" t="str">
        <f t="array" ref="U414">IF(ISBLANK($R414), INDEX('Run Reconcile'!A$2:A799, MATCH($B414, 'Run Reconcile'!B$2:B799, 0)+Z414, 1), IFERROR(0/0,""))
</f>
        <v>RUN-BEND_2022-02-17_RFR-035</v>
      </c>
      <c r="V414" s="258" t="str">
        <f t="shared" si="480"/>
        <v>RUN-BEND_2022-02-17_RFR-035</v>
      </c>
      <c r="Y414" s="130" t="str">
        <f t="shared" si="487"/>
        <v/>
      </c>
      <c r="Z414" s="49" t="str">
        <f t="shared" si="7"/>
        <v/>
      </c>
      <c r="AA414" s="49" t="str">
        <f t="shared" si="8"/>
        <v/>
      </c>
      <c r="AB414" s="49" t="str">
        <f t="shared" si="9"/>
        <v/>
      </c>
      <c r="AC414" s="20" t="str">
        <f t="shared" ref="AC414:AD414" si="836">IF(_xlfn.ISFORMULA(S414),IFERROR(0/0,""),TRUE)</f>
        <v/>
      </c>
      <c r="AD414" s="20" t="str">
        <f t="shared" si="836"/>
        <v/>
      </c>
      <c r="AE414" s="43"/>
      <c r="AF414" s="62" t="s">
        <v>57</v>
      </c>
      <c r="AG414" s="57" t="str">
        <f t="shared" si="11"/>
        <v/>
      </c>
    </row>
    <row r="415">
      <c r="A415" s="6" t="str">
        <f>IFERROR(__xludf.DUMMYFUNCTION("""COMPUTED_VALUE"""),"MA1067")</f>
        <v>MA1067</v>
      </c>
      <c r="B415" s="204">
        <f>IFERROR(__xludf.DUMMYFUNCTION("""COMPUTED_VALUE"""),44611.0)</f>
        <v>44611</v>
      </c>
      <c r="C415" s="250">
        <f>IFERROR(__xludf.DUMMYFUNCTION("""COMPUTED_VALUE"""),0.2972337962962963)</f>
        <v>0.2972337963</v>
      </c>
      <c r="D415" s="6" t="str">
        <f>IFERROR(__xludf.DUMMYFUNCTION("""COMPUTED_VALUE"""),"SpBEND501019")</f>
        <v>SpBEND501019</v>
      </c>
      <c r="E415" s="251"/>
      <c r="F415" s="251"/>
      <c r="G415" s="251" t="str">
        <f>IFERROR(__xludf.DUMMYFUNCTION("""COMPUTED_VALUE"""),"Negative")</f>
        <v>Negative</v>
      </c>
      <c r="H415" s="262" t="str">
        <f>IFERROR(__xludf.DUMMYFUNCTION("""COMPUTED_VALUE"""),"Negative")</f>
        <v>Negative</v>
      </c>
      <c r="I415" s="204">
        <f>IFERROR(__xludf.DUMMYFUNCTION("""COMPUTED_VALUE"""),44611.0)</f>
        <v>44611</v>
      </c>
      <c r="J415" s="252">
        <f>IFERROR(__xludf.DUMMYFUNCTION("""COMPUTED_VALUE"""),0.48824074074074075)</f>
        <v>0.4882407407</v>
      </c>
      <c r="K415" s="56"/>
      <c r="L415" s="6"/>
      <c r="M415" s="61"/>
      <c r="N415" s="61">
        <f>IFERROR(__xludf.DUMMYFUNCTION("""COMPUTED_VALUE"""),1.0)</f>
        <v>1</v>
      </c>
      <c r="O415" s="61" t="b">
        <f t="shared" si="3"/>
        <v>1</v>
      </c>
      <c r="P415" s="253">
        <f>IFERROR(__xludf.DUMMYFUNCTION("""COMPUTED_VALUE"""),0.0)</f>
        <v>0</v>
      </c>
      <c r="Q415" s="254" t="b">
        <f>VLOOKUP($B415,'Run Reconcile'!B$2:O799,14,FALSE)</f>
        <v>1</v>
      </c>
      <c r="R415" s="255" t="str">
        <f t="array" ref="R415">IF($Q415, INDEX('Run Reconcile'!A$2:A799,MATCH(B415,'Run Reconcile'!B$2:B799,0),1),IFERROR(0/0,""))</f>
        <v>RUN-BEND_2022-02-19_RFR-036</v>
      </c>
      <c r="S415" s="261" t="str">
        <f t="shared" ref="S415:T415" si="837">IF(COUNTIF(W$2:W799, $A415) &gt; 0,TRUE,IFERROR(0/0,""))</f>
        <v/>
      </c>
      <c r="T415" s="261" t="str">
        <f t="shared" si="837"/>
        <v/>
      </c>
      <c r="U415" s="257" t="str">
        <f t="array" ref="U415">IF(ISBLANK($R415), INDEX('Run Reconcile'!A$2:A799, MATCH($B415, 'Run Reconcile'!B$2:B799, 0)+Z415, 1), IFERROR(0/0,""))
</f>
        <v/>
      </c>
      <c r="V415" s="258" t="str">
        <f t="shared" si="480"/>
        <v>RUN-BEND_2022-02-19_RFR-036</v>
      </c>
      <c r="Y415" s="130" t="str">
        <f t="shared" si="487"/>
        <v/>
      </c>
      <c r="Z415" s="49" t="str">
        <f t="shared" si="7"/>
        <v/>
      </c>
      <c r="AA415" s="49" t="str">
        <f t="shared" si="8"/>
        <v/>
      </c>
      <c r="AB415" s="49" t="str">
        <f t="shared" si="9"/>
        <v/>
      </c>
      <c r="AC415" s="20" t="str">
        <f t="shared" ref="AC415:AD415" si="838">IF(_xlfn.ISFORMULA(S415),IFERROR(0/0,""),TRUE)</f>
        <v/>
      </c>
      <c r="AD415" s="20" t="str">
        <f t="shared" si="838"/>
        <v/>
      </c>
      <c r="AE415" s="43"/>
      <c r="AF415" s="62" t="s">
        <v>58</v>
      </c>
      <c r="AG415" s="57" t="str">
        <f t="shared" si="11"/>
        <v/>
      </c>
    </row>
    <row r="416">
      <c r="A416" s="6" t="str">
        <f>IFERROR(__xludf.DUMMYFUNCTION("""COMPUTED_VALUE"""),"FM828")</f>
        <v>FM828</v>
      </c>
      <c r="B416" s="204">
        <f>IFERROR(__xludf.DUMMYFUNCTION("""COMPUTED_VALUE"""),44611.0)</f>
        <v>44611</v>
      </c>
      <c r="C416" s="250">
        <f>IFERROR(__xludf.DUMMYFUNCTION("""COMPUTED_VALUE"""),0.30069444444444443)</f>
        <v>0.3006944444</v>
      </c>
      <c r="D416" s="6" t="str">
        <f>IFERROR(__xludf.DUMMYFUNCTION("""COMPUTED_VALUE"""),"SpBEND437215")</f>
        <v>SpBEND437215</v>
      </c>
      <c r="E416" s="251"/>
      <c r="F416" s="251"/>
      <c r="G416" s="251" t="str">
        <f>IFERROR(__xludf.DUMMYFUNCTION("""COMPUTED_VALUE"""),"Negative")</f>
        <v>Negative</v>
      </c>
      <c r="H416" s="262" t="str">
        <f>IFERROR(__xludf.DUMMYFUNCTION("""COMPUTED_VALUE"""),"Negative")</f>
        <v>Negative</v>
      </c>
      <c r="I416" s="204">
        <f>IFERROR(__xludf.DUMMYFUNCTION("""COMPUTED_VALUE"""),44611.0)</f>
        <v>44611</v>
      </c>
      <c r="J416" s="252">
        <f>IFERROR(__xludf.DUMMYFUNCTION("""COMPUTED_VALUE"""),0.48824074074074075)</f>
        <v>0.4882407407</v>
      </c>
      <c r="K416" s="56"/>
      <c r="L416" s="6"/>
      <c r="M416" s="61"/>
      <c r="N416" s="61">
        <f>IFERROR(__xludf.DUMMYFUNCTION("""COMPUTED_VALUE"""),1.0)</f>
        <v>1</v>
      </c>
      <c r="O416" s="61" t="str">
        <f t="shared" si="3"/>
        <v/>
      </c>
      <c r="P416" s="253">
        <f>IFERROR(__xludf.DUMMYFUNCTION("""COMPUTED_VALUE"""),0.0)</f>
        <v>0</v>
      </c>
      <c r="Q416" s="254" t="b">
        <f>VLOOKUP($B416,'Run Reconcile'!B$2:O799,14,FALSE)</f>
        <v>1</v>
      </c>
      <c r="R416" s="255" t="str">
        <f t="array" ref="R416">IF($Q416, INDEX('Run Reconcile'!A$2:A799,MATCH(B416,'Run Reconcile'!B$2:B799,0),1),IFERROR(0/0,""))</f>
        <v>RUN-BEND_2022-02-19_RFR-036</v>
      </c>
      <c r="S416" s="261" t="str">
        <f t="shared" ref="S416:T416" si="839">IF(COUNTIF(W$2:W799, $A416) &gt; 0,TRUE,IFERROR(0/0,""))</f>
        <v/>
      </c>
      <c r="T416" s="261" t="str">
        <f t="shared" si="839"/>
        <v/>
      </c>
      <c r="U416" s="257" t="str">
        <f t="array" ref="U416">IF(ISBLANK($R416), INDEX('Run Reconcile'!A$2:A799, MATCH($B416, 'Run Reconcile'!B$2:B799, 0)+Z416, 1), IFERROR(0/0,""))
</f>
        <v/>
      </c>
      <c r="V416" s="258" t="str">
        <f t="shared" si="480"/>
        <v>RUN-BEND_2022-02-19_RFR-036</v>
      </c>
      <c r="Y416" s="130" t="str">
        <f t="shared" si="487"/>
        <v/>
      </c>
      <c r="Z416" s="49" t="str">
        <f t="shared" si="7"/>
        <v/>
      </c>
      <c r="AA416" s="49" t="str">
        <f t="shared" si="8"/>
        <v/>
      </c>
      <c r="AB416" s="49" t="str">
        <f t="shared" si="9"/>
        <v/>
      </c>
      <c r="AC416" s="20" t="str">
        <f t="shared" ref="AC416:AD416" si="840">IF(_xlfn.ISFORMULA(S416),IFERROR(0/0,""),TRUE)</f>
        <v/>
      </c>
      <c r="AD416" s="20" t="str">
        <f t="shared" si="840"/>
        <v/>
      </c>
      <c r="AE416" s="43"/>
      <c r="AF416" s="62" t="s">
        <v>58</v>
      </c>
      <c r="AG416" s="57" t="str">
        <f t="shared" si="11"/>
        <v/>
      </c>
    </row>
    <row r="417">
      <c r="A417" s="6" t="str">
        <f>IFERROR(__xludf.DUMMYFUNCTION("""COMPUTED_VALUE"""),"MA239")</f>
        <v>MA239</v>
      </c>
      <c r="B417" s="204">
        <f>IFERROR(__xludf.DUMMYFUNCTION("""COMPUTED_VALUE"""),44611.0)</f>
        <v>44611</v>
      </c>
      <c r="C417" s="250">
        <f>IFERROR(__xludf.DUMMYFUNCTION("""COMPUTED_VALUE"""),0.30855324074074075)</f>
        <v>0.3085532407</v>
      </c>
      <c r="D417" s="6" t="str">
        <f>IFERROR(__xludf.DUMMYFUNCTION("""COMPUTED_VALUE"""),"SpBEND110967")</f>
        <v>SpBEND110967</v>
      </c>
      <c r="E417" s="251"/>
      <c r="F417" s="251"/>
      <c r="G417" s="251" t="str">
        <f>IFERROR(__xludf.DUMMYFUNCTION("""COMPUTED_VALUE"""),"Negative")</f>
        <v>Negative</v>
      </c>
      <c r="H417" s="262" t="str">
        <f>IFERROR(__xludf.DUMMYFUNCTION("""COMPUTED_VALUE"""),"Negative")</f>
        <v>Negative</v>
      </c>
      <c r="I417" s="204">
        <f>IFERROR(__xludf.DUMMYFUNCTION("""COMPUTED_VALUE"""),44611.0)</f>
        <v>44611</v>
      </c>
      <c r="J417" s="252">
        <f>IFERROR(__xludf.DUMMYFUNCTION("""COMPUTED_VALUE"""),0.48824074074074075)</f>
        <v>0.4882407407</v>
      </c>
      <c r="K417" s="56"/>
      <c r="L417" s="6"/>
      <c r="M417" s="61"/>
      <c r="N417" s="61">
        <f>IFERROR(__xludf.DUMMYFUNCTION("""COMPUTED_VALUE"""),1.0)</f>
        <v>1</v>
      </c>
      <c r="O417" s="61" t="str">
        <f t="shared" si="3"/>
        <v/>
      </c>
      <c r="P417" s="253">
        <f>IFERROR(__xludf.DUMMYFUNCTION("""COMPUTED_VALUE"""),0.0)</f>
        <v>0</v>
      </c>
      <c r="Q417" s="254" t="b">
        <f>VLOOKUP($B417,'Run Reconcile'!B$2:O799,14,FALSE)</f>
        <v>1</v>
      </c>
      <c r="R417" s="255" t="str">
        <f t="array" ref="R417">IF($Q417, INDEX('Run Reconcile'!A$2:A799,MATCH(B417,'Run Reconcile'!B$2:B799,0),1),IFERROR(0/0,""))</f>
        <v>RUN-BEND_2022-02-19_RFR-036</v>
      </c>
      <c r="S417" s="261" t="str">
        <f t="shared" ref="S417:T417" si="841">IF(COUNTIF(W$2:W799, $A417) &gt; 0,TRUE,IFERROR(0/0,""))</f>
        <v/>
      </c>
      <c r="T417" s="261" t="str">
        <f t="shared" si="841"/>
        <v/>
      </c>
      <c r="U417" s="257" t="str">
        <f t="array" ref="U417">IF(ISBLANK($R417), INDEX('Run Reconcile'!A$2:A799, MATCH($B417, 'Run Reconcile'!B$2:B799, 0)+Z417, 1), IFERROR(0/0,""))
</f>
        <v/>
      </c>
      <c r="V417" s="258" t="str">
        <f t="shared" si="480"/>
        <v>RUN-BEND_2022-02-19_RFR-036</v>
      </c>
      <c r="Y417" s="130" t="str">
        <f t="shared" si="487"/>
        <v/>
      </c>
      <c r="Z417" s="49" t="str">
        <f t="shared" si="7"/>
        <v/>
      </c>
      <c r="AA417" s="49" t="str">
        <f t="shared" si="8"/>
        <v/>
      </c>
      <c r="AB417" s="49" t="str">
        <f t="shared" si="9"/>
        <v/>
      </c>
      <c r="AC417" s="20" t="str">
        <f t="shared" ref="AC417:AD417" si="842">IF(_xlfn.ISFORMULA(S417),IFERROR(0/0,""),TRUE)</f>
        <v/>
      </c>
      <c r="AD417" s="20" t="str">
        <f t="shared" si="842"/>
        <v/>
      </c>
      <c r="AE417" s="43"/>
      <c r="AF417" s="62" t="s">
        <v>58</v>
      </c>
      <c r="AG417" s="57" t="str">
        <f t="shared" si="11"/>
        <v/>
      </c>
    </row>
    <row r="418">
      <c r="A418" s="6" t="str">
        <f>IFERROR(__xludf.DUMMYFUNCTION("""COMPUTED_VALUE"""),"FM537")</f>
        <v>FM537</v>
      </c>
      <c r="B418" s="204">
        <f>IFERROR(__xludf.DUMMYFUNCTION("""COMPUTED_VALUE"""),44611.0)</f>
        <v>44611</v>
      </c>
      <c r="C418" s="250">
        <f>IFERROR(__xludf.DUMMYFUNCTION("""COMPUTED_VALUE"""),0.3107523148148148)</f>
        <v>0.3107523148</v>
      </c>
      <c r="D418" s="6" t="str">
        <f>IFERROR(__xludf.DUMMYFUNCTION("""COMPUTED_VALUE"""),"SpBEND292213")</f>
        <v>SpBEND292213</v>
      </c>
      <c r="E418" s="251"/>
      <c r="F418" s="251"/>
      <c r="G418" s="251" t="str">
        <f>IFERROR(__xludf.DUMMYFUNCTION("""COMPUTED_VALUE"""),"Negative")</f>
        <v>Negative</v>
      </c>
      <c r="H418" s="262" t="str">
        <f>IFERROR(__xludf.DUMMYFUNCTION("""COMPUTED_VALUE"""),"Negative")</f>
        <v>Negative</v>
      </c>
      <c r="I418" s="204">
        <f>IFERROR(__xludf.DUMMYFUNCTION("""COMPUTED_VALUE"""),44611.0)</f>
        <v>44611</v>
      </c>
      <c r="J418" s="252">
        <f>IFERROR(__xludf.DUMMYFUNCTION("""COMPUTED_VALUE"""),0.48824074074074075)</f>
        <v>0.4882407407</v>
      </c>
      <c r="K418" s="56"/>
      <c r="L418" s="6"/>
      <c r="M418" s="61"/>
      <c r="N418" s="61">
        <f>IFERROR(__xludf.DUMMYFUNCTION("""COMPUTED_VALUE"""),1.0)</f>
        <v>1</v>
      </c>
      <c r="O418" s="61" t="str">
        <f t="shared" si="3"/>
        <v/>
      </c>
      <c r="P418" s="253">
        <f>IFERROR(__xludf.DUMMYFUNCTION("""COMPUTED_VALUE"""),0.0)</f>
        <v>0</v>
      </c>
      <c r="Q418" s="254" t="b">
        <f>VLOOKUP($B418,'Run Reconcile'!B$2:O799,14,FALSE)</f>
        <v>1</v>
      </c>
      <c r="R418" s="255" t="str">
        <f t="array" ref="R418">IF($Q418, INDEX('Run Reconcile'!A$2:A799,MATCH(B418,'Run Reconcile'!B$2:B799,0),1),IFERROR(0/0,""))</f>
        <v>RUN-BEND_2022-02-19_RFR-036</v>
      </c>
      <c r="S418" s="261" t="str">
        <f t="shared" ref="S418:T418" si="843">IF(COUNTIF(W$2:W799, $A418) &gt; 0,TRUE,IFERROR(0/0,""))</f>
        <v/>
      </c>
      <c r="T418" s="261" t="str">
        <f t="shared" si="843"/>
        <v/>
      </c>
      <c r="U418" s="257" t="str">
        <f t="array" ref="U418">IF(ISBLANK($R418), INDEX('Run Reconcile'!A$2:A799, MATCH($B418, 'Run Reconcile'!B$2:B799, 0)+Z418, 1), IFERROR(0/0,""))
</f>
        <v/>
      </c>
      <c r="V418" s="258" t="str">
        <f t="shared" si="480"/>
        <v>RUN-BEND_2022-02-19_RFR-036</v>
      </c>
      <c r="Y418" s="130" t="str">
        <f t="shared" si="487"/>
        <v/>
      </c>
      <c r="Z418" s="49" t="str">
        <f t="shared" si="7"/>
        <v/>
      </c>
      <c r="AA418" s="49" t="str">
        <f t="shared" si="8"/>
        <v/>
      </c>
      <c r="AB418" s="49" t="str">
        <f t="shared" si="9"/>
        <v/>
      </c>
      <c r="AC418" s="20" t="str">
        <f t="shared" ref="AC418:AD418" si="844">IF(_xlfn.ISFORMULA(S418),IFERROR(0/0,""),TRUE)</f>
        <v/>
      </c>
      <c r="AD418" s="20" t="str">
        <f t="shared" si="844"/>
        <v/>
      </c>
      <c r="AE418" s="43"/>
      <c r="AF418" s="62" t="s">
        <v>58</v>
      </c>
      <c r="AG418" s="57" t="str">
        <f t="shared" si="11"/>
        <v/>
      </c>
    </row>
    <row r="419">
      <c r="A419" s="6" t="str">
        <f>IFERROR(__xludf.DUMMYFUNCTION("""COMPUTED_VALUE"""),"FM537A")</f>
        <v>FM537A</v>
      </c>
      <c r="B419" s="204">
        <f>IFERROR(__xludf.DUMMYFUNCTION("""COMPUTED_VALUE"""),44611.0)</f>
        <v>44611</v>
      </c>
      <c r="C419" s="250">
        <f>IFERROR(__xludf.DUMMYFUNCTION("""COMPUTED_VALUE"""),0.3107523148148148)</f>
        <v>0.3107523148</v>
      </c>
      <c r="D419" s="6" t="str">
        <f>IFERROR(__xludf.DUMMYFUNCTION("""COMPUTED_VALUE"""),"SpBEND292213")</f>
        <v>SpBEND292213</v>
      </c>
      <c r="E419" s="251"/>
      <c r="F419" s="251"/>
      <c r="G419" s="251" t="str">
        <f>IFERROR(__xludf.DUMMYFUNCTION("""COMPUTED_VALUE"""),"Negative")</f>
        <v>Negative</v>
      </c>
      <c r="H419" s="262" t="str">
        <f>IFERROR(__xludf.DUMMYFUNCTION("""COMPUTED_VALUE"""),"Negative")</f>
        <v>Negative</v>
      </c>
      <c r="I419" s="204">
        <f>IFERROR(__xludf.DUMMYFUNCTION("""COMPUTED_VALUE"""),44611.0)</f>
        <v>44611</v>
      </c>
      <c r="J419" s="252">
        <f>IFERROR(__xludf.DUMMYFUNCTION("""COMPUTED_VALUE"""),0.48824074074074075)</f>
        <v>0.4882407407</v>
      </c>
      <c r="K419" s="56"/>
      <c r="L419" s="6"/>
      <c r="M419" s="61"/>
      <c r="N419" s="61">
        <f>IFERROR(__xludf.DUMMYFUNCTION("""COMPUTED_VALUE"""),1.0)</f>
        <v>1</v>
      </c>
      <c r="O419" s="61" t="str">
        <f t="shared" si="3"/>
        <v/>
      </c>
      <c r="P419" s="253">
        <f>IFERROR(__xludf.DUMMYFUNCTION("""COMPUTED_VALUE"""),0.0)</f>
        <v>0</v>
      </c>
      <c r="Q419" s="254" t="b">
        <f>VLOOKUP($B419,'Run Reconcile'!B$2:O799,14,FALSE)</f>
        <v>1</v>
      </c>
      <c r="R419" s="255" t="str">
        <f t="array" ref="R419">IF($Q419, INDEX('Run Reconcile'!A$2:A799,MATCH(B419,'Run Reconcile'!B$2:B799,0),1),IFERROR(0/0,""))</f>
        <v>RUN-BEND_2022-02-19_RFR-036</v>
      </c>
      <c r="S419" s="261" t="str">
        <f t="shared" ref="S419:T419" si="845">IF(COUNTIF(W$2:W799, $A419) &gt; 0,TRUE,IFERROR(0/0,""))</f>
        <v/>
      </c>
      <c r="T419" s="261" t="str">
        <f t="shared" si="845"/>
        <v/>
      </c>
      <c r="U419" s="257" t="str">
        <f t="array" ref="U419">IF(ISBLANK($R419), INDEX('Run Reconcile'!A$2:A799, MATCH($B419, 'Run Reconcile'!B$2:B799, 0)+Z419, 1), IFERROR(0/0,""))
</f>
        <v/>
      </c>
      <c r="V419" s="258" t="str">
        <f t="shared" si="480"/>
        <v>RUN-BEND_2022-02-19_RFR-036</v>
      </c>
      <c r="Y419" s="130" t="str">
        <f t="shared" si="487"/>
        <v/>
      </c>
      <c r="Z419" s="49" t="str">
        <f t="shared" si="7"/>
        <v/>
      </c>
      <c r="AA419" s="49" t="str">
        <f t="shared" si="8"/>
        <v/>
      </c>
      <c r="AB419" s="49" t="str">
        <f t="shared" si="9"/>
        <v/>
      </c>
      <c r="AC419" s="20" t="str">
        <f t="shared" ref="AC419:AD419" si="846">IF(_xlfn.ISFORMULA(S419),IFERROR(0/0,""),TRUE)</f>
        <v/>
      </c>
      <c r="AD419" s="20" t="str">
        <f t="shared" si="846"/>
        <v/>
      </c>
      <c r="AE419" s="43"/>
      <c r="AF419" s="62" t="s">
        <v>58</v>
      </c>
      <c r="AG419" s="57" t="str">
        <f t="shared" si="11"/>
        <v/>
      </c>
    </row>
    <row r="420">
      <c r="A420" s="6" t="str">
        <f>IFERROR(__xludf.DUMMYFUNCTION("""COMPUTED_VALUE"""),"MA1071")</f>
        <v>MA1071</v>
      </c>
      <c r="B420" s="204">
        <f>IFERROR(__xludf.DUMMYFUNCTION("""COMPUTED_VALUE"""),44611.0)</f>
        <v>44611</v>
      </c>
      <c r="C420" s="250">
        <f>IFERROR(__xludf.DUMMYFUNCTION("""COMPUTED_VALUE"""),0.3114236111111111)</f>
        <v>0.3114236111</v>
      </c>
      <c r="D420" s="6" t="str">
        <f>IFERROR(__xludf.DUMMYFUNCTION("""COMPUTED_VALUE"""),"SpBEND139816")</f>
        <v>SpBEND139816</v>
      </c>
      <c r="E420" s="251"/>
      <c r="F420" s="251"/>
      <c r="G420" s="251" t="str">
        <f>IFERROR(__xludf.DUMMYFUNCTION("""COMPUTED_VALUE"""),"Negative")</f>
        <v>Negative</v>
      </c>
      <c r="H420" s="262" t="str">
        <f>IFERROR(__xludf.DUMMYFUNCTION("""COMPUTED_VALUE"""),"Negative")</f>
        <v>Negative</v>
      </c>
      <c r="I420" s="204">
        <f>IFERROR(__xludf.DUMMYFUNCTION("""COMPUTED_VALUE"""),44611.0)</f>
        <v>44611</v>
      </c>
      <c r="J420" s="252">
        <f>IFERROR(__xludf.DUMMYFUNCTION("""COMPUTED_VALUE"""),0.4882523148148148)</f>
        <v>0.4882523148</v>
      </c>
      <c r="K420" s="56"/>
      <c r="L420" s="6"/>
      <c r="M420" s="61"/>
      <c r="N420" s="61">
        <f>IFERROR(__xludf.DUMMYFUNCTION("""COMPUTED_VALUE"""),1.0)</f>
        <v>1</v>
      </c>
      <c r="O420" s="61" t="str">
        <f t="shared" si="3"/>
        <v/>
      </c>
      <c r="P420" s="253">
        <f>IFERROR(__xludf.DUMMYFUNCTION("""COMPUTED_VALUE"""),0.0)</f>
        <v>0</v>
      </c>
      <c r="Q420" s="254" t="b">
        <f>VLOOKUP($B420,'Run Reconcile'!B$2:O799,14,FALSE)</f>
        <v>1</v>
      </c>
      <c r="R420" s="255" t="str">
        <f t="array" ref="R420">IF($Q420, INDEX('Run Reconcile'!A$2:A799,MATCH(B420,'Run Reconcile'!B$2:B799,0),1),IFERROR(0/0,""))</f>
        <v>RUN-BEND_2022-02-19_RFR-036</v>
      </c>
      <c r="S420" s="261" t="str">
        <f t="shared" ref="S420:T420" si="847">IF(COUNTIF(W$2:W799, $A420) &gt; 0,TRUE,IFERROR(0/0,""))</f>
        <v/>
      </c>
      <c r="T420" s="261" t="str">
        <f t="shared" si="847"/>
        <v/>
      </c>
      <c r="U420" s="257" t="str">
        <f t="array" ref="U420">IF(ISBLANK($R420), INDEX('Run Reconcile'!A$2:A799, MATCH($B420, 'Run Reconcile'!B$2:B799, 0)+Z420, 1), IFERROR(0/0,""))
</f>
        <v/>
      </c>
      <c r="V420" s="258" t="str">
        <f t="shared" si="480"/>
        <v>RUN-BEND_2022-02-19_RFR-036</v>
      </c>
      <c r="Y420" s="130" t="str">
        <f t="shared" si="487"/>
        <v/>
      </c>
      <c r="Z420" s="49" t="str">
        <f t="shared" si="7"/>
        <v/>
      </c>
      <c r="AA420" s="49" t="str">
        <f t="shared" si="8"/>
        <v/>
      </c>
      <c r="AB420" s="49" t="str">
        <f t="shared" si="9"/>
        <v/>
      </c>
      <c r="AC420" s="20" t="str">
        <f t="shared" ref="AC420:AD420" si="848">IF(_xlfn.ISFORMULA(S420),IFERROR(0/0,""),TRUE)</f>
        <v/>
      </c>
      <c r="AD420" s="20" t="str">
        <f t="shared" si="848"/>
        <v/>
      </c>
      <c r="AE420" s="43"/>
      <c r="AF420" s="62" t="s">
        <v>58</v>
      </c>
      <c r="AG420" s="57" t="str">
        <f t="shared" si="11"/>
        <v/>
      </c>
    </row>
    <row r="421">
      <c r="A421" s="6" t="str">
        <f>IFERROR(__xludf.DUMMYFUNCTION("""COMPUTED_VALUE"""),"MA277")</f>
        <v>MA277</v>
      </c>
      <c r="B421" s="204">
        <f>IFERROR(__xludf.DUMMYFUNCTION("""COMPUTED_VALUE"""),44611.0)</f>
        <v>44611</v>
      </c>
      <c r="C421" s="250">
        <f>IFERROR(__xludf.DUMMYFUNCTION("""COMPUTED_VALUE"""),0.3116550925925926)</f>
        <v>0.3116550926</v>
      </c>
      <c r="D421" s="6" t="str">
        <f>IFERROR(__xludf.DUMMYFUNCTION("""COMPUTED_VALUE"""),"SpBEND637657")</f>
        <v>SpBEND637657</v>
      </c>
      <c r="E421" s="251"/>
      <c r="F421" s="251"/>
      <c r="G421" s="251" t="str">
        <f>IFERROR(__xludf.DUMMYFUNCTION("""COMPUTED_VALUE"""),"Negative")</f>
        <v>Negative</v>
      </c>
      <c r="H421" s="262" t="str">
        <f>IFERROR(__xludf.DUMMYFUNCTION("""COMPUTED_VALUE"""),"Negative")</f>
        <v>Negative</v>
      </c>
      <c r="I421" s="204">
        <f>IFERROR(__xludf.DUMMYFUNCTION("""COMPUTED_VALUE"""),44611.0)</f>
        <v>44611</v>
      </c>
      <c r="J421" s="252">
        <f>IFERROR(__xludf.DUMMYFUNCTION("""COMPUTED_VALUE"""),0.4882523148148148)</f>
        <v>0.4882523148</v>
      </c>
      <c r="K421" s="56"/>
      <c r="L421" s="6"/>
      <c r="M421" s="61"/>
      <c r="N421" s="61">
        <f>IFERROR(__xludf.DUMMYFUNCTION("""COMPUTED_VALUE"""),1.0)</f>
        <v>1</v>
      </c>
      <c r="O421" s="61" t="str">
        <f t="shared" si="3"/>
        <v/>
      </c>
      <c r="P421" s="253">
        <f>IFERROR(__xludf.DUMMYFUNCTION("""COMPUTED_VALUE"""),0.0)</f>
        <v>0</v>
      </c>
      <c r="Q421" s="254" t="b">
        <f>VLOOKUP($B421,'Run Reconcile'!B$2:O799,14,FALSE)</f>
        <v>1</v>
      </c>
      <c r="R421" s="255" t="str">
        <f t="array" ref="R421">IF($Q421, INDEX('Run Reconcile'!A$2:A799,MATCH(B421,'Run Reconcile'!B$2:B799,0),1),IFERROR(0/0,""))</f>
        <v>RUN-BEND_2022-02-19_RFR-036</v>
      </c>
      <c r="S421" s="261" t="str">
        <f t="shared" ref="S421:T421" si="849">IF(COUNTIF(W$2:W799, $A421) &gt; 0,TRUE,IFERROR(0/0,""))</f>
        <v/>
      </c>
      <c r="T421" s="261" t="str">
        <f t="shared" si="849"/>
        <v/>
      </c>
      <c r="U421" s="257" t="str">
        <f t="array" ref="U421">IF(ISBLANK($R421), INDEX('Run Reconcile'!A$2:A799, MATCH($B421, 'Run Reconcile'!B$2:B799, 0)+Z421, 1), IFERROR(0/0,""))
</f>
        <v/>
      </c>
      <c r="V421" s="258" t="str">
        <f t="shared" si="480"/>
        <v>RUN-BEND_2022-02-19_RFR-036</v>
      </c>
      <c r="Y421" s="130" t="str">
        <f t="shared" si="487"/>
        <v/>
      </c>
      <c r="Z421" s="49" t="str">
        <f t="shared" si="7"/>
        <v/>
      </c>
      <c r="AA421" s="49" t="str">
        <f t="shared" si="8"/>
        <v/>
      </c>
      <c r="AB421" s="49" t="str">
        <f t="shared" si="9"/>
        <v/>
      </c>
      <c r="AC421" s="20" t="str">
        <f t="shared" ref="AC421:AD421" si="850">IF(_xlfn.ISFORMULA(S421),IFERROR(0/0,""),TRUE)</f>
        <v/>
      </c>
      <c r="AD421" s="20" t="str">
        <f t="shared" si="850"/>
        <v/>
      </c>
      <c r="AE421" s="43"/>
      <c r="AF421" s="62" t="s">
        <v>58</v>
      </c>
      <c r="AG421" s="57" t="str">
        <f t="shared" si="11"/>
        <v/>
      </c>
    </row>
    <row r="422">
      <c r="A422" s="6" t="str">
        <f>IFERROR(__xludf.DUMMYFUNCTION("""COMPUTED_VALUE"""),"MA1303")</f>
        <v>MA1303</v>
      </c>
      <c r="B422" s="204">
        <f>IFERROR(__xludf.DUMMYFUNCTION("""COMPUTED_VALUE"""),44611.0)</f>
        <v>44611</v>
      </c>
      <c r="C422" s="250">
        <f>IFERROR(__xludf.DUMMYFUNCTION("""COMPUTED_VALUE"""),0.3137962962962963)</f>
        <v>0.3137962963</v>
      </c>
      <c r="D422" s="6" t="str">
        <f>IFERROR(__xludf.DUMMYFUNCTION("""COMPUTED_VALUE"""),"SpBEND587584")</f>
        <v>SpBEND587584</v>
      </c>
      <c r="E422" s="251"/>
      <c r="F422" s="251"/>
      <c r="G422" s="251" t="str">
        <f>IFERROR(__xludf.DUMMYFUNCTION("""COMPUTED_VALUE"""),"Negative")</f>
        <v>Negative</v>
      </c>
      <c r="H422" s="262" t="str">
        <f>IFERROR(__xludf.DUMMYFUNCTION("""COMPUTED_VALUE"""),"Negative")</f>
        <v>Negative</v>
      </c>
      <c r="I422" s="204">
        <f>IFERROR(__xludf.DUMMYFUNCTION("""COMPUTED_VALUE"""),44611.0)</f>
        <v>44611</v>
      </c>
      <c r="J422" s="252">
        <f>IFERROR(__xludf.DUMMYFUNCTION("""COMPUTED_VALUE"""),0.4882523148148148)</f>
        <v>0.4882523148</v>
      </c>
      <c r="K422" s="56"/>
      <c r="L422" s="6"/>
      <c r="M422" s="61"/>
      <c r="N422" s="61">
        <f>IFERROR(__xludf.DUMMYFUNCTION("""COMPUTED_VALUE"""),1.0)</f>
        <v>1</v>
      </c>
      <c r="O422" s="61" t="str">
        <f t="shared" si="3"/>
        <v/>
      </c>
      <c r="P422" s="253">
        <f>IFERROR(__xludf.DUMMYFUNCTION("""COMPUTED_VALUE"""),0.0)</f>
        <v>0</v>
      </c>
      <c r="Q422" s="254" t="b">
        <f>VLOOKUP($B422,'Run Reconcile'!B$2:O799,14,FALSE)</f>
        <v>1</v>
      </c>
      <c r="R422" s="255" t="str">
        <f t="array" ref="R422">IF($Q422, INDEX('Run Reconcile'!A$2:A799,MATCH(B422,'Run Reconcile'!B$2:B799,0),1),IFERROR(0/0,""))</f>
        <v>RUN-BEND_2022-02-19_RFR-036</v>
      </c>
      <c r="S422" s="261" t="str">
        <f t="shared" ref="S422:T422" si="851">IF(COUNTIF(W$2:W799, $A422) &gt; 0,TRUE,IFERROR(0/0,""))</f>
        <v/>
      </c>
      <c r="T422" s="261" t="str">
        <f t="shared" si="851"/>
        <v/>
      </c>
      <c r="U422" s="257" t="str">
        <f t="array" ref="U422">IF(ISBLANK($R422), INDEX('Run Reconcile'!A$2:A799, MATCH($B422, 'Run Reconcile'!B$2:B799, 0)+Z422, 1), IFERROR(0/0,""))
</f>
        <v/>
      </c>
      <c r="V422" s="258" t="str">
        <f t="shared" si="480"/>
        <v>RUN-BEND_2022-02-19_RFR-036</v>
      </c>
      <c r="Y422" s="130" t="str">
        <f t="shared" si="487"/>
        <v/>
      </c>
      <c r="Z422" s="49" t="str">
        <f t="shared" si="7"/>
        <v/>
      </c>
      <c r="AA422" s="49" t="str">
        <f t="shared" si="8"/>
        <v/>
      </c>
      <c r="AB422" s="49" t="str">
        <f t="shared" si="9"/>
        <v/>
      </c>
      <c r="AC422" s="20" t="str">
        <f t="shared" ref="AC422:AD422" si="852">IF(_xlfn.ISFORMULA(S422),IFERROR(0/0,""),TRUE)</f>
        <v/>
      </c>
      <c r="AD422" s="20" t="str">
        <f t="shared" si="852"/>
        <v/>
      </c>
      <c r="AE422" s="43"/>
      <c r="AF422" s="62" t="s">
        <v>58</v>
      </c>
      <c r="AG422" s="57" t="str">
        <f t="shared" si="11"/>
        <v/>
      </c>
    </row>
    <row r="423">
      <c r="A423" s="6" t="str">
        <f>IFERROR(__xludf.DUMMYFUNCTION("""COMPUTED_VALUE"""),"FM44")</f>
        <v>FM44</v>
      </c>
      <c r="B423" s="204">
        <f>IFERROR(__xludf.DUMMYFUNCTION("""COMPUTED_VALUE"""),44611.0)</f>
        <v>44611</v>
      </c>
      <c r="C423" s="250">
        <f>IFERROR(__xludf.DUMMYFUNCTION("""COMPUTED_VALUE"""),0.3148842592592593)</f>
        <v>0.3148842593</v>
      </c>
      <c r="D423" s="6" t="str">
        <f>IFERROR(__xludf.DUMMYFUNCTION("""COMPUTED_VALUE"""),"SpBEND139600")</f>
        <v>SpBEND139600</v>
      </c>
      <c r="E423" s="251"/>
      <c r="F423" s="251"/>
      <c r="G423" s="251" t="str">
        <f>IFERROR(__xludf.DUMMYFUNCTION("""COMPUTED_VALUE"""),"Negative")</f>
        <v>Negative</v>
      </c>
      <c r="H423" s="262" t="str">
        <f>IFERROR(__xludf.DUMMYFUNCTION("""COMPUTED_VALUE"""),"Negative")</f>
        <v>Negative</v>
      </c>
      <c r="I423" s="204">
        <f>IFERROR(__xludf.DUMMYFUNCTION("""COMPUTED_VALUE"""),44611.0)</f>
        <v>44611</v>
      </c>
      <c r="J423" s="252">
        <f>IFERROR(__xludf.DUMMYFUNCTION("""COMPUTED_VALUE"""),0.4882523148148148)</f>
        <v>0.4882523148</v>
      </c>
      <c r="K423" s="56"/>
      <c r="L423" s="6"/>
      <c r="M423" s="61"/>
      <c r="N423" s="61">
        <f>IFERROR(__xludf.DUMMYFUNCTION("""COMPUTED_VALUE"""),1.0)</f>
        <v>1</v>
      </c>
      <c r="O423" s="61" t="str">
        <f t="shared" si="3"/>
        <v/>
      </c>
      <c r="P423" s="253">
        <f>IFERROR(__xludf.DUMMYFUNCTION("""COMPUTED_VALUE"""),0.0)</f>
        <v>0</v>
      </c>
      <c r="Q423" s="254" t="b">
        <f>VLOOKUP($B423,'Run Reconcile'!B$2:O799,14,FALSE)</f>
        <v>1</v>
      </c>
      <c r="R423" s="255" t="str">
        <f t="array" ref="R423">IF($Q423, INDEX('Run Reconcile'!A$2:A799,MATCH(B423,'Run Reconcile'!B$2:B799,0),1),IFERROR(0/0,""))</f>
        <v>RUN-BEND_2022-02-19_RFR-036</v>
      </c>
      <c r="S423" s="261" t="str">
        <f t="shared" ref="S423:T423" si="853">IF(COUNTIF(W$2:W799, $A423) &gt; 0,TRUE,IFERROR(0/0,""))</f>
        <v/>
      </c>
      <c r="T423" s="261" t="str">
        <f t="shared" si="853"/>
        <v/>
      </c>
      <c r="U423" s="257" t="str">
        <f t="array" ref="U423">IF(ISBLANK($R423), INDEX('Run Reconcile'!A$2:A799, MATCH($B423, 'Run Reconcile'!B$2:B799, 0)+Z423, 1), IFERROR(0/0,""))
</f>
        <v/>
      </c>
      <c r="V423" s="258" t="str">
        <f t="shared" si="480"/>
        <v>RUN-BEND_2022-02-19_RFR-036</v>
      </c>
      <c r="Y423" s="130" t="str">
        <f t="shared" si="487"/>
        <v/>
      </c>
      <c r="Z423" s="49" t="str">
        <f t="shared" si="7"/>
        <v/>
      </c>
      <c r="AA423" s="49" t="str">
        <f t="shared" si="8"/>
        <v/>
      </c>
      <c r="AB423" s="49" t="str">
        <f t="shared" si="9"/>
        <v/>
      </c>
      <c r="AC423" s="20" t="str">
        <f t="shared" ref="AC423:AD423" si="854">IF(_xlfn.ISFORMULA(S423),IFERROR(0/0,""),TRUE)</f>
        <v/>
      </c>
      <c r="AD423" s="20" t="str">
        <f t="shared" si="854"/>
        <v/>
      </c>
      <c r="AE423" s="43"/>
      <c r="AF423" s="62" t="s">
        <v>58</v>
      </c>
      <c r="AG423" s="57" t="str">
        <f t="shared" si="11"/>
        <v/>
      </c>
    </row>
    <row r="424">
      <c r="A424" s="6" t="str">
        <f>IFERROR(__xludf.DUMMYFUNCTION("""COMPUTED_VALUE"""),"FM408")</f>
        <v>FM408</v>
      </c>
      <c r="B424" s="204">
        <f>IFERROR(__xludf.DUMMYFUNCTION("""COMPUTED_VALUE"""),44611.0)</f>
        <v>44611</v>
      </c>
      <c r="C424" s="250">
        <f>IFERROR(__xludf.DUMMYFUNCTION("""COMPUTED_VALUE"""),0.3153587962962963)</f>
        <v>0.3153587963</v>
      </c>
      <c r="D424" s="6" t="str">
        <f>IFERROR(__xludf.DUMMYFUNCTION("""COMPUTED_VALUE"""),"SpBEND845509")</f>
        <v>SpBEND845509</v>
      </c>
      <c r="E424" s="251"/>
      <c r="F424" s="251"/>
      <c r="G424" s="251" t="str">
        <f>IFERROR(__xludf.DUMMYFUNCTION("""COMPUTED_VALUE"""),"Negative")</f>
        <v>Negative</v>
      </c>
      <c r="H424" s="262" t="str">
        <f>IFERROR(__xludf.DUMMYFUNCTION("""COMPUTED_VALUE"""),"Negative")</f>
        <v>Negative</v>
      </c>
      <c r="I424" s="204">
        <f>IFERROR(__xludf.DUMMYFUNCTION("""COMPUTED_VALUE"""),44611.0)</f>
        <v>44611</v>
      </c>
      <c r="J424" s="252">
        <f>IFERROR(__xludf.DUMMYFUNCTION("""COMPUTED_VALUE"""),0.4882523148148148)</f>
        <v>0.4882523148</v>
      </c>
      <c r="K424" s="56"/>
      <c r="L424" s="6"/>
      <c r="M424" s="61"/>
      <c r="N424" s="61">
        <f>IFERROR(__xludf.DUMMYFUNCTION("""COMPUTED_VALUE"""),1.0)</f>
        <v>1</v>
      </c>
      <c r="O424" s="61" t="str">
        <f t="shared" si="3"/>
        <v/>
      </c>
      <c r="P424" s="253">
        <f>IFERROR(__xludf.DUMMYFUNCTION("""COMPUTED_VALUE"""),0.0)</f>
        <v>0</v>
      </c>
      <c r="Q424" s="254" t="b">
        <f>VLOOKUP($B424,'Run Reconcile'!B$2:O799,14,FALSE)</f>
        <v>1</v>
      </c>
      <c r="R424" s="255" t="str">
        <f t="array" ref="R424">IF($Q424, INDEX('Run Reconcile'!A$2:A799,MATCH(B424,'Run Reconcile'!B$2:B799,0),1),IFERROR(0/0,""))</f>
        <v>RUN-BEND_2022-02-19_RFR-036</v>
      </c>
      <c r="S424" s="261" t="str">
        <f t="shared" ref="S424:T424" si="855">IF(COUNTIF(W$2:W799, $A424) &gt; 0,TRUE,IFERROR(0/0,""))</f>
        <v/>
      </c>
      <c r="T424" s="261" t="str">
        <f t="shared" si="855"/>
        <v/>
      </c>
      <c r="U424" s="257" t="str">
        <f t="array" ref="U424">IF(ISBLANK($R424), INDEX('Run Reconcile'!A$2:A799, MATCH($B424, 'Run Reconcile'!B$2:B799, 0)+Z424, 1), IFERROR(0/0,""))
</f>
        <v/>
      </c>
      <c r="V424" s="258" t="str">
        <f t="shared" si="480"/>
        <v>RUN-BEND_2022-02-19_RFR-036</v>
      </c>
      <c r="Y424" s="130" t="str">
        <f t="shared" si="487"/>
        <v/>
      </c>
      <c r="Z424" s="49" t="str">
        <f t="shared" si="7"/>
        <v/>
      </c>
      <c r="AA424" s="49" t="str">
        <f t="shared" si="8"/>
        <v/>
      </c>
      <c r="AB424" s="49" t="str">
        <f t="shared" si="9"/>
        <v/>
      </c>
      <c r="AC424" s="20" t="str">
        <f t="shared" ref="AC424:AD424" si="856">IF(_xlfn.ISFORMULA(S424),IFERROR(0/0,""),TRUE)</f>
        <v/>
      </c>
      <c r="AD424" s="20" t="str">
        <f t="shared" si="856"/>
        <v/>
      </c>
      <c r="AE424" s="43"/>
      <c r="AF424" s="62" t="s">
        <v>58</v>
      </c>
      <c r="AG424" s="57" t="str">
        <f t="shared" si="11"/>
        <v/>
      </c>
    </row>
    <row r="425">
      <c r="A425" s="6" t="str">
        <f>IFERROR(__xludf.DUMMYFUNCTION("""COMPUTED_VALUE"""),"FM66")</f>
        <v>FM66</v>
      </c>
      <c r="B425" s="204">
        <f>IFERROR(__xludf.DUMMYFUNCTION("""COMPUTED_VALUE"""),44611.0)</f>
        <v>44611</v>
      </c>
      <c r="C425" s="250">
        <f>IFERROR(__xludf.DUMMYFUNCTION("""COMPUTED_VALUE"""),0.3154282407407407)</f>
        <v>0.3154282407</v>
      </c>
      <c r="D425" s="6" t="str">
        <f>IFERROR(__xludf.DUMMYFUNCTION("""COMPUTED_VALUE"""),"SpBEND385421")</f>
        <v>SpBEND385421</v>
      </c>
      <c r="E425" s="251"/>
      <c r="F425" s="251"/>
      <c r="G425" s="251" t="str">
        <f>IFERROR(__xludf.DUMMYFUNCTION("""COMPUTED_VALUE"""),"Negative")</f>
        <v>Negative</v>
      </c>
      <c r="H425" s="262" t="str">
        <f>IFERROR(__xludf.DUMMYFUNCTION("""COMPUTED_VALUE"""),"Negative")</f>
        <v>Negative</v>
      </c>
      <c r="I425" s="204">
        <f>IFERROR(__xludf.DUMMYFUNCTION("""COMPUTED_VALUE"""),44611.0)</f>
        <v>44611</v>
      </c>
      <c r="J425" s="252">
        <f>IFERROR(__xludf.DUMMYFUNCTION("""COMPUTED_VALUE"""),0.4882523148148148)</f>
        <v>0.4882523148</v>
      </c>
      <c r="K425" s="56"/>
      <c r="L425" s="6"/>
      <c r="M425" s="61"/>
      <c r="N425" s="61">
        <f>IFERROR(__xludf.DUMMYFUNCTION("""COMPUTED_VALUE"""),1.0)</f>
        <v>1</v>
      </c>
      <c r="O425" s="61" t="str">
        <f t="shared" si="3"/>
        <v/>
      </c>
      <c r="P425" s="253">
        <f>IFERROR(__xludf.DUMMYFUNCTION("""COMPUTED_VALUE"""),0.0)</f>
        <v>0</v>
      </c>
      <c r="Q425" s="254" t="b">
        <f>VLOOKUP($B425,'Run Reconcile'!B$2:O799,14,FALSE)</f>
        <v>1</v>
      </c>
      <c r="R425" s="255" t="str">
        <f t="array" ref="R425">IF($Q425, INDEX('Run Reconcile'!A$2:A799,MATCH(B425,'Run Reconcile'!B$2:B799,0),1),IFERROR(0/0,""))</f>
        <v>RUN-BEND_2022-02-19_RFR-036</v>
      </c>
      <c r="S425" s="261" t="str">
        <f t="shared" ref="S425:T425" si="857">IF(COUNTIF(W$2:W799, $A425) &gt; 0,TRUE,IFERROR(0/0,""))</f>
        <v/>
      </c>
      <c r="T425" s="261" t="str">
        <f t="shared" si="857"/>
        <v/>
      </c>
      <c r="U425" s="257" t="str">
        <f t="array" ref="U425">IF(ISBLANK($R425), INDEX('Run Reconcile'!A$2:A799, MATCH($B425, 'Run Reconcile'!B$2:B799, 0)+Z425, 1), IFERROR(0/0,""))
</f>
        <v/>
      </c>
      <c r="V425" s="258" t="str">
        <f t="shared" si="480"/>
        <v>RUN-BEND_2022-02-19_RFR-036</v>
      </c>
      <c r="Y425" s="130" t="str">
        <f t="shared" si="487"/>
        <v/>
      </c>
      <c r="Z425" s="49" t="str">
        <f t="shared" si="7"/>
        <v/>
      </c>
      <c r="AA425" s="49" t="str">
        <f t="shared" si="8"/>
        <v/>
      </c>
      <c r="AB425" s="49" t="str">
        <f t="shared" si="9"/>
        <v/>
      </c>
      <c r="AC425" s="20" t="str">
        <f t="shared" ref="AC425:AD425" si="858">IF(_xlfn.ISFORMULA(S425),IFERROR(0/0,""),TRUE)</f>
        <v/>
      </c>
      <c r="AD425" s="20" t="str">
        <f t="shared" si="858"/>
        <v/>
      </c>
      <c r="AE425" s="43"/>
      <c r="AF425" s="62" t="s">
        <v>58</v>
      </c>
      <c r="AG425" s="57" t="str">
        <f t="shared" si="11"/>
        <v/>
      </c>
    </row>
    <row r="426">
      <c r="A426" s="6" t="str">
        <f>IFERROR(__xludf.DUMMYFUNCTION("""COMPUTED_VALUE"""),"MA1225")</f>
        <v>MA1225</v>
      </c>
      <c r="B426" s="204">
        <f>IFERROR(__xludf.DUMMYFUNCTION("""COMPUTED_VALUE"""),44611.0)</f>
        <v>44611</v>
      </c>
      <c r="C426" s="250">
        <f>IFERROR(__xludf.DUMMYFUNCTION("""COMPUTED_VALUE"""),0.31581018518518517)</f>
        <v>0.3158101852</v>
      </c>
      <c r="D426" s="6" t="str">
        <f>IFERROR(__xludf.DUMMYFUNCTION("""COMPUTED_VALUE"""),"SpBEND269695")</f>
        <v>SpBEND269695</v>
      </c>
      <c r="E426" s="251"/>
      <c r="F426" s="251"/>
      <c r="G426" s="251" t="str">
        <f>IFERROR(__xludf.DUMMYFUNCTION("""COMPUTED_VALUE"""),"Negative")</f>
        <v>Negative</v>
      </c>
      <c r="H426" s="262" t="str">
        <f>IFERROR(__xludf.DUMMYFUNCTION("""COMPUTED_VALUE"""),"Negative")</f>
        <v>Negative</v>
      </c>
      <c r="I426" s="204">
        <f>IFERROR(__xludf.DUMMYFUNCTION("""COMPUTED_VALUE"""),44611.0)</f>
        <v>44611</v>
      </c>
      <c r="J426" s="252">
        <f>IFERROR(__xludf.DUMMYFUNCTION("""COMPUTED_VALUE"""),0.4882523148148148)</f>
        <v>0.4882523148</v>
      </c>
      <c r="K426" s="56"/>
      <c r="L426" s="6"/>
      <c r="M426" s="61"/>
      <c r="N426" s="61">
        <f>IFERROR(__xludf.DUMMYFUNCTION("""COMPUTED_VALUE"""),1.0)</f>
        <v>1</v>
      </c>
      <c r="O426" s="61" t="str">
        <f t="shared" si="3"/>
        <v/>
      </c>
      <c r="P426" s="253">
        <f>IFERROR(__xludf.DUMMYFUNCTION("""COMPUTED_VALUE"""),0.0)</f>
        <v>0</v>
      </c>
      <c r="Q426" s="254" t="b">
        <f>VLOOKUP($B426,'Run Reconcile'!B$2:O799,14,FALSE)</f>
        <v>1</v>
      </c>
      <c r="R426" s="255" t="str">
        <f t="array" ref="R426">IF($Q426, INDEX('Run Reconcile'!A$2:A799,MATCH(B426,'Run Reconcile'!B$2:B799,0),1),IFERROR(0/0,""))</f>
        <v>RUN-BEND_2022-02-19_RFR-036</v>
      </c>
      <c r="S426" s="261" t="str">
        <f t="shared" ref="S426:T426" si="859">IF(COUNTIF(W$2:W799, $A426) &gt; 0,TRUE,IFERROR(0/0,""))</f>
        <v/>
      </c>
      <c r="T426" s="261" t="str">
        <f t="shared" si="859"/>
        <v/>
      </c>
      <c r="U426" s="257" t="str">
        <f t="array" ref="U426">IF(ISBLANK($R426), INDEX('Run Reconcile'!A$2:A799, MATCH($B426, 'Run Reconcile'!B$2:B799, 0)+Z426, 1), IFERROR(0/0,""))
</f>
        <v/>
      </c>
      <c r="V426" s="258" t="str">
        <f t="shared" si="480"/>
        <v>RUN-BEND_2022-02-19_RFR-036</v>
      </c>
      <c r="Y426" s="130" t="str">
        <f t="shared" si="487"/>
        <v/>
      </c>
      <c r="Z426" s="49" t="str">
        <f t="shared" si="7"/>
        <v/>
      </c>
      <c r="AA426" s="49" t="str">
        <f t="shared" si="8"/>
        <v/>
      </c>
      <c r="AB426" s="49" t="str">
        <f t="shared" si="9"/>
        <v/>
      </c>
      <c r="AC426" s="20" t="str">
        <f t="shared" ref="AC426:AD426" si="860">IF(_xlfn.ISFORMULA(S426),IFERROR(0/0,""),TRUE)</f>
        <v/>
      </c>
      <c r="AD426" s="20" t="str">
        <f t="shared" si="860"/>
        <v/>
      </c>
      <c r="AE426" s="43"/>
      <c r="AF426" s="62" t="s">
        <v>58</v>
      </c>
      <c r="AG426" s="57" t="str">
        <f t="shared" si="11"/>
        <v/>
      </c>
    </row>
    <row r="427">
      <c r="A427" s="6" t="str">
        <f>IFERROR(__xludf.DUMMYFUNCTION("""COMPUTED_VALUE"""),"MA1296")</f>
        <v>MA1296</v>
      </c>
      <c r="B427" s="204">
        <f>IFERROR(__xludf.DUMMYFUNCTION("""COMPUTED_VALUE"""),44611.0)</f>
        <v>44611</v>
      </c>
      <c r="C427" s="250">
        <f>IFERROR(__xludf.DUMMYFUNCTION("""COMPUTED_VALUE"""),0.3173611111111111)</f>
        <v>0.3173611111</v>
      </c>
      <c r="D427" s="6" t="str">
        <f>IFERROR(__xludf.DUMMYFUNCTION("""COMPUTED_VALUE"""),"SpBEND474338")</f>
        <v>SpBEND474338</v>
      </c>
      <c r="E427" s="251"/>
      <c r="F427" s="251"/>
      <c r="G427" s="251" t="str">
        <f>IFERROR(__xludf.DUMMYFUNCTION("""COMPUTED_VALUE"""),"Negative")</f>
        <v>Negative</v>
      </c>
      <c r="H427" s="262" t="str">
        <f>IFERROR(__xludf.DUMMYFUNCTION("""COMPUTED_VALUE"""),"Negative")</f>
        <v>Negative</v>
      </c>
      <c r="I427" s="204">
        <f>IFERROR(__xludf.DUMMYFUNCTION("""COMPUTED_VALUE"""),44611.0)</f>
        <v>44611</v>
      </c>
      <c r="J427" s="252">
        <f>IFERROR(__xludf.DUMMYFUNCTION("""COMPUTED_VALUE"""),0.4882523148148148)</f>
        <v>0.4882523148</v>
      </c>
      <c r="K427" s="56"/>
      <c r="L427" s="6"/>
      <c r="M427" s="61"/>
      <c r="N427" s="61">
        <f>IFERROR(__xludf.DUMMYFUNCTION("""COMPUTED_VALUE"""),1.0)</f>
        <v>1</v>
      </c>
      <c r="O427" s="61" t="str">
        <f t="shared" si="3"/>
        <v/>
      </c>
      <c r="P427" s="253">
        <f>IFERROR(__xludf.DUMMYFUNCTION("""COMPUTED_VALUE"""),0.0)</f>
        <v>0</v>
      </c>
      <c r="Q427" s="254" t="b">
        <f>VLOOKUP($B427,'Run Reconcile'!B$2:O799,14,FALSE)</f>
        <v>1</v>
      </c>
      <c r="R427" s="255" t="str">
        <f t="array" ref="R427">IF($Q427, INDEX('Run Reconcile'!A$2:A799,MATCH(B427,'Run Reconcile'!B$2:B799,0),1),IFERROR(0/0,""))</f>
        <v>RUN-BEND_2022-02-19_RFR-036</v>
      </c>
      <c r="S427" s="261" t="str">
        <f t="shared" ref="S427:T427" si="861">IF(COUNTIF(W$2:W799, $A427) &gt; 0,TRUE,IFERROR(0/0,""))</f>
        <v/>
      </c>
      <c r="T427" s="261" t="str">
        <f t="shared" si="861"/>
        <v/>
      </c>
      <c r="U427" s="257" t="str">
        <f t="array" ref="U427">IF(ISBLANK($R427), INDEX('Run Reconcile'!A$2:A799, MATCH($B427, 'Run Reconcile'!B$2:B799, 0)+Z427, 1), IFERROR(0/0,""))
</f>
        <v/>
      </c>
      <c r="V427" s="258" t="str">
        <f t="shared" si="480"/>
        <v>RUN-BEND_2022-02-19_RFR-036</v>
      </c>
      <c r="Y427" s="130" t="str">
        <f t="shared" si="487"/>
        <v/>
      </c>
      <c r="Z427" s="49" t="str">
        <f t="shared" si="7"/>
        <v/>
      </c>
      <c r="AA427" s="49" t="str">
        <f t="shared" si="8"/>
        <v/>
      </c>
      <c r="AB427" s="49" t="str">
        <f t="shared" si="9"/>
        <v/>
      </c>
      <c r="AC427" s="20" t="str">
        <f t="shared" ref="AC427:AD427" si="862">IF(_xlfn.ISFORMULA(S427),IFERROR(0/0,""),TRUE)</f>
        <v/>
      </c>
      <c r="AD427" s="20" t="str">
        <f t="shared" si="862"/>
        <v/>
      </c>
      <c r="AE427" s="43"/>
      <c r="AF427" s="62" t="s">
        <v>58</v>
      </c>
      <c r="AG427" s="57" t="str">
        <f t="shared" si="11"/>
        <v/>
      </c>
    </row>
    <row r="428">
      <c r="A428" s="6" t="str">
        <f>IFERROR(__xludf.DUMMYFUNCTION("""COMPUTED_VALUE"""),"MA193")</f>
        <v>MA193</v>
      </c>
      <c r="B428" s="204">
        <f>IFERROR(__xludf.DUMMYFUNCTION("""COMPUTED_VALUE"""),44611.0)</f>
        <v>44611</v>
      </c>
      <c r="C428" s="250">
        <f>IFERROR(__xludf.DUMMYFUNCTION("""COMPUTED_VALUE"""),0.3180439814814815)</f>
        <v>0.3180439815</v>
      </c>
      <c r="D428" s="6" t="str">
        <f>IFERROR(__xludf.DUMMYFUNCTION("""COMPUTED_VALUE"""),"SpBEND587584")</f>
        <v>SpBEND587584</v>
      </c>
      <c r="E428" s="251"/>
      <c r="F428" s="251"/>
      <c r="G428" s="251" t="str">
        <f>IFERROR(__xludf.DUMMYFUNCTION("""COMPUTED_VALUE"""),"Negative")</f>
        <v>Negative</v>
      </c>
      <c r="H428" s="262" t="str">
        <f>IFERROR(__xludf.DUMMYFUNCTION("""COMPUTED_VALUE"""),"Negative")</f>
        <v>Negative</v>
      </c>
      <c r="I428" s="204">
        <f>IFERROR(__xludf.DUMMYFUNCTION("""COMPUTED_VALUE"""),44611.0)</f>
        <v>44611</v>
      </c>
      <c r="J428" s="252">
        <f>IFERROR(__xludf.DUMMYFUNCTION("""COMPUTED_VALUE"""),0.4882523148148148)</f>
        <v>0.4882523148</v>
      </c>
      <c r="K428" s="56"/>
      <c r="L428" s="6"/>
      <c r="M428" s="61"/>
      <c r="N428" s="61">
        <f>IFERROR(__xludf.DUMMYFUNCTION("""COMPUTED_VALUE"""),1.0)</f>
        <v>1</v>
      </c>
      <c r="O428" s="61" t="str">
        <f t="shared" si="3"/>
        <v/>
      </c>
      <c r="P428" s="253">
        <f>IFERROR(__xludf.DUMMYFUNCTION("""COMPUTED_VALUE"""),0.0)</f>
        <v>0</v>
      </c>
      <c r="Q428" s="254" t="b">
        <f>VLOOKUP($B428,'Run Reconcile'!B$2:O799,14,FALSE)</f>
        <v>1</v>
      </c>
      <c r="R428" s="255" t="str">
        <f t="array" ref="R428">IF($Q428, INDEX('Run Reconcile'!A$2:A799,MATCH(B428,'Run Reconcile'!B$2:B799,0),1),IFERROR(0/0,""))</f>
        <v>RUN-BEND_2022-02-19_RFR-036</v>
      </c>
      <c r="S428" s="261" t="str">
        <f t="shared" ref="S428:T428" si="863">IF(COUNTIF(W$2:W799, $A428) &gt; 0,TRUE,IFERROR(0/0,""))</f>
        <v/>
      </c>
      <c r="T428" s="261" t="str">
        <f t="shared" si="863"/>
        <v/>
      </c>
      <c r="U428" s="257" t="str">
        <f t="array" ref="U428">IF(ISBLANK($R428), INDEX('Run Reconcile'!A$2:A799, MATCH($B428, 'Run Reconcile'!B$2:B799, 0)+Z428, 1), IFERROR(0/0,""))
</f>
        <v/>
      </c>
      <c r="V428" s="258" t="str">
        <f t="shared" si="480"/>
        <v>RUN-BEND_2022-02-19_RFR-036</v>
      </c>
      <c r="Y428" s="130" t="str">
        <f t="shared" si="487"/>
        <v/>
      </c>
      <c r="Z428" s="49" t="str">
        <f t="shared" si="7"/>
        <v/>
      </c>
      <c r="AA428" s="49" t="str">
        <f t="shared" si="8"/>
        <v/>
      </c>
      <c r="AB428" s="49" t="str">
        <f t="shared" si="9"/>
        <v/>
      </c>
      <c r="AC428" s="20" t="str">
        <f t="shared" ref="AC428:AD428" si="864">IF(_xlfn.ISFORMULA(S428),IFERROR(0/0,""),TRUE)</f>
        <v/>
      </c>
      <c r="AD428" s="20" t="str">
        <f t="shared" si="864"/>
        <v/>
      </c>
      <c r="AE428" s="43"/>
      <c r="AF428" s="62" t="s">
        <v>58</v>
      </c>
      <c r="AG428" s="57" t="str">
        <f t="shared" si="11"/>
        <v/>
      </c>
    </row>
    <row r="429">
      <c r="A429" s="6" t="str">
        <f>IFERROR(__xludf.DUMMYFUNCTION("""COMPUTED_VALUE"""),"FM497")</f>
        <v>FM497</v>
      </c>
      <c r="B429" s="204">
        <f>IFERROR(__xludf.DUMMYFUNCTION("""COMPUTED_VALUE"""),44611.0)</f>
        <v>44611</v>
      </c>
      <c r="C429" s="250">
        <f>IFERROR(__xludf.DUMMYFUNCTION("""COMPUTED_VALUE"""),0.318912037037037)</f>
        <v>0.318912037</v>
      </c>
      <c r="D429" s="6" t="str">
        <f>IFERROR(__xludf.DUMMYFUNCTION("""COMPUTED_VALUE"""),"SpBEND483335")</f>
        <v>SpBEND483335</v>
      </c>
      <c r="E429" s="251"/>
      <c r="F429" s="251"/>
      <c r="G429" s="251" t="str">
        <f>IFERROR(__xludf.DUMMYFUNCTION("""COMPUTED_VALUE"""),"Negative")</f>
        <v>Negative</v>
      </c>
      <c r="H429" s="262" t="str">
        <f>IFERROR(__xludf.DUMMYFUNCTION("""COMPUTED_VALUE"""),"Negative")</f>
        <v>Negative</v>
      </c>
      <c r="I429" s="204">
        <f>IFERROR(__xludf.DUMMYFUNCTION("""COMPUTED_VALUE"""),44611.0)</f>
        <v>44611</v>
      </c>
      <c r="J429" s="252">
        <f>IFERROR(__xludf.DUMMYFUNCTION("""COMPUTED_VALUE"""),0.4882523148148148)</f>
        <v>0.4882523148</v>
      </c>
      <c r="K429" s="56"/>
      <c r="L429" s="6"/>
      <c r="M429" s="61"/>
      <c r="N429" s="61">
        <f>IFERROR(__xludf.DUMMYFUNCTION("""COMPUTED_VALUE"""),1.0)</f>
        <v>1</v>
      </c>
      <c r="O429" s="61" t="str">
        <f t="shared" si="3"/>
        <v/>
      </c>
      <c r="P429" s="253">
        <f>IFERROR(__xludf.DUMMYFUNCTION("""COMPUTED_VALUE"""),0.0)</f>
        <v>0</v>
      </c>
      <c r="Q429" s="254" t="b">
        <f>VLOOKUP($B429,'Run Reconcile'!B$2:O799,14,FALSE)</f>
        <v>1</v>
      </c>
      <c r="R429" s="255" t="str">
        <f t="array" ref="R429">IF($Q429, INDEX('Run Reconcile'!A$2:A799,MATCH(B429,'Run Reconcile'!B$2:B799,0),1),IFERROR(0/0,""))</f>
        <v>RUN-BEND_2022-02-19_RFR-036</v>
      </c>
      <c r="S429" s="261" t="str">
        <f t="shared" ref="S429:T429" si="865">IF(COUNTIF(W$2:W799, $A429) &gt; 0,TRUE,IFERROR(0/0,""))</f>
        <v/>
      </c>
      <c r="T429" s="261" t="str">
        <f t="shared" si="865"/>
        <v/>
      </c>
      <c r="U429" s="257" t="str">
        <f t="array" ref="U429">IF(ISBLANK($R429), INDEX('Run Reconcile'!A$2:A799, MATCH($B429, 'Run Reconcile'!B$2:B799, 0)+Z429, 1), IFERROR(0/0,""))
</f>
        <v/>
      </c>
      <c r="V429" s="258" t="str">
        <f t="shared" si="480"/>
        <v>RUN-BEND_2022-02-19_RFR-036</v>
      </c>
      <c r="Y429" s="130" t="str">
        <f t="shared" si="487"/>
        <v/>
      </c>
      <c r="Z429" s="49" t="str">
        <f t="shared" si="7"/>
        <v/>
      </c>
      <c r="AA429" s="49" t="str">
        <f t="shared" si="8"/>
        <v/>
      </c>
      <c r="AB429" s="49" t="str">
        <f t="shared" si="9"/>
        <v/>
      </c>
      <c r="AC429" s="20" t="str">
        <f t="shared" ref="AC429:AD429" si="866">IF(_xlfn.ISFORMULA(S429),IFERROR(0/0,""),TRUE)</f>
        <v/>
      </c>
      <c r="AD429" s="20" t="str">
        <f t="shared" si="866"/>
        <v/>
      </c>
      <c r="AE429" s="43"/>
      <c r="AF429" s="62" t="s">
        <v>58</v>
      </c>
      <c r="AG429" s="57" t="str">
        <f t="shared" si="11"/>
        <v/>
      </c>
    </row>
    <row r="430">
      <c r="A430" s="6" t="str">
        <f>IFERROR(__xludf.DUMMYFUNCTION("""COMPUTED_VALUE"""),"MA209")</f>
        <v>MA209</v>
      </c>
      <c r="B430" s="204">
        <f>IFERROR(__xludf.DUMMYFUNCTION("""COMPUTED_VALUE"""),44611.0)</f>
        <v>44611</v>
      </c>
      <c r="C430" s="250">
        <f>IFERROR(__xludf.DUMMYFUNCTION("""COMPUTED_VALUE"""),0.3209606481481482)</f>
        <v>0.3209606481</v>
      </c>
      <c r="D430" s="6" t="str">
        <f>IFERROR(__xludf.DUMMYFUNCTION("""COMPUTED_VALUE"""),"SpBEND319298")</f>
        <v>SpBEND319298</v>
      </c>
      <c r="E430" s="251"/>
      <c r="F430" s="251"/>
      <c r="G430" s="251" t="str">
        <f>IFERROR(__xludf.DUMMYFUNCTION("""COMPUTED_VALUE"""),"Negative")</f>
        <v>Negative</v>
      </c>
      <c r="H430" s="262" t="str">
        <f>IFERROR(__xludf.DUMMYFUNCTION("""COMPUTED_VALUE"""),"Negative")</f>
        <v>Negative</v>
      </c>
      <c r="I430" s="204">
        <f>IFERROR(__xludf.DUMMYFUNCTION("""COMPUTED_VALUE"""),44611.0)</f>
        <v>44611</v>
      </c>
      <c r="J430" s="252">
        <f>IFERROR(__xludf.DUMMYFUNCTION("""COMPUTED_VALUE"""),0.4882523148148148)</f>
        <v>0.4882523148</v>
      </c>
      <c r="K430" s="56"/>
      <c r="L430" s="6"/>
      <c r="M430" s="61"/>
      <c r="N430" s="61">
        <f>IFERROR(__xludf.DUMMYFUNCTION("""COMPUTED_VALUE"""),1.0)</f>
        <v>1</v>
      </c>
      <c r="O430" s="61" t="str">
        <f t="shared" si="3"/>
        <v/>
      </c>
      <c r="P430" s="253">
        <f>IFERROR(__xludf.DUMMYFUNCTION("""COMPUTED_VALUE"""),0.0)</f>
        <v>0</v>
      </c>
      <c r="Q430" s="254" t="b">
        <f>VLOOKUP($B430,'Run Reconcile'!B$2:O799,14,FALSE)</f>
        <v>1</v>
      </c>
      <c r="R430" s="255" t="str">
        <f t="array" ref="R430">IF($Q430, INDEX('Run Reconcile'!A$2:A799,MATCH(B430,'Run Reconcile'!B$2:B799,0),1),IFERROR(0/0,""))</f>
        <v>RUN-BEND_2022-02-19_RFR-036</v>
      </c>
      <c r="S430" s="261" t="str">
        <f t="shared" ref="S430:T430" si="867">IF(COUNTIF(W$2:W799, $A430) &gt; 0,TRUE,IFERROR(0/0,""))</f>
        <v/>
      </c>
      <c r="T430" s="261" t="str">
        <f t="shared" si="867"/>
        <v/>
      </c>
      <c r="U430" s="257" t="str">
        <f t="array" ref="U430">IF(ISBLANK($R430), INDEX('Run Reconcile'!A$2:A799, MATCH($B430, 'Run Reconcile'!B$2:B799, 0)+Z430, 1), IFERROR(0/0,""))
</f>
        <v/>
      </c>
      <c r="V430" s="258" t="str">
        <f t="shared" si="480"/>
        <v>RUN-BEND_2022-02-19_RFR-036</v>
      </c>
      <c r="Y430" s="130" t="str">
        <f t="shared" si="487"/>
        <v/>
      </c>
      <c r="Z430" s="49" t="str">
        <f t="shared" si="7"/>
        <v/>
      </c>
      <c r="AA430" s="49" t="str">
        <f t="shared" si="8"/>
        <v/>
      </c>
      <c r="AB430" s="49" t="str">
        <f t="shared" si="9"/>
        <v/>
      </c>
      <c r="AC430" s="20" t="str">
        <f t="shared" ref="AC430:AD430" si="868">IF(_xlfn.ISFORMULA(S430),IFERROR(0/0,""),TRUE)</f>
        <v/>
      </c>
      <c r="AD430" s="20" t="str">
        <f t="shared" si="868"/>
        <v/>
      </c>
      <c r="AE430" s="43"/>
      <c r="AF430" s="62" t="s">
        <v>58</v>
      </c>
      <c r="AG430" s="57" t="str">
        <f t="shared" si="11"/>
        <v/>
      </c>
    </row>
    <row r="431">
      <c r="A431" s="6" t="str">
        <f>IFERROR(__xludf.DUMMYFUNCTION("""COMPUTED_VALUE"""),"MA281")</f>
        <v>MA281</v>
      </c>
      <c r="B431" s="204">
        <f>IFERROR(__xludf.DUMMYFUNCTION("""COMPUTED_VALUE"""),44611.0)</f>
        <v>44611</v>
      </c>
      <c r="C431" s="250">
        <f>IFERROR(__xludf.DUMMYFUNCTION("""COMPUTED_VALUE"""),0.3225925925925926)</f>
        <v>0.3225925926</v>
      </c>
      <c r="D431" s="6" t="str">
        <f>IFERROR(__xludf.DUMMYFUNCTION("""COMPUTED_VALUE"""),"SpBEND996809")</f>
        <v>SpBEND996809</v>
      </c>
      <c r="E431" s="251"/>
      <c r="F431" s="251"/>
      <c r="G431" s="251" t="str">
        <f>IFERROR(__xludf.DUMMYFUNCTION("""COMPUTED_VALUE"""),"Negative")</f>
        <v>Negative</v>
      </c>
      <c r="H431" s="262" t="str">
        <f>IFERROR(__xludf.DUMMYFUNCTION("""COMPUTED_VALUE"""),"Negative")</f>
        <v>Negative</v>
      </c>
      <c r="I431" s="204">
        <f>IFERROR(__xludf.DUMMYFUNCTION("""COMPUTED_VALUE"""),44611.0)</f>
        <v>44611</v>
      </c>
      <c r="J431" s="252">
        <f>IFERROR(__xludf.DUMMYFUNCTION("""COMPUTED_VALUE"""),0.4882523148148148)</f>
        <v>0.4882523148</v>
      </c>
      <c r="K431" s="56"/>
      <c r="L431" s="6"/>
      <c r="M431" s="61"/>
      <c r="N431" s="61">
        <f>IFERROR(__xludf.DUMMYFUNCTION("""COMPUTED_VALUE"""),1.0)</f>
        <v>1</v>
      </c>
      <c r="O431" s="61" t="str">
        <f t="shared" si="3"/>
        <v/>
      </c>
      <c r="P431" s="253">
        <f>IFERROR(__xludf.DUMMYFUNCTION("""COMPUTED_VALUE"""),0.0)</f>
        <v>0</v>
      </c>
      <c r="Q431" s="254" t="b">
        <f>VLOOKUP($B431,'Run Reconcile'!B$2:O799,14,FALSE)</f>
        <v>1</v>
      </c>
      <c r="R431" s="255" t="str">
        <f t="array" ref="R431">IF($Q431, INDEX('Run Reconcile'!A$2:A799,MATCH(B431,'Run Reconcile'!B$2:B799,0),1),IFERROR(0/0,""))</f>
        <v>RUN-BEND_2022-02-19_RFR-036</v>
      </c>
      <c r="S431" s="261" t="str">
        <f t="shared" ref="S431:T431" si="869">IF(COUNTIF(W$2:W799, $A431) &gt; 0,TRUE,IFERROR(0/0,""))</f>
        <v/>
      </c>
      <c r="T431" s="261" t="str">
        <f t="shared" si="869"/>
        <v/>
      </c>
      <c r="U431" s="257" t="str">
        <f t="array" ref="U431">IF(ISBLANK($R431), INDEX('Run Reconcile'!A$2:A799, MATCH($B431, 'Run Reconcile'!B$2:B799, 0)+Z431, 1), IFERROR(0/0,""))
</f>
        <v/>
      </c>
      <c r="V431" s="258" t="str">
        <f t="shared" si="480"/>
        <v>RUN-BEND_2022-02-19_RFR-036</v>
      </c>
      <c r="Y431" s="130" t="str">
        <f t="shared" si="487"/>
        <v/>
      </c>
      <c r="Z431" s="49" t="str">
        <f t="shared" si="7"/>
        <v/>
      </c>
      <c r="AA431" s="49" t="str">
        <f t="shared" si="8"/>
        <v/>
      </c>
      <c r="AB431" s="49" t="str">
        <f t="shared" si="9"/>
        <v/>
      </c>
      <c r="AC431" s="20" t="str">
        <f t="shared" ref="AC431:AD431" si="870">IF(_xlfn.ISFORMULA(S431),IFERROR(0/0,""),TRUE)</f>
        <v/>
      </c>
      <c r="AD431" s="20" t="str">
        <f t="shared" si="870"/>
        <v/>
      </c>
      <c r="AE431" s="43"/>
      <c r="AF431" s="62" t="s">
        <v>58</v>
      </c>
      <c r="AG431" s="57" t="str">
        <f t="shared" si="11"/>
        <v/>
      </c>
    </row>
    <row r="432">
      <c r="A432" s="6" t="str">
        <f>IFERROR(__xludf.DUMMYFUNCTION("""COMPUTED_VALUE"""),"MA268")</f>
        <v>MA268</v>
      </c>
      <c r="B432" s="204">
        <f>IFERROR(__xludf.DUMMYFUNCTION("""COMPUTED_VALUE"""),44611.0)</f>
        <v>44611</v>
      </c>
      <c r="C432" s="250">
        <f>IFERROR(__xludf.DUMMYFUNCTION("""COMPUTED_VALUE"""),0.3233333333333333)</f>
        <v>0.3233333333</v>
      </c>
      <c r="D432" s="6" t="str">
        <f>IFERROR(__xludf.DUMMYFUNCTION("""COMPUTED_VALUE"""),"SpBEND387578")</f>
        <v>SpBEND387578</v>
      </c>
      <c r="E432" s="251"/>
      <c r="F432" s="251"/>
      <c r="G432" s="251" t="str">
        <f>IFERROR(__xludf.DUMMYFUNCTION("""COMPUTED_VALUE"""),"Negative")</f>
        <v>Negative</v>
      </c>
      <c r="H432" s="262" t="str">
        <f>IFERROR(__xludf.DUMMYFUNCTION("""COMPUTED_VALUE"""),"Negative")</f>
        <v>Negative</v>
      </c>
      <c r="I432" s="204">
        <f>IFERROR(__xludf.DUMMYFUNCTION("""COMPUTED_VALUE"""),44611.0)</f>
        <v>44611</v>
      </c>
      <c r="J432" s="252">
        <f>IFERROR(__xludf.DUMMYFUNCTION("""COMPUTED_VALUE"""),0.4882523148148148)</f>
        <v>0.4882523148</v>
      </c>
      <c r="K432" s="56"/>
      <c r="L432" s="6"/>
      <c r="M432" s="61"/>
      <c r="N432" s="61">
        <f>IFERROR(__xludf.DUMMYFUNCTION("""COMPUTED_VALUE"""),1.0)</f>
        <v>1</v>
      </c>
      <c r="O432" s="61" t="str">
        <f t="shared" si="3"/>
        <v/>
      </c>
      <c r="P432" s="253">
        <f>IFERROR(__xludf.DUMMYFUNCTION("""COMPUTED_VALUE"""),0.0)</f>
        <v>0</v>
      </c>
      <c r="Q432" s="254" t="b">
        <f>VLOOKUP($B432,'Run Reconcile'!B$2:O799,14,FALSE)</f>
        <v>1</v>
      </c>
      <c r="R432" s="255" t="str">
        <f t="array" ref="R432">IF($Q432, INDEX('Run Reconcile'!A$2:A799,MATCH(B432,'Run Reconcile'!B$2:B799,0),1),IFERROR(0/0,""))</f>
        <v>RUN-BEND_2022-02-19_RFR-036</v>
      </c>
      <c r="S432" s="261" t="str">
        <f t="shared" ref="S432:T432" si="871">IF(COUNTIF(W$2:W799, $A432) &gt; 0,TRUE,IFERROR(0/0,""))</f>
        <v/>
      </c>
      <c r="T432" s="261" t="str">
        <f t="shared" si="871"/>
        <v/>
      </c>
      <c r="U432" s="257" t="str">
        <f t="array" ref="U432">IF(ISBLANK($R432), INDEX('Run Reconcile'!A$2:A799, MATCH($B432, 'Run Reconcile'!B$2:B799, 0)+Z432, 1), IFERROR(0/0,""))
</f>
        <v/>
      </c>
      <c r="V432" s="258" t="str">
        <f t="shared" si="480"/>
        <v>RUN-BEND_2022-02-19_RFR-036</v>
      </c>
      <c r="Y432" s="130" t="str">
        <f t="shared" si="487"/>
        <v/>
      </c>
      <c r="Z432" s="49" t="str">
        <f t="shared" si="7"/>
        <v/>
      </c>
      <c r="AA432" s="49" t="str">
        <f t="shared" si="8"/>
        <v/>
      </c>
      <c r="AB432" s="49" t="str">
        <f t="shared" si="9"/>
        <v/>
      </c>
      <c r="AC432" s="20" t="str">
        <f t="shared" ref="AC432:AD432" si="872">IF(_xlfn.ISFORMULA(S432),IFERROR(0/0,""),TRUE)</f>
        <v/>
      </c>
      <c r="AD432" s="20" t="str">
        <f t="shared" si="872"/>
        <v/>
      </c>
      <c r="AE432" s="43"/>
      <c r="AF432" s="62" t="s">
        <v>58</v>
      </c>
      <c r="AG432" s="57" t="str">
        <f t="shared" si="11"/>
        <v/>
      </c>
    </row>
    <row r="433">
      <c r="A433" s="6" t="str">
        <f>IFERROR(__xludf.DUMMYFUNCTION("""COMPUTED_VALUE"""),"MA1027")</f>
        <v>MA1027</v>
      </c>
      <c r="B433" s="204">
        <f>IFERROR(__xludf.DUMMYFUNCTION("""COMPUTED_VALUE"""),44611.0)</f>
        <v>44611</v>
      </c>
      <c r="C433" s="250">
        <f>IFERROR(__xludf.DUMMYFUNCTION("""COMPUTED_VALUE"""),0.32579861111111114)</f>
        <v>0.3257986111</v>
      </c>
      <c r="D433" s="6" t="str">
        <f>IFERROR(__xludf.DUMMYFUNCTION("""COMPUTED_VALUE"""),"SpBEND767550")</f>
        <v>SpBEND767550</v>
      </c>
      <c r="E433" s="251"/>
      <c r="F433" s="251"/>
      <c r="G433" s="251" t="str">
        <f>IFERROR(__xludf.DUMMYFUNCTION("""COMPUTED_VALUE"""),"Negative")</f>
        <v>Negative</v>
      </c>
      <c r="H433" s="262" t="str">
        <f>IFERROR(__xludf.DUMMYFUNCTION("""COMPUTED_VALUE"""),"Negative")</f>
        <v>Negative</v>
      </c>
      <c r="I433" s="204">
        <f>IFERROR(__xludf.DUMMYFUNCTION("""COMPUTED_VALUE"""),44611.0)</f>
        <v>44611</v>
      </c>
      <c r="J433" s="252">
        <f>IFERROR(__xludf.DUMMYFUNCTION("""COMPUTED_VALUE"""),0.4882523148148148)</f>
        <v>0.4882523148</v>
      </c>
      <c r="K433" s="56"/>
      <c r="L433" s="6"/>
      <c r="M433" s="61"/>
      <c r="N433" s="61">
        <f>IFERROR(__xludf.DUMMYFUNCTION("""COMPUTED_VALUE"""),1.0)</f>
        <v>1</v>
      </c>
      <c r="O433" s="61" t="str">
        <f t="shared" si="3"/>
        <v/>
      </c>
      <c r="P433" s="253">
        <f>IFERROR(__xludf.DUMMYFUNCTION("""COMPUTED_VALUE"""),0.0)</f>
        <v>0</v>
      </c>
      <c r="Q433" s="254" t="b">
        <f>VLOOKUP($B433,'Run Reconcile'!B$2:O799,14,FALSE)</f>
        <v>1</v>
      </c>
      <c r="R433" s="255" t="str">
        <f t="array" ref="R433">IF($Q433, INDEX('Run Reconcile'!A$2:A799,MATCH(B433,'Run Reconcile'!B$2:B799,0),1),IFERROR(0/0,""))</f>
        <v>RUN-BEND_2022-02-19_RFR-036</v>
      </c>
      <c r="S433" s="261" t="str">
        <f t="shared" ref="S433:T433" si="873">IF(COUNTIF(W$2:W799, $A433) &gt; 0,TRUE,IFERROR(0/0,""))</f>
        <v/>
      </c>
      <c r="T433" s="261" t="str">
        <f t="shared" si="873"/>
        <v/>
      </c>
      <c r="U433" s="257" t="str">
        <f t="array" ref="U433">IF(ISBLANK($R433), INDEX('Run Reconcile'!A$2:A799, MATCH($B433, 'Run Reconcile'!B$2:B799, 0)+Z433, 1), IFERROR(0/0,""))
</f>
        <v/>
      </c>
      <c r="V433" s="258" t="str">
        <f t="shared" si="480"/>
        <v>RUN-BEND_2022-02-19_RFR-036</v>
      </c>
      <c r="Y433" s="130" t="str">
        <f t="shared" si="487"/>
        <v/>
      </c>
      <c r="Z433" s="49" t="str">
        <f t="shared" si="7"/>
        <v/>
      </c>
      <c r="AA433" s="49" t="str">
        <f t="shared" si="8"/>
        <v/>
      </c>
      <c r="AB433" s="49" t="str">
        <f t="shared" si="9"/>
        <v/>
      </c>
      <c r="AC433" s="20" t="str">
        <f t="shared" ref="AC433:AD433" si="874">IF(_xlfn.ISFORMULA(S433),IFERROR(0/0,""),TRUE)</f>
        <v/>
      </c>
      <c r="AD433" s="20" t="str">
        <f t="shared" si="874"/>
        <v/>
      </c>
      <c r="AE433" s="43"/>
      <c r="AF433" s="62" t="s">
        <v>58</v>
      </c>
      <c r="AG433" s="57" t="str">
        <f t="shared" si="11"/>
        <v/>
      </c>
    </row>
    <row r="434">
      <c r="A434" s="6" t="str">
        <f>IFERROR(__xludf.DUMMYFUNCTION("""COMPUTED_VALUE"""),"FM787")</f>
        <v>FM787</v>
      </c>
      <c r="B434" s="204">
        <f>IFERROR(__xludf.DUMMYFUNCTION("""COMPUTED_VALUE"""),44611.0)</f>
        <v>44611</v>
      </c>
      <c r="C434" s="250">
        <f>IFERROR(__xludf.DUMMYFUNCTION("""COMPUTED_VALUE"""),0.32633101851851853)</f>
        <v>0.3263310185</v>
      </c>
      <c r="D434" s="6" t="str">
        <f>IFERROR(__xludf.DUMMYFUNCTION("""COMPUTED_VALUE"""),"SpBEND292554")</f>
        <v>SpBEND292554</v>
      </c>
      <c r="E434" s="251"/>
      <c r="F434" s="251"/>
      <c r="G434" s="251" t="str">
        <f>IFERROR(__xludf.DUMMYFUNCTION("""COMPUTED_VALUE"""),"Negative")</f>
        <v>Negative</v>
      </c>
      <c r="H434" s="262" t="str">
        <f>IFERROR(__xludf.DUMMYFUNCTION("""COMPUTED_VALUE"""),"Negative")</f>
        <v>Negative</v>
      </c>
      <c r="I434" s="204">
        <f>IFERROR(__xludf.DUMMYFUNCTION("""COMPUTED_VALUE"""),44611.0)</f>
        <v>44611</v>
      </c>
      <c r="J434" s="252">
        <f>IFERROR(__xludf.DUMMYFUNCTION("""COMPUTED_VALUE"""),0.4882523148148148)</f>
        <v>0.4882523148</v>
      </c>
      <c r="K434" s="56"/>
      <c r="L434" s="6"/>
      <c r="M434" s="61"/>
      <c r="N434" s="61">
        <f>IFERROR(__xludf.DUMMYFUNCTION("""COMPUTED_VALUE"""),1.0)</f>
        <v>1</v>
      </c>
      <c r="O434" s="61" t="str">
        <f t="shared" si="3"/>
        <v/>
      </c>
      <c r="P434" s="253">
        <f>IFERROR(__xludf.DUMMYFUNCTION("""COMPUTED_VALUE"""),0.0)</f>
        <v>0</v>
      </c>
      <c r="Q434" s="254" t="b">
        <f>VLOOKUP($B434,'Run Reconcile'!B$2:O799,14,FALSE)</f>
        <v>1</v>
      </c>
      <c r="R434" s="255" t="str">
        <f t="array" ref="R434">IF($Q434, INDEX('Run Reconcile'!A$2:A799,MATCH(B434,'Run Reconcile'!B$2:B799,0),1),IFERROR(0/0,""))</f>
        <v>RUN-BEND_2022-02-19_RFR-036</v>
      </c>
      <c r="S434" s="261" t="str">
        <f t="shared" ref="S434:T434" si="875">IF(COUNTIF(W$2:W799, $A434) &gt; 0,TRUE,IFERROR(0/0,""))</f>
        <v/>
      </c>
      <c r="T434" s="261" t="str">
        <f t="shared" si="875"/>
        <v/>
      </c>
      <c r="U434" s="257" t="str">
        <f t="array" ref="U434">IF(ISBLANK($R434), INDEX('Run Reconcile'!A$2:A799, MATCH($B434, 'Run Reconcile'!B$2:B799, 0)+Z434, 1), IFERROR(0/0,""))
</f>
        <v/>
      </c>
      <c r="V434" s="258" t="str">
        <f t="shared" si="480"/>
        <v>RUN-BEND_2022-02-19_RFR-036</v>
      </c>
      <c r="Y434" s="130" t="str">
        <f t="shared" si="487"/>
        <v/>
      </c>
      <c r="Z434" s="49" t="str">
        <f t="shared" si="7"/>
        <v/>
      </c>
      <c r="AA434" s="49" t="str">
        <f t="shared" si="8"/>
        <v/>
      </c>
      <c r="AB434" s="49" t="str">
        <f t="shared" si="9"/>
        <v/>
      </c>
      <c r="AC434" s="20" t="str">
        <f t="shared" ref="AC434:AD434" si="876">IF(_xlfn.ISFORMULA(S434),IFERROR(0/0,""),TRUE)</f>
        <v/>
      </c>
      <c r="AD434" s="20" t="str">
        <f t="shared" si="876"/>
        <v/>
      </c>
      <c r="AE434" s="43"/>
      <c r="AF434" s="62" t="s">
        <v>58</v>
      </c>
      <c r="AG434" s="57" t="str">
        <f t="shared" si="11"/>
        <v/>
      </c>
    </row>
    <row r="435">
      <c r="A435" s="6" t="str">
        <f>IFERROR(__xludf.DUMMYFUNCTION("""COMPUTED_VALUE"""),"FM836")</f>
        <v>FM836</v>
      </c>
      <c r="B435" s="204">
        <f>IFERROR(__xludf.DUMMYFUNCTION("""COMPUTED_VALUE"""),44611.0)</f>
        <v>44611</v>
      </c>
      <c r="C435" s="250">
        <f>IFERROR(__xludf.DUMMYFUNCTION("""COMPUTED_VALUE"""),0.32788194444444446)</f>
        <v>0.3278819444</v>
      </c>
      <c r="D435" s="6" t="str">
        <f>IFERROR(__xludf.DUMMYFUNCTION("""COMPUTED_VALUE"""),"SpBEND747592")</f>
        <v>SpBEND747592</v>
      </c>
      <c r="E435" s="251"/>
      <c r="F435" s="251"/>
      <c r="G435" s="251" t="str">
        <f>IFERROR(__xludf.DUMMYFUNCTION("""COMPUTED_VALUE"""),"Negative")</f>
        <v>Negative</v>
      </c>
      <c r="H435" s="262" t="str">
        <f>IFERROR(__xludf.DUMMYFUNCTION("""COMPUTED_VALUE"""),"Negative")</f>
        <v>Negative</v>
      </c>
      <c r="I435" s="204">
        <f>IFERROR(__xludf.DUMMYFUNCTION("""COMPUTED_VALUE"""),44611.0)</f>
        <v>44611</v>
      </c>
      <c r="J435" s="252">
        <f>IFERROR(__xludf.DUMMYFUNCTION("""COMPUTED_VALUE"""),0.4882638888888889)</f>
        <v>0.4882638889</v>
      </c>
      <c r="K435" s="56"/>
      <c r="L435" s="6"/>
      <c r="M435" s="61"/>
      <c r="N435" s="61">
        <f>IFERROR(__xludf.DUMMYFUNCTION("""COMPUTED_VALUE"""),1.0)</f>
        <v>1</v>
      </c>
      <c r="O435" s="61" t="str">
        <f t="shared" si="3"/>
        <v/>
      </c>
      <c r="P435" s="253">
        <f>IFERROR(__xludf.DUMMYFUNCTION("""COMPUTED_VALUE"""),0.0)</f>
        <v>0</v>
      </c>
      <c r="Q435" s="254" t="b">
        <f>VLOOKUP($B435,'Run Reconcile'!B$2:O799,14,FALSE)</f>
        <v>1</v>
      </c>
      <c r="R435" s="255" t="str">
        <f t="array" ref="R435">IF($Q435, INDEX('Run Reconcile'!A$2:A799,MATCH(B435,'Run Reconcile'!B$2:B799,0),1),IFERROR(0/0,""))</f>
        <v>RUN-BEND_2022-02-19_RFR-036</v>
      </c>
      <c r="S435" s="261" t="str">
        <f t="shared" ref="S435:T435" si="877">IF(COUNTIF(W$2:W799, $A435) &gt; 0,TRUE,IFERROR(0/0,""))</f>
        <v/>
      </c>
      <c r="T435" s="261" t="str">
        <f t="shared" si="877"/>
        <v/>
      </c>
      <c r="U435" s="257" t="str">
        <f t="array" ref="U435">IF(ISBLANK($R435), INDEX('Run Reconcile'!A$2:A799, MATCH($B435, 'Run Reconcile'!B$2:B799, 0)+Z435, 1), IFERROR(0/0,""))
</f>
        <v/>
      </c>
      <c r="V435" s="258" t="str">
        <f t="shared" si="480"/>
        <v>RUN-BEND_2022-02-19_RFR-036</v>
      </c>
      <c r="Y435" s="130" t="str">
        <f t="shared" si="487"/>
        <v/>
      </c>
      <c r="Z435" s="49" t="str">
        <f t="shared" si="7"/>
        <v/>
      </c>
      <c r="AA435" s="49" t="str">
        <f t="shared" si="8"/>
        <v/>
      </c>
      <c r="AB435" s="49" t="str">
        <f t="shared" si="9"/>
        <v/>
      </c>
      <c r="AC435" s="20" t="str">
        <f t="shared" ref="AC435:AD435" si="878">IF(_xlfn.ISFORMULA(S435),IFERROR(0/0,""),TRUE)</f>
        <v/>
      </c>
      <c r="AD435" s="20" t="str">
        <f t="shared" si="878"/>
        <v/>
      </c>
      <c r="AE435" s="43"/>
      <c r="AF435" s="62" t="s">
        <v>58</v>
      </c>
      <c r="AG435" s="57" t="str">
        <f t="shared" si="11"/>
        <v/>
      </c>
    </row>
    <row r="436">
      <c r="A436" s="6" t="str">
        <f>IFERROR(__xludf.DUMMYFUNCTION("""COMPUTED_VALUE"""),"FM89")</f>
        <v>FM89</v>
      </c>
      <c r="B436" s="204">
        <f>IFERROR(__xludf.DUMMYFUNCTION("""COMPUTED_VALUE"""),44611.0)</f>
        <v>44611</v>
      </c>
      <c r="C436" s="250">
        <f>IFERROR(__xludf.DUMMYFUNCTION("""COMPUTED_VALUE"""),0.32890046296296294)</f>
        <v>0.328900463</v>
      </c>
      <c r="D436" s="6" t="str">
        <f>IFERROR(__xludf.DUMMYFUNCTION("""COMPUTED_VALUE"""),"SpBEND425753")</f>
        <v>SpBEND425753</v>
      </c>
      <c r="E436" s="251"/>
      <c r="F436" s="251"/>
      <c r="G436" s="251" t="str">
        <f>IFERROR(__xludf.DUMMYFUNCTION("""COMPUTED_VALUE"""),"Negative")</f>
        <v>Negative</v>
      </c>
      <c r="H436" s="262" t="str">
        <f>IFERROR(__xludf.DUMMYFUNCTION("""COMPUTED_VALUE"""),"Negative")</f>
        <v>Negative</v>
      </c>
      <c r="I436" s="204">
        <f>IFERROR(__xludf.DUMMYFUNCTION("""COMPUTED_VALUE"""),44611.0)</f>
        <v>44611</v>
      </c>
      <c r="J436" s="252">
        <f>IFERROR(__xludf.DUMMYFUNCTION("""COMPUTED_VALUE"""),0.4882638888888889)</f>
        <v>0.4882638889</v>
      </c>
      <c r="K436" s="56"/>
      <c r="L436" s="6"/>
      <c r="M436" s="61"/>
      <c r="N436" s="61">
        <f>IFERROR(__xludf.DUMMYFUNCTION("""COMPUTED_VALUE"""),1.0)</f>
        <v>1</v>
      </c>
      <c r="O436" s="61" t="str">
        <f t="shared" si="3"/>
        <v/>
      </c>
      <c r="P436" s="253">
        <f>IFERROR(__xludf.DUMMYFUNCTION("""COMPUTED_VALUE"""),0.0)</f>
        <v>0</v>
      </c>
      <c r="Q436" s="254" t="b">
        <f>VLOOKUP($B436,'Run Reconcile'!B$2:O799,14,FALSE)</f>
        <v>1</v>
      </c>
      <c r="R436" s="255" t="str">
        <f t="array" ref="R436">IF($Q436, INDEX('Run Reconcile'!A$2:A799,MATCH(B436,'Run Reconcile'!B$2:B799,0),1),IFERROR(0/0,""))</f>
        <v>RUN-BEND_2022-02-19_RFR-036</v>
      </c>
      <c r="S436" s="261" t="str">
        <f t="shared" ref="S436:T436" si="879">IF(COUNTIF(W$2:W799, $A436) &gt; 0,TRUE,IFERROR(0/0,""))</f>
        <v/>
      </c>
      <c r="T436" s="261" t="str">
        <f t="shared" si="879"/>
        <v/>
      </c>
      <c r="U436" s="257" t="str">
        <f t="array" ref="U436">IF(ISBLANK($R436), INDEX('Run Reconcile'!A$2:A799, MATCH($B436, 'Run Reconcile'!B$2:B799, 0)+Z436, 1), IFERROR(0/0,""))
</f>
        <v/>
      </c>
      <c r="V436" s="258" t="str">
        <f t="shared" si="480"/>
        <v>RUN-BEND_2022-02-19_RFR-036</v>
      </c>
      <c r="Y436" s="130" t="str">
        <f t="shared" si="487"/>
        <v/>
      </c>
      <c r="Z436" s="49" t="str">
        <f t="shared" si="7"/>
        <v/>
      </c>
      <c r="AA436" s="49" t="str">
        <f t="shared" si="8"/>
        <v/>
      </c>
      <c r="AB436" s="49" t="str">
        <f t="shared" si="9"/>
        <v/>
      </c>
      <c r="AC436" s="20" t="str">
        <f t="shared" ref="AC436:AD436" si="880">IF(_xlfn.ISFORMULA(S436),IFERROR(0/0,""),TRUE)</f>
        <v/>
      </c>
      <c r="AD436" s="20" t="str">
        <f t="shared" si="880"/>
        <v/>
      </c>
      <c r="AE436" s="43"/>
      <c r="AF436" s="62" t="s">
        <v>58</v>
      </c>
      <c r="AG436" s="57" t="str">
        <f t="shared" si="11"/>
        <v/>
      </c>
    </row>
    <row r="437">
      <c r="A437" s="6" t="str">
        <f>IFERROR(__xludf.DUMMYFUNCTION("""COMPUTED_VALUE"""),"FM834")</f>
        <v>FM834</v>
      </c>
      <c r="B437" s="204">
        <f>IFERROR(__xludf.DUMMYFUNCTION("""COMPUTED_VALUE"""),44611.0)</f>
        <v>44611</v>
      </c>
      <c r="C437" s="250">
        <f>IFERROR(__xludf.DUMMYFUNCTION("""COMPUTED_VALUE"""),0.3321875)</f>
        <v>0.3321875</v>
      </c>
      <c r="D437" s="6" t="str">
        <f>IFERROR(__xludf.DUMMYFUNCTION("""COMPUTED_VALUE"""),"SpBEND522465")</f>
        <v>SpBEND522465</v>
      </c>
      <c r="E437" s="251"/>
      <c r="F437" s="251"/>
      <c r="G437" s="251" t="str">
        <f>IFERROR(__xludf.DUMMYFUNCTION("""COMPUTED_VALUE"""),"Negative")</f>
        <v>Negative</v>
      </c>
      <c r="H437" s="262" t="str">
        <f>IFERROR(__xludf.DUMMYFUNCTION("""COMPUTED_VALUE"""),"Negative")</f>
        <v>Negative</v>
      </c>
      <c r="I437" s="204">
        <f>IFERROR(__xludf.DUMMYFUNCTION("""COMPUTED_VALUE"""),44611.0)</f>
        <v>44611</v>
      </c>
      <c r="J437" s="252">
        <f>IFERROR(__xludf.DUMMYFUNCTION("""COMPUTED_VALUE"""),0.4882638888888889)</f>
        <v>0.4882638889</v>
      </c>
      <c r="K437" s="56"/>
      <c r="L437" s="6"/>
      <c r="M437" s="61"/>
      <c r="N437" s="61">
        <f>IFERROR(__xludf.DUMMYFUNCTION("""COMPUTED_VALUE"""),1.0)</f>
        <v>1</v>
      </c>
      <c r="O437" s="61" t="str">
        <f t="shared" si="3"/>
        <v/>
      </c>
      <c r="P437" s="253">
        <f>IFERROR(__xludf.DUMMYFUNCTION("""COMPUTED_VALUE"""),0.0)</f>
        <v>0</v>
      </c>
      <c r="Q437" s="254" t="b">
        <f>VLOOKUP($B437,'Run Reconcile'!B$2:O799,14,FALSE)</f>
        <v>1</v>
      </c>
      <c r="R437" s="255" t="str">
        <f t="array" ref="R437">IF($Q437, INDEX('Run Reconcile'!A$2:A799,MATCH(B437,'Run Reconcile'!B$2:B799,0),1),IFERROR(0/0,""))</f>
        <v>RUN-BEND_2022-02-19_RFR-036</v>
      </c>
      <c r="S437" s="261" t="str">
        <f t="shared" ref="S437:T437" si="881">IF(COUNTIF(W$2:W799, $A437) &gt; 0,TRUE,IFERROR(0/0,""))</f>
        <v/>
      </c>
      <c r="T437" s="261" t="str">
        <f t="shared" si="881"/>
        <v/>
      </c>
      <c r="U437" s="257" t="str">
        <f t="array" ref="U437">IF(ISBLANK($R437), INDEX('Run Reconcile'!A$2:A799, MATCH($B437, 'Run Reconcile'!B$2:B799, 0)+Z437, 1), IFERROR(0/0,""))
</f>
        <v/>
      </c>
      <c r="V437" s="258" t="str">
        <f t="shared" si="480"/>
        <v>RUN-BEND_2022-02-19_RFR-036</v>
      </c>
      <c r="Y437" s="130" t="str">
        <f t="shared" si="487"/>
        <v/>
      </c>
      <c r="Z437" s="49" t="str">
        <f t="shared" si="7"/>
        <v/>
      </c>
      <c r="AA437" s="49" t="str">
        <f t="shared" si="8"/>
        <v/>
      </c>
      <c r="AB437" s="49" t="str">
        <f t="shared" si="9"/>
        <v/>
      </c>
      <c r="AC437" s="20" t="str">
        <f t="shared" ref="AC437:AD437" si="882">IF(_xlfn.ISFORMULA(S437),IFERROR(0/0,""),TRUE)</f>
        <v/>
      </c>
      <c r="AD437" s="20" t="str">
        <f t="shared" si="882"/>
        <v/>
      </c>
      <c r="AE437" s="43"/>
      <c r="AF437" s="62" t="s">
        <v>58</v>
      </c>
      <c r="AG437" s="57" t="str">
        <f t="shared" si="11"/>
        <v/>
      </c>
    </row>
    <row r="438">
      <c r="A438" s="6" t="str">
        <f>IFERROR(__xludf.DUMMYFUNCTION("""COMPUTED_VALUE"""),"MA1116")</f>
        <v>MA1116</v>
      </c>
      <c r="B438" s="204">
        <f>IFERROR(__xludf.DUMMYFUNCTION("""COMPUTED_VALUE"""),44611.0)</f>
        <v>44611</v>
      </c>
      <c r="C438" s="250">
        <f>IFERROR(__xludf.DUMMYFUNCTION("""COMPUTED_VALUE"""),0.3321875)</f>
        <v>0.3321875</v>
      </c>
      <c r="D438" s="6" t="str">
        <f>IFERROR(__xludf.DUMMYFUNCTION("""COMPUTED_VALUE"""),"SpBEND183210")</f>
        <v>SpBEND183210</v>
      </c>
      <c r="E438" s="251"/>
      <c r="F438" s="251"/>
      <c r="G438" s="251" t="str">
        <f>IFERROR(__xludf.DUMMYFUNCTION("""COMPUTED_VALUE"""),"Negative")</f>
        <v>Negative</v>
      </c>
      <c r="H438" s="262" t="str">
        <f>IFERROR(__xludf.DUMMYFUNCTION("""COMPUTED_VALUE"""),"Negative")</f>
        <v>Negative</v>
      </c>
      <c r="I438" s="204">
        <f>IFERROR(__xludf.DUMMYFUNCTION("""COMPUTED_VALUE"""),44611.0)</f>
        <v>44611</v>
      </c>
      <c r="J438" s="252">
        <f>IFERROR(__xludf.DUMMYFUNCTION("""COMPUTED_VALUE"""),0.5041203703703704)</f>
        <v>0.5041203704</v>
      </c>
      <c r="K438" s="56"/>
      <c r="L438" s="6"/>
      <c r="M438" s="61"/>
      <c r="N438" s="61">
        <f>IFERROR(__xludf.DUMMYFUNCTION("""COMPUTED_VALUE"""),1.0)</f>
        <v>1</v>
      </c>
      <c r="O438" s="61" t="str">
        <f t="shared" si="3"/>
        <v/>
      </c>
      <c r="P438" s="253">
        <f>IFERROR(__xludf.DUMMYFUNCTION("""COMPUTED_VALUE"""),0.0)</f>
        <v>0</v>
      </c>
      <c r="Q438" s="254" t="b">
        <f>VLOOKUP($B438,'Run Reconcile'!B$2:O799,14,FALSE)</f>
        <v>1</v>
      </c>
      <c r="R438" s="255" t="str">
        <f t="array" ref="R438">IF($Q438, INDEX('Run Reconcile'!A$2:A799,MATCH(B438,'Run Reconcile'!B$2:B799,0),1),IFERROR(0/0,""))</f>
        <v>RUN-BEND_2022-02-19_RFR-036</v>
      </c>
      <c r="S438" s="261" t="str">
        <f t="shared" ref="S438:T438" si="883">IF(COUNTIF(W$2:W799, $A438) &gt; 0,TRUE,IFERROR(0/0,""))</f>
        <v/>
      </c>
      <c r="T438" s="261" t="str">
        <f t="shared" si="883"/>
        <v/>
      </c>
      <c r="U438" s="257" t="str">
        <f t="array" ref="U438">IF(ISBLANK($R438), INDEX('Run Reconcile'!A$2:A799, MATCH($B438, 'Run Reconcile'!B$2:B799, 0)+Z438, 1), IFERROR(0/0,""))
</f>
        <v/>
      </c>
      <c r="V438" s="258" t="str">
        <f t="shared" si="480"/>
        <v>RUN-BEND_2022-02-19_RFR-036</v>
      </c>
      <c r="Y438" s="130" t="str">
        <f t="shared" si="487"/>
        <v/>
      </c>
      <c r="Z438" s="49" t="str">
        <f t="shared" si="7"/>
        <v/>
      </c>
      <c r="AA438" s="49" t="str">
        <f t="shared" si="8"/>
        <v/>
      </c>
      <c r="AB438" s="49" t="str">
        <f t="shared" si="9"/>
        <v/>
      </c>
      <c r="AC438" s="20" t="str">
        <f t="shared" ref="AC438:AD438" si="884">IF(_xlfn.ISFORMULA(S438),IFERROR(0/0,""),TRUE)</f>
        <v/>
      </c>
      <c r="AD438" s="20" t="str">
        <f t="shared" si="884"/>
        <v/>
      </c>
      <c r="AE438" s="43"/>
      <c r="AF438" s="62" t="s">
        <v>58</v>
      </c>
      <c r="AG438" s="57" t="str">
        <f t="shared" si="11"/>
        <v/>
      </c>
    </row>
    <row r="439">
      <c r="A439" s="6" t="str">
        <f>IFERROR(__xludf.DUMMYFUNCTION("""COMPUTED_VALUE"""),"MA1040")</f>
        <v>MA1040</v>
      </c>
      <c r="B439" s="204">
        <f>IFERROR(__xludf.DUMMYFUNCTION("""COMPUTED_VALUE"""),44611.0)</f>
        <v>44611</v>
      </c>
      <c r="C439" s="250">
        <f>IFERROR(__xludf.DUMMYFUNCTION("""COMPUTED_VALUE"""),0.3335763888888889)</f>
        <v>0.3335763889</v>
      </c>
      <c r="D439" s="6" t="str">
        <f>IFERROR(__xludf.DUMMYFUNCTION("""COMPUTED_VALUE"""),"SpBEND183210")</f>
        <v>SpBEND183210</v>
      </c>
      <c r="E439" s="251"/>
      <c r="F439" s="251"/>
      <c r="G439" s="251" t="str">
        <f>IFERROR(__xludf.DUMMYFUNCTION("""COMPUTED_VALUE"""),"Negative")</f>
        <v>Negative</v>
      </c>
      <c r="H439" s="262" t="str">
        <f>IFERROR(__xludf.DUMMYFUNCTION("""COMPUTED_VALUE"""),"Negative")</f>
        <v>Negative</v>
      </c>
      <c r="I439" s="204">
        <f>IFERROR(__xludf.DUMMYFUNCTION("""COMPUTED_VALUE"""),44611.0)</f>
        <v>44611</v>
      </c>
      <c r="J439" s="252">
        <f>IFERROR(__xludf.DUMMYFUNCTION("""COMPUTED_VALUE"""),0.4882638888888889)</f>
        <v>0.4882638889</v>
      </c>
      <c r="K439" s="56"/>
      <c r="L439" s="6"/>
      <c r="M439" s="61"/>
      <c r="N439" s="61">
        <f>IFERROR(__xludf.DUMMYFUNCTION("""COMPUTED_VALUE"""),1.0)</f>
        <v>1</v>
      </c>
      <c r="O439" s="61" t="str">
        <f t="shared" si="3"/>
        <v/>
      </c>
      <c r="P439" s="253">
        <f>IFERROR(__xludf.DUMMYFUNCTION("""COMPUTED_VALUE"""),0.0)</f>
        <v>0</v>
      </c>
      <c r="Q439" s="254" t="b">
        <f>VLOOKUP($B439,'Run Reconcile'!B$2:O799,14,FALSE)</f>
        <v>1</v>
      </c>
      <c r="R439" s="255" t="str">
        <f t="array" ref="R439">IF($Q439, INDEX('Run Reconcile'!A$2:A799,MATCH(B439,'Run Reconcile'!B$2:B799,0),1),IFERROR(0/0,""))</f>
        <v>RUN-BEND_2022-02-19_RFR-036</v>
      </c>
      <c r="S439" s="261" t="str">
        <f t="shared" ref="S439:T439" si="885">IF(COUNTIF(W$2:W799, $A439) &gt; 0,TRUE,IFERROR(0/0,""))</f>
        <v/>
      </c>
      <c r="T439" s="261" t="str">
        <f t="shared" si="885"/>
        <v/>
      </c>
      <c r="U439" s="257" t="str">
        <f t="array" ref="U439">IF(ISBLANK($R439), INDEX('Run Reconcile'!A$2:A799, MATCH($B439, 'Run Reconcile'!B$2:B799, 0)+Z439, 1), IFERROR(0/0,""))
</f>
        <v/>
      </c>
      <c r="V439" s="258" t="str">
        <f t="shared" si="480"/>
        <v>RUN-BEND_2022-02-19_RFR-036</v>
      </c>
      <c r="Y439" s="130" t="str">
        <f t="shared" si="487"/>
        <v/>
      </c>
      <c r="Z439" s="49" t="str">
        <f t="shared" si="7"/>
        <v/>
      </c>
      <c r="AA439" s="49" t="str">
        <f t="shared" si="8"/>
        <v/>
      </c>
      <c r="AB439" s="49" t="str">
        <f t="shared" si="9"/>
        <v/>
      </c>
      <c r="AC439" s="20" t="str">
        <f t="shared" ref="AC439:AD439" si="886">IF(_xlfn.ISFORMULA(S439),IFERROR(0/0,""),TRUE)</f>
        <v/>
      </c>
      <c r="AD439" s="20" t="str">
        <f t="shared" si="886"/>
        <v/>
      </c>
      <c r="AE439" s="43"/>
      <c r="AF439" s="62" t="s">
        <v>58</v>
      </c>
      <c r="AG439" s="57" t="str">
        <f t="shared" si="11"/>
        <v/>
      </c>
    </row>
    <row r="440">
      <c r="A440" s="6" t="str">
        <f>IFERROR(__xludf.DUMMYFUNCTION("""COMPUTED_VALUE"""),"FM839")</f>
        <v>FM839</v>
      </c>
      <c r="B440" s="204">
        <f>IFERROR(__xludf.DUMMYFUNCTION("""COMPUTED_VALUE"""),44611.0)</f>
        <v>44611</v>
      </c>
      <c r="C440" s="250">
        <f>IFERROR(__xludf.DUMMYFUNCTION("""COMPUTED_VALUE"""),0.3342824074074074)</f>
        <v>0.3342824074</v>
      </c>
      <c r="D440" s="6" t="str">
        <f>IFERROR(__xludf.DUMMYFUNCTION("""COMPUTED_VALUE"""),"SpBEND522465")</f>
        <v>SpBEND522465</v>
      </c>
      <c r="E440" s="251"/>
      <c r="F440" s="251"/>
      <c r="G440" s="251" t="str">
        <f>IFERROR(__xludf.DUMMYFUNCTION("""COMPUTED_VALUE"""),"Negative")</f>
        <v>Negative</v>
      </c>
      <c r="H440" s="262" t="str">
        <f>IFERROR(__xludf.DUMMYFUNCTION("""COMPUTED_VALUE"""),"Negative")</f>
        <v>Negative</v>
      </c>
      <c r="I440" s="204">
        <f>IFERROR(__xludf.DUMMYFUNCTION("""COMPUTED_VALUE"""),44611.0)</f>
        <v>44611</v>
      </c>
      <c r="J440" s="252">
        <f>IFERROR(__xludf.DUMMYFUNCTION("""COMPUTED_VALUE"""),0.4882638888888889)</f>
        <v>0.4882638889</v>
      </c>
      <c r="K440" s="56"/>
      <c r="L440" s="6"/>
      <c r="M440" s="61"/>
      <c r="N440" s="61">
        <f>IFERROR(__xludf.DUMMYFUNCTION("""COMPUTED_VALUE"""),1.0)</f>
        <v>1</v>
      </c>
      <c r="O440" s="61" t="str">
        <f t="shared" si="3"/>
        <v/>
      </c>
      <c r="P440" s="253">
        <f>IFERROR(__xludf.DUMMYFUNCTION("""COMPUTED_VALUE"""),0.0)</f>
        <v>0</v>
      </c>
      <c r="Q440" s="254" t="b">
        <f>VLOOKUP($B440,'Run Reconcile'!B$2:O799,14,FALSE)</f>
        <v>1</v>
      </c>
      <c r="R440" s="255" t="str">
        <f t="array" ref="R440">IF($Q440, INDEX('Run Reconcile'!A$2:A799,MATCH(B440,'Run Reconcile'!B$2:B799,0),1),IFERROR(0/0,""))</f>
        <v>RUN-BEND_2022-02-19_RFR-036</v>
      </c>
      <c r="S440" s="261" t="str">
        <f t="shared" ref="S440:T440" si="887">IF(COUNTIF(W$2:W799, $A440) &gt; 0,TRUE,IFERROR(0/0,""))</f>
        <v/>
      </c>
      <c r="T440" s="261" t="str">
        <f t="shared" si="887"/>
        <v/>
      </c>
      <c r="U440" s="257" t="str">
        <f t="array" ref="U440">IF(ISBLANK($R440), INDEX('Run Reconcile'!A$2:A799, MATCH($B440, 'Run Reconcile'!B$2:B799, 0)+Z440, 1), IFERROR(0/0,""))
</f>
        <v/>
      </c>
      <c r="V440" s="258" t="str">
        <f t="shared" si="480"/>
        <v>RUN-BEND_2022-02-19_RFR-036</v>
      </c>
      <c r="Y440" s="130" t="str">
        <f t="shared" si="487"/>
        <v/>
      </c>
      <c r="Z440" s="49" t="str">
        <f t="shared" si="7"/>
        <v/>
      </c>
      <c r="AA440" s="49" t="str">
        <f t="shared" si="8"/>
        <v/>
      </c>
      <c r="AB440" s="49" t="str">
        <f t="shared" si="9"/>
        <v/>
      </c>
      <c r="AC440" s="20" t="str">
        <f t="shared" ref="AC440:AD440" si="888">IF(_xlfn.ISFORMULA(S440),IFERROR(0/0,""),TRUE)</f>
        <v/>
      </c>
      <c r="AD440" s="20" t="str">
        <f t="shared" si="888"/>
        <v/>
      </c>
      <c r="AE440" s="43"/>
      <c r="AF440" s="62" t="s">
        <v>58</v>
      </c>
      <c r="AG440" s="57" t="str">
        <f t="shared" si="11"/>
        <v/>
      </c>
    </row>
    <row r="441">
      <c r="A441" s="6" t="str">
        <f>IFERROR(__xludf.DUMMYFUNCTION("""COMPUTED_VALUE"""),"FM803")</f>
        <v>FM803</v>
      </c>
      <c r="B441" s="204">
        <f>IFERROR(__xludf.DUMMYFUNCTION("""COMPUTED_VALUE"""),44611.0)</f>
        <v>44611</v>
      </c>
      <c r="C441" s="250">
        <f>IFERROR(__xludf.DUMMYFUNCTION("""COMPUTED_VALUE"""),0.33471064814814816)</f>
        <v>0.3347106481</v>
      </c>
      <c r="D441" s="6" t="str">
        <f>IFERROR(__xludf.DUMMYFUNCTION("""COMPUTED_VALUE"""),"SpBEND522465")</f>
        <v>SpBEND522465</v>
      </c>
      <c r="E441" s="251"/>
      <c r="F441" s="251"/>
      <c r="G441" s="251" t="str">
        <f>IFERROR(__xludf.DUMMYFUNCTION("""COMPUTED_VALUE"""),"Negative")</f>
        <v>Negative</v>
      </c>
      <c r="H441" s="262" t="str">
        <f>IFERROR(__xludf.DUMMYFUNCTION("""COMPUTED_VALUE"""),"Negative")</f>
        <v>Negative</v>
      </c>
      <c r="I441" s="204">
        <f>IFERROR(__xludf.DUMMYFUNCTION("""COMPUTED_VALUE"""),44611.0)</f>
        <v>44611</v>
      </c>
      <c r="J441" s="252">
        <f>IFERROR(__xludf.DUMMYFUNCTION("""COMPUTED_VALUE"""),0.4882638888888889)</f>
        <v>0.4882638889</v>
      </c>
      <c r="K441" s="56"/>
      <c r="L441" s="6"/>
      <c r="M441" s="61"/>
      <c r="N441" s="61">
        <f>IFERROR(__xludf.DUMMYFUNCTION("""COMPUTED_VALUE"""),1.0)</f>
        <v>1</v>
      </c>
      <c r="O441" s="61" t="str">
        <f t="shared" si="3"/>
        <v/>
      </c>
      <c r="P441" s="253">
        <f>IFERROR(__xludf.DUMMYFUNCTION("""COMPUTED_VALUE"""),0.0)</f>
        <v>0</v>
      </c>
      <c r="Q441" s="254" t="b">
        <f>VLOOKUP($B441,'Run Reconcile'!B$2:O799,14,FALSE)</f>
        <v>1</v>
      </c>
      <c r="R441" s="255" t="str">
        <f t="array" ref="R441">IF($Q441, INDEX('Run Reconcile'!A$2:A799,MATCH(B441,'Run Reconcile'!B$2:B799,0),1),IFERROR(0/0,""))</f>
        <v>RUN-BEND_2022-02-19_RFR-036</v>
      </c>
      <c r="S441" s="261" t="str">
        <f t="shared" ref="S441:T441" si="889">IF(COUNTIF(W$2:W799, $A441) &gt; 0,TRUE,IFERROR(0/0,""))</f>
        <v/>
      </c>
      <c r="T441" s="261" t="str">
        <f t="shared" si="889"/>
        <v/>
      </c>
      <c r="U441" s="257" t="str">
        <f t="array" ref="U441">IF(ISBLANK($R441), INDEX('Run Reconcile'!A$2:A799, MATCH($B441, 'Run Reconcile'!B$2:B799, 0)+Z441, 1), IFERROR(0/0,""))
</f>
        <v/>
      </c>
      <c r="V441" s="258" t="str">
        <f t="shared" si="480"/>
        <v>RUN-BEND_2022-02-19_RFR-036</v>
      </c>
      <c r="Y441" s="130" t="str">
        <f t="shared" si="487"/>
        <v/>
      </c>
      <c r="Z441" s="49" t="str">
        <f t="shared" si="7"/>
        <v/>
      </c>
      <c r="AA441" s="49" t="str">
        <f t="shared" si="8"/>
        <v/>
      </c>
      <c r="AB441" s="49" t="str">
        <f t="shared" si="9"/>
        <v/>
      </c>
      <c r="AC441" s="20" t="str">
        <f t="shared" ref="AC441:AD441" si="890">IF(_xlfn.ISFORMULA(S441),IFERROR(0/0,""),TRUE)</f>
        <v/>
      </c>
      <c r="AD441" s="20" t="str">
        <f t="shared" si="890"/>
        <v/>
      </c>
      <c r="AE441" s="43"/>
      <c r="AF441" s="62" t="s">
        <v>58</v>
      </c>
      <c r="AG441" s="57" t="str">
        <f t="shared" si="11"/>
        <v/>
      </c>
    </row>
    <row r="442">
      <c r="A442" s="6" t="str">
        <f>IFERROR(__xludf.DUMMYFUNCTION("""COMPUTED_VALUE"""),"MA608")</f>
        <v>MA608</v>
      </c>
      <c r="B442" s="204">
        <f>IFERROR(__xludf.DUMMYFUNCTION("""COMPUTED_VALUE"""),44611.0)</f>
        <v>44611</v>
      </c>
      <c r="C442" s="250">
        <f>IFERROR(__xludf.DUMMYFUNCTION("""COMPUTED_VALUE"""),0.3349537037037037)</f>
        <v>0.3349537037</v>
      </c>
      <c r="D442" s="6" t="str">
        <f>IFERROR(__xludf.DUMMYFUNCTION("""COMPUTED_VALUE"""),"SpBEND183210")</f>
        <v>SpBEND183210</v>
      </c>
      <c r="E442" s="251"/>
      <c r="F442" s="251"/>
      <c r="G442" s="251" t="str">
        <f>IFERROR(__xludf.DUMMYFUNCTION("""COMPUTED_VALUE"""),"Negative")</f>
        <v>Negative</v>
      </c>
      <c r="H442" s="262" t="str">
        <f>IFERROR(__xludf.DUMMYFUNCTION("""COMPUTED_VALUE"""),"Negative")</f>
        <v>Negative</v>
      </c>
      <c r="I442" s="204">
        <f>IFERROR(__xludf.DUMMYFUNCTION("""COMPUTED_VALUE"""),44611.0)</f>
        <v>44611</v>
      </c>
      <c r="J442" s="252">
        <f>IFERROR(__xludf.DUMMYFUNCTION("""COMPUTED_VALUE"""),0.5041203703703704)</f>
        <v>0.5041203704</v>
      </c>
      <c r="K442" s="56"/>
      <c r="L442" s="6"/>
      <c r="M442" s="61"/>
      <c r="N442" s="61">
        <f>IFERROR(__xludf.DUMMYFUNCTION("""COMPUTED_VALUE"""),1.0)</f>
        <v>1</v>
      </c>
      <c r="O442" s="61" t="str">
        <f t="shared" si="3"/>
        <v/>
      </c>
      <c r="P442" s="253">
        <f>IFERROR(__xludf.DUMMYFUNCTION("""COMPUTED_VALUE"""),0.0)</f>
        <v>0</v>
      </c>
      <c r="Q442" s="254" t="b">
        <f>VLOOKUP($B442,'Run Reconcile'!B$2:O799,14,FALSE)</f>
        <v>1</v>
      </c>
      <c r="R442" s="255" t="str">
        <f t="array" ref="R442">IF($Q442, INDEX('Run Reconcile'!A$2:A799,MATCH(B442,'Run Reconcile'!B$2:B799,0),1),IFERROR(0/0,""))</f>
        <v>RUN-BEND_2022-02-19_RFR-036</v>
      </c>
      <c r="S442" s="261" t="str">
        <f t="shared" ref="S442:T442" si="891">IF(COUNTIF(W$2:W799, $A442) &gt; 0,TRUE,IFERROR(0/0,""))</f>
        <v/>
      </c>
      <c r="T442" s="261" t="str">
        <f t="shared" si="891"/>
        <v/>
      </c>
      <c r="U442" s="257" t="str">
        <f t="array" ref="U442">IF(ISBLANK($R442), INDEX('Run Reconcile'!A$2:A799, MATCH($B442, 'Run Reconcile'!B$2:B799, 0)+Z442, 1), IFERROR(0/0,""))
</f>
        <v/>
      </c>
      <c r="V442" s="258" t="str">
        <f t="shared" si="480"/>
        <v>RUN-BEND_2022-02-19_RFR-036</v>
      </c>
      <c r="Y442" s="130" t="str">
        <f t="shared" si="487"/>
        <v/>
      </c>
      <c r="Z442" s="49" t="str">
        <f t="shared" si="7"/>
        <v/>
      </c>
      <c r="AA442" s="49" t="str">
        <f t="shared" si="8"/>
        <v/>
      </c>
      <c r="AB442" s="49" t="str">
        <f t="shared" si="9"/>
        <v/>
      </c>
      <c r="AC442" s="20" t="str">
        <f t="shared" ref="AC442:AD442" si="892">IF(_xlfn.ISFORMULA(S442),IFERROR(0/0,""),TRUE)</f>
        <v/>
      </c>
      <c r="AD442" s="20" t="str">
        <f t="shared" si="892"/>
        <v/>
      </c>
      <c r="AE442" s="43"/>
      <c r="AF442" s="62" t="s">
        <v>58</v>
      </c>
      <c r="AG442" s="57" t="str">
        <f t="shared" si="11"/>
        <v/>
      </c>
    </row>
    <row r="443">
      <c r="A443" s="6" t="str">
        <f>IFERROR(__xludf.DUMMYFUNCTION("""COMPUTED_VALUE"""),"FM35")</f>
        <v>FM35</v>
      </c>
      <c r="B443" s="204">
        <f>IFERROR(__xludf.DUMMYFUNCTION("""COMPUTED_VALUE"""),44611.0)</f>
        <v>44611</v>
      </c>
      <c r="C443" s="250">
        <f>IFERROR(__xludf.DUMMYFUNCTION("""COMPUTED_VALUE"""),0.34528935185185183)</f>
        <v>0.3452893519</v>
      </c>
      <c r="D443" s="6" t="str">
        <f>IFERROR(__xludf.DUMMYFUNCTION("""COMPUTED_VALUE"""),"SpBEND136234")</f>
        <v>SpBEND136234</v>
      </c>
      <c r="E443" s="251"/>
      <c r="F443" s="251"/>
      <c r="G443" s="251" t="str">
        <f>IFERROR(__xludf.DUMMYFUNCTION("""COMPUTED_VALUE"""),"Negative")</f>
        <v>Negative</v>
      </c>
      <c r="H443" s="262" t="str">
        <f>IFERROR(__xludf.DUMMYFUNCTION("""COMPUTED_VALUE"""),"Negative")</f>
        <v>Negative</v>
      </c>
      <c r="I443" s="204">
        <f>IFERROR(__xludf.DUMMYFUNCTION("""COMPUTED_VALUE"""),44611.0)</f>
        <v>44611</v>
      </c>
      <c r="J443" s="252">
        <f>IFERROR(__xludf.DUMMYFUNCTION("""COMPUTED_VALUE"""),0.4882638888888889)</f>
        <v>0.4882638889</v>
      </c>
      <c r="K443" s="56"/>
      <c r="L443" s="6"/>
      <c r="M443" s="61"/>
      <c r="N443" s="61">
        <f>IFERROR(__xludf.DUMMYFUNCTION("""COMPUTED_VALUE"""),1.0)</f>
        <v>1</v>
      </c>
      <c r="O443" s="61" t="str">
        <f t="shared" si="3"/>
        <v/>
      </c>
      <c r="P443" s="253">
        <f>IFERROR(__xludf.DUMMYFUNCTION("""COMPUTED_VALUE"""),0.0)</f>
        <v>0</v>
      </c>
      <c r="Q443" s="254" t="b">
        <f>VLOOKUP($B443,'Run Reconcile'!B$2:O799,14,FALSE)</f>
        <v>1</v>
      </c>
      <c r="R443" s="255" t="str">
        <f t="array" ref="R443">IF($Q443, INDEX('Run Reconcile'!A$2:A799,MATCH(B443,'Run Reconcile'!B$2:B799,0),1),IFERROR(0/0,""))</f>
        <v>RUN-BEND_2022-02-19_RFR-036</v>
      </c>
      <c r="S443" s="261" t="str">
        <f t="shared" ref="S443:T443" si="893">IF(COUNTIF(W$2:W799, $A443) &gt; 0,TRUE,IFERROR(0/0,""))</f>
        <v/>
      </c>
      <c r="T443" s="261" t="str">
        <f t="shared" si="893"/>
        <v/>
      </c>
      <c r="U443" s="257" t="str">
        <f t="array" ref="U443">IF(ISBLANK($R443), INDEX('Run Reconcile'!A$2:A799, MATCH($B443, 'Run Reconcile'!B$2:B799, 0)+Z443, 1), IFERROR(0/0,""))
</f>
        <v/>
      </c>
      <c r="V443" s="258" t="str">
        <f t="shared" si="480"/>
        <v>RUN-BEND_2022-02-19_RFR-036</v>
      </c>
      <c r="Y443" s="130" t="str">
        <f t="shared" si="487"/>
        <v/>
      </c>
      <c r="Z443" s="49" t="str">
        <f t="shared" si="7"/>
        <v/>
      </c>
      <c r="AA443" s="49" t="str">
        <f t="shared" si="8"/>
        <v/>
      </c>
      <c r="AB443" s="49" t="str">
        <f t="shared" si="9"/>
        <v/>
      </c>
      <c r="AC443" s="20" t="str">
        <f t="shared" ref="AC443:AD443" si="894">IF(_xlfn.ISFORMULA(S443),IFERROR(0/0,""),TRUE)</f>
        <v/>
      </c>
      <c r="AD443" s="20" t="str">
        <f t="shared" si="894"/>
        <v/>
      </c>
      <c r="AE443" s="43"/>
      <c r="AF443" s="62" t="s">
        <v>58</v>
      </c>
      <c r="AG443" s="57" t="str">
        <f t="shared" si="11"/>
        <v/>
      </c>
    </row>
    <row r="444">
      <c r="A444" s="6" t="str">
        <f>IFERROR(__xludf.DUMMYFUNCTION("""COMPUTED_VALUE"""),"FM38")</f>
        <v>FM38</v>
      </c>
      <c r="B444" s="204">
        <f>IFERROR(__xludf.DUMMYFUNCTION("""COMPUTED_VALUE"""),44611.0)</f>
        <v>44611</v>
      </c>
      <c r="C444" s="250">
        <f>IFERROR(__xludf.DUMMYFUNCTION("""COMPUTED_VALUE"""),0.3456018518518518)</f>
        <v>0.3456018519</v>
      </c>
      <c r="D444" s="6" t="str">
        <f>IFERROR(__xludf.DUMMYFUNCTION("""COMPUTED_VALUE"""),"SpBEND524085")</f>
        <v>SpBEND524085</v>
      </c>
      <c r="E444" s="251"/>
      <c r="F444" s="251"/>
      <c r="G444" s="251" t="str">
        <f>IFERROR(__xludf.DUMMYFUNCTION("""COMPUTED_VALUE"""),"Negative")</f>
        <v>Negative</v>
      </c>
      <c r="H444" s="262" t="str">
        <f>IFERROR(__xludf.DUMMYFUNCTION("""COMPUTED_VALUE"""),"Negative")</f>
        <v>Negative</v>
      </c>
      <c r="I444" s="204">
        <f>IFERROR(__xludf.DUMMYFUNCTION("""COMPUTED_VALUE"""),44611.0)</f>
        <v>44611</v>
      </c>
      <c r="J444" s="252">
        <f>IFERROR(__xludf.DUMMYFUNCTION("""COMPUTED_VALUE"""),0.4882638888888889)</f>
        <v>0.4882638889</v>
      </c>
      <c r="K444" s="56"/>
      <c r="L444" s="6"/>
      <c r="M444" s="61"/>
      <c r="N444" s="61">
        <f>IFERROR(__xludf.DUMMYFUNCTION("""COMPUTED_VALUE"""),1.0)</f>
        <v>1</v>
      </c>
      <c r="O444" s="61" t="str">
        <f t="shared" si="3"/>
        <v/>
      </c>
      <c r="P444" s="253">
        <f>IFERROR(__xludf.DUMMYFUNCTION("""COMPUTED_VALUE"""),0.0)</f>
        <v>0</v>
      </c>
      <c r="Q444" s="254" t="b">
        <f>VLOOKUP($B444,'Run Reconcile'!B$2:O799,14,FALSE)</f>
        <v>1</v>
      </c>
      <c r="R444" s="255" t="str">
        <f t="array" ref="R444">IF($Q444, INDEX('Run Reconcile'!A$2:A799,MATCH(B444,'Run Reconcile'!B$2:B799,0),1),IFERROR(0/0,""))</f>
        <v>RUN-BEND_2022-02-19_RFR-036</v>
      </c>
      <c r="S444" s="261" t="str">
        <f t="shared" ref="S444:T444" si="895">IF(COUNTIF(W$2:W799, $A444) &gt; 0,TRUE,IFERROR(0/0,""))</f>
        <v/>
      </c>
      <c r="T444" s="261" t="str">
        <f t="shared" si="895"/>
        <v/>
      </c>
      <c r="U444" s="257" t="str">
        <f t="array" ref="U444">IF(ISBLANK($R444), INDEX('Run Reconcile'!A$2:A799, MATCH($B444, 'Run Reconcile'!B$2:B799, 0)+Z444, 1), IFERROR(0/0,""))
</f>
        <v/>
      </c>
      <c r="V444" s="258" t="str">
        <f t="shared" si="480"/>
        <v>RUN-BEND_2022-02-19_RFR-036</v>
      </c>
      <c r="Y444" s="130" t="str">
        <f t="shared" si="487"/>
        <v/>
      </c>
      <c r="Z444" s="49" t="str">
        <f t="shared" si="7"/>
        <v/>
      </c>
      <c r="AA444" s="49" t="str">
        <f t="shared" si="8"/>
        <v/>
      </c>
      <c r="AB444" s="49" t="str">
        <f t="shared" si="9"/>
        <v/>
      </c>
      <c r="AC444" s="20" t="str">
        <f t="shared" ref="AC444:AD444" si="896">IF(_xlfn.ISFORMULA(S444),IFERROR(0/0,""),TRUE)</f>
        <v/>
      </c>
      <c r="AD444" s="20" t="str">
        <f t="shared" si="896"/>
        <v/>
      </c>
      <c r="AE444" s="43"/>
      <c r="AF444" s="62" t="s">
        <v>58</v>
      </c>
      <c r="AG444" s="57" t="str">
        <f t="shared" si="11"/>
        <v/>
      </c>
    </row>
    <row r="445">
      <c r="A445" s="6" t="str">
        <f>IFERROR(__xludf.DUMMYFUNCTION("""COMPUTED_VALUE"""),"MA229")</f>
        <v>MA229</v>
      </c>
      <c r="B445" s="204">
        <f>IFERROR(__xludf.DUMMYFUNCTION("""COMPUTED_VALUE"""),44611.0)</f>
        <v>44611</v>
      </c>
      <c r="C445" s="250">
        <f>IFERROR(__xludf.DUMMYFUNCTION("""COMPUTED_VALUE"""),0.4735300925925926)</f>
        <v>0.4735300926</v>
      </c>
      <c r="D445" s="6" t="str">
        <f>IFERROR(__xludf.DUMMYFUNCTION("""COMPUTED_VALUE"""),"SpBEND394154")</f>
        <v>SpBEND394154</v>
      </c>
      <c r="E445" s="251"/>
      <c r="F445" s="251"/>
      <c r="G445" s="251" t="str">
        <f>IFERROR(__xludf.DUMMYFUNCTION("""COMPUTED_VALUE"""),"Negative")</f>
        <v>Negative</v>
      </c>
      <c r="H445" s="262" t="str">
        <f>IFERROR(__xludf.DUMMYFUNCTION("""COMPUTED_VALUE"""),"Negative")</f>
        <v>Negative</v>
      </c>
      <c r="I445" s="204">
        <f>IFERROR(__xludf.DUMMYFUNCTION("""COMPUTED_VALUE"""),44611.0)</f>
        <v>44611</v>
      </c>
      <c r="J445" s="252">
        <f>IFERROR(__xludf.DUMMYFUNCTION("""COMPUTED_VALUE"""),0.4882638888888889)</f>
        <v>0.4882638889</v>
      </c>
      <c r="K445" s="56"/>
      <c r="L445" s="6"/>
      <c r="M445" s="61"/>
      <c r="N445" s="61">
        <f>IFERROR(__xludf.DUMMYFUNCTION("""COMPUTED_VALUE"""),1.0)</f>
        <v>1</v>
      </c>
      <c r="O445" s="61" t="str">
        <f t="shared" si="3"/>
        <v/>
      </c>
      <c r="P445" s="253">
        <f>IFERROR(__xludf.DUMMYFUNCTION("""COMPUTED_VALUE"""),0.0)</f>
        <v>0</v>
      </c>
      <c r="Q445" s="254" t="b">
        <f>VLOOKUP($B445,'Run Reconcile'!B$2:O799,14,FALSE)</f>
        <v>1</v>
      </c>
      <c r="R445" s="255" t="str">
        <f t="array" ref="R445">IF($Q445, INDEX('Run Reconcile'!A$2:A799,MATCH(B445,'Run Reconcile'!B$2:B799,0),1),IFERROR(0/0,""))</f>
        <v>RUN-BEND_2022-02-19_RFR-036</v>
      </c>
      <c r="S445" s="261" t="str">
        <f t="shared" ref="S445:T445" si="897">IF(COUNTIF(W$2:W799, $A445) &gt; 0,TRUE,IFERROR(0/0,""))</f>
        <v/>
      </c>
      <c r="T445" s="261" t="str">
        <f t="shared" si="897"/>
        <v/>
      </c>
      <c r="U445" s="257" t="str">
        <f t="array" ref="U445">IF(ISBLANK($R445), INDEX('Run Reconcile'!A$2:A799, MATCH($B445, 'Run Reconcile'!B$2:B799, 0)+Z445, 1), IFERROR(0/0,""))
</f>
        <v/>
      </c>
      <c r="V445" s="258" t="str">
        <f t="shared" si="480"/>
        <v>RUN-BEND_2022-02-19_RFR-036</v>
      </c>
      <c r="Y445" s="130" t="str">
        <f t="shared" si="487"/>
        <v/>
      </c>
      <c r="Z445" s="49" t="str">
        <f t="shared" si="7"/>
        <v/>
      </c>
      <c r="AA445" s="49" t="str">
        <f t="shared" si="8"/>
        <v/>
      </c>
      <c r="AB445" s="49" t="str">
        <f t="shared" si="9"/>
        <v/>
      </c>
      <c r="AC445" s="20" t="str">
        <f t="shared" ref="AC445:AD445" si="898">IF(_xlfn.ISFORMULA(S445),IFERROR(0/0,""),TRUE)</f>
        <v/>
      </c>
      <c r="AD445" s="20" t="str">
        <f t="shared" si="898"/>
        <v/>
      </c>
      <c r="AE445" s="43"/>
      <c r="AF445" s="62" t="s">
        <v>58</v>
      </c>
      <c r="AG445" s="57" t="str">
        <f t="shared" si="11"/>
        <v/>
      </c>
    </row>
    <row r="446">
      <c r="A446" s="6" t="str">
        <f>IFERROR(__xludf.DUMMYFUNCTION("""COMPUTED_VALUE"""),"FM117")</f>
        <v>FM117</v>
      </c>
      <c r="B446" s="204">
        <f>IFERROR(__xludf.DUMMYFUNCTION("""COMPUTED_VALUE"""),44613.0)</f>
        <v>44613</v>
      </c>
      <c r="C446" s="250">
        <f>IFERROR(__xludf.DUMMYFUNCTION("""COMPUTED_VALUE"""),0.26121527777777775)</f>
        <v>0.2612152778</v>
      </c>
      <c r="D446" s="6" t="str">
        <f>IFERROR(__xludf.DUMMYFUNCTION("""COMPUTED_VALUE"""),"SpBEND617677")</f>
        <v>SpBEND617677</v>
      </c>
      <c r="E446" s="251"/>
      <c r="F446" s="251"/>
      <c r="G446" s="251" t="str">
        <f>IFERROR(__xludf.DUMMYFUNCTION("""COMPUTED_VALUE"""),"Negative")</f>
        <v>Negative</v>
      </c>
      <c r="H446" s="262" t="str">
        <f>IFERROR(__xludf.DUMMYFUNCTION("""COMPUTED_VALUE"""),"Negative")</f>
        <v>Negative</v>
      </c>
      <c r="I446" s="204">
        <f>IFERROR(__xludf.DUMMYFUNCTION("""COMPUTED_VALUE"""),44613.0)</f>
        <v>44613</v>
      </c>
      <c r="J446" s="252">
        <f>IFERROR(__xludf.DUMMYFUNCTION("""COMPUTED_VALUE"""),0.4693865740740741)</f>
        <v>0.4693865741</v>
      </c>
      <c r="K446" s="56"/>
      <c r="L446" s="6"/>
      <c r="M446" s="61"/>
      <c r="N446" s="61">
        <f>IFERROR(__xludf.DUMMYFUNCTION("""COMPUTED_VALUE"""),1.0)</f>
        <v>1</v>
      </c>
      <c r="O446" s="61" t="b">
        <f t="shared" si="3"/>
        <v>1</v>
      </c>
      <c r="P446" s="253">
        <f>IFERROR(__xludf.DUMMYFUNCTION("""COMPUTED_VALUE"""),0.0)</f>
        <v>0</v>
      </c>
      <c r="Q446" s="254" t="b">
        <f>VLOOKUP($B446,'Run Reconcile'!B$2:O799,14,FALSE)</f>
        <v>1</v>
      </c>
      <c r="R446" s="255" t="str">
        <f t="array" ref="R446">IF($Q446, INDEX('Run Reconcile'!A$2:A799,MATCH(B446,'Run Reconcile'!B$2:B799,0),1),IFERROR(0/0,""))</f>
        <v>RUN-BEND_2022-02-21_RFR-037</v>
      </c>
      <c r="S446" s="261" t="str">
        <f t="shared" ref="S446:T446" si="899">IF(COUNTIF(W$2:W799, $A446) &gt; 0,TRUE,IFERROR(0/0,""))</f>
        <v/>
      </c>
      <c r="T446" s="261" t="str">
        <f t="shared" si="899"/>
        <v/>
      </c>
      <c r="U446" s="257" t="str">
        <f t="array" ref="U446">IF(ISBLANK($R446), INDEX('Run Reconcile'!A$2:A799, MATCH($B446, 'Run Reconcile'!B$2:B799, 0)+Z446, 1), IFERROR(0/0,""))
</f>
        <v/>
      </c>
      <c r="V446" s="258" t="str">
        <f t="shared" si="480"/>
        <v>RUN-BEND_2022-02-21_RFR-037</v>
      </c>
      <c r="Y446" s="130" t="str">
        <f t="shared" si="487"/>
        <v/>
      </c>
      <c r="Z446" s="49" t="str">
        <f t="shared" si="7"/>
        <v/>
      </c>
      <c r="AA446" s="49" t="str">
        <f t="shared" si="8"/>
        <v/>
      </c>
      <c r="AB446" s="49" t="str">
        <f t="shared" si="9"/>
        <v/>
      </c>
      <c r="AC446" s="20" t="str">
        <f t="shared" ref="AC446:AD446" si="900">IF(_xlfn.ISFORMULA(S446),IFERROR(0/0,""),TRUE)</f>
        <v/>
      </c>
      <c r="AD446" s="20" t="str">
        <f t="shared" si="900"/>
        <v/>
      </c>
      <c r="AE446" s="43"/>
      <c r="AF446" s="62" t="s">
        <v>59</v>
      </c>
      <c r="AG446" s="57" t="str">
        <f t="shared" si="11"/>
        <v/>
      </c>
    </row>
    <row r="447">
      <c r="A447" s="6" t="str">
        <f>IFERROR(__xludf.DUMMYFUNCTION("""COMPUTED_VALUE"""),"FM437")</f>
        <v>FM437</v>
      </c>
      <c r="B447" s="204">
        <f>IFERROR(__xludf.DUMMYFUNCTION("""COMPUTED_VALUE"""),44613.0)</f>
        <v>44613</v>
      </c>
      <c r="C447" s="250">
        <f>IFERROR(__xludf.DUMMYFUNCTION("""COMPUTED_VALUE"""),0.26516203703703706)</f>
        <v>0.265162037</v>
      </c>
      <c r="D447" s="6" t="str">
        <f>IFERROR(__xludf.DUMMYFUNCTION("""COMPUTED_VALUE"""),"SpBEND672680")</f>
        <v>SpBEND672680</v>
      </c>
      <c r="E447" s="251"/>
      <c r="F447" s="251"/>
      <c r="G447" s="251" t="str">
        <f>IFERROR(__xludf.DUMMYFUNCTION("""COMPUTED_VALUE"""),"Negative")</f>
        <v>Negative</v>
      </c>
      <c r="H447" s="262" t="str">
        <f>IFERROR(__xludf.DUMMYFUNCTION("""COMPUTED_VALUE"""),"Negative")</f>
        <v>Negative</v>
      </c>
      <c r="I447" s="204">
        <f>IFERROR(__xludf.DUMMYFUNCTION("""COMPUTED_VALUE"""),44613.0)</f>
        <v>44613</v>
      </c>
      <c r="J447" s="252">
        <f>IFERROR(__xludf.DUMMYFUNCTION("""COMPUTED_VALUE"""),0.4693865740740741)</f>
        <v>0.4693865741</v>
      </c>
      <c r="K447" s="56"/>
      <c r="L447" s="6"/>
      <c r="M447" s="61"/>
      <c r="N447" s="61">
        <f>IFERROR(__xludf.DUMMYFUNCTION("""COMPUTED_VALUE"""),1.0)</f>
        <v>1</v>
      </c>
      <c r="O447" s="61" t="str">
        <f t="shared" si="3"/>
        <v/>
      </c>
      <c r="P447" s="253">
        <f>IFERROR(__xludf.DUMMYFUNCTION("""COMPUTED_VALUE"""),0.0)</f>
        <v>0</v>
      </c>
      <c r="Q447" s="254" t="b">
        <f>VLOOKUP($B447,'Run Reconcile'!B$2:O799,14,FALSE)</f>
        <v>1</v>
      </c>
      <c r="R447" s="255" t="str">
        <f t="array" ref="R447">IF($Q447, INDEX('Run Reconcile'!A$2:A799,MATCH(B447,'Run Reconcile'!B$2:B799,0),1),IFERROR(0/0,""))</f>
        <v>RUN-BEND_2022-02-21_RFR-037</v>
      </c>
      <c r="S447" s="261" t="str">
        <f t="shared" ref="S447:T447" si="901">IF(COUNTIF(W$2:W799, $A447) &gt; 0,TRUE,IFERROR(0/0,""))</f>
        <v/>
      </c>
      <c r="T447" s="261" t="str">
        <f t="shared" si="901"/>
        <v/>
      </c>
      <c r="U447" s="257" t="str">
        <f t="array" ref="U447">IF(ISBLANK($R447), INDEX('Run Reconcile'!A$2:A799, MATCH($B447, 'Run Reconcile'!B$2:B799, 0)+Z447, 1), IFERROR(0/0,""))
</f>
        <v/>
      </c>
      <c r="V447" s="258" t="str">
        <f t="shared" si="480"/>
        <v>RUN-BEND_2022-02-21_RFR-037</v>
      </c>
      <c r="Y447" s="130" t="str">
        <f t="shared" si="487"/>
        <v/>
      </c>
      <c r="Z447" s="49" t="str">
        <f t="shared" si="7"/>
        <v/>
      </c>
      <c r="AA447" s="49" t="str">
        <f t="shared" si="8"/>
        <v/>
      </c>
      <c r="AB447" s="49" t="str">
        <f t="shared" si="9"/>
        <v/>
      </c>
      <c r="AC447" s="20" t="str">
        <f t="shared" ref="AC447:AD447" si="902">IF(_xlfn.ISFORMULA(S447),IFERROR(0/0,""),TRUE)</f>
        <v/>
      </c>
      <c r="AD447" s="20" t="str">
        <f t="shared" si="902"/>
        <v/>
      </c>
      <c r="AE447" s="43"/>
      <c r="AF447" s="62" t="s">
        <v>59</v>
      </c>
      <c r="AG447" s="57" t="str">
        <f t="shared" si="11"/>
        <v/>
      </c>
    </row>
    <row r="448">
      <c r="A448" s="6" t="str">
        <f>IFERROR(__xludf.DUMMYFUNCTION("""COMPUTED_VALUE"""),"FM980")</f>
        <v>FM980</v>
      </c>
      <c r="B448" s="204">
        <f>IFERROR(__xludf.DUMMYFUNCTION("""COMPUTED_VALUE"""),44613.0)</f>
        <v>44613</v>
      </c>
      <c r="C448" s="250">
        <f>IFERROR(__xludf.DUMMYFUNCTION("""COMPUTED_VALUE"""),0.266724537037037)</f>
        <v>0.266724537</v>
      </c>
      <c r="D448" s="6" t="str">
        <f>IFERROR(__xludf.DUMMYFUNCTION("""COMPUTED_VALUE"""),"SpBEND947055")</f>
        <v>SpBEND947055</v>
      </c>
      <c r="E448" s="251"/>
      <c r="F448" s="251"/>
      <c r="G448" s="251" t="str">
        <f>IFERROR(__xludf.DUMMYFUNCTION("""COMPUTED_VALUE"""),"Negative")</f>
        <v>Negative</v>
      </c>
      <c r="H448" s="262" t="str">
        <f>IFERROR(__xludf.DUMMYFUNCTION("""COMPUTED_VALUE"""),"Negative")</f>
        <v>Negative</v>
      </c>
      <c r="I448" s="204">
        <f>IFERROR(__xludf.DUMMYFUNCTION("""COMPUTED_VALUE"""),44613.0)</f>
        <v>44613</v>
      </c>
      <c r="J448" s="252">
        <f>IFERROR(__xludf.DUMMYFUNCTION("""COMPUTED_VALUE"""),0.4693981481481482)</f>
        <v>0.4693981481</v>
      </c>
      <c r="K448" s="56"/>
      <c r="L448" s="6"/>
      <c r="M448" s="61"/>
      <c r="N448" s="61">
        <f>IFERROR(__xludf.DUMMYFUNCTION("""COMPUTED_VALUE"""),1.0)</f>
        <v>1</v>
      </c>
      <c r="O448" s="61" t="str">
        <f t="shared" si="3"/>
        <v/>
      </c>
      <c r="P448" s="253">
        <f>IFERROR(__xludf.DUMMYFUNCTION("""COMPUTED_VALUE"""),0.0)</f>
        <v>0</v>
      </c>
      <c r="Q448" s="254" t="b">
        <f>VLOOKUP($B448,'Run Reconcile'!B$2:O799,14,FALSE)</f>
        <v>1</v>
      </c>
      <c r="R448" s="255" t="str">
        <f t="array" ref="R448">IF($Q448, INDEX('Run Reconcile'!A$2:A799,MATCH(B448,'Run Reconcile'!B$2:B799,0),1),IFERROR(0/0,""))</f>
        <v>RUN-BEND_2022-02-21_RFR-037</v>
      </c>
      <c r="S448" s="261" t="str">
        <f t="shared" ref="S448:T448" si="903">IF(COUNTIF(W$2:W799, $A448) &gt; 0,TRUE,IFERROR(0/0,""))</f>
        <v/>
      </c>
      <c r="T448" s="261" t="str">
        <f t="shared" si="903"/>
        <v/>
      </c>
      <c r="U448" s="257" t="str">
        <f t="array" ref="U448">IF(ISBLANK($R448), INDEX('Run Reconcile'!A$2:A799, MATCH($B448, 'Run Reconcile'!B$2:B799, 0)+Z448, 1), IFERROR(0/0,""))
</f>
        <v/>
      </c>
      <c r="V448" s="258" t="str">
        <f t="shared" si="480"/>
        <v>RUN-BEND_2022-02-21_RFR-037</v>
      </c>
      <c r="Y448" s="130" t="str">
        <f t="shared" si="487"/>
        <v/>
      </c>
      <c r="Z448" s="49" t="str">
        <f t="shared" si="7"/>
        <v/>
      </c>
      <c r="AA448" s="49" t="str">
        <f t="shared" si="8"/>
        <v/>
      </c>
      <c r="AB448" s="49" t="str">
        <f t="shared" si="9"/>
        <v/>
      </c>
      <c r="AC448" s="20" t="str">
        <f t="shared" ref="AC448:AD448" si="904">IF(_xlfn.ISFORMULA(S448),IFERROR(0/0,""),TRUE)</f>
        <v/>
      </c>
      <c r="AD448" s="20" t="str">
        <f t="shared" si="904"/>
        <v/>
      </c>
      <c r="AE448" s="43"/>
      <c r="AF448" s="62" t="s">
        <v>59</v>
      </c>
      <c r="AG448" s="57" t="str">
        <f t="shared" si="11"/>
        <v/>
      </c>
    </row>
    <row r="449">
      <c r="A449" s="6" t="str">
        <f>IFERROR(__xludf.DUMMYFUNCTION("""COMPUTED_VALUE"""),"FM824")</f>
        <v>FM824</v>
      </c>
      <c r="B449" s="204">
        <f>IFERROR(__xludf.DUMMYFUNCTION("""COMPUTED_VALUE"""),44613.0)</f>
        <v>44613</v>
      </c>
      <c r="C449" s="250">
        <f>IFERROR(__xludf.DUMMYFUNCTION("""COMPUTED_VALUE"""),0.27609953703703705)</f>
        <v>0.276099537</v>
      </c>
      <c r="D449" s="6" t="str">
        <f>IFERROR(__xludf.DUMMYFUNCTION("""COMPUTED_VALUE"""),"SpBEND670368")</f>
        <v>SpBEND670368</v>
      </c>
      <c r="E449" s="251"/>
      <c r="F449" s="251"/>
      <c r="G449" s="251" t="str">
        <f>IFERROR(__xludf.DUMMYFUNCTION("""COMPUTED_VALUE"""),"Negative")</f>
        <v>Negative</v>
      </c>
      <c r="H449" s="262" t="str">
        <f>IFERROR(__xludf.DUMMYFUNCTION("""COMPUTED_VALUE"""),"Negative")</f>
        <v>Negative</v>
      </c>
      <c r="I449" s="204">
        <f>IFERROR(__xludf.DUMMYFUNCTION("""COMPUTED_VALUE"""),44613.0)</f>
        <v>44613</v>
      </c>
      <c r="J449" s="252">
        <f>IFERROR(__xludf.DUMMYFUNCTION("""COMPUTED_VALUE"""),0.4693981481481482)</f>
        <v>0.4693981481</v>
      </c>
      <c r="K449" s="56"/>
      <c r="L449" s="6"/>
      <c r="M449" s="61"/>
      <c r="N449" s="61">
        <f>IFERROR(__xludf.DUMMYFUNCTION("""COMPUTED_VALUE"""),1.0)</f>
        <v>1</v>
      </c>
      <c r="O449" s="61" t="str">
        <f t="shared" si="3"/>
        <v/>
      </c>
      <c r="P449" s="253">
        <f>IFERROR(__xludf.DUMMYFUNCTION("""COMPUTED_VALUE"""),0.0)</f>
        <v>0</v>
      </c>
      <c r="Q449" s="254" t="b">
        <f>VLOOKUP($B449,'Run Reconcile'!B$2:O799,14,FALSE)</f>
        <v>1</v>
      </c>
      <c r="R449" s="255" t="str">
        <f t="array" ref="R449">IF($Q449, INDEX('Run Reconcile'!A$2:A799,MATCH(B449,'Run Reconcile'!B$2:B799,0),1),IFERROR(0/0,""))</f>
        <v>RUN-BEND_2022-02-21_RFR-037</v>
      </c>
      <c r="S449" s="261" t="str">
        <f t="shared" ref="S449:T449" si="905">IF(COUNTIF(W$2:W799, $A449) &gt; 0,TRUE,IFERROR(0/0,""))</f>
        <v/>
      </c>
      <c r="T449" s="261" t="str">
        <f t="shared" si="905"/>
        <v/>
      </c>
      <c r="U449" s="257" t="str">
        <f t="array" ref="U449">IF(ISBLANK($R449), INDEX('Run Reconcile'!A$2:A799, MATCH($B449, 'Run Reconcile'!B$2:B799, 0)+Z449, 1), IFERROR(0/0,""))
</f>
        <v/>
      </c>
      <c r="V449" s="258" t="str">
        <f t="shared" si="480"/>
        <v>RUN-BEND_2022-02-21_RFR-037</v>
      </c>
      <c r="Y449" s="130" t="str">
        <f t="shared" si="487"/>
        <v/>
      </c>
      <c r="Z449" s="49" t="str">
        <f t="shared" si="7"/>
        <v/>
      </c>
      <c r="AA449" s="49" t="str">
        <f t="shared" si="8"/>
        <v/>
      </c>
      <c r="AB449" s="49" t="str">
        <f t="shared" si="9"/>
        <v/>
      </c>
      <c r="AC449" s="20" t="str">
        <f t="shared" ref="AC449:AD449" si="906">IF(_xlfn.ISFORMULA(S449),IFERROR(0/0,""),TRUE)</f>
        <v/>
      </c>
      <c r="AD449" s="20" t="str">
        <f t="shared" si="906"/>
        <v/>
      </c>
      <c r="AE449" s="43"/>
      <c r="AF449" s="62" t="s">
        <v>59</v>
      </c>
      <c r="AG449" s="57" t="str">
        <f t="shared" si="11"/>
        <v/>
      </c>
    </row>
    <row r="450">
      <c r="A450" s="6" t="str">
        <f>IFERROR(__xludf.DUMMYFUNCTION("""COMPUTED_VALUE"""),"FM478")</f>
        <v>FM478</v>
      </c>
      <c r="B450" s="204">
        <f>IFERROR(__xludf.DUMMYFUNCTION("""COMPUTED_VALUE"""),44613.0)</f>
        <v>44613</v>
      </c>
      <c r="C450" s="250">
        <f>IFERROR(__xludf.DUMMYFUNCTION("""COMPUTED_VALUE"""),0.2888425925925926)</f>
        <v>0.2888425926</v>
      </c>
      <c r="D450" s="6" t="str">
        <f>IFERROR(__xludf.DUMMYFUNCTION("""COMPUTED_VALUE"""),"SpBEND737678")</f>
        <v>SpBEND737678</v>
      </c>
      <c r="E450" s="251"/>
      <c r="F450" s="251"/>
      <c r="G450" s="251" t="str">
        <f>IFERROR(__xludf.DUMMYFUNCTION("""COMPUTED_VALUE"""),"Negative")</f>
        <v>Negative</v>
      </c>
      <c r="H450" s="262" t="str">
        <f>IFERROR(__xludf.DUMMYFUNCTION("""COMPUTED_VALUE"""),"Negative")</f>
        <v>Negative</v>
      </c>
      <c r="I450" s="204">
        <f>IFERROR(__xludf.DUMMYFUNCTION("""COMPUTED_VALUE"""),44613.0)</f>
        <v>44613</v>
      </c>
      <c r="J450" s="252">
        <f>IFERROR(__xludf.DUMMYFUNCTION("""COMPUTED_VALUE"""),0.4693981481481482)</f>
        <v>0.4693981481</v>
      </c>
      <c r="K450" s="56"/>
      <c r="L450" s="6"/>
      <c r="M450" s="61"/>
      <c r="N450" s="61">
        <f>IFERROR(__xludf.DUMMYFUNCTION("""COMPUTED_VALUE"""),1.0)</f>
        <v>1</v>
      </c>
      <c r="O450" s="61" t="str">
        <f t="shared" si="3"/>
        <v/>
      </c>
      <c r="P450" s="253">
        <f>IFERROR(__xludf.DUMMYFUNCTION("""COMPUTED_VALUE"""),0.0)</f>
        <v>0</v>
      </c>
      <c r="Q450" s="254" t="b">
        <f>VLOOKUP($B450,'Run Reconcile'!B$2:O799,14,FALSE)</f>
        <v>1</v>
      </c>
      <c r="R450" s="255" t="str">
        <f t="array" ref="R450">IF($Q450, INDEX('Run Reconcile'!A$2:A799,MATCH(B450,'Run Reconcile'!B$2:B799,0),1),IFERROR(0/0,""))</f>
        <v>RUN-BEND_2022-02-21_RFR-037</v>
      </c>
      <c r="S450" s="261" t="str">
        <f t="shared" ref="S450:T450" si="907">IF(COUNTIF(W$2:W799, $A450) &gt; 0,TRUE,IFERROR(0/0,""))</f>
        <v/>
      </c>
      <c r="T450" s="261" t="str">
        <f t="shared" si="907"/>
        <v/>
      </c>
      <c r="U450" s="257" t="str">
        <f t="array" ref="U450">IF(ISBLANK($R450), INDEX('Run Reconcile'!A$2:A799, MATCH($B450, 'Run Reconcile'!B$2:B799, 0)+Z450, 1), IFERROR(0/0,""))
</f>
        <v/>
      </c>
      <c r="V450" s="258" t="str">
        <f t="shared" si="480"/>
        <v>RUN-BEND_2022-02-21_RFR-037</v>
      </c>
      <c r="Y450" s="130" t="str">
        <f t="shared" si="487"/>
        <v/>
      </c>
      <c r="Z450" s="49" t="str">
        <f t="shared" si="7"/>
        <v/>
      </c>
      <c r="AA450" s="49" t="str">
        <f t="shared" si="8"/>
        <v/>
      </c>
      <c r="AB450" s="49" t="str">
        <f t="shared" si="9"/>
        <v/>
      </c>
      <c r="AC450" s="20" t="str">
        <f t="shared" ref="AC450:AD450" si="908">IF(_xlfn.ISFORMULA(S450),IFERROR(0/0,""),TRUE)</f>
        <v/>
      </c>
      <c r="AD450" s="20" t="str">
        <f t="shared" si="908"/>
        <v/>
      </c>
      <c r="AE450" s="43"/>
      <c r="AF450" s="62" t="s">
        <v>59</v>
      </c>
      <c r="AG450" s="57" t="str">
        <f t="shared" si="11"/>
        <v/>
      </c>
    </row>
    <row r="451">
      <c r="A451" s="6" t="str">
        <f>IFERROR(__xludf.DUMMYFUNCTION("""COMPUTED_VALUE"""),"MA279")</f>
        <v>MA279</v>
      </c>
      <c r="B451" s="204">
        <f>IFERROR(__xludf.DUMMYFUNCTION("""COMPUTED_VALUE"""),44613.0)</f>
        <v>44613</v>
      </c>
      <c r="C451" s="250">
        <f>IFERROR(__xludf.DUMMYFUNCTION("""COMPUTED_VALUE"""),0.2935763888888889)</f>
        <v>0.2935763889</v>
      </c>
      <c r="D451" s="6" t="str">
        <f>IFERROR(__xludf.DUMMYFUNCTION("""COMPUTED_VALUE"""),"SpBEND321883")</f>
        <v>SpBEND321883</v>
      </c>
      <c r="E451" s="251"/>
      <c r="F451" s="251"/>
      <c r="G451" s="251" t="str">
        <f>IFERROR(__xludf.DUMMYFUNCTION("""COMPUTED_VALUE"""),"Negative")</f>
        <v>Negative</v>
      </c>
      <c r="H451" s="262" t="str">
        <f>IFERROR(__xludf.DUMMYFUNCTION("""COMPUTED_VALUE"""),"Negative")</f>
        <v>Negative</v>
      </c>
      <c r="I451" s="204">
        <f>IFERROR(__xludf.DUMMYFUNCTION("""COMPUTED_VALUE"""),44613.0)</f>
        <v>44613</v>
      </c>
      <c r="J451" s="252">
        <f>IFERROR(__xludf.DUMMYFUNCTION("""COMPUTED_VALUE"""),0.4693981481481482)</f>
        <v>0.4693981481</v>
      </c>
      <c r="K451" s="56"/>
      <c r="L451" s="6"/>
      <c r="M451" s="61"/>
      <c r="N451" s="61">
        <f>IFERROR(__xludf.DUMMYFUNCTION("""COMPUTED_VALUE"""),1.0)</f>
        <v>1</v>
      </c>
      <c r="O451" s="61" t="str">
        <f t="shared" si="3"/>
        <v/>
      </c>
      <c r="P451" s="253">
        <f>IFERROR(__xludf.DUMMYFUNCTION("""COMPUTED_VALUE"""),0.0)</f>
        <v>0</v>
      </c>
      <c r="Q451" s="254" t="b">
        <f>VLOOKUP($B451,'Run Reconcile'!B$2:O799,14,FALSE)</f>
        <v>1</v>
      </c>
      <c r="R451" s="255" t="str">
        <f t="array" ref="R451">IF($Q451, INDEX('Run Reconcile'!A$2:A799,MATCH(B451,'Run Reconcile'!B$2:B799,0),1),IFERROR(0/0,""))</f>
        <v>RUN-BEND_2022-02-21_RFR-037</v>
      </c>
      <c r="S451" s="261" t="str">
        <f t="shared" ref="S451:T451" si="909">IF(COUNTIF(W$2:W799, $A451) &gt; 0,TRUE,IFERROR(0/0,""))</f>
        <v/>
      </c>
      <c r="T451" s="261" t="str">
        <f t="shared" si="909"/>
        <v/>
      </c>
      <c r="U451" s="257" t="str">
        <f t="array" ref="U451">IF(ISBLANK($R451), INDEX('Run Reconcile'!A$2:A799, MATCH($B451, 'Run Reconcile'!B$2:B799, 0)+Z451, 1), IFERROR(0/0,""))
</f>
        <v/>
      </c>
      <c r="V451" s="258" t="str">
        <f t="shared" si="480"/>
        <v>RUN-BEND_2022-02-21_RFR-037</v>
      </c>
      <c r="Y451" s="130" t="str">
        <f t="shared" si="487"/>
        <v/>
      </c>
      <c r="Z451" s="49" t="str">
        <f t="shared" si="7"/>
        <v/>
      </c>
      <c r="AA451" s="49" t="str">
        <f t="shared" si="8"/>
        <v/>
      </c>
      <c r="AB451" s="49" t="str">
        <f t="shared" si="9"/>
        <v/>
      </c>
      <c r="AC451" s="20" t="str">
        <f t="shared" ref="AC451:AD451" si="910">IF(_xlfn.ISFORMULA(S451),IFERROR(0/0,""),TRUE)</f>
        <v/>
      </c>
      <c r="AD451" s="20" t="str">
        <f t="shared" si="910"/>
        <v/>
      </c>
      <c r="AE451" s="43"/>
      <c r="AF451" s="62" t="s">
        <v>59</v>
      </c>
      <c r="AG451" s="57" t="str">
        <f t="shared" si="11"/>
        <v/>
      </c>
    </row>
    <row r="452">
      <c r="A452" s="6" t="str">
        <f>IFERROR(__xludf.DUMMYFUNCTION("""COMPUTED_VALUE"""),"FM486")</f>
        <v>FM486</v>
      </c>
      <c r="B452" s="204">
        <f>IFERROR(__xludf.DUMMYFUNCTION("""COMPUTED_VALUE"""),44613.0)</f>
        <v>44613</v>
      </c>
      <c r="C452" s="250">
        <f>IFERROR(__xludf.DUMMYFUNCTION("""COMPUTED_VALUE"""),0.3007175925925926)</f>
        <v>0.3007175926</v>
      </c>
      <c r="D452" s="6" t="str">
        <f>IFERROR(__xludf.DUMMYFUNCTION("""COMPUTED_VALUE"""),"SpBEND734943")</f>
        <v>SpBEND734943</v>
      </c>
      <c r="E452" s="251"/>
      <c r="F452" s="251"/>
      <c r="G452" s="251" t="str">
        <f>IFERROR(__xludf.DUMMYFUNCTION("""COMPUTED_VALUE"""),"Negative")</f>
        <v>Negative</v>
      </c>
      <c r="H452" s="262" t="str">
        <f>IFERROR(__xludf.DUMMYFUNCTION("""COMPUTED_VALUE"""),"Negative")</f>
        <v>Negative</v>
      </c>
      <c r="I452" s="204">
        <f>IFERROR(__xludf.DUMMYFUNCTION("""COMPUTED_VALUE"""),44613.0)</f>
        <v>44613</v>
      </c>
      <c r="J452" s="252">
        <f>IFERROR(__xludf.DUMMYFUNCTION("""COMPUTED_VALUE"""),0.4693981481481482)</f>
        <v>0.4693981481</v>
      </c>
      <c r="K452" s="56"/>
      <c r="L452" s="6"/>
      <c r="M452" s="61"/>
      <c r="N452" s="61">
        <f>IFERROR(__xludf.DUMMYFUNCTION("""COMPUTED_VALUE"""),1.0)</f>
        <v>1</v>
      </c>
      <c r="O452" s="61" t="str">
        <f t="shared" si="3"/>
        <v/>
      </c>
      <c r="P452" s="253">
        <f>IFERROR(__xludf.DUMMYFUNCTION("""COMPUTED_VALUE"""),0.0)</f>
        <v>0</v>
      </c>
      <c r="Q452" s="254" t="b">
        <f>VLOOKUP($B452,'Run Reconcile'!B$2:O799,14,FALSE)</f>
        <v>1</v>
      </c>
      <c r="R452" s="255" t="str">
        <f t="array" ref="R452">IF($Q452, INDEX('Run Reconcile'!A$2:A799,MATCH(B452,'Run Reconcile'!B$2:B799,0),1),IFERROR(0/0,""))</f>
        <v>RUN-BEND_2022-02-21_RFR-037</v>
      </c>
      <c r="S452" s="261" t="str">
        <f t="shared" ref="S452:T452" si="911">IF(COUNTIF(W$2:W799, $A452) &gt; 0,TRUE,IFERROR(0/0,""))</f>
        <v/>
      </c>
      <c r="T452" s="261" t="str">
        <f t="shared" si="911"/>
        <v/>
      </c>
      <c r="U452" s="257" t="str">
        <f t="array" ref="U452">IF(ISBLANK($R452), INDEX('Run Reconcile'!A$2:A799, MATCH($B452, 'Run Reconcile'!B$2:B799, 0)+Z452, 1), IFERROR(0/0,""))
</f>
        <v/>
      </c>
      <c r="V452" s="258" t="str">
        <f t="shared" si="480"/>
        <v>RUN-BEND_2022-02-21_RFR-037</v>
      </c>
      <c r="Y452" s="130" t="str">
        <f t="shared" si="487"/>
        <v/>
      </c>
      <c r="Z452" s="49" t="str">
        <f t="shared" si="7"/>
        <v/>
      </c>
      <c r="AA452" s="49" t="str">
        <f t="shared" si="8"/>
        <v/>
      </c>
      <c r="AB452" s="49" t="str">
        <f t="shared" si="9"/>
        <v/>
      </c>
      <c r="AC452" s="20" t="str">
        <f t="shared" ref="AC452:AD452" si="912">IF(_xlfn.ISFORMULA(S452),IFERROR(0/0,""),TRUE)</f>
        <v/>
      </c>
      <c r="AD452" s="20" t="str">
        <f t="shared" si="912"/>
        <v/>
      </c>
      <c r="AE452" s="43"/>
      <c r="AF452" s="62" t="s">
        <v>59</v>
      </c>
      <c r="AG452" s="57" t="str">
        <f t="shared" si="11"/>
        <v/>
      </c>
    </row>
    <row r="453">
      <c r="A453" s="6" t="str">
        <f>IFERROR(__xludf.DUMMYFUNCTION("""COMPUTED_VALUE"""),"FM28")</f>
        <v>FM28</v>
      </c>
      <c r="B453" s="204">
        <f>IFERROR(__xludf.DUMMYFUNCTION("""COMPUTED_VALUE"""),44613.0)</f>
        <v>44613</v>
      </c>
      <c r="C453" s="250">
        <f>IFERROR(__xludf.DUMMYFUNCTION("""COMPUTED_VALUE"""),0.3065509259259259)</f>
        <v>0.3065509259</v>
      </c>
      <c r="D453" s="6" t="str">
        <f>IFERROR(__xludf.DUMMYFUNCTION("""COMPUTED_VALUE"""),"SpBEND842248")</f>
        <v>SpBEND842248</v>
      </c>
      <c r="E453" s="251"/>
      <c r="F453" s="251"/>
      <c r="G453" s="251" t="str">
        <f>IFERROR(__xludf.DUMMYFUNCTION("""COMPUTED_VALUE"""),"Negative")</f>
        <v>Negative</v>
      </c>
      <c r="H453" s="262" t="str">
        <f>IFERROR(__xludf.DUMMYFUNCTION("""COMPUTED_VALUE"""),"Negative")</f>
        <v>Negative</v>
      </c>
      <c r="I453" s="204">
        <f>IFERROR(__xludf.DUMMYFUNCTION("""COMPUTED_VALUE"""),44613.0)</f>
        <v>44613</v>
      </c>
      <c r="J453" s="252">
        <f>IFERROR(__xludf.DUMMYFUNCTION("""COMPUTED_VALUE"""),0.4693981481481482)</f>
        <v>0.4693981481</v>
      </c>
      <c r="K453" s="56"/>
      <c r="L453" s="6"/>
      <c r="M453" s="61"/>
      <c r="N453" s="61">
        <f>IFERROR(__xludf.DUMMYFUNCTION("""COMPUTED_VALUE"""),1.0)</f>
        <v>1</v>
      </c>
      <c r="O453" s="61" t="str">
        <f t="shared" si="3"/>
        <v/>
      </c>
      <c r="P453" s="253">
        <f>IFERROR(__xludf.DUMMYFUNCTION("""COMPUTED_VALUE"""),0.0)</f>
        <v>0</v>
      </c>
      <c r="Q453" s="254" t="b">
        <f>VLOOKUP($B453,'Run Reconcile'!B$2:O799,14,FALSE)</f>
        <v>1</v>
      </c>
      <c r="R453" s="255" t="str">
        <f t="array" ref="R453">IF($Q453, INDEX('Run Reconcile'!A$2:A799,MATCH(B453,'Run Reconcile'!B$2:B799,0),1),IFERROR(0/0,""))</f>
        <v>RUN-BEND_2022-02-21_RFR-037</v>
      </c>
      <c r="S453" s="261" t="str">
        <f t="shared" ref="S453:T453" si="913">IF(COUNTIF(W$2:W799, $A453) &gt; 0,TRUE,IFERROR(0/0,""))</f>
        <v/>
      </c>
      <c r="T453" s="261" t="str">
        <f t="shared" si="913"/>
        <v/>
      </c>
      <c r="U453" s="257" t="str">
        <f t="array" ref="U453">IF(ISBLANK($R453), INDEX('Run Reconcile'!A$2:A799, MATCH($B453, 'Run Reconcile'!B$2:B799, 0)+Z453, 1), IFERROR(0/0,""))
</f>
        <v/>
      </c>
      <c r="V453" s="258" t="str">
        <f t="shared" si="480"/>
        <v>RUN-BEND_2022-02-21_RFR-037</v>
      </c>
      <c r="Y453" s="130" t="str">
        <f t="shared" si="487"/>
        <v/>
      </c>
      <c r="Z453" s="49" t="str">
        <f t="shared" si="7"/>
        <v/>
      </c>
      <c r="AA453" s="49" t="str">
        <f t="shared" si="8"/>
        <v/>
      </c>
      <c r="AB453" s="49" t="str">
        <f t="shared" si="9"/>
        <v/>
      </c>
      <c r="AC453" s="20" t="str">
        <f t="shared" ref="AC453:AD453" si="914">IF(_xlfn.ISFORMULA(S453),IFERROR(0/0,""),TRUE)</f>
        <v/>
      </c>
      <c r="AD453" s="20" t="str">
        <f t="shared" si="914"/>
        <v/>
      </c>
      <c r="AE453" s="43"/>
      <c r="AF453" s="62" t="s">
        <v>59</v>
      </c>
      <c r="AG453" s="57" t="str">
        <f t="shared" si="11"/>
        <v/>
      </c>
    </row>
    <row r="454">
      <c r="A454" s="6" t="str">
        <f>IFERROR(__xludf.DUMMYFUNCTION("""COMPUTED_VALUE"""),"FM32")</f>
        <v>FM32</v>
      </c>
      <c r="B454" s="204">
        <f>IFERROR(__xludf.DUMMYFUNCTION("""COMPUTED_VALUE"""),44613.0)</f>
        <v>44613</v>
      </c>
      <c r="C454" s="250">
        <f>IFERROR(__xludf.DUMMYFUNCTION("""COMPUTED_VALUE"""),0.30733796296296295)</f>
        <v>0.307337963</v>
      </c>
      <c r="D454" s="6" t="str">
        <f>IFERROR(__xludf.DUMMYFUNCTION("""COMPUTED_VALUE"""),"SpBEND481988")</f>
        <v>SpBEND481988</v>
      </c>
      <c r="E454" s="251"/>
      <c r="F454" s="251"/>
      <c r="G454" s="251" t="str">
        <f>IFERROR(__xludf.DUMMYFUNCTION("""COMPUTED_VALUE"""),"Negative")</f>
        <v>Negative</v>
      </c>
      <c r="H454" s="262" t="str">
        <f>IFERROR(__xludf.DUMMYFUNCTION("""COMPUTED_VALUE"""),"Negative")</f>
        <v>Negative</v>
      </c>
      <c r="I454" s="204">
        <f>IFERROR(__xludf.DUMMYFUNCTION("""COMPUTED_VALUE"""),44613.0)</f>
        <v>44613</v>
      </c>
      <c r="J454" s="252">
        <f>IFERROR(__xludf.DUMMYFUNCTION("""COMPUTED_VALUE"""),0.4693981481481482)</f>
        <v>0.4693981481</v>
      </c>
      <c r="K454" s="56"/>
      <c r="L454" s="6"/>
      <c r="M454" s="61"/>
      <c r="N454" s="61">
        <f>IFERROR(__xludf.DUMMYFUNCTION("""COMPUTED_VALUE"""),1.0)</f>
        <v>1</v>
      </c>
      <c r="O454" s="61" t="str">
        <f t="shared" si="3"/>
        <v/>
      </c>
      <c r="P454" s="253">
        <f>IFERROR(__xludf.DUMMYFUNCTION("""COMPUTED_VALUE"""),0.0)</f>
        <v>0</v>
      </c>
      <c r="Q454" s="254" t="b">
        <f>VLOOKUP($B454,'Run Reconcile'!B$2:O799,14,FALSE)</f>
        <v>1</v>
      </c>
      <c r="R454" s="255" t="str">
        <f t="array" ref="R454">IF($Q454, INDEX('Run Reconcile'!A$2:A799,MATCH(B454,'Run Reconcile'!B$2:B799,0),1),IFERROR(0/0,""))</f>
        <v>RUN-BEND_2022-02-21_RFR-037</v>
      </c>
      <c r="S454" s="261" t="str">
        <f t="shared" ref="S454:T454" si="915">IF(COUNTIF(W$2:W799, $A454) &gt; 0,TRUE,IFERROR(0/0,""))</f>
        <v/>
      </c>
      <c r="T454" s="261" t="str">
        <f t="shared" si="915"/>
        <v/>
      </c>
      <c r="U454" s="257" t="str">
        <f t="array" ref="U454">IF(ISBLANK($R454), INDEX('Run Reconcile'!A$2:A799, MATCH($B454, 'Run Reconcile'!B$2:B799, 0)+Z454, 1), IFERROR(0/0,""))
</f>
        <v/>
      </c>
      <c r="V454" s="258" t="str">
        <f t="shared" si="480"/>
        <v>RUN-BEND_2022-02-21_RFR-037</v>
      </c>
      <c r="Y454" s="130" t="str">
        <f t="shared" si="487"/>
        <v/>
      </c>
      <c r="Z454" s="49" t="str">
        <f t="shared" si="7"/>
        <v/>
      </c>
      <c r="AA454" s="49" t="str">
        <f t="shared" si="8"/>
        <v/>
      </c>
      <c r="AB454" s="49" t="str">
        <f t="shared" si="9"/>
        <v/>
      </c>
      <c r="AC454" s="20" t="str">
        <f t="shared" ref="AC454:AD454" si="916">IF(_xlfn.ISFORMULA(S454),IFERROR(0/0,""),TRUE)</f>
        <v/>
      </c>
      <c r="AD454" s="20" t="str">
        <f t="shared" si="916"/>
        <v/>
      </c>
      <c r="AE454" s="43"/>
      <c r="AF454" s="62" t="s">
        <v>59</v>
      </c>
      <c r="AG454" s="57" t="str">
        <f t="shared" si="11"/>
        <v/>
      </c>
    </row>
    <row r="455">
      <c r="A455" s="6" t="str">
        <f>IFERROR(__xludf.DUMMYFUNCTION("""COMPUTED_VALUE"""),"MA1127")</f>
        <v>MA1127</v>
      </c>
      <c r="B455" s="204">
        <f>IFERROR(__xludf.DUMMYFUNCTION("""COMPUTED_VALUE"""),44613.0)</f>
        <v>44613</v>
      </c>
      <c r="C455" s="250">
        <f>IFERROR(__xludf.DUMMYFUNCTION("""COMPUTED_VALUE"""),0.3089351851851852)</f>
        <v>0.3089351852</v>
      </c>
      <c r="D455" s="6" t="str">
        <f>IFERROR(__xludf.DUMMYFUNCTION("""COMPUTED_VALUE"""),"SpBEND548976")</f>
        <v>SpBEND548976</v>
      </c>
      <c r="E455" s="251"/>
      <c r="F455" s="251"/>
      <c r="G455" s="251" t="str">
        <f>IFERROR(__xludf.DUMMYFUNCTION("""COMPUTED_VALUE"""),"Negative")</f>
        <v>Negative</v>
      </c>
      <c r="H455" s="262" t="str">
        <f>IFERROR(__xludf.DUMMYFUNCTION("""COMPUTED_VALUE"""),"Negative")</f>
        <v>Negative</v>
      </c>
      <c r="I455" s="204">
        <f>IFERROR(__xludf.DUMMYFUNCTION("""COMPUTED_VALUE"""),44613.0)</f>
        <v>44613</v>
      </c>
      <c r="J455" s="252">
        <f>IFERROR(__xludf.DUMMYFUNCTION("""COMPUTED_VALUE"""),0.4693981481481482)</f>
        <v>0.4693981481</v>
      </c>
      <c r="K455" s="56"/>
      <c r="L455" s="6"/>
      <c r="M455" s="61"/>
      <c r="N455" s="61">
        <f>IFERROR(__xludf.DUMMYFUNCTION("""COMPUTED_VALUE"""),1.0)</f>
        <v>1</v>
      </c>
      <c r="O455" s="61" t="str">
        <f t="shared" si="3"/>
        <v/>
      </c>
      <c r="P455" s="253">
        <f>IFERROR(__xludf.DUMMYFUNCTION("""COMPUTED_VALUE"""),0.0)</f>
        <v>0</v>
      </c>
      <c r="Q455" s="254" t="b">
        <f>VLOOKUP($B455,'Run Reconcile'!B$2:O799,14,FALSE)</f>
        <v>1</v>
      </c>
      <c r="R455" s="255" t="str">
        <f t="array" ref="R455">IF($Q455, INDEX('Run Reconcile'!A$2:A799,MATCH(B455,'Run Reconcile'!B$2:B799,0),1),IFERROR(0/0,""))</f>
        <v>RUN-BEND_2022-02-21_RFR-037</v>
      </c>
      <c r="S455" s="261" t="str">
        <f t="shared" ref="S455:T455" si="917">IF(COUNTIF(W$2:W799, $A455) &gt; 0,TRUE,IFERROR(0/0,""))</f>
        <v/>
      </c>
      <c r="T455" s="261" t="str">
        <f t="shared" si="917"/>
        <v/>
      </c>
      <c r="U455" s="257" t="str">
        <f t="array" ref="U455">IF(ISBLANK($R455), INDEX('Run Reconcile'!A$2:A799, MATCH($B455, 'Run Reconcile'!B$2:B799, 0)+Z455, 1), IFERROR(0/0,""))
</f>
        <v/>
      </c>
      <c r="V455" s="258" t="str">
        <f t="shared" si="480"/>
        <v>RUN-BEND_2022-02-21_RFR-037</v>
      </c>
      <c r="Y455" s="130" t="str">
        <f t="shared" si="487"/>
        <v/>
      </c>
      <c r="Z455" s="49" t="str">
        <f t="shared" si="7"/>
        <v/>
      </c>
      <c r="AA455" s="49" t="str">
        <f t="shared" si="8"/>
        <v/>
      </c>
      <c r="AB455" s="49" t="str">
        <f t="shared" si="9"/>
        <v/>
      </c>
      <c r="AC455" s="20" t="str">
        <f t="shared" ref="AC455:AD455" si="918">IF(_xlfn.ISFORMULA(S455),IFERROR(0/0,""),TRUE)</f>
        <v/>
      </c>
      <c r="AD455" s="20" t="str">
        <f t="shared" si="918"/>
        <v/>
      </c>
      <c r="AE455" s="43"/>
      <c r="AF455" s="62" t="s">
        <v>59</v>
      </c>
      <c r="AG455" s="57" t="str">
        <f t="shared" si="11"/>
        <v/>
      </c>
    </row>
    <row r="456">
      <c r="A456" s="6" t="str">
        <f>IFERROR(__xludf.DUMMYFUNCTION("""COMPUTED_VALUE"""),"FM11")</f>
        <v>FM11</v>
      </c>
      <c r="B456" s="204">
        <f>IFERROR(__xludf.DUMMYFUNCTION("""COMPUTED_VALUE"""),44613.0)</f>
        <v>44613</v>
      </c>
      <c r="C456" s="250">
        <f>IFERROR(__xludf.DUMMYFUNCTION("""COMPUTED_VALUE"""),0.31090277777777775)</f>
        <v>0.3109027778</v>
      </c>
      <c r="D456" s="6" t="str">
        <f>IFERROR(__xludf.DUMMYFUNCTION("""COMPUTED_VALUE"""),"SpBEND136234")</f>
        <v>SpBEND136234</v>
      </c>
      <c r="E456" s="251"/>
      <c r="F456" s="251"/>
      <c r="G456" s="251" t="str">
        <f>IFERROR(__xludf.DUMMYFUNCTION("""COMPUTED_VALUE"""),"Negative")</f>
        <v>Negative</v>
      </c>
      <c r="H456" s="262" t="str">
        <f>IFERROR(__xludf.DUMMYFUNCTION("""COMPUTED_VALUE"""),"Negative")</f>
        <v>Negative</v>
      </c>
      <c r="I456" s="204">
        <f>IFERROR(__xludf.DUMMYFUNCTION("""COMPUTED_VALUE"""),44613.0)</f>
        <v>44613</v>
      </c>
      <c r="J456" s="252">
        <f>IFERROR(__xludf.DUMMYFUNCTION("""COMPUTED_VALUE"""),0.4693981481481482)</f>
        <v>0.4693981481</v>
      </c>
      <c r="K456" s="56"/>
      <c r="L456" s="6"/>
      <c r="M456" s="61"/>
      <c r="N456" s="61">
        <f>IFERROR(__xludf.DUMMYFUNCTION("""COMPUTED_VALUE"""),1.0)</f>
        <v>1</v>
      </c>
      <c r="O456" s="61" t="str">
        <f t="shared" si="3"/>
        <v/>
      </c>
      <c r="P456" s="253">
        <f>IFERROR(__xludf.DUMMYFUNCTION("""COMPUTED_VALUE"""),0.0)</f>
        <v>0</v>
      </c>
      <c r="Q456" s="254" t="b">
        <f>VLOOKUP($B456,'Run Reconcile'!B$2:O799,14,FALSE)</f>
        <v>1</v>
      </c>
      <c r="R456" s="255" t="str">
        <f t="array" ref="R456">IF($Q456, INDEX('Run Reconcile'!A$2:A799,MATCH(B456,'Run Reconcile'!B$2:B799,0),1),IFERROR(0/0,""))</f>
        <v>RUN-BEND_2022-02-21_RFR-037</v>
      </c>
      <c r="S456" s="261" t="str">
        <f t="shared" ref="S456:T456" si="919">IF(COUNTIF(W$2:W799, $A456) &gt; 0,TRUE,IFERROR(0/0,""))</f>
        <v/>
      </c>
      <c r="T456" s="261" t="str">
        <f t="shared" si="919"/>
        <v/>
      </c>
      <c r="U456" s="257" t="str">
        <f t="array" ref="U456">IF(ISBLANK($R456), INDEX('Run Reconcile'!A$2:A799, MATCH($B456, 'Run Reconcile'!B$2:B799, 0)+Z456, 1), IFERROR(0/0,""))
</f>
        <v/>
      </c>
      <c r="V456" s="258" t="str">
        <f t="shared" si="480"/>
        <v>RUN-BEND_2022-02-21_RFR-037</v>
      </c>
      <c r="Y456" s="130" t="str">
        <f t="shared" si="487"/>
        <v/>
      </c>
      <c r="Z456" s="49" t="str">
        <f t="shared" si="7"/>
        <v/>
      </c>
      <c r="AA456" s="49" t="str">
        <f t="shared" si="8"/>
        <v/>
      </c>
      <c r="AB456" s="49" t="str">
        <f t="shared" si="9"/>
        <v/>
      </c>
      <c r="AC456" s="20" t="str">
        <f t="shared" ref="AC456:AD456" si="920">IF(_xlfn.ISFORMULA(S456),IFERROR(0/0,""),TRUE)</f>
        <v/>
      </c>
      <c r="AD456" s="20" t="str">
        <f t="shared" si="920"/>
        <v/>
      </c>
      <c r="AE456" s="43"/>
      <c r="AF456" s="62" t="s">
        <v>59</v>
      </c>
      <c r="AG456" s="57" t="str">
        <f t="shared" si="11"/>
        <v/>
      </c>
    </row>
    <row r="457">
      <c r="A457" s="6" t="str">
        <f>IFERROR(__xludf.DUMMYFUNCTION("""COMPUTED_VALUE"""),"MA219")</f>
        <v>MA219</v>
      </c>
      <c r="B457" s="204">
        <f>IFERROR(__xludf.DUMMYFUNCTION("""COMPUTED_VALUE"""),44613.0)</f>
        <v>44613</v>
      </c>
      <c r="C457" s="250">
        <f>IFERROR(__xludf.DUMMYFUNCTION("""COMPUTED_VALUE"""),0.3148726851851852)</f>
        <v>0.3148726852</v>
      </c>
      <c r="D457" s="6" t="str">
        <f>IFERROR(__xludf.DUMMYFUNCTION("""COMPUTED_VALUE"""),"SpBEND708976")</f>
        <v>SpBEND708976</v>
      </c>
      <c r="E457" s="251"/>
      <c r="F457" s="251"/>
      <c r="G457" s="251" t="str">
        <f>IFERROR(__xludf.DUMMYFUNCTION("""COMPUTED_VALUE"""),"Negative")</f>
        <v>Negative</v>
      </c>
      <c r="H457" s="262" t="str">
        <f>IFERROR(__xludf.DUMMYFUNCTION("""COMPUTED_VALUE"""),"Negative")</f>
        <v>Negative</v>
      </c>
      <c r="I457" s="204">
        <f>IFERROR(__xludf.DUMMYFUNCTION("""COMPUTED_VALUE"""),44613.0)</f>
        <v>44613</v>
      </c>
      <c r="J457" s="252">
        <f>IFERROR(__xludf.DUMMYFUNCTION("""COMPUTED_VALUE"""),0.4693981481481482)</f>
        <v>0.4693981481</v>
      </c>
      <c r="K457" s="56"/>
      <c r="L457" s="6"/>
      <c r="M457" s="61"/>
      <c r="N457" s="61">
        <f>IFERROR(__xludf.DUMMYFUNCTION("""COMPUTED_VALUE"""),1.0)</f>
        <v>1</v>
      </c>
      <c r="O457" s="61" t="str">
        <f t="shared" si="3"/>
        <v/>
      </c>
      <c r="P457" s="253">
        <f>IFERROR(__xludf.DUMMYFUNCTION("""COMPUTED_VALUE"""),0.0)</f>
        <v>0</v>
      </c>
      <c r="Q457" s="254" t="b">
        <f>VLOOKUP($B457,'Run Reconcile'!B$2:O799,14,FALSE)</f>
        <v>1</v>
      </c>
      <c r="R457" s="255" t="str">
        <f t="array" ref="R457">IF($Q457, INDEX('Run Reconcile'!A$2:A799,MATCH(B457,'Run Reconcile'!B$2:B799,0),1),IFERROR(0/0,""))</f>
        <v>RUN-BEND_2022-02-21_RFR-037</v>
      </c>
      <c r="S457" s="261" t="str">
        <f t="shared" ref="S457:T457" si="921">IF(COUNTIF(W$2:W799, $A457) &gt; 0,TRUE,IFERROR(0/0,""))</f>
        <v/>
      </c>
      <c r="T457" s="261" t="str">
        <f t="shared" si="921"/>
        <v/>
      </c>
      <c r="U457" s="257" t="str">
        <f t="array" ref="U457">IF(ISBLANK($R457), INDEX('Run Reconcile'!A$2:A799, MATCH($B457, 'Run Reconcile'!B$2:B799, 0)+Z457, 1), IFERROR(0/0,""))
</f>
        <v/>
      </c>
      <c r="V457" s="258" t="str">
        <f t="shared" si="480"/>
        <v>RUN-BEND_2022-02-21_RFR-037</v>
      </c>
      <c r="Y457" s="130" t="str">
        <f t="shared" si="487"/>
        <v/>
      </c>
      <c r="Z457" s="49" t="str">
        <f t="shared" si="7"/>
        <v/>
      </c>
      <c r="AA457" s="49" t="str">
        <f t="shared" si="8"/>
        <v/>
      </c>
      <c r="AB457" s="49" t="str">
        <f t="shared" si="9"/>
        <v/>
      </c>
      <c r="AC457" s="20" t="str">
        <f t="shared" ref="AC457:AD457" si="922">IF(_xlfn.ISFORMULA(S457),IFERROR(0/0,""),TRUE)</f>
        <v/>
      </c>
      <c r="AD457" s="20" t="str">
        <f t="shared" si="922"/>
        <v/>
      </c>
      <c r="AE457" s="43"/>
      <c r="AF457" s="62" t="s">
        <v>59</v>
      </c>
      <c r="AG457" s="57" t="str">
        <f t="shared" si="11"/>
        <v/>
      </c>
    </row>
    <row r="458">
      <c r="A458" s="6" t="str">
        <f>IFERROR(__xludf.DUMMYFUNCTION("""COMPUTED_VALUE"""),"MA1072")</f>
        <v>MA1072</v>
      </c>
      <c r="B458" s="204">
        <f>IFERROR(__xludf.DUMMYFUNCTION("""COMPUTED_VALUE"""),44613.0)</f>
        <v>44613</v>
      </c>
      <c r="C458" s="250">
        <f>IFERROR(__xludf.DUMMYFUNCTION("""COMPUTED_VALUE"""),0.3150115740740741)</f>
        <v>0.3150115741</v>
      </c>
      <c r="D458" s="6" t="str">
        <f>IFERROR(__xludf.DUMMYFUNCTION("""COMPUTED_VALUE"""),"SpBEND183210")</f>
        <v>SpBEND183210</v>
      </c>
      <c r="E458" s="251"/>
      <c r="F458" s="251"/>
      <c r="G458" s="251" t="str">
        <f>IFERROR(__xludf.DUMMYFUNCTION("""COMPUTED_VALUE"""),"Negative")</f>
        <v>Negative</v>
      </c>
      <c r="H458" s="262" t="str">
        <f>IFERROR(__xludf.DUMMYFUNCTION("""COMPUTED_VALUE"""),"Negative")</f>
        <v>Negative</v>
      </c>
      <c r="I458" s="204">
        <f>IFERROR(__xludf.DUMMYFUNCTION("""COMPUTED_VALUE"""),44613.0)</f>
        <v>44613</v>
      </c>
      <c r="J458" s="252">
        <f>IFERROR(__xludf.DUMMYFUNCTION("""COMPUTED_VALUE"""),0.4693981481481482)</f>
        <v>0.4693981481</v>
      </c>
      <c r="K458" s="56"/>
      <c r="L458" s="6"/>
      <c r="M458" s="61"/>
      <c r="N458" s="61">
        <f>IFERROR(__xludf.DUMMYFUNCTION("""COMPUTED_VALUE"""),1.0)</f>
        <v>1</v>
      </c>
      <c r="O458" s="61" t="str">
        <f t="shared" si="3"/>
        <v/>
      </c>
      <c r="P458" s="253">
        <f>IFERROR(__xludf.DUMMYFUNCTION("""COMPUTED_VALUE"""),0.0)</f>
        <v>0</v>
      </c>
      <c r="Q458" s="254" t="b">
        <f>VLOOKUP($B458,'Run Reconcile'!B$2:O799,14,FALSE)</f>
        <v>1</v>
      </c>
      <c r="R458" s="255" t="str">
        <f t="array" ref="R458">IF($Q458, INDEX('Run Reconcile'!A$2:A799,MATCH(B458,'Run Reconcile'!B$2:B799,0),1),IFERROR(0/0,""))</f>
        <v>RUN-BEND_2022-02-21_RFR-037</v>
      </c>
      <c r="S458" s="261" t="str">
        <f t="shared" ref="S458:T458" si="923">IF(COUNTIF(W$2:W799, $A458) &gt; 0,TRUE,IFERROR(0/0,""))</f>
        <v/>
      </c>
      <c r="T458" s="261" t="str">
        <f t="shared" si="923"/>
        <v/>
      </c>
      <c r="U458" s="257" t="str">
        <f t="array" ref="U458">IF(ISBLANK($R458), INDEX('Run Reconcile'!A$2:A799, MATCH($B458, 'Run Reconcile'!B$2:B799, 0)+Z458, 1), IFERROR(0/0,""))
</f>
        <v/>
      </c>
      <c r="V458" s="258" t="str">
        <f t="shared" si="480"/>
        <v>RUN-BEND_2022-02-21_RFR-037</v>
      </c>
      <c r="Y458" s="130" t="str">
        <f t="shared" si="487"/>
        <v/>
      </c>
      <c r="Z458" s="49" t="str">
        <f t="shared" si="7"/>
        <v/>
      </c>
      <c r="AA458" s="49" t="str">
        <f t="shared" si="8"/>
        <v/>
      </c>
      <c r="AB458" s="49" t="str">
        <f t="shared" si="9"/>
        <v/>
      </c>
      <c r="AC458" s="20" t="str">
        <f t="shared" ref="AC458:AD458" si="924">IF(_xlfn.ISFORMULA(S458),IFERROR(0/0,""),TRUE)</f>
        <v/>
      </c>
      <c r="AD458" s="20" t="str">
        <f t="shared" si="924"/>
        <v/>
      </c>
      <c r="AE458" s="43"/>
      <c r="AF458" s="62" t="s">
        <v>59</v>
      </c>
      <c r="AG458" s="57" t="str">
        <f t="shared" si="11"/>
        <v/>
      </c>
    </row>
    <row r="459">
      <c r="A459" s="6" t="str">
        <f>IFERROR(__xludf.DUMMYFUNCTION("""COMPUTED_VALUE"""),"MA1096")</f>
        <v>MA1096</v>
      </c>
      <c r="B459" s="204">
        <f>IFERROR(__xludf.DUMMYFUNCTION("""COMPUTED_VALUE"""),44613.0)</f>
        <v>44613</v>
      </c>
      <c r="C459" s="250">
        <f>IFERROR(__xludf.DUMMYFUNCTION("""COMPUTED_VALUE"""),0.3159722222222222)</f>
        <v>0.3159722222</v>
      </c>
      <c r="D459" s="6" t="str">
        <f>IFERROR(__xludf.DUMMYFUNCTION("""COMPUTED_VALUE"""),"SpBEND985296")</f>
        <v>SpBEND985296</v>
      </c>
      <c r="E459" s="251"/>
      <c r="F459" s="251"/>
      <c r="G459" s="251" t="str">
        <f>IFERROR(__xludf.DUMMYFUNCTION("""COMPUTED_VALUE"""),"Negative")</f>
        <v>Negative</v>
      </c>
      <c r="H459" s="262" t="str">
        <f>IFERROR(__xludf.DUMMYFUNCTION("""COMPUTED_VALUE"""),"Negative")</f>
        <v>Negative</v>
      </c>
      <c r="I459" s="204">
        <f>IFERROR(__xludf.DUMMYFUNCTION("""COMPUTED_VALUE"""),44613.0)</f>
        <v>44613</v>
      </c>
      <c r="J459" s="252">
        <f>IFERROR(__xludf.DUMMYFUNCTION("""COMPUTED_VALUE"""),0.4693981481481482)</f>
        <v>0.4693981481</v>
      </c>
      <c r="K459" s="56"/>
      <c r="L459" s="6"/>
      <c r="M459" s="61"/>
      <c r="N459" s="61">
        <f>IFERROR(__xludf.DUMMYFUNCTION("""COMPUTED_VALUE"""),1.0)</f>
        <v>1</v>
      </c>
      <c r="O459" s="61" t="str">
        <f t="shared" si="3"/>
        <v/>
      </c>
      <c r="P459" s="253">
        <f>IFERROR(__xludf.DUMMYFUNCTION("""COMPUTED_VALUE"""),0.0)</f>
        <v>0</v>
      </c>
      <c r="Q459" s="254" t="b">
        <f>VLOOKUP($B459,'Run Reconcile'!B$2:O799,14,FALSE)</f>
        <v>1</v>
      </c>
      <c r="R459" s="255" t="str">
        <f t="array" ref="R459">IF($Q459, INDEX('Run Reconcile'!A$2:A799,MATCH(B459,'Run Reconcile'!B$2:B799,0),1),IFERROR(0/0,""))</f>
        <v>RUN-BEND_2022-02-21_RFR-037</v>
      </c>
      <c r="S459" s="261" t="str">
        <f t="shared" ref="S459:T459" si="925">IF(COUNTIF(W$2:W799, $A459) &gt; 0,TRUE,IFERROR(0/0,""))</f>
        <v/>
      </c>
      <c r="T459" s="261" t="str">
        <f t="shared" si="925"/>
        <v/>
      </c>
      <c r="U459" s="257" t="str">
        <f t="array" ref="U459">IF(ISBLANK($R459), INDEX('Run Reconcile'!A$2:A799, MATCH($B459, 'Run Reconcile'!B$2:B799, 0)+Z459, 1), IFERROR(0/0,""))
</f>
        <v/>
      </c>
      <c r="V459" s="258" t="str">
        <f t="shared" si="480"/>
        <v>RUN-BEND_2022-02-21_RFR-037</v>
      </c>
      <c r="Y459" s="130" t="str">
        <f t="shared" si="487"/>
        <v/>
      </c>
      <c r="Z459" s="49" t="str">
        <f t="shared" si="7"/>
        <v/>
      </c>
      <c r="AA459" s="49" t="str">
        <f t="shared" si="8"/>
        <v/>
      </c>
      <c r="AB459" s="49" t="str">
        <f t="shared" si="9"/>
        <v/>
      </c>
      <c r="AC459" s="20" t="str">
        <f t="shared" ref="AC459:AD459" si="926">IF(_xlfn.ISFORMULA(S459),IFERROR(0/0,""),TRUE)</f>
        <v/>
      </c>
      <c r="AD459" s="20" t="str">
        <f t="shared" si="926"/>
        <v/>
      </c>
      <c r="AE459" s="43"/>
      <c r="AF459" s="62" t="s">
        <v>59</v>
      </c>
      <c r="AG459" s="57" t="str">
        <f t="shared" si="11"/>
        <v/>
      </c>
    </row>
    <row r="460">
      <c r="A460" s="6" t="str">
        <f>IFERROR(__xludf.DUMMYFUNCTION("""COMPUTED_VALUE"""),"MA1312")</f>
        <v>MA1312</v>
      </c>
      <c r="B460" s="204">
        <f>IFERROR(__xludf.DUMMYFUNCTION("""COMPUTED_VALUE"""),44613.0)</f>
        <v>44613</v>
      </c>
      <c r="C460" s="250">
        <f>IFERROR(__xludf.DUMMYFUNCTION("""COMPUTED_VALUE"""),0.316724537037037)</f>
        <v>0.316724537</v>
      </c>
      <c r="D460" s="6" t="str">
        <f>IFERROR(__xludf.DUMMYFUNCTION("""COMPUTED_VALUE"""),"SpBEND845568")</f>
        <v>SpBEND845568</v>
      </c>
      <c r="E460" s="251"/>
      <c r="F460" s="251"/>
      <c r="G460" s="251" t="str">
        <f>IFERROR(__xludf.DUMMYFUNCTION("""COMPUTED_VALUE"""),"Negative")</f>
        <v>Negative</v>
      </c>
      <c r="H460" s="262" t="str">
        <f>IFERROR(__xludf.DUMMYFUNCTION("""COMPUTED_VALUE"""),"Negative")</f>
        <v>Negative</v>
      </c>
      <c r="I460" s="204">
        <f>IFERROR(__xludf.DUMMYFUNCTION("""COMPUTED_VALUE"""),44613.0)</f>
        <v>44613</v>
      </c>
      <c r="J460" s="252">
        <f>IFERROR(__xludf.DUMMYFUNCTION("""COMPUTED_VALUE"""),0.4693981481481482)</f>
        <v>0.4693981481</v>
      </c>
      <c r="K460" s="56"/>
      <c r="L460" s="6"/>
      <c r="M460" s="61"/>
      <c r="N460" s="61">
        <f>IFERROR(__xludf.DUMMYFUNCTION("""COMPUTED_VALUE"""),1.0)</f>
        <v>1</v>
      </c>
      <c r="O460" s="61" t="str">
        <f t="shared" si="3"/>
        <v/>
      </c>
      <c r="P460" s="253">
        <f>IFERROR(__xludf.DUMMYFUNCTION("""COMPUTED_VALUE"""),0.0)</f>
        <v>0</v>
      </c>
      <c r="Q460" s="254" t="b">
        <f>VLOOKUP($B460,'Run Reconcile'!B$2:O799,14,FALSE)</f>
        <v>1</v>
      </c>
      <c r="R460" s="255" t="str">
        <f t="array" ref="R460">IF($Q460, INDEX('Run Reconcile'!A$2:A799,MATCH(B460,'Run Reconcile'!B$2:B799,0),1),IFERROR(0/0,""))</f>
        <v>RUN-BEND_2022-02-21_RFR-037</v>
      </c>
      <c r="S460" s="261" t="str">
        <f t="shared" ref="S460:T460" si="927">IF(COUNTIF(W$2:W799, $A460) &gt; 0,TRUE,IFERROR(0/0,""))</f>
        <v/>
      </c>
      <c r="T460" s="261" t="str">
        <f t="shared" si="927"/>
        <v/>
      </c>
      <c r="U460" s="257" t="str">
        <f t="array" ref="U460">IF(ISBLANK($R460), INDEX('Run Reconcile'!A$2:A799, MATCH($B460, 'Run Reconcile'!B$2:B799, 0)+Z460, 1), IFERROR(0/0,""))
</f>
        <v/>
      </c>
      <c r="V460" s="258" t="str">
        <f t="shared" si="480"/>
        <v>RUN-BEND_2022-02-21_RFR-037</v>
      </c>
      <c r="Y460" s="130" t="str">
        <f t="shared" si="487"/>
        <v/>
      </c>
      <c r="Z460" s="49" t="str">
        <f t="shared" si="7"/>
        <v/>
      </c>
      <c r="AA460" s="49" t="str">
        <f t="shared" si="8"/>
        <v/>
      </c>
      <c r="AB460" s="49" t="str">
        <f t="shared" si="9"/>
        <v/>
      </c>
      <c r="AC460" s="20" t="str">
        <f t="shared" ref="AC460:AD460" si="928">IF(_xlfn.ISFORMULA(S460),IFERROR(0/0,""),TRUE)</f>
        <v/>
      </c>
      <c r="AD460" s="20" t="str">
        <f t="shared" si="928"/>
        <v/>
      </c>
      <c r="AE460" s="43"/>
      <c r="AF460" s="62" t="s">
        <v>59</v>
      </c>
      <c r="AG460" s="57" t="str">
        <f t="shared" si="11"/>
        <v/>
      </c>
    </row>
    <row r="461">
      <c r="A461" s="6" t="str">
        <f>IFERROR(__xludf.DUMMYFUNCTION("""COMPUTED_VALUE"""),"MA1295")</f>
        <v>MA1295</v>
      </c>
      <c r="B461" s="204">
        <f>IFERROR(__xludf.DUMMYFUNCTION("""COMPUTED_VALUE"""),44613.0)</f>
        <v>44613</v>
      </c>
      <c r="C461" s="250">
        <f>IFERROR(__xludf.DUMMYFUNCTION("""COMPUTED_VALUE"""),0.3174652777777778)</f>
        <v>0.3174652778</v>
      </c>
      <c r="D461" s="6" t="str">
        <f>IFERROR(__xludf.DUMMYFUNCTION("""COMPUTED_VALUE"""),"SpBEND279112")</f>
        <v>SpBEND279112</v>
      </c>
      <c r="E461" s="251"/>
      <c r="F461" s="251"/>
      <c r="G461" s="251" t="str">
        <f>IFERROR(__xludf.DUMMYFUNCTION("""COMPUTED_VALUE"""),"Negative")</f>
        <v>Negative</v>
      </c>
      <c r="H461" s="262" t="str">
        <f>IFERROR(__xludf.DUMMYFUNCTION("""COMPUTED_VALUE"""),"Negative")</f>
        <v>Negative</v>
      </c>
      <c r="I461" s="204">
        <f>IFERROR(__xludf.DUMMYFUNCTION("""COMPUTED_VALUE"""),44613.0)</f>
        <v>44613</v>
      </c>
      <c r="J461" s="252">
        <f>IFERROR(__xludf.DUMMYFUNCTION("""COMPUTED_VALUE"""),0.4693981481481482)</f>
        <v>0.4693981481</v>
      </c>
      <c r="K461" s="56"/>
      <c r="L461" s="6"/>
      <c r="M461" s="61"/>
      <c r="N461" s="61">
        <f>IFERROR(__xludf.DUMMYFUNCTION("""COMPUTED_VALUE"""),1.0)</f>
        <v>1</v>
      </c>
      <c r="O461" s="61" t="str">
        <f t="shared" si="3"/>
        <v/>
      </c>
      <c r="P461" s="253">
        <f>IFERROR(__xludf.DUMMYFUNCTION("""COMPUTED_VALUE"""),0.0)</f>
        <v>0</v>
      </c>
      <c r="Q461" s="254" t="b">
        <f>VLOOKUP($B461,'Run Reconcile'!B$2:O799,14,FALSE)</f>
        <v>1</v>
      </c>
      <c r="R461" s="255" t="str">
        <f t="array" ref="R461">IF($Q461, INDEX('Run Reconcile'!A$2:A799,MATCH(B461,'Run Reconcile'!B$2:B799,0),1),IFERROR(0/0,""))</f>
        <v>RUN-BEND_2022-02-21_RFR-037</v>
      </c>
      <c r="S461" s="261" t="str">
        <f t="shared" ref="S461:T461" si="929">IF(COUNTIF(W$2:W799, $A461) &gt; 0,TRUE,IFERROR(0/0,""))</f>
        <v/>
      </c>
      <c r="T461" s="261" t="str">
        <f t="shared" si="929"/>
        <v/>
      </c>
      <c r="U461" s="257" t="str">
        <f t="array" ref="U461">IF(ISBLANK($R461), INDEX('Run Reconcile'!A$2:A799, MATCH($B461, 'Run Reconcile'!B$2:B799, 0)+Z461, 1), IFERROR(0/0,""))
</f>
        <v/>
      </c>
      <c r="V461" s="258" t="str">
        <f t="shared" si="480"/>
        <v>RUN-BEND_2022-02-21_RFR-037</v>
      </c>
      <c r="Y461" s="130" t="str">
        <f t="shared" si="487"/>
        <v/>
      </c>
      <c r="Z461" s="49" t="str">
        <f t="shared" si="7"/>
        <v/>
      </c>
      <c r="AA461" s="49" t="str">
        <f t="shared" si="8"/>
        <v/>
      </c>
      <c r="AB461" s="49" t="str">
        <f t="shared" si="9"/>
        <v/>
      </c>
      <c r="AC461" s="20" t="str">
        <f t="shared" ref="AC461:AD461" si="930">IF(_xlfn.ISFORMULA(S461),IFERROR(0/0,""),TRUE)</f>
        <v/>
      </c>
      <c r="AD461" s="20" t="str">
        <f t="shared" si="930"/>
        <v/>
      </c>
      <c r="AE461" s="43"/>
      <c r="AF461" s="62" t="s">
        <v>59</v>
      </c>
      <c r="AG461" s="57" t="str">
        <f t="shared" si="11"/>
        <v/>
      </c>
    </row>
    <row r="462">
      <c r="A462" s="6" t="str">
        <f>IFERROR(__xludf.DUMMYFUNCTION("""COMPUTED_VALUE"""),"MA210")</f>
        <v>MA210</v>
      </c>
      <c r="B462" s="204">
        <f>IFERROR(__xludf.DUMMYFUNCTION("""COMPUTED_VALUE"""),44613.0)</f>
        <v>44613</v>
      </c>
      <c r="C462" s="250">
        <f>IFERROR(__xludf.DUMMYFUNCTION("""COMPUTED_VALUE"""),0.3193634259259259)</f>
        <v>0.3193634259</v>
      </c>
      <c r="D462" s="6" t="str">
        <f>IFERROR(__xludf.DUMMYFUNCTION("""COMPUTED_VALUE"""),"SpBEND904348")</f>
        <v>SpBEND904348</v>
      </c>
      <c r="E462" s="251"/>
      <c r="F462" s="251"/>
      <c r="G462" s="251" t="str">
        <f>IFERROR(__xludf.DUMMYFUNCTION("""COMPUTED_VALUE"""),"Negative")</f>
        <v>Negative</v>
      </c>
      <c r="H462" s="262" t="str">
        <f>IFERROR(__xludf.DUMMYFUNCTION("""COMPUTED_VALUE"""),"Negative")</f>
        <v>Negative</v>
      </c>
      <c r="I462" s="204">
        <f>IFERROR(__xludf.DUMMYFUNCTION("""COMPUTED_VALUE"""),44613.0)</f>
        <v>44613</v>
      </c>
      <c r="J462" s="252">
        <f>IFERROR(__xludf.DUMMYFUNCTION("""COMPUTED_VALUE"""),0.4694097222222222)</f>
        <v>0.4694097222</v>
      </c>
      <c r="K462" s="56"/>
      <c r="L462" s="6"/>
      <c r="M462" s="61"/>
      <c r="N462" s="61">
        <f>IFERROR(__xludf.DUMMYFUNCTION("""COMPUTED_VALUE"""),1.0)</f>
        <v>1</v>
      </c>
      <c r="O462" s="61" t="str">
        <f t="shared" si="3"/>
        <v/>
      </c>
      <c r="P462" s="253">
        <f>IFERROR(__xludf.DUMMYFUNCTION("""COMPUTED_VALUE"""),0.0)</f>
        <v>0</v>
      </c>
      <c r="Q462" s="254" t="b">
        <f>VLOOKUP($B462,'Run Reconcile'!B$2:O799,14,FALSE)</f>
        <v>1</v>
      </c>
      <c r="R462" s="255" t="str">
        <f t="array" ref="R462">IF($Q462, INDEX('Run Reconcile'!A$2:A799,MATCH(B462,'Run Reconcile'!B$2:B799,0),1),IFERROR(0/0,""))</f>
        <v>RUN-BEND_2022-02-21_RFR-037</v>
      </c>
      <c r="S462" s="261" t="str">
        <f t="shared" ref="S462:T462" si="931">IF(COUNTIF(W$2:W799, $A462) &gt; 0,TRUE,IFERROR(0/0,""))</f>
        <v/>
      </c>
      <c r="T462" s="261" t="str">
        <f t="shared" si="931"/>
        <v/>
      </c>
      <c r="U462" s="257" t="str">
        <f t="array" ref="U462">IF(ISBLANK($R462), INDEX('Run Reconcile'!A$2:A799, MATCH($B462, 'Run Reconcile'!B$2:B799, 0)+Z462, 1), IFERROR(0/0,""))
</f>
        <v/>
      </c>
      <c r="V462" s="258" t="str">
        <f t="shared" si="480"/>
        <v>RUN-BEND_2022-02-21_RFR-037</v>
      </c>
      <c r="Y462" s="130" t="str">
        <f t="shared" si="487"/>
        <v/>
      </c>
      <c r="Z462" s="49" t="str">
        <f t="shared" si="7"/>
        <v/>
      </c>
      <c r="AA462" s="49" t="str">
        <f t="shared" si="8"/>
        <v/>
      </c>
      <c r="AB462" s="49" t="str">
        <f t="shared" si="9"/>
        <v/>
      </c>
      <c r="AC462" s="20" t="str">
        <f t="shared" ref="AC462:AD462" si="932">IF(_xlfn.ISFORMULA(S462),IFERROR(0/0,""),TRUE)</f>
        <v/>
      </c>
      <c r="AD462" s="20" t="str">
        <f t="shared" si="932"/>
        <v/>
      </c>
      <c r="AE462" s="43"/>
      <c r="AF462" s="62" t="s">
        <v>59</v>
      </c>
      <c r="AG462" s="57" t="str">
        <f t="shared" si="11"/>
        <v/>
      </c>
    </row>
    <row r="463">
      <c r="A463" s="6" t="str">
        <f>IFERROR(__xludf.DUMMYFUNCTION("""COMPUTED_VALUE"""),"MA1271")</f>
        <v>MA1271</v>
      </c>
      <c r="B463" s="204">
        <f>IFERROR(__xludf.DUMMYFUNCTION("""COMPUTED_VALUE"""),44613.0)</f>
        <v>44613</v>
      </c>
      <c r="C463" s="250">
        <f>IFERROR(__xludf.DUMMYFUNCTION("""COMPUTED_VALUE"""),0.3198611111111111)</f>
        <v>0.3198611111</v>
      </c>
      <c r="D463" s="6" t="str">
        <f>IFERROR(__xludf.DUMMYFUNCTION("""COMPUTED_VALUE"""),"SpBEND815974")</f>
        <v>SpBEND815974</v>
      </c>
      <c r="E463" s="251"/>
      <c r="F463" s="251"/>
      <c r="G463" s="251" t="str">
        <f>IFERROR(__xludf.DUMMYFUNCTION("""COMPUTED_VALUE"""),"Negative")</f>
        <v>Negative</v>
      </c>
      <c r="H463" s="262" t="str">
        <f>IFERROR(__xludf.DUMMYFUNCTION("""COMPUTED_VALUE"""),"Negative")</f>
        <v>Negative</v>
      </c>
      <c r="I463" s="204">
        <f>IFERROR(__xludf.DUMMYFUNCTION("""COMPUTED_VALUE"""),44613.0)</f>
        <v>44613</v>
      </c>
      <c r="J463" s="252">
        <f>IFERROR(__xludf.DUMMYFUNCTION("""COMPUTED_VALUE"""),0.4694097222222222)</f>
        <v>0.4694097222</v>
      </c>
      <c r="K463" s="56"/>
      <c r="L463" s="6"/>
      <c r="M463" s="61"/>
      <c r="N463" s="61">
        <f>IFERROR(__xludf.DUMMYFUNCTION("""COMPUTED_VALUE"""),1.0)</f>
        <v>1</v>
      </c>
      <c r="O463" s="61" t="str">
        <f t="shared" si="3"/>
        <v/>
      </c>
      <c r="P463" s="253">
        <f>IFERROR(__xludf.DUMMYFUNCTION("""COMPUTED_VALUE"""),0.0)</f>
        <v>0</v>
      </c>
      <c r="Q463" s="254" t="b">
        <f>VLOOKUP($B463,'Run Reconcile'!B$2:O799,14,FALSE)</f>
        <v>1</v>
      </c>
      <c r="R463" s="255" t="str">
        <f t="array" ref="R463">IF($Q463, INDEX('Run Reconcile'!A$2:A799,MATCH(B463,'Run Reconcile'!B$2:B799,0),1),IFERROR(0/0,""))</f>
        <v>RUN-BEND_2022-02-21_RFR-037</v>
      </c>
      <c r="S463" s="261" t="str">
        <f t="shared" ref="S463:T463" si="933">IF(COUNTIF(W$2:W799, $A463) &gt; 0,TRUE,IFERROR(0/0,""))</f>
        <v/>
      </c>
      <c r="T463" s="261" t="str">
        <f t="shared" si="933"/>
        <v/>
      </c>
      <c r="U463" s="257" t="str">
        <f t="array" ref="U463">IF(ISBLANK($R463), INDEX('Run Reconcile'!A$2:A799, MATCH($B463, 'Run Reconcile'!B$2:B799, 0)+Z463, 1), IFERROR(0/0,""))
</f>
        <v/>
      </c>
      <c r="V463" s="258" t="str">
        <f t="shared" si="480"/>
        <v>RUN-BEND_2022-02-21_RFR-037</v>
      </c>
      <c r="Y463" s="130" t="str">
        <f t="shared" si="487"/>
        <v/>
      </c>
      <c r="Z463" s="49" t="str">
        <f t="shared" si="7"/>
        <v/>
      </c>
      <c r="AA463" s="49" t="str">
        <f t="shared" si="8"/>
        <v/>
      </c>
      <c r="AB463" s="49" t="str">
        <f t="shared" si="9"/>
        <v/>
      </c>
      <c r="AC463" s="20" t="str">
        <f t="shared" ref="AC463:AD463" si="934">IF(_xlfn.ISFORMULA(S463),IFERROR(0/0,""),TRUE)</f>
        <v/>
      </c>
      <c r="AD463" s="20" t="str">
        <f t="shared" si="934"/>
        <v/>
      </c>
      <c r="AE463" s="43"/>
      <c r="AF463" s="62" t="s">
        <v>59</v>
      </c>
      <c r="AG463" s="57" t="str">
        <f t="shared" si="11"/>
        <v/>
      </c>
    </row>
    <row r="464">
      <c r="A464" s="6" t="str">
        <f>IFERROR(__xludf.DUMMYFUNCTION("""COMPUTED_VALUE"""),"MA202")</f>
        <v>MA202</v>
      </c>
      <c r="B464" s="204">
        <f>IFERROR(__xludf.DUMMYFUNCTION("""COMPUTED_VALUE"""),44613.0)</f>
        <v>44613</v>
      </c>
      <c r="C464" s="250">
        <f>IFERROR(__xludf.DUMMYFUNCTION("""COMPUTED_VALUE"""),0.32069444444444445)</f>
        <v>0.3206944444</v>
      </c>
      <c r="D464" s="6" t="str">
        <f>IFERROR(__xludf.DUMMYFUNCTION("""COMPUTED_VALUE"""),"SpBEND372845")</f>
        <v>SpBEND372845</v>
      </c>
      <c r="E464" s="251"/>
      <c r="F464" s="251"/>
      <c r="G464" s="251" t="str">
        <f>IFERROR(__xludf.DUMMYFUNCTION("""COMPUTED_VALUE"""),"Negative")</f>
        <v>Negative</v>
      </c>
      <c r="H464" s="262" t="str">
        <f>IFERROR(__xludf.DUMMYFUNCTION("""COMPUTED_VALUE"""),"Negative")</f>
        <v>Negative</v>
      </c>
      <c r="I464" s="204">
        <f>IFERROR(__xludf.DUMMYFUNCTION("""COMPUTED_VALUE"""),44613.0)</f>
        <v>44613</v>
      </c>
      <c r="J464" s="252">
        <f>IFERROR(__xludf.DUMMYFUNCTION("""COMPUTED_VALUE"""),0.4694097222222222)</f>
        <v>0.4694097222</v>
      </c>
      <c r="K464" s="56"/>
      <c r="L464" s="6"/>
      <c r="M464" s="61"/>
      <c r="N464" s="61">
        <f>IFERROR(__xludf.DUMMYFUNCTION("""COMPUTED_VALUE"""),1.0)</f>
        <v>1</v>
      </c>
      <c r="O464" s="61" t="str">
        <f t="shared" si="3"/>
        <v/>
      </c>
      <c r="P464" s="253">
        <f>IFERROR(__xludf.DUMMYFUNCTION("""COMPUTED_VALUE"""),0.0)</f>
        <v>0</v>
      </c>
      <c r="Q464" s="254" t="b">
        <f>VLOOKUP($B464,'Run Reconcile'!B$2:O799,14,FALSE)</f>
        <v>1</v>
      </c>
      <c r="R464" s="255" t="str">
        <f t="array" ref="R464">IF($Q464, INDEX('Run Reconcile'!A$2:A799,MATCH(B464,'Run Reconcile'!B$2:B799,0),1),IFERROR(0/0,""))</f>
        <v>RUN-BEND_2022-02-21_RFR-037</v>
      </c>
      <c r="S464" s="261" t="str">
        <f t="shared" ref="S464:T464" si="935">IF(COUNTIF(W$2:W799, $A464) &gt; 0,TRUE,IFERROR(0/0,""))</f>
        <v/>
      </c>
      <c r="T464" s="261" t="str">
        <f t="shared" si="935"/>
        <v/>
      </c>
      <c r="U464" s="257" t="str">
        <f t="array" ref="U464">IF(ISBLANK($R464), INDEX('Run Reconcile'!A$2:A799, MATCH($B464, 'Run Reconcile'!B$2:B799, 0)+Z464, 1), IFERROR(0/0,""))
</f>
        <v/>
      </c>
      <c r="V464" s="258" t="str">
        <f t="shared" si="480"/>
        <v>RUN-BEND_2022-02-21_RFR-037</v>
      </c>
      <c r="Y464" s="130" t="str">
        <f t="shared" si="487"/>
        <v/>
      </c>
      <c r="Z464" s="49" t="str">
        <f t="shared" si="7"/>
        <v/>
      </c>
      <c r="AA464" s="49" t="str">
        <f t="shared" si="8"/>
        <v/>
      </c>
      <c r="AB464" s="49" t="str">
        <f t="shared" si="9"/>
        <v/>
      </c>
      <c r="AC464" s="20" t="str">
        <f t="shared" ref="AC464:AD464" si="936">IF(_xlfn.ISFORMULA(S464),IFERROR(0/0,""),TRUE)</f>
        <v/>
      </c>
      <c r="AD464" s="20" t="str">
        <f t="shared" si="936"/>
        <v/>
      </c>
      <c r="AE464" s="43"/>
      <c r="AF464" s="62" t="s">
        <v>59</v>
      </c>
      <c r="AG464" s="57" t="str">
        <f t="shared" si="11"/>
        <v/>
      </c>
    </row>
    <row r="465">
      <c r="A465" s="6" t="str">
        <f>IFERROR(__xludf.DUMMYFUNCTION("""COMPUTED_VALUE"""),"FM1020")</f>
        <v>FM1020</v>
      </c>
      <c r="B465" s="204">
        <f>IFERROR(__xludf.DUMMYFUNCTION("""COMPUTED_VALUE"""),44613.0)</f>
        <v>44613</v>
      </c>
      <c r="C465" s="250">
        <f>IFERROR(__xludf.DUMMYFUNCTION("""COMPUTED_VALUE"""),0.32101851851851854)</f>
        <v>0.3210185185</v>
      </c>
      <c r="D465" s="6" t="str">
        <f>IFERROR(__xludf.DUMMYFUNCTION("""COMPUTED_VALUE"""),"SpBEND551372")</f>
        <v>SpBEND551372</v>
      </c>
      <c r="E465" s="251"/>
      <c r="F465" s="251"/>
      <c r="G465" s="251" t="str">
        <f>IFERROR(__xludf.DUMMYFUNCTION("""COMPUTED_VALUE"""),"Negative")</f>
        <v>Negative</v>
      </c>
      <c r="H465" s="262" t="str">
        <f>IFERROR(__xludf.DUMMYFUNCTION("""COMPUTED_VALUE"""),"Negative")</f>
        <v>Negative</v>
      </c>
      <c r="I465" s="204">
        <f>IFERROR(__xludf.DUMMYFUNCTION("""COMPUTED_VALUE"""),44613.0)</f>
        <v>44613</v>
      </c>
      <c r="J465" s="252">
        <f>IFERROR(__xludf.DUMMYFUNCTION("""COMPUTED_VALUE"""),0.4694097222222222)</f>
        <v>0.4694097222</v>
      </c>
      <c r="K465" s="56"/>
      <c r="L465" s="6"/>
      <c r="M465" s="61"/>
      <c r="N465" s="61">
        <f>IFERROR(__xludf.DUMMYFUNCTION("""COMPUTED_VALUE"""),1.0)</f>
        <v>1</v>
      </c>
      <c r="O465" s="61" t="str">
        <f t="shared" si="3"/>
        <v/>
      </c>
      <c r="P465" s="253">
        <f>IFERROR(__xludf.DUMMYFUNCTION("""COMPUTED_VALUE"""),0.0)</f>
        <v>0</v>
      </c>
      <c r="Q465" s="254" t="b">
        <f>VLOOKUP($B465,'Run Reconcile'!B$2:O799,14,FALSE)</f>
        <v>1</v>
      </c>
      <c r="R465" s="255" t="str">
        <f t="array" ref="R465">IF($Q465, INDEX('Run Reconcile'!A$2:A799,MATCH(B465,'Run Reconcile'!B$2:B799,0),1),IFERROR(0/0,""))</f>
        <v>RUN-BEND_2022-02-21_RFR-037</v>
      </c>
      <c r="S465" s="261" t="str">
        <f t="shared" ref="S465:T465" si="937">IF(COUNTIF(W$2:W799, $A465) &gt; 0,TRUE,IFERROR(0/0,""))</f>
        <v/>
      </c>
      <c r="T465" s="261" t="str">
        <f t="shared" si="937"/>
        <v/>
      </c>
      <c r="U465" s="257" t="str">
        <f t="array" ref="U465">IF(ISBLANK($R465), INDEX('Run Reconcile'!A$2:A799, MATCH($B465, 'Run Reconcile'!B$2:B799, 0)+Z465, 1), IFERROR(0/0,""))
</f>
        <v/>
      </c>
      <c r="V465" s="258" t="str">
        <f t="shared" si="480"/>
        <v>RUN-BEND_2022-02-21_RFR-037</v>
      </c>
      <c r="Y465" s="130" t="str">
        <f t="shared" si="487"/>
        <v/>
      </c>
      <c r="Z465" s="49" t="str">
        <f t="shared" si="7"/>
        <v/>
      </c>
      <c r="AA465" s="49" t="str">
        <f t="shared" si="8"/>
        <v/>
      </c>
      <c r="AB465" s="49" t="str">
        <f t="shared" si="9"/>
        <v/>
      </c>
      <c r="AC465" s="20" t="str">
        <f t="shared" ref="AC465:AD465" si="938">IF(_xlfn.ISFORMULA(S465),IFERROR(0/0,""),TRUE)</f>
        <v/>
      </c>
      <c r="AD465" s="20" t="str">
        <f t="shared" si="938"/>
        <v/>
      </c>
      <c r="AE465" s="43"/>
      <c r="AF465" s="62" t="s">
        <v>59</v>
      </c>
      <c r="AG465" s="57" t="str">
        <f t="shared" si="11"/>
        <v/>
      </c>
    </row>
    <row r="466">
      <c r="A466" s="6" t="str">
        <f>IFERROR(__xludf.DUMMYFUNCTION("""COMPUTED_VALUE"""),"FM823")</f>
        <v>FM823</v>
      </c>
      <c r="B466" s="204">
        <f>IFERROR(__xludf.DUMMYFUNCTION("""COMPUTED_VALUE"""),44613.0)</f>
        <v>44613</v>
      </c>
      <c r="C466" s="250">
        <f>IFERROR(__xludf.DUMMYFUNCTION("""COMPUTED_VALUE"""),0.3212037037037037)</f>
        <v>0.3212037037</v>
      </c>
      <c r="D466" s="6" t="str">
        <f>IFERROR(__xludf.DUMMYFUNCTION("""COMPUTED_VALUE"""),"SpBEND691307")</f>
        <v>SpBEND691307</v>
      </c>
      <c r="E466" s="251"/>
      <c r="F466" s="251"/>
      <c r="G466" s="251" t="str">
        <f>IFERROR(__xludf.DUMMYFUNCTION("""COMPUTED_VALUE"""),"Negative")</f>
        <v>Negative</v>
      </c>
      <c r="H466" s="262" t="str">
        <f>IFERROR(__xludf.DUMMYFUNCTION("""COMPUTED_VALUE"""),"Negative")</f>
        <v>Negative</v>
      </c>
      <c r="I466" s="204">
        <f>IFERROR(__xludf.DUMMYFUNCTION("""COMPUTED_VALUE"""),44613.0)</f>
        <v>44613</v>
      </c>
      <c r="J466" s="252">
        <f>IFERROR(__xludf.DUMMYFUNCTION("""COMPUTED_VALUE"""),0.4694097222222222)</f>
        <v>0.4694097222</v>
      </c>
      <c r="K466" s="56"/>
      <c r="L466" s="6"/>
      <c r="M466" s="61"/>
      <c r="N466" s="61">
        <f>IFERROR(__xludf.DUMMYFUNCTION("""COMPUTED_VALUE"""),1.0)</f>
        <v>1</v>
      </c>
      <c r="O466" s="61" t="str">
        <f t="shared" si="3"/>
        <v/>
      </c>
      <c r="P466" s="253">
        <f>IFERROR(__xludf.DUMMYFUNCTION("""COMPUTED_VALUE"""),0.0)</f>
        <v>0</v>
      </c>
      <c r="Q466" s="254" t="b">
        <f>VLOOKUP($B466,'Run Reconcile'!B$2:O799,14,FALSE)</f>
        <v>1</v>
      </c>
      <c r="R466" s="255" t="str">
        <f t="array" ref="R466">IF($Q466, INDEX('Run Reconcile'!A$2:A799,MATCH(B466,'Run Reconcile'!B$2:B799,0),1),IFERROR(0/0,""))</f>
        <v>RUN-BEND_2022-02-21_RFR-037</v>
      </c>
      <c r="S466" s="261" t="str">
        <f t="shared" ref="S466:T466" si="939">IF(COUNTIF(W$2:W799, $A466) &gt; 0,TRUE,IFERROR(0/0,""))</f>
        <v/>
      </c>
      <c r="T466" s="261" t="str">
        <f t="shared" si="939"/>
        <v/>
      </c>
      <c r="U466" s="257" t="str">
        <f t="array" ref="U466">IF(ISBLANK($R466), INDEX('Run Reconcile'!A$2:A799, MATCH($B466, 'Run Reconcile'!B$2:B799, 0)+Z466, 1), IFERROR(0/0,""))
</f>
        <v/>
      </c>
      <c r="V466" s="258" t="str">
        <f t="shared" si="480"/>
        <v>RUN-BEND_2022-02-21_RFR-037</v>
      </c>
      <c r="Y466" s="130" t="str">
        <f t="shared" si="487"/>
        <v/>
      </c>
      <c r="Z466" s="49" t="str">
        <f t="shared" si="7"/>
        <v/>
      </c>
      <c r="AA466" s="49" t="str">
        <f t="shared" si="8"/>
        <v/>
      </c>
      <c r="AB466" s="49" t="str">
        <f t="shared" si="9"/>
        <v/>
      </c>
      <c r="AC466" s="20" t="str">
        <f t="shared" ref="AC466:AD466" si="940">IF(_xlfn.ISFORMULA(S466),IFERROR(0/0,""),TRUE)</f>
        <v/>
      </c>
      <c r="AD466" s="20" t="str">
        <f t="shared" si="940"/>
        <v/>
      </c>
      <c r="AE466" s="43"/>
      <c r="AF466" s="62" t="s">
        <v>59</v>
      </c>
      <c r="AG466" s="57" t="str">
        <f t="shared" si="11"/>
        <v/>
      </c>
    </row>
    <row r="467">
      <c r="A467" s="6" t="str">
        <f>IFERROR(__xludf.DUMMYFUNCTION("""COMPUTED_VALUE"""),"MA227")</f>
        <v>MA227</v>
      </c>
      <c r="B467" s="204">
        <f>IFERROR(__xludf.DUMMYFUNCTION("""COMPUTED_VALUE"""),44613.0)</f>
        <v>44613</v>
      </c>
      <c r="C467" s="250">
        <f>IFERROR(__xludf.DUMMYFUNCTION("""COMPUTED_VALUE"""),0.3221643518518518)</f>
        <v>0.3221643519</v>
      </c>
      <c r="D467" s="6" t="str">
        <f>IFERROR(__xludf.DUMMYFUNCTION("""COMPUTED_VALUE"""),"SpBEND490402")</f>
        <v>SpBEND490402</v>
      </c>
      <c r="E467" s="251"/>
      <c r="F467" s="251"/>
      <c r="G467" s="251" t="str">
        <f>IFERROR(__xludf.DUMMYFUNCTION("""COMPUTED_VALUE"""),"Negative")</f>
        <v>Negative</v>
      </c>
      <c r="H467" s="262" t="str">
        <f>IFERROR(__xludf.DUMMYFUNCTION("""COMPUTED_VALUE"""),"Negative")</f>
        <v>Negative</v>
      </c>
      <c r="I467" s="204">
        <f>IFERROR(__xludf.DUMMYFUNCTION("""COMPUTED_VALUE"""),44613.0)</f>
        <v>44613</v>
      </c>
      <c r="J467" s="252">
        <f>IFERROR(__xludf.DUMMYFUNCTION("""COMPUTED_VALUE"""),0.4694097222222222)</f>
        <v>0.4694097222</v>
      </c>
      <c r="K467" s="56"/>
      <c r="L467" s="6"/>
      <c r="M467" s="61"/>
      <c r="N467" s="61">
        <f>IFERROR(__xludf.DUMMYFUNCTION("""COMPUTED_VALUE"""),1.0)</f>
        <v>1</v>
      </c>
      <c r="O467" s="61" t="str">
        <f t="shared" si="3"/>
        <v/>
      </c>
      <c r="P467" s="253">
        <f>IFERROR(__xludf.DUMMYFUNCTION("""COMPUTED_VALUE"""),0.0)</f>
        <v>0</v>
      </c>
      <c r="Q467" s="254" t="b">
        <f>VLOOKUP($B467,'Run Reconcile'!B$2:O799,14,FALSE)</f>
        <v>1</v>
      </c>
      <c r="R467" s="255" t="str">
        <f t="array" ref="R467">IF($Q467, INDEX('Run Reconcile'!A$2:A799,MATCH(B467,'Run Reconcile'!B$2:B799,0),1),IFERROR(0/0,""))</f>
        <v>RUN-BEND_2022-02-21_RFR-037</v>
      </c>
      <c r="S467" s="261" t="str">
        <f t="shared" ref="S467:T467" si="941">IF(COUNTIF(W$2:W799, $A467) &gt; 0,TRUE,IFERROR(0/0,""))</f>
        <v/>
      </c>
      <c r="T467" s="261" t="str">
        <f t="shared" si="941"/>
        <v/>
      </c>
      <c r="U467" s="257" t="str">
        <f t="array" ref="U467">IF(ISBLANK($R467), INDEX('Run Reconcile'!A$2:A799, MATCH($B467, 'Run Reconcile'!B$2:B799, 0)+Z467, 1), IFERROR(0/0,""))
</f>
        <v/>
      </c>
      <c r="V467" s="258" t="str">
        <f t="shared" si="480"/>
        <v>RUN-BEND_2022-02-21_RFR-037</v>
      </c>
      <c r="Y467" s="130" t="str">
        <f t="shared" si="487"/>
        <v/>
      </c>
      <c r="Z467" s="49" t="str">
        <f t="shared" si="7"/>
        <v/>
      </c>
      <c r="AA467" s="49" t="str">
        <f t="shared" si="8"/>
        <v/>
      </c>
      <c r="AB467" s="49" t="str">
        <f t="shared" si="9"/>
        <v/>
      </c>
      <c r="AC467" s="20" t="str">
        <f t="shared" ref="AC467:AD467" si="942">IF(_xlfn.ISFORMULA(S467),IFERROR(0/0,""),TRUE)</f>
        <v/>
      </c>
      <c r="AD467" s="20" t="str">
        <f t="shared" si="942"/>
        <v/>
      </c>
      <c r="AE467" s="43"/>
      <c r="AF467" s="62" t="s">
        <v>59</v>
      </c>
      <c r="AG467" s="57" t="str">
        <f t="shared" si="11"/>
        <v/>
      </c>
    </row>
    <row r="468">
      <c r="A468" s="6" t="str">
        <f>IFERROR(__xludf.DUMMYFUNCTION("""COMPUTED_VALUE"""),"MAX100")</f>
        <v>MAX100</v>
      </c>
      <c r="B468" s="204">
        <f>IFERROR(__xludf.DUMMYFUNCTION("""COMPUTED_VALUE"""),44613.0)</f>
        <v>44613</v>
      </c>
      <c r="C468" s="250">
        <f>IFERROR(__xludf.DUMMYFUNCTION("""COMPUTED_VALUE"""),0.3222685185185185)</f>
        <v>0.3222685185</v>
      </c>
      <c r="D468" s="6" t="str">
        <f>IFERROR(__xludf.DUMMYFUNCTION("""COMPUTED_VALUE"""),"SpBEND967817")</f>
        <v>SpBEND967817</v>
      </c>
      <c r="E468" s="251"/>
      <c r="F468" s="251"/>
      <c r="G468" s="251" t="str">
        <f>IFERROR(__xludf.DUMMYFUNCTION("""COMPUTED_VALUE"""),"Negative")</f>
        <v>Negative</v>
      </c>
      <c r="H468" s="262" t="str">
        <f>IFERROR(__xludf.DUMMYFUNCTION("""COMPUTED_VALUE"""),"Negative")</f>
        <v>Negative</v>
      </c>
      <c r="I468" s="204">
        <f>IFERROR(__xludf.DUMMYFUNCTION("""COMPUTED_VALUE"""),44613.0)</f>
        <v>44613</v>
      </c>
      <c r="J468" s="252">
        <f>IFERROR(__xludf.DUMMYFUNCTION("""COMPUTED_VALUE"""),0.4694097222222222)</f>
        <v>0.4694097222</v>
      </c>
      <c r="K468" s="56"/>
      <c r="L468" s="6"/>
      <c r="M468" s="61"/>
      <c r="N468" s="61">
        <f>IFERROR(__xludf.DUMMYFUNCTION("""COMPUTED_VALUE"""),1.0)</f>
        <v>1</v>
      </c>
      <c r="O468" s="61" t="str">
        <f t="shared" si="3"/>
        <v/>
      </c>
      <c r="P468" s="253">
        <f>IFERROR(__xludf.DUMMYFUNCTION("""COMPUTED_VALUE"""),0.0)</f>
        <v>0</v>
      </c>
      <c r="Q468" s="254" t="b">
        <f>VLOOKUP($B468,'Run Reconcile'!B$2:O799,14,FALSE)</f>
        <v>1</v>
      </c>
      <c r="R468" s="255" t="str">
        <f t="array" ref="R468">IF($Q468, INDEX('Run Reconcile'!A$2:A799,MATCH(B468,'Run Reconcile'!B$2:B799,0),1),IFERROR(0/0,""))</f>
        <v>RUN-BEND_2022-02-21_RFR-037</v>
      </c>
      <c r="S468" s="261" t="str">
        <f t="shared" ref="S468:T468" si="943">IF(COUNTIF(W$2:W799, $A468) &gt; 0,TRUE,IFERROR(0/0,""))</f>
        <v/>
      </c>
      <c r="T468" s="261" t="str">
        <f t="shared" si="943"/>
        <v/>
      </c>
      <c r="U468" s="257" t="str">
        <f t="array" ref="U468">IF(ISBLANK($R468), INDEX('Run Reconcile'!A$2:A799, MATCH($B468, 'Run Reconcile'!B$2:B799, 0)+Z468, 1), IFERROR(0/0,""))
</f>
        <v/>
      </c>
      <c r="V468" s="258" t="str">
        <f t="shared" si="480"/>
        <v>RUN-BEND_2022-02-21_RFR-037</v>
      </c>
      <c r="Y468" s="130" t="str">
        <f t="shared" si="487"/>
        <v/>
      </c>
      <c r="Z468" s="49" t="str">
        <f t="shared" si="7"/>
        <v/>
      </c>
      <c r="AA468" s="49" t="str">
        <f t="shared" si="8"/>
        <v/>
      </c>
      <c r="AB468" s="49" t="str">
        <f t="shared" si="9"/>
        <v/>
      </c>
      <c r="AC468" s="20" t="str">
        <f t="shared" ref="AC468:AD468" si="944">IF(_xlfn.ISFORMULA(S468),IFERROR(0/0,""),TRUE)</f>
        <v/>
      </c>
      <c r="AD468" s="20" t="str">
        <f t="shared" si="944"/>
        <v/>
      </c>
      <c r="AE468" s="43"/>
      <c r="AF468" s="62" t="s">
        <v>59</v>
      </c>
      <c r="AG468" s="57" t="str">
        <f t="shared" si="11"/>
        <v/>
      </c>
    </row>
    <row r="469">
      <c r="A469" s="6" t="str">
        <f>IFERROR(__xludf.DUMMYFUNCTION("""COMPUTED_VALUE"""),"FM1010")</f>
        <v>FM1010</v>
      </c>
      <c r="B469" s="204">
        <f>IFERROR(__xludf.DUMMYFUNCTION("""COMPUTED_VALUE"""),44613.0)</f>
        <v>44613</v>
      </c>
      <c r="C469" s="250">
        <f>IFERROR(__xludf.DUMMYFUNCTION("""COMPUTED_VALUE"""),0.3244097222222222)</f>
        <v>0.3244097222</v>
      </c>
      <c r="D469" s="6" t="str">
        <f>IFERROR(__xludf.DUMMYFUNCTION("""COMPUTED_VALUE"""),"SpBEND634692")</f>
        <v>SpBEND634692</v>
      </c>
      <c r="E469" s="251"/>
      <c r="F469" s="251"/>
      <c r="G469" s="251" t="str">
        <f>IFERROR(__xludf.DUMMYFUNCTION("""COMPUTED_VALUE"""),"Negative")</f>
        <v>Negative</v>
      </c>
      <c r="H469" s="262" t="str">
        <f>IFERROR(__xludf.DUMMYFUNCTION("""COMPUTED_VALUE"""),"Negative")</f>
        <v>Negative</v>
      </c>
      <c r="I469" s="204">
        <f>IFERROR(__xludf.DUMMYFUNCTION("""COMPUTED_VALUE"""),44613.0)</f>
        <v>44613</v>
      </c>
      <c r="J469" s="252">
        <f>IFERROR(__xludf.DUMMYFUNCTION("""COMPUTED_VALUE"""),0.4694097222222222)</f>
        <v>0.4694097222</v>
      </c>
      <c r="K469" s="56"/>
      <c r="L469" s="6"/>
      <c r="M469" s="61"/>
      <c r="N469" s="61">
        <f>IFERROR(__xludf.DUMMYFUNCTION("""COMPUTED_VALUE"""),1.0)</f>
        <v>1</v>
      </c>
      <c r="O469" s="61" t="str">
        <f t="shared" si="3"/>
        <v/>
      </c>
      <c r="P469" s="253">
        <f>IFERROR(__xludf.DUMMYFUNCTION("""COMPUTED_VALUE"""),0.0)</f>
        <v>0</v>
      </c>
      <c r="Q469" s="254" t="b">
        <f>VLOOKUP($B469,'Run Reconcile'!B$2:O799,14,FALSE)</f>
        <v>1</v>
      </c>
      <c r="R469" s="255" t="str">
        <f t="array" ref="R469">IF($Q469, INDEX('Run Reconcile'!A$2:A799,MATCH(B469,'Run Reconcile'!B$2:B799,0),1),IFERROR(0/0,""))</f>
        <v>RUN-BEND_2022-02-21_RFR-037</v>
      </c>
      <c r="S469" s="261" t="str">
        <f t="shared" ref="S469:T469" si="945">IF(COUNTIF(W$2:W799, $A469) &gt; 0,TRUE,IFERROR(0/0,""))</f>
        <v/>
      </c>
      <c r="T469" s="261" t="str">
        <f t="shared" si="945"/>
        <v/>
      </c>
      <c r="U469" s="257" t="str">
        <f t="array" ref="U469">IF(ISBLANK($R469), INDEX('Run Reconcile'!A$2:A799, MATCH($B469, 'Run Reconcile'!B$2:B799, 0)+Z469, 1), IFERROR(0/0,""))
</f>
        <v/>
      </c>
      <c r="V469" s="258" t="str">
        <f t="shared" si="480"/>
        <v>RUN-BEND_2022-02-21_RFR-037</v>
      </c>
      <c r="Y469" s="130" t="str">
        <f t="shared" si="487"/>
        <v/>
      </c>
      <c r="Z469" s="49" t="str">
        <f t="shared" si="7"/>
        <v/>
      </c>
      <c r="AA469" s="49" t="str">
        <f t="shared" si="8"/>
        <v/>
      </c>
      <c r="AB469" s="49" t="str">
        <f t="shared" si="9"/>
        <v/>
      </c>
      <c r="AC469" s="20" t="str">
        <f t="shared" ref="AC469:AD469" si="946">IF(_xlfn.ISFORMULA(S469),IFERROR(0/0,""),TRUE)</f>
        <v/>
      </c>
      <c r="AD469" s="20" t="str">
        <f t="shared" si="946"/>
        <v/>
      </c>
      <c r="AE469" s="43"/>
      <c r="AF469" s="62" t="s">
        <v>59</v>
      </c>
      <c r="AG469" s="57" t="str">
        <f t="shared" si="11"/>
        <v/>
      </c>
    </row>
    <row r="470">
      <c r="A470" s="6" t="str">
        <f>IFERROR(__xludf.DUMMYFUNCTION("""COMPUTED_VALUE"""),"FM509")</f>
        <v>FM509</v>
      </c>
      <c r="B470" s="204">
        <f>IFERROR(__xludf.DUMMYFUNCTION("""COMPUTED_VALUE"""),44613.0)</f>
        <v>44613</v>
      </c>
      <c r="C470" s="250">
        <f>IFERROR(__xludf.DUMMYFUNCTION("""COMPUTED_VALUE"""),0.3271875)</f>
        <v>0.3271875</v>
      </c>
      <c r="D470" s="6" t="str">
        <f>IFERROR(__xludf.DUMMYFUNCTION("""COMPUTED_VALUE"""),"SpBEND642175")</f>
        <v>SpBEND642175</v>
      </c>
      <c r="E470" s="251"/>
      <c r="F470" s="251"/>
      <c r="G470" s="251" t="str">
        <f>IFERROR(__xludf.DUMMYFUNCTION("""COMPUTED_VALUE"""),"Negative")</f>
        <v>Negative</v>
      </c>
      <c r="H470" s="262" t="str">
        <f>IFERROR(__xludf.DUMMYFUNCTION("""COMPUTED_VALUE"""),"Negative")</f>
        <v>Negative</v>
      </c>
      <c r="I470" s="204">
        <f>IFERROR(__xludf.DUMMYFUNCTION("""COMPUTED_VALUE"""),44613.0)</f>
        <v>44613</v>
      </c>
      <c r="J470" s="252">
        <f>IFERROR(__xludf.DUMMYFUNCTION("""COMPUTED_VALUE"""),0.4694097222222222)</f>
        <v>0.4694097222</v>
      </c>
      <c r="K470" s="56"/>
      <c r="L470" s="6"/>
      <c r="M470" s="61"/>
      <c r="N470" s="61">
        <f>IFERROR(__xludf.DUMMYFUNCTION("""COMPUTED_VALUE"""),1.0)</f>
        <v>1</v>
      </c>
      <c r="O470" s="61" t="str">
        <f t="shared" si="3"/>
        <v/>
      </c>
      <c r="P470" s="253">
        <f>IFERROR(__xludf.DUMMYFUNCTION("""COMPUTED_VALUE"""),0.0)</f>
        <v>0</v>
      </c>
      <c r="Q470" s="254" t="b">
        <f>VLOOKUP($B470,'Run Reconcile'!B$2:O799,14,FALSE)</f>
        <v>1</v>
      </c>
      <c r="R470" s="255" t="str">
        <f t="array" ref="R470">IF($Q470, INDEX('Run Reconcile'!A$2:A799,MATCH(B470,'Run Reconcile'!B$2:B799,0),1),IFERROR(0/0,""))</f>
        <v>RUN-BEND_2022-02-21_RFR-037</v>
      </c>
      <c r="S470" s="261" t="str">
        <f t="shared" ref="S470:T470" si="947">IF(COUNTIF(W$2:W799, $A470) &gt; 0,TRUE,IFERROR(0/0,""))</f>
        <v/>
      </c>
      <c r="T470" s="261" t="str">
        <f t="shared" si="947"/>
        <v/>
      </c>
      <c r="U470" s="257" t="str">
        <f t="array" ref="U470">IF(ISBLANK($R470), INDEX('Run Reconcile'!A$2:A799, MATCH($B470, 'Run Reconcile'!B$2:B799, 0)+Z470, 1), IFERROR(0/0,""))
</f>
        <v/>
      </c>
      <c r="V470" s="258" t="str">
        <f t="shared" si="480"/>
        <v>RUN-BEND_2022-02-21_RFR-037</v>
      </c>
      <c r="Y470" s="130" t="str">
        <f t="shared" si="487"/>
        <v/>
      </c>
      <c r="Z470" s="49" t="str">
        <f t="shared" si="7"/>
        <v/>
      </c>
      <c r="AA470" s="49" t="str">
        <f t="shared" si="8"/>
        <v/>
      </c>
      <c r="AB470" s="49" t="str">
        <f t="shared" si="9"/>
        <v/>
      </c>
      <c r="AC470" s="20" t="str">
        <f t="shared" ref="AC470:AD470" si="948">IF(_xlfn.ISFORMULA(S470),IFERROR(0/0,""),TRUE)</f>
        <v/>
      </c>
      <c r="AD470" s="20" t="str">
        <f t="shared" si="948"/>
        <v/>
      </c>
      <c r="AE470" s="43"/>
      <c r="AF470" s="62" t="s">
        <v>59</v>
      </c>
      <c r="AG470" s="57" t="str">
        <f t="shared" si="11"/>
        <v/>
      </c>
    </row>
    <row r="471">
      <c r="A471" s="6" t="str">
        <f>IFERROR(__xludf.DUMMYFUNCTION("""COMPUTED_VALUE"""),"MA1044")</f>
        <v>MA1044</v>
      </c>
      <c r="B471" s="204">
        <f>IFERROR(__xludf.DUMMYFUNCTION("""COMPUTED_VALUE"""),44613.0)</f>
        <v>44613</v>
      </c>
      <c r="C471" s="250">
        <f>IFERROR(__xludf.DUMMYFUNCTION("""COMPUTED_VALUE"""),0.32894675925925926)</f>
        <v>0.3289467593</v>
      </c>
      <c r="D471" s="6" t="str">
        <f>IFERROR(__xludf.DUMMYFUNCTION("""COMPUTED_VALUE"""),"SpBEND528248")</f>
        <v>SpBEND528248</v>
      </c>
      <c r="E471" s="251"/>
      <c r="F471" s="251"/>
      <c r="G471" s="251" t="str">
        <f>IFERROR(__xludf.DUMMYFUNCTION("""COMPUTED_VALUE"""),"Negative")</f>
        <v>Negative</v>
      </c>
      <c r="H471" s="262" t="str">
        <f>IFERROR(__xludf.DUMMYFUNCTION("""COMPUTED_VALUE"""),"Negative")</f>
        <v>Negative</v>
      </c>
      <c r="I471" s="204">
        <f>IFERROR(__xludf.DUMMYFUNCTION("""COMPUTED_VALUE"""),44613.0)</f>
        <v>44613</v>
      </c>
      <c r="J471" s="252">
        <f>IFERROR(__xludf.DUMMYFUNCTION("""COMPUTED_VALUE"""),0.4694097222222222)</f>
        <v>0.4694097222</v>
      </c>
      <c r="K471" s="56"/>
      <c r="L471" s="6"/>
      <c r="M471" s="61"/>
      <c r="N471" s="61">
        <f>IFERROR(__xludf.DUMMYFUNCTION("""COMPUTED_VALUE"""),1.0)</f>
        <v>1</v>
      </c>
      <c r="O471" s="61" t="str">
        <f t="shared" si="3"/>
        <v/>
      </c>
      <c r="P471" s="253">
        <f>IFERROR(__xludf.DUMMYFUNCTION("""COMPUTED_VALUE"""),0.0)</f>
        <v>0</v>
      </c>
      <c r="Q471" s="254" t="b">
        <f>VLOOKUP($B471,'Run Reconcile'!B$2:O799,14,FALSE)</f>
        <v>1</v>
      </c>
      <c r="R471" s="255" t="str">
        <f t="array" ref="R471">IF($Q471, INDEX('Run Reconcile'!A$2:A799,MATCH(B471,'Run Reconcile'!B$2:B799,0),1),IFERROR(0/0,""))</f>
        <v>RUN-BEND_2022-02-21_RFR-037</v>
      </c>
      <c r="S471" s="261" t="str">
        <f t="shared" ref="S471:T471" si="949">IF(COUNTIF(W$2:W799, $A471) &gt; 0,TRUE,IFERROR(0/0,""))</f>
        <v/>
      </c>
      <c r="T471" s="261" t="str">
        <f t="shared" si="949"/>
        <v/>
      </c>
      <c r="U471" s="257" t="str">
        <f t="array" ref="U471">IF(ISBLANK($R471), INDEX('Run Reconcile'!A$2:A799, MATCH($B471, 'Run Reconcile'!B$2:B799, 0)+Z471, 1), IFERROR(0/0,""))
</f>
        <v/>
      </c>
      <c r="V471" s="258" t="str">
        <f t="shared" si="480"/>
        <v>RUN-BEND_2022-02-21_RFR-037</v>
      </c>
      <c r="Y471" s="130" t="str">
        <f t="shared" si="487"/>
        <v/>
      </c>
      <c r="Z471" s="49" t="str">
        <f t="shared" si="7"/>
        <v/>
      </c>
      <c r="AA471" s="49" t="str">
        <f t="shared" si="8"/>
        <v/>
      </c>
      <c r="AB471" s="49" t="str">
        <f t="shared" si="9"/>
        <v/>
      </c>
      <c r="AC471" s="20" t="str">
        <f t="shared" ref="AC471:AD471" si="950">IF(_xlfn.ISFORMULA(S471),IFERROR(0/0,""),TRUE)</f>
        <v/>
      </c>
      <c r="AD471" s="20" t="str">
        <f t="shared" si="950"/>
        <v/>
      </c>
      <c r="AE471" s="43"/>
      <c r="AF471" s="62" t="s">
        <v>59</v>
      </c>
      <c r="AG471" s="57" t="str">
        <f t="shared" si="11"/>
        <v/>
      </c>
    </row>
    <row r="472">
      <c r="A472" s="6" t="str">
        <f>IFERROR(__xludf.DUMMYFUNCTION("""COMPUTED_VALUE"""),"FM461")</f>
        <v>FM461</v>
      </c>
      <c r="B472" s="204">
        <f>IFERROR(__xludf.DUMMYFUNCTION("""COMPUTED_VALUE"""),44613.0)</f>
        <v>44613</v>
      </c>
      <c r="C472" s="250">
        <f>IFERROR(__xludf.DUMMYFUNCTION("""COMPUTED_VALUE"""),0.3421064814814815)</f>
        <v>0.3421064815</v>
      </c>
      <c r="D472" s="6" t="str">
        <f>IFERROR(__xludf.DUMMYFUNCTION("""COMPUTED_VALUE"""),"SpBEND216695")</f>
        <v>SpBEND216695</v>
      </c>
      <c r="E472" s="251"/>
      <c r="F472" s="251"/>
      <c r="G472" s="251" t="str">
        <f>IFERROR(__xludf.DUMMYFUNCTION("""COMPUTED_VALUE"""),"Negative")</f>
        <v>Negative</v>
      </c>
      <c r="H472" s="262" t="str">
        <f>IFERROR(__xludf.DUMMYFUNCTION("""COMPUTED_VALUE"""),"Negative")</f>
        <v>Negative</v>
      </c>
      <c r="I472" s="204">
        <f>IFERROR(__xludf.DUMMYFUNCTION("""COMPUTED_VALUE"""),44613.0)</f>
        <v>44613</v>
      </c>
      <c r="J472" s="252">
        <f>IFERROR(__xludf.DUMMYFUNCTION("""COMPUTED_VALUE"""),0.4694212962962963)</f>
        <v>0.4694212963</v>
      </c>
      <c r="K472" s="56"/>
      <c r="L472" s="6"/>
      <c r="M472" s="61"/>
      <c r="N472" s="61">
        <f>IFERROR(__xludf.DUMMYFUNCTION("""COMPUTED_VALUE"""),1.0)</f>
        <v>1</v>
      </c>
      <c r="O472" s="61" t="str">
        <f t="shared" si="3"/>
        <v/>
      </c>
      <c r="P472" s="253">
        <f>IFERROR(__xludf.DUMMYFUNCTION("""COMPUTED_VALUE"""),0.0)</f>
        <v>0</v>
      </c>
      <c r="Q472" s="254" t="b">
        <f>VLOOKUP($B472,'Run Reconcile'!B$2:O799,14,FALSE)</f>
        <v>1</v>
      </c>
      <c r="R472" s="255" t="str">
        <f t="array" ref="R472">IF($Q472, INDEX('Run Reconcile'!A$2:A799,MATCH(B472,'Run Reconcile'!B$2:B799,0),1),IFERROR(0/0,""))</f>
        <v>RUN-BEND_2022-02-21_RFR-037</v>
      </c>
      <c r="S472" s="261" t="str">
        <f t="shared" ref="S472:T472" si="951">IF(COUNTIF(W$2:W799, $A472) &gt; 0,TRUE,IFERROR(0/0,""))</f>
        <v/>
      </c>
      <c r="T472" s="261" t="str">
        <f t="shared" si="951"/>
        <v/>
      </c>
      <c r="U472" s="257" t="str">
        <f t="array" ref="U472">IF(ISBLANK($R472), INDEX('Run Reconcile'!A$2:A799, MATCH($B472, 'Run Reconcile'!B$2:B799, 0)+Z472, 1), IFERROR(0/0,""))
</f>
        <v/>
      </c>
      <c r="V472" s="258" t="str">
        <f t="shared" si="480"/>
        <v>RUN-BEND_2022-02-21_RFR-037</v>
      </c>
      <c r="Y472" s="130" t="str">
        <f t="shared" si="487"/>
        <v/>
      </c>
      <c r="Z472" s="49" t="str">
        <f t="shared" si="7"/>
        <v/>
      </c>
      <c r="AA472" s="49" t="str">
        <f t="shared" si="8"/>
        <v/>
      </c>
      <c r="AB472" s="49" t="str">
        <f t="shared" si="9"/>
        <v/>
      </c>
      <c r="AC472" s="20" t="str">
        <f t="shared" ref="AC472:AD472" si="952">IF(_xlfn.ISFORMULA(S472),IFERROR(0/0,""),TRUE)</f>
        <v/>
      </c>
      <c r="AD472" s="20" t="str">
        <f t="shared" si="952"/>
        <v/>
      </c>
      <c r="AE472" s="43"/>
      <c r="AF472" s="62" t="s">
        <v>59</v>
      </c>
      <c r="AG472" s="57" t="str">
        <f t="shared" si="11"/>
        <v/>
      </c>
    </row>
    <row r="473">
      <c r="A473" s="6" t="str">
        <f>IFERROR(__xludf.DUMMYFUNCTION("""COMPUTED_VALUE"""),"FM70")</f>
        <v>FM70</v>
      </c>
      <c r="B473" s="204">
        <f>IFERROR(__xludf.DUMMYFUNCTION("""COMPUTED_VALUE"""),44613.0)</f>
        <v>44613</v>
      </c>
      <c r="C473" s="250">
        <f>IFERROR(__xludf.DUMMYFUNCTION("""COMPUTED_VALUE"""),0.3566898148148148)</f>
        <v>0.3566898148</v>
      </c>
      <c r="D473" s="6" t="str">
        <f>IFERROR(__xludf.DUMMYFUNCTION("""COMPUTED_VALUE"""),"SpBEND899578")</f>
        <v>SpBEND899578</v>
      </c>
      <c r="E473" s="251"/>
      <c r="F473" s="251"/>
      <c r="G473" s="251" t="str">
        <f>IFERROR(__xludf.DUMMYFUNCTION("""COMPUTED_VALUE"""),"Negative")</f>
        <v>Negative</v>
      </c>
      <c r="H473" s="262" t="str">
        <f>IFERROR(__xludf.DUMMYFUNCTION("""COMPUTED_VALUE"""),"Negative")</f>
        <v>Negative</v>
      </c>
      <c r="I473" s="204">
        <f>IFERROR(__xludf.DUMMYFUNCTION("""COMPUTED_VALUE"""),44613.0)</f>
        <v>44613</v>
      </c>
      <c r="J473" s="252">
        <f>IFERROR(__xludf.DUMMYFUNCTION("""COMPUTED_VALUE"""),0.4694212962962963)</f>
        <v>0.4694212963</v>
      </c>
      <c r="K473" s="56"/>
      <c r="L473" s="6"/>
      <c r="M473" s="61"/>
      <c r="N473" s="61">
        <f>IFERROR(__xludf.DUMMYFUNCTION("""COMPUTED_VALUE"""),1.0)</f>
        <v>1</v>
      </c>
      <c r="O473" s="61" t="str">
        <f t="shared" si="3"/>
        <v/>
      </c>
      <c r="P473" s="253">
        <f>IFERROR(__xludf.DUMMYFUNCTION("""COMPUTED_VALUE"""),0.0)</f>
        <v>0</v>
      </c>
      <c r="Q473" s="254" t="b">
        <f>VLOOKUP($B473,'Run Reconcile'!B$2:O799,14,FALSE)</f>
        <v>1</v>
      </c>
      <c r="R473" s="255" t="str">
        <f t="array" ref="R473">IF($Q473, INDEX('Run Reconcile'!A$2:A799,MATCH(B473,'Run Reconcile'!B$2:B799,0),1),IFERROR(0/0,""))</f>
        <v>RUN-BEND_2022-02-21_RFR-037</v>
      </c>
      <c r="S473" s="261" t="str">
        <f t="shared" ref="S473:T473" si="953">IF(COUNTIF(W$2:W799, $A473) &gt; 0,TRUE,IFERROR(0/0,""))</f>
        <v/>
      </c>
      <c r="T473" s="261" t="str">
        <f t="shared" si="953"/>
        <v/>
      </c>
      <c r="U473" s="257" t="str">
        <f t="array" ref="U473">IF(ISBLANK($R473), INDEX('Run Reconcile'!A$2:A799, MATCH($B473, 'Run Reconcile'!B$2:B799, 0)+Z473, 1), IFERROR(0/0,""))
</f>
        <v/>
      </c>
      <c r="V473" s="258" t="str">
        <f t="shared" si="480"/>
        <v>RUN-BEND_2022-02-21_RFR-037</v>
      </c>
      <c r="Y473" s="130" t="str">
        <f t="shared" si="487"/>
        <v/>
      </c>
      <c r="Z473" s="49" t="str">
        <f t="shared" si="7"/>
        <v/>
      </c>
      <c r="AA473" s="49" t="str">
        <f t="shared" si="8"/>
        <v/>
      </c>
      <c r="AB473" s="49" t="str">
        <f t="shared" si="9"/>
        <v/>
      </c>
      <c r="AC473" s="20" t="str">
        <f t="shared" ref="AC473:AD473" si="954">IF(_xlfn.ISFORMULA(S473),IFERROR(0/0,""),TRUE)</f>
        <v/>
      </c>
      <c r="AD473" s="20" t="str">
        <f t="shared" si="954"/>
        <v/>
      </c>
      <c r="AE473" s="43"/>
      <c r="AF473" s="62" t="s">
        <v>59</v>
      </c>
      <c r="AG473" s="57" t="str">
        <f t="shared" si="11"/>
        <v/>
      </c>
    </row>
    <row r="474">
      <c r="A474" s="6" t="str">
        <f>IFERROR(__xludf.DUMMYFUNCTION("""COMPUTED_VALUE"""),"MA1045")</f>
        <v>MA1045</v>
      </c>
      <c r="B474" s="204">
        <f>IFERROR(__xludf.DUMMYFUNCTION("""COMPUTED_VALUE"""),44614.0)</f>
        <v>44614</v>
      </c>
      <c r="C474" s="250">
        <f>IFERROR(__xludf.DUMMYFUNCTION("""COMPUTED_VALUE"""),0.3566898148148148)</f>
        <v>0.3566898148</v>
      </c>
      <c r="D474" s="6" t="str">
        <f>IFERROR(__xludf.DUMMYFUNCTION("""COMPUTED_VALUE"""),"SpBEND183210")</f>
        <v>SpBEND183210</v>
      </c>
      <c r="E474" s="251"/>
      <c r="F474" s="251"/>
      <c r="G474" s="251" t="str">
        <f>IFERROR(__xludf.DUMMYFUNCTION("""COMPUTED_VALUE"""),"Positive")</f>
        <v>Positive</v>
      </c>
      <c r="H474" s="262" t="str">
        <f>IFERROR(__xludf.DUMMYFUNCTION("""COMPUTED_VALUE"""),"Positive")</f>
        <v>Positive</v>
      </c>
      <c r="I474" s="204">
        <f>IFERROR(__xludf.DUMMYFUNCTION("""COMPUTED_VALUE"""),44614.0)</f>
        <v>44614</v>
      </c>
      <c r="J474" s="252">
        <f>IFERROR(__xludf.DUMMYFUNCTION("""COMPUTED_VALUE"""),0.6649768518518518)</f>
        <v>0.6649768519</v>
      </c>
      <c r="K474" s="56"/>
      <c r="L474" s="6"/>
      <c r="M474" s="61"/>
      <c r="N474" s="61">
        <f>IFERROR(__xludf.DUMMYFUNCTION("""COMPUTED_VALUE"""),1.0)</f>
        <v>1</v>
      </c>
      <c r="O474" s="61" t="b">
        <f t="shared" si="3"/>
        <v>1</v>
      </c>
      <c r="P474" s="253">
        <f>IFERROR(__xludf.DUMMYFUNCTION("""COMPUTED_VALUE"""),0.0)</f>
        <v>0</v>
      </c>
      <c r="Q474" s="254" t="b">
        <f>VLOOKUP($B474,'Run Reconcile'!B$2:O799,14,FALSE)</f>
        <v>1</v>
      </c>
      <c r="R474" s="255" t="str">
        <f t="array" ref="R474">IF($Q474, INDEX('Run Reconcile'!A$2:A799,MATCH(B474,'Run Reconcile'!B$2:B799,0),1),IFERROR(0/0,""))</f>
        <v>RUN-BEND_2022-02-22_RFR-038</v>
      </c>
      <c r="S474" s="261" t="str">
        <f t="shared" ref="S474:T474" si="955">IF(COUNTIF(W$2:W799, $A474) &gt; 0,TRUE,IFERROR(0/0,""))</f>
        <v/>
      </c>
      <c r="T474" s="261" t="str">
        <f t="shared" si="955"/>
        <v/>
      </c>
      <c r="U474" s="257" t="str">
        <f t="array" ref="U474">IF(ISBLANK($R474), INDEX('Run Reconcile'!A$2:A799, MATCH($B474, 'Run Reconcile'!B$2:B799, 0)+Z474, 1), IFERROR(0/0,""))
</f>
        <v/>
      </c>
      <c r="V474" s="258" t="str">
        <f t="shared" si="480"/>
        <v>RUN-BEND_2022-02-22_RFR-038</v>
      </c>
      <c r="Y474" s="130" t="str">
        <f t="shared" si="487"/>
        <v/>
      </c>
      <c r="Z474" s="49" t="str">
        <f t="shared" si="7"/>
        <v/>
      </c>
      <c r="AA474" s="49" t="str">
        <f t="shared" si="8"/>
        <v/>
      </c>
      <c r="AB474" s="49" t="str">
        <f t="shared" si="9"/>
        <v/>
      </c>
      <c r="AC474" s="20" t="str">
        <f t="shared" ref="AC474:AD474" si="956">IF(_xlfn.ISFORMULA(S474),IFERROR(0/0,""),TRUE)</f>
        <v/>
      </c>
      <c r="AD474" s="20" t="str">
        <f t="shared" si="956"/>
        <v/>
      </c>
      <c r="AE474" s="43"/>
      <c r="AF474" s="62" t="s">
        <v>60</v>
      </c>
      <c r="AG474" s="57" t="str">
        <f t="shared" si="11"/>
        <v/>
      </c>
    </row>
    <row r="475">
      <c r="A475" s="6" t="str">
        <f>IFERROR(__xludf.DUMMYFUNCTION("""COMPUTED_VALUE"""),"MAX24")</f>
        <v>MAX24</v>
      </c>
      <c r="B475" s="204">
        <f>IFERROR(__xludf.DUMMYFUNCTION("""COMPUTED_VALUE"""),44615.0)</f>
        <v>44615</v>
      </c>
      <c r="C475" s="250">
        <f>IFERROR(__xludf.DUMMYFUNCTION("""COMPUTED_VALUE"""),0.2632523148148148)</f>
        <v>0.2632523148</v>
      </c>
      <c r="D475" s="6" t="str">
        <f>IFERROR(__xludf.DUMMYFUNCTION("""COMPUTED_VALUE"""),"SpBEND394154")</f>
        <v>SpBEND394154</v>
      </c>
      <c r="E475" s="251"/>
      <c r="F475" s="251"/>
      <c r="G475" s="251" t="str">
        <f>IFERROR(__xludf.DUMMYFUNCTION("""COMPUTED_VALUE"""),"Positive")</f>
        <v>Positive</v>
      </c>
      <c r="H475" s="262" t="str">
        <f>IFERROR(__xludf.DUMMYFUNCTION("""COMPUTED_VALUE"""),"Negative")</f>
        <v>Negative</v>
      </c>
      <c r="I475" s="204">
        <f>IFERROR(__xludf.DUMMYFUNCTION("""COMPUTED_VALUE"""),44615.0)</f>
        <v>44615</v>
      </c>
      <c r="J475" s="252">
        <f>IFERROR(__xludf.DUMMYFUNCTION("""COMPUTED_VALUE"""),0.49122685185185183)</f>
        <v>0.4912268519</v>
      </c>
      <c r="K475" s="56">
        <f>IFERROR(__xludf.DUMMYFUNCTION("""COMPUTED_VALUE"""),2.7)</f>
        <v>2.7</v>
      </c>
      <c r="L475" s="6" t="str">
        <f>IFERROR(__xludf.DUMMYFUNCTION("""COMPUTED_VALUE"""),"Pos to Neg based on RFR - checked image and entire batch mis-called")</f>
        <v>Pos to Neg based on RFR - checked image and entire batch mis-called</v>
      </c>
      <c r="M475" s="61"/>
      <c r="N475" s="61">
        <f>IFERROR(__xludf.DUMMYFUNCTION("""COMPUTED_VALUE"""),1.0)</f>
        <v>1</v>
      </c>
      <c r="O475" s="61" t="b">
        <f t="shared" si="3"/>
        <v>1</v>
      </c>
      <c r="P475" s="253">
        <f>IFERROR(__xludf.DUMMYFUNCTION("""COMPUTED_VALUE"""),0.0)</f>
        <v>0</v>
      </c>
      <c r="Q475" s="254" t="b">
        <f>VLOOKUP($B475,'Run Reconcile'!B$2:O799,14,FALSE)</f>
        <v>1</v>
      </c>
      <c r="R475" s="255" t="str">
        <f t="array" ref="R475">IF($Q475, INDEX('Run Reconcile'!A$2:A799,MATCH(B475,'Run Reconcile'!B$2:B799,0),1),IFERROR(0/0,""))</f>
        <v>RUN-BEND_2022-02-23_RFR-039</v>
      </c>
      <c r="S475" s="261" t="str">
        <f t="shared" ref="S475:T475" si="957">IF(COUNTIF(W$2:W799, $A475) &gt; 0,TRUE,IFERROR(0/0,""))</f>
        <v/>
      </c>
      <c r="T475" s="261" t="str">
        <f t="shared" si="957"/>
        <v/>
      </c>
      <c r="U475" s="257" t="str">
        <f t="array" ref="U475">IF(ISBLANK($R475), INDEX('Run Reconcile'!A$2:A799, MATCH($B475, 'Run Reconcile'!B$2:B799, 0)+Z475, 1), IFERROR(0/0,""))
</f>
        <v/>
      </c>
      <c r="V475" s="258" t="str">
        <f t="shared" si="480"/>
        <v>RUN-BEND_2022-02-23_RFR-039</v>
      </c>
      <c r="Y475" s="130" t="str">
        <f t="shared" si="487"/>
        <v/>
      </c>
      <c r="Z475" s="49" t="str">
        <f t="shared" si="7"/>
        <v/>
      </c>
      <c r="AA475" s="49" t="str">
        <f t="shared" si="8"/>
        <v/>
      </c>
      <c r="AB475" s="49" t="str">
        <f t="shared" si="9"/>
        <v/>
      </c>
      <c r="AC475" s="20" t="str">
        <f t="shared" ref="AC475:AD475" si="958">IF(_xlfn.ISFORMULA(S475),IFERROR(0/0,""),TRUE)</f>
        <v/>
      </c>
      <c r="AD475" s="20" t="str">
        <f t="shared" si="958"/>
        <v/>
      </c>
      <c r="AE475" s="43"/>
      <c r="AF475" s="62" t="s">
        <v>61</v>
      </c>
      <c r="AG475" s="57" t="str">
        <f t="shared" si="11"/>
        <v/>
      </c>
    </row>
    <row r="476">
      <c r="A476" s="6" t="str">
        <f>IFERROR(__xludf.DUMMYFUNCTION("""COMPUTED_VALUE"""),"FM81")</f>
        <v>FM81</v>
      </c>
      <c r="B476" s="204">
        <f>IFERROR(__xludf.DUMMYFUNCTION("""COMPUTED_VALUE"""),44615.0)</f>
        <v>44615</v>
      </c>
      <c r="C476" s="250">
        <f>IFERROR(__xludf.DUMMYFUNCTION("""COMPUTED_VALUE"""),0.29224537037037035)</f>
        <v>0.2922453704</v>
      </c>
      <c r="D476" s="6" t="str">
        <f>IFERROR(__xludf.DUMMYFUNCTION("""COMPUTED_VALUE"""),"SpBEND349435")</f>
        <v>SpBEND349435</v>
      </c>
      <c r="E476" s="251"/>
      <c r="F476" s="251"/>
      <c r="G476" s="251" t="str">
        <f>IFERROR(__xludf.DUMMYFUNCTION("""COMPUTED_VALUE"""),"Positive")</f>
        <v>Positive</v>
      </c>
      <c r="H476" s="262" t="str">
        <f>IFERROR(__xludf.DUMMYFUNCTION("""COMPUTED_VALUE"""),"Negative")</f>
        <v>Negative</v>
      </c>
      <c r="I476" s="204">
        <f>IFERROR(__xludf.DUMMYFUNCTION("""COMPUTED_VALUE"""),44615.0)</f>
        <v>44615</v>
      </c>
      <c r="J476" s="252">
        <f>IFERROR(__xludf.DUMMYFUNCTION("""COMPUTED_VALUE"""),0.4912384259259259)</f>
        <v>0.4912384259</v>
      </c>
      <c r="K476" s="56">
        <f>IFERROR(__xludf.DUMMYFUNCTION("""COMPUTED_VALUE"""),2.7)</f>
        <v>2.7</v>
      </c>
      <c r="L476" s="6" t="str">
        <f>IFERROR(__xludf.DUMMYFUNCTION("""COMPUTED_VALUE"""),"Pos to Neg based on RFR - checked image and entire batch mis-called")</f>
        <v>Pos to Neg based on RFR - checked image and entire batch mis-called</v>
      </c>
      <c r="M476" s="61"/>
      <c r="N476" s="61">
        <f>IFERROR(__xludf.DUMMYFUNCTION("""COMPUTED_VALUE"""),1.0)</f>
        <v>1</v>
      </c>
      <c r="O476" s="61" t="str">
        <f t="shared" si="3"/>
        <v/>
      </c>
      <c r="P476" s="253">
        <f>IFERROR(__xludf.DUMMYFUNCTION("""COMPUTED_VALUE"""),0.0)</f>
        <v>0</v>
      </c>
      <c r="Q476" s="254" t="b">
        <f>VLOOKUP($B476,'Run Reconcile'!B$2:O799,14,FALSE)</f>
        <v>1</v>
      </c>
      <c r="R476" s="255" t="str">
        <f t="array" ref="R476">IF($Q476, INDEX('Run Reconcile'!A$2:A799,MATCH(B476,'Run Reconcile'!B$2:B799,0),1),IFERROR(0/0,""))</f>
        <v>RUN-BEND_2022-02-23_RFR-039</v>
      </c>
      <c r="S476" s="261" t="str">
        <f t="shared" ref="S476:T476" si="959">IF(COUNTIF(W$2:W799, $A476) &gt; 0,TRUE,IFERROR(0/0,""))</f>
        <v/>
      </c>
      <c r="T476" s="261" t="str">
        <f t="shared" si="959"/>
        <v/>
      </c>
      <c r="U476" s="257" t="str">
        <f t="array" ref="U476">IF(ISBLANK($R476), INDEX('Run Reconcile'!A$2:A799, MATCH($B476, 'Run Reconcile'!B$2:B799, 0)+Z476, 1), IFERROR(0/0,""))
</f>
        <v/>
      </c>
      <c r="V476" s="258" t="str">
        <f t="shared" si="480"/>
        <v>RUN-BEND_2022-02-23_RFR-039</v>
      </c>
      <c r="Y476" s="130" t="str">
        <f t="shared" si="487"/>
        <v/>
      </c>
      <c r="Z476" s="49" t="str">
        <f t="shared" si="7"/>
        <v/>
      </c>
      <c r="AA476" s="49" t="str">
        <f t="shared" si="8"/>
        <v/>
      </c>
      <c r="AB476" s="49" t="str">
        <f t="shared" si="9"/>
        <v/>
      </c>
      <c r="AC476" s="20" t="str">
        <f t="shared" ref="AC476:AD476" si="960">IF(_xlfn.ISFORMULA(S476),IFERROR(0/0,""),TRUE)</f>
        <v/>
      </c>
      <c r="AD476" s="20" t="str">
        <f t="shared" si="960"/>
        <v/>
      </c>
      <c r="AE476" s="43"/>
      <c r="AF476" s="62" t="s">
        <v>61</v>
      </c>
      <c r="AG476" s="57" t="str">
        <f t="shared" si="11"/>
        <v/>
      </c>
    </row>
    <row r="477">
      <c r="A477" s="6" t="str">
        <f>IFERROR(__xludf.DUMMYFUNCTION("""COMPUTED_VALUE"""),"MA300")</f>
        <v>MA300</v>
      </c>
      <c r="B477" s="204">
        <f>IFERROR(__xludf.DUMMYFUNCTION("""COMPUTED_VALUE"""),44615.0)</f>
        <v>44615</v>
      </c>
      <c r="C477" s="250">
        <f>IFERROR(__xludf.DUMMYFUNCTION("""COMPUTED_VALUE"""),0.2953587962962963)</f>
        <v>0.2953587963</v>
      </c>
      <c r="D477" s="6" t="str">
        <f>IFERROR(__xludf.DUMMYFUNCTION("""COMPUTED_VALUE"""),"SpBEND264858")</f>
        <v>SpBEND264858</v>
      </c>
      <c r="E477" s="251"/>
      <c r="F477" s="251"/>
      <c r="G477" s="251" t="str">
        <f>IFERROR(__xludf.DUMMYFUNCTION("""COMPUTED_VALUE"""),"Positive")</f>
        <v>Positive</v>
      </c>
      <c r="H477" s="262" t="str">
        <f>IFERROR(__xludf.DUMMYFUNCTION("""COMPUTED_VALUE"""),"Negative")</f>
        <v>Negative</v>
      </c>
      <c r="I477" s="204">
        <f>IFERROR(__xludf.DUMMYFUNCTION("""COMPUTED_VALUE"""),44615.0)</f>
        <v>44615</v>
      </c>
      <c r="J477" s="252">
        <f>IFERROR(__xludf.DUMMYFUNCTION("""COMPUTED_VALUE"""),0.4912384259259259)</f>
        <v>0.4912384259</v>
      </c>
      <c r="K477" s="56">
        <f>IFERROR(__xludf.DUMMYFUNCTION("""COMPUTED_VALUE"""),2.7)</f>
        <v>2.7</v>
      </c>
      <c r="L477" s="6" t="str">
        <f>IFERROR(__xludf.DUMMYFUNCTION("""COMPUTED_VALUE"""),"Pos to Neg based on RFR - checked image and entire batch mis-called")</f>
        <v>Pos to Neg based on RFR - checked image and entire batch mis-called</v>
      </c>
      <c r="M477" s="61"/>
      <c r="N477" s="61">
        <f>IFERROR(__xludf.DUMMYFUNCTION("""COMPUTED_VALUE"""),1.0)</f>
        <v>1</v>
      </c>
      <c r="O477" s="61" t="str">
        <f t="shared" si="3"/>
        <v/>
      </c>
      <c r="P477" s="253">
        <f>IFERROR(__xludf.DUMMYFUNCTION("""COMPUTED_VALUE"""),0.0)</f>
        <v>0</v>
      </c>
      <c r="Q477" s="254" t="b">
        <f>VLOOKUP($B477,'Run Reconcile'!B$2:O799,14,FALSE)</f>
        <v>1</v>
      </c>
      <c r="R477" s="255" t="str">
        <f t="array" ref="R477">IF($Q477, INDEX('Run Reconcile'!A$2:A799,MATCH(B477,'Run Reconcile'!B$2:B799,0),1),IFERROR(0/0,""))</f>
        <v>RUN-BEND_2022-02-23_RFR-039</v>
      </c>
      <c r="S477" s="261" t="str">
        <f t="shared" ref="S477:T477" si="961">IF(COUNTIF(W$2:W799, $A477) &gt; 0,TRUE,IFERROR(0/0,""))</f>
        <v/>
      </c>
      <c r="T477" s="261" t="str">
        <f t="shared" si="961"/>
        <v/>
      </c>
      <c r="U477" s="257" t="str">
        <f t="array" ref="U477">IF(ISBLANK($R477), INDEX('Run Reconcile'!A$2:A799, MATCH($B477, 'Run Reconcile'!B$2:B799, 0)+Z477, 1), IFERROR(0/0,""))
</f>
        <v/>
      </c>
      <c r="V477" s="258" t="str">
        <f t="shared" si="480"/>
        <v>RUN-BEND_2022-02-23_RFR-039</v>
      </c>
      <c r="Y477" s="130" t="str">
        <f t="shared" si="487"/>
        <v/>
      </c>
      <c r="Z477" s="49" t="str">
        <f t="shared" si="7"/>
        <v/>
      </c>
      <c r="AA477" s="49" t="str">
        <f t="shared" si="8"/>
        <v/>
      </c>
      <c r="AB477" s="49" t="str">
        <f t="shared" si="9"/>
        <v/>
      </c>
      <c r="AC477" s="20" t="str">
        <f t="shared" ref="AC477:AD477" si="962">IF(_xlfn.ISFORMULA(S477),IFERROR(0/0,""),TRUE)</f>
        <v/>
      </c>
      <c r="AD477" s="20" t="str">
        <f t="shared" si="962"/>
        <v/>
      </c>
      <c r="AE477" s="43"/>
      <c r="AF477" s="62" t="s">
        <v>61</v>
      </c>
      <c r="AG477" s="57" t="str">
        <f t="shared" si="11"/>
        <v/>
      </c>
    </row>
    <row r="478">
      <c r="A478" s="6" t="str">
        <f>IFERROR(__xludf.DUMMYFUNCTION("""COMPUTED_VALUE"""),"FM505")</f>
        <v>FM505</v>
      </c>
      <c r="B478" s="204">
        <f>IFERROR(__xludf.DUMMYFUNCTION("""COMPUTED_VALUE"""),44615.0)</f>
        <v>44615</v>
      </c>
      <c r="C478" s="250">
        <f>IFERROR(__xludf.DUMMYFUNCTION("""COMPUTED_VALUE"""),0.3012384259259259)</f>
        <v>0.3012384259</v>
      </c>
      <c r="D478" s="6" t="str">
        <f>IFERROR(__xludf.DUMMYFUNCTION("""COMPUTED_VALUE"""),"SpBEND982195")</f>
        <v>SpBEND982195</v>
      </c>
      <c r="E478" s="251"/>
      <c r="F478" s="251"/>
      <c r="G478" s="251" t="str">
        <f>IFERROR(__xludf.DUMMYFUNCTION("""COMPUTED_VALUE"""),"Positive")</f>
        <v>Positive</v>
      </c>
      <c r="H478" s="262" t="str">
        <f>IFERROR(__xludf.DUMMYFUNCTION("""COMPUTED_VALUE"""),"Negative")</f>
        <v>Negative</v>
      </c>
      <c r="I478" s="204">
        <f>IFERROR(__xludf.DUMMYFUNCTION("""COMPUTED_VALUE"""),44615.0)</f>
        <v>44615</v>
      </c>
      <c r="J478" s="252">
        <f>IFERROR(__xludf.DUMMYFUNCTION("""COMPUTED_VALUE"""),0.4912384259259259)</f>
        <v>0.4912384259</v>
      </c>
      <c r="K478" s="56">
        <f>IFERROR(__xludf.DUMMYFUNCTION("""COMPUTED_VALUE"""),2.7)</f>
        <v>2.7</v>
      </c>
      <c r="L478" s="6" t="str">
        <f>IFERROR(__xludf.DUMMYFUNCTION("""COMPUTED_VALUE"""),"Pos to Neg based on RFR - checked image and entire batch mis-called")</f>
        <v>Pos to Neg based on RFR - checked image and entire batch mis-called</v>
      </c>
      <c r="M478" s="61"/>
      <c r="N478" s="61">
        <f>IFERROR(__xludf.DUMMYFUNCTION("""COMPUTED_VALUE"""),1.0)</f>
        <v>1</v>
      </c>
      <c r="O478" s="61" t="str">
        <f t="shared" si="3"/>
        <v/>
      </c>
      <c r="P478" s="253">
        <f>IFERROR(__xludf.DUMMYFUNCTION("""COMPUTED_VALUE"""),0.0)</f>
        <v>0</v>
      </c>
      <c r="Q478" s="254" t="b">
        <f>VLOOKUP($B478,'Run Reconcile'!B$2:O799,14,FALSE)</f>
        <v>1</v>
      </c>
      <c r="R478" s="255" t="str">
        <f t="array" ref="R478">IF($Q478, INDEX('Run Reconcile'!A$2:A799,MATCH(B478,'Run Reconcile'!B$2:B799,0),1),IFERROR(0/0,""))</f>
        <v>RUN-BEND_2022-02-23_RFR-039</v>
      </c>
      <c r="S478" s="261" t="str">
        <f t="shared" ref="S478:T478" si="963">IF(COUNTIF(W$2:W799, $A478) &gt; 0,TRUE,IFERROR(0/0,""))</f>
        <v/>
      </c>
      <c r="T478" s="261" t="str">
        <f t="shared" si="963"/>
        <v/>
      </c>
      <c r="U478" s="257" t="str">
        <f t="array" ref="U478">IF(ISBLANK($R478), INDEX('Run Reconcile'!A$2:A799, MATCH($B478, 'Run Reconcile'!B$2:B799, 0)+Z478, 1), IFERROR(0/0,""))
</f>
        <v/>
      </c>
      <c r="V478" s="258" t="str">
        <f t="shared" si="480"/>
        <v>RUN-BEND_2022-02-23_RFR-039</v>
      </c>
      <c r="Y478" s="130" t="str">
        <f t="shared" si="487"/>
        <v/>
      </c>
      <c r="Z478" s="49" t="str">
        <f t="shared" si="7"/>
        <v/>
      </c>
      <c r="AA478" s="49" t="str">
        <f t="shared" si="8"/>
        <v/>
      </c>
      <c r="AB478" s="49" t="str">
        <f t="shared" si="9"/>
        <v/>
      </c>
      <c r="AC478" s="20" t="str">
        <f t="shared" ref="AC478:AD478" si="964">IF(_xlfn.ISFORMULA(S478),IFERROR(0/0,""),TRUE)</f>
        <v/>
      </c>
      <c r="AD478" s="20" t="str">
        <f t="shared" si="964"/>
        <v/>
      </c>
      <c r="AE478" s="43"/>
      <c r="AF478" s="62" t="s">
        <v>61</v>
      </c>
      <c r="AG478" s="57" t="str">
        <f t="shared" si="11"/>
        <v/>
      </c>
    </row>
    <row r="479">
      <c r="A479" s="6" t="str">
        <f>IFERROR(__xludf.DUMMYFUNCTION("""COMPUTED_VALUE"""),"FM5")</f>
        <v>FM5</v>
      </c>
      <c r="B479" s="204">
        <f>IFERROR(__xludf.DUMMYFUNCTION("""COMPUTED_VALUE"""),44615.0)</f>
        <v>44615</v>
      </c>
      <c r="C479" s="250">
        <f>IFERROR(__xludf.DUMMYFUNCTION("""COMPUTED_VALUE"""),0.30679398148148146)</f>
        <v>0.3067939815</v>
      </c>
      <c r="D479" s="6" t="str">
        <f>IFERROR(__xludf.DUMMYFUNCTION("""COMPUTED_VALUE"""),"SpBEND610784")</f>
        <v>SpBEND610784</v>
      </c>
      <c r="E479" s="251"/>
      <c r="F479" s="251"/>
      <c r="G479" s="251" t="str">
        <f>IFERROR(__xludf.DUMMYFUNCTION("""COMPUTED_VALUE"""),"Positive")</f>
        <v>Positive</v>
      </c>
      <c r="H479" s="262" t="str">
        <f>IFERROR(__xludf.DUMMYFUNCTION("""COMPUTED_VALUE"""),"Negative")</f>
        <v>Negative</v>
      </c>
      <c r="I479" s="204">
        <f>IFERROR(__xludf.DUMMYFUNCTION("""COMPUTED_VALUE"""),44615.0)</f>
        <v>44615</v>
      </c>
      <c r="J479" s="252">
        <f>IFERROR(__xludf.DUMMYFUNCTION("""COMPUTED_VALUE"""),0.4912384259259259)</f>
        <v>0.4912384259</v>
      </c>
      <c r="K479" s="56">
        <f>IFERROR(__xludf.DUMMYFUNCTION("""COMPUTED_VALUE"""),2.7)</f>
        <v>2.7</v>
      </c>
      <c r="L479" s="6" t="str">
        <f>IFERROR(__xludf.DUMMYFUNCTION("""COMPUTED_VALUE"""),"Pos to Neg based on RFR - checked image and entire batch mis-called")</f>
        <v>Pos to Neg based on RFR - checked image and entire batch mis-called</v>
      </c>
      <c r="M479" s="61"/>
      <c r="N479" s="61">
        <f>IFERROR(__xludf.DUMMYFUNCTION("""COMPUTED_VALUE"""),1.0)</f>
        <v>1</v>
      </c>
      <c r="O479" s="61" t="str">
        <f t="shared" si="3"/>
        <v/>
      </c>
      <c r="P479" s="253">
        <f>IFERROR(__xludf.DUMMYFUNCTION("""COMPUTED_VALUE"""),0.0)</f>
        <v>0</v>
      </c>
      <c r="Q479" s="254" t="b">
        <f>VLOOKUP($B479,'Run Reconcile'!B$2:O799,14,FALSE)</f>
        <v>1</v>
      </c>
      <c r="R479" s="255" t="str">
        <f t="array" ref="R479">IF($Q479, INDEX('Run Reconcile'!A$2:A799,MATCH(B479,'Run Reconcile'!B$2:B799,0),1),IFERROR(0/0,""))</f>
        <v>RUN-BEND_2022-02-23_RFR-039</v>
      </c>
      <c r="S479" s="261" t="str">
        <f t="shared" ref="S479:T479" si="965">IF(COUNTIF(W$2:W799, $A479) &gt; 0,TRUE,IFERROR(0/0,""))</f>
        <v/>
      </c>
      <c r="T479" s="261" t="str">
        <f t="shared" si="965"/>
        <v/>
      </c>
      <c r="U479" s="257" t="str">
        <f t="array" ref="U479">IF(ISBLANK($R479), INDEX('Run Reconcile'!A$2:A799, MATCH($B479, 'Run Reconcile'!B$2:B799, 0)+Z479, 1), IFERROR(0/0,""))
</f>
        <v/>
      </c>
      <c r="V479" s="258" t="str">
        <f t="shared" si="480"/>
        <v>RUN-BEND_2022-02-23_RFR-039</v>
      </c>
      <c r="Y479" s="130" t="str">
        <f t="shared" si="487"/>
        <v/>
      </c>
      <c r="Z479" s="49" t="str">
        <f t="shared" si="7"/>
        <v/>
      </c>
      <c r="AA479" s="49" t="str">
        <f t="shared" si="8"/>
        <v/>
      </c>
      <c r="AB479" s="49" t="str">
        <f t="shared" si="9"/>
        <v/>
      </c>
      <c r="AC479" s="20" t="str">
        <f t="shared" ref="AC479:AD479" si="966">IF(_xlfn.ISFORMULA(S479),IFERROR(0/0,""),TRUE)</f>
        <v/>
      </c>
      <c r="AD479" s="20" t="str">
        <f t="shared" si="966"/>
        <v/>
      </c>
      <c r="AE479" s="43"/>
      <c r="AF479" s="62" t="s">
        <v>61</v>
      </c>
      <c r="AG479" s="57" t="str">
        <f t="shared" si="11"/>
        <v/>
      </c>
    </row>
    <row r="480">
      <c r="A480" s="6" t="str">
        <f>IFERROR(__xludf.DUMMYFUNCTION("""COMPUTED_VALUE"""),"MA222")</f>
        <v>MA222</v>
      </c>
      <c r="B480" s="204">
        <f>IFERROR(__xludf.DUMMYFUNCTION("""COMPUTED_VALUE"""),44615.0)</f>
        <v>44615</v>
      </c>
      <c r="C480" s="250">
        <f>IFERROR(__xludf.DUMMYFUNCTION("""COMPUTED_VALUE"""),0.3086689814814815)</f>
        <v>0.3086689815</v>
      </c>
      <c r="D480" s="6" t="str">
        <f>IFERROR(__xludf.DUMMYFUNCTION("""COMPUTED_VALUE"""),"SpBEND953422")</f>
        <v>SpBEND953422</v>
      </c>
      <c r="E480" s="251"/>
      <c r="F480" s="251"/>
      <c r="G480" s="251" t="str">
        <f>IFERROR(__xludf.DUMMYFUNCTION("""COMPUTED_VALUE"""),"Positive")</f>
        <v>Positive</v>
      </c>
      <c r="H480" s="262" t="str">
        <f>IFERROR(__xludf.DUMMYFUNCTION("""COMPUTED_VALUE"""),"Negative")</f>
        <v>Negative</v>
      </c>
      <c r="I480" s="204">
        <f>IFERROR(__xludf.DUMMYFUNCTION("""COMPUTED_VALUE"""),44615.0)</f>
        <v>44615</v>
      </c>
      <c r="J480" s="252">
        <f>IFERROR(__xludf.DUMMYFUNCTION("""COMPUTED_VALUE"""),0.4912384259259259)</f>
        <v>0.4912384259</v>
      </c>
      <c r="K480" s="56">
        <f>IFERROR(__xludf.DUMMYFUNCTION("""COMPUTED_VALUE"""),2.7)</f>
        <v>2.7</v>
      </c>
      <c r="L480" s="6" t="str">
        <f>IFERROR(__xludf.DUMMYFUNCTION("""COMPUTED_VALUE"""),"Pos to Neg based on RFR - checked image and entire batch mis-called")</f>
        <v>Pos to Neg based on RFR - checked image and entire batch mis-called</v>
      </c>
      <c r="M480" s="61"/>
      <c r="N480" s="61">
        <f>IFERROR(__xludf.DUMMYFUNCTION("""COMPUTED_VALUE"""),1.0)</f>
        <v>1</v>
      </c>
      <c r="O480" s="61" t="str">
        <f t="shared" si="3"/>
        <v/>
      </c>
      <c r="P480" s="253">
        <f>IFERROR(__xludf.DUMMYFUNCTION("""COMPUTED_VALUE"""),0.0)</f>
        <v>0</v>
      </c>
      <c r="Q480" s="254" t="b">
        <f>VLOOKUP($B480,'Run Reconcile'!B$2:O799,14,FALSE)</f>
        <v>1</v>
      </c>
      <c r="R480" s="255" t="str">
        <f t="array" ref="R480">IF($Q480, INDEX('Run Reconcile'!A$2:A799,MATCH(B480,'Run Reconcile'!B$2:B799,0),1),IFERROR(0/0,""))</f>
        <v>RUN-BEND_2022-02-23_RFR-039</v>
      </c>
      <c r="S480" s="261" t="str">
        <f t="shared" ref="S480:T480" si="967">IF(COUNTIF(W$2:W799, $A480) &gt; 0,TRUE,IFERROR(0/0,""))</f>
        <v/>
      </c>
      <c r="T480" s="261" t="str">
        <f t="shared" si="967"/>
        <v/>
      </c>
      <c r="U480" s="257" t="str">
        <f t="array" ref="U480">IF(ISBLANK($R480), INDEX('Run Reconcile'!A$2:A799, MATCH($B480, 'Run Reconcile'!B$2:B799, 0)+Z480, 1), IFERROR(0/0,""))
</f>
        <v/>
      </c>
      <c r="V480" s="258" t="str">
        <f t="shared" si="480"/>
        <v>RUN-BEND_2022-02-23_RFR-039</v>
      </c>
      <c r="Y480" s="130" t="str">
        <f t="shared" si="487"/>
        <v/>
      </c>
      <c r="Z480" s="49" t="str">
        <f t="shared" si="7"/>
        <v/>
      </c>
      <c r="AA480" s="49" t="str">
        <f t="shared" si="8"/>
        <v/>
      </c>
      <c r="AB480" s="49" t="str">
        <f t="shared" si="9"/>
        <v/>
      </c>
      <c r="AC480" s="20" t="str">
        <f t="shared" ref="AC480:AD480" si="968">IF(_xlfn.ISFORMULA(S480),IFERROR(0/0,""),TRUE)</f>
        <v/>
      </c>
      <c r="AD480" s="20" t="str">
        <f t="shared" si="968"/>
        <v/>
      </c>
      <c r="AE480" s="43"/>
      <c r="AF480" s="62" t="s">
        <v>61</v>
      </c>
      <c r="AG480" s="57" t="str">
        <f t="shared" si="11"/>
        <v/>
      </c>
    </row>
    <row r="481">
      <c r="A481" s="6" t="str">
        <f>IFERROR(__xludf.DUMMYFUNCTION("""COMPUTED_VALUE"""),"MA231")</f>
        <v>MA231</v>
      </c>
      <c r="B481" s="204">
        <f>IFERROR(__xludf.DUMMYFUNCTION("""COMPUTED_VALUE"""),44615.0)</f>
        <v>44615</v>
      </c>
      <c r="C481" s="250">
        <f>IFERROR(__xludf.DUMMYFUNCTION("""COMPUTED_VALUE"""),0.3092361111111111)</f>
        <v>0.3092361111</v>
      </c>
      <c r="D481" s="6" t="str">
        <f>IFERROR(__xludf.DUMMYFUNCTION("""COMPUTED_VALUE"""),"SpBEND816435")</f>
        <v>SpBEND816435</v>
      </c>
      <c r="E481" s="251"/>
      <c r="F481" s="251"/>
      <c r="G481" s="251" t="str">
        <f>IFERROR(__xludf.DUMMYFUNCTION("""COMPUTED_VALUE"""),"Positive")</f>
        <v>Positive</v>
      </c>
      <c r="H481" s="262" t="str">
        <f>IFERROR(__xludf.DUMMYFUNCTION("""COMPUTED_VALUE"""),"Negative")</f>
        <v>Negative</v>
      </c>
      <c r="I481" s="204">
        <f>IFERROR(__xludf.DUMMYFUNCTION("""COMPUTED_VALUE"""),44615.0)</f>
        <v>44615</v>
      </c>
      <c r="J481" s="252">
        <f>IFERROR(__xludf.DUMMYFUNCTION("""COMPUTED_VALUE"""),0.4912384259259259)</f>
        <v>0.4912384259</v>
      </c>
      <c r="K481" s="56">
        <f>IFERROR(__xludf.DUMMYFUNCTION("""COMPUTED_VALUE"""),2.7)</f>
        <v>2.7</v>
      </c>
      <c r="L481" s="6" t="str">
        <f>IFERROR(__xludf.DUMMYFUNCTION("""COMPUTED_VALUE"""),"Pos to Neg based on RFR - checked image and entire batch mis-called")</f>
        <v>Pos to Neg based on RFR - checked image and entire batch mis-called</v>
      </c>
      <c r="M481" s="61"/>
      <c r="N481" s="61">
        <f>IFERROR(__xludf.DUMMYFUNCTION("""COMPUTED_VALUE"""),1.0)</f>
        <v>1</v>
      </c>
      <c r="O481" s="61" t="str">
        <f t="shared" si="3"/>
        <v/>
      </c>
      <c r="P481" s="253">
        <f>IFERROR(__xludf.DUMMYFUNCTION("""COMPUTED_VALUE"""),0.0)</f>
        <v>0</v>
      </c>
      <c r="Q481" s="254" t="b">
        <f>VLOOKUP($B481,'Run Reconcile'!B$2:O799,14,FALSE)</f>
        <v>1</v>
      </c>
      <c r="R481" s="255" t="str">
        <f t="array" ref="R481">IF($Q481, INDEX('Run Reconcile'!A$2:A799,MATCH(B481,'Run Reconcile'!B$2:B799,0),1),IFERROR(0/0,""))</f>
        <v>RUN-BEND_2022-02-23_RFR-039</v>
      </c>
      <c r="S481" s="261" t="str">
        <f t="shared" ref="S481:T481" si="969">IF(COUNTIF(W$2:W799, $A481) &gt; 0,TRUE,IFERROR(0/0,""))</f>
        <v/>
      </c>
      <c r="T481" s="261" t="str">
        <f t="shared" si="969"/>
        <v/>
      </c>
      <c r="U481" s="257" t="str">
        <f t="array" ref="U481">IF(ISBLANK($R481), INDEX('Run Reconcile'!A$2:A799, MATCH($B481, 'Run Reconcile'!B$2:B799, 0)+Z481, 1), IFERROR(0/0,""))
</f>
        <v/>
      </c>
      <c r="V481" s="258" t="str">
        <f t="shared" si="480"/>
        <v>RUN-BEND_2022-02-23_RFR-039</v>
      </c>
      <c r="Y481" s="130" t="str">
        <f t="shared" si="487"/>
        <v/>
      </c>
      <c r="Z481" s="49" t="str">
        <f t="shared" si="7"/>
        <v/>
      </c>
      <c r="AA481" s="49" t="str">
        <f t="shared" si="8"/>
        <v/>
      </c>
      <c r="AB481" s="49" t="str">
        <f t="shared" si="9"/>
        <v/>
      </c>
      <c r="AC481" s="20" t="str">
        <f t="shared" ref="AC481:AD481" si="970">IF(_xlfn.ISFORMULA(S481),IFERROR(0/0,""),TRUE)</f>
        <v/>
      </c>
      <c r="AD481" s="20" t="str">
        <f t="shared" si="970"/>
        <v/>
      </c>
      <c r="AE481" s="43"/>
      <c r="AF481" s="62" t="s">
        <v>61</v>
      </c>
      <c r="AG481" s="57" t="str">
        <f t="shared" si="11"/>
        <v/>
      </c>
    </row>
    <row r="482">
      <c r="A482" s="6" t="str">
        <f>IFERROR(__xludf.DUMMYFUNCTION("""COMPUTED_VALUE"""),"MA214")</f>
        <v>MA214</v>
      </c>
      <c r="B482" s="204">
        <f>IFERROR(__xludf.DUMMYFUNCTION("""COMPUTED_VALUE"""),44615.0)</f>
        <v>44615</v>
      </c>
      <c r="C482" s="250">
        <f>IFERROR(__xludf.DUMMYFUNCTION("""COMPUTED_VALUE"""),0.30931712962962965)</f>
        <v>0.3093171296</v>
      </c>
      <c r="D482" s="6" t="str">
        <f>IFERROR(__xludf.DUMMYFUNCTION("""COMPUTED_VALUE"""),"SpBEND944634")</f>
        <v>SpBEND944634</v>
      </c>
      <c r="E482" s="251"/>
      <c r="F482" s="251"/>
      <c r="G482" s="251" t="str">
        <f>IFERROR(__xludf.DUMMYFUNCTION("""COMPUTED_VALUE"""),"Positive")</f>
        <v>Positive</v>
      </c>
      <c r="H482" s="262" t="str">
        <f>IFERROR(__xludf.DUMMYFUNCTION("""COMPUTED_VALUE"""),"Negative")</f>
        <v>Negative</v>
      </c>
      <c r="I482" s="204">
        <f>IFERROR(__xludf.DUMMYFUNCTION("""COMPUTED_VALUE"""),44615.0)</f>
        <v>44615</v>
      </c>
      <c r="J482" s="252">
        <f>IFERROR(__xludf.DUMMYFUNCTION("""COMPUTED_VALUE"""),0.4912384259259259)</f>
        <v>0.4912384259</v>
      </c>
      <c r="K482" s="56">
        <f>IFERROR(__xludf.DUMMYFUNCTION("""COMPUTED_VALUE"""),2.7)</f>
        <v>2.7</v>
      </c>
      <c r="L482" s="6" t="str">
        <f>IFERROR(__xludf.DUMMYFUNCTION("""COMPUTED_VALUE"""),"Pos to Neg based on RFR - checked image and entire batch mis-called")</f>
        <v>Pos to Neg based on RFR - checked image and entire batch mis-called</v>
      </c>
      <c r="M482" s="61"/>
      <c r="N482" s="61">
        <f>IFERROR(__xludf.DUMMYFUNCTION("""COMPUTED_VALUE"""),1.0)</f>
        <v>1</v>
      </c>
      <c r="O482" s="61" t="str">
        <f t="shared" si="3"/>
        <v/>
      </c>
      <c r="P482" s="253">
        <f>IFERROR(__xludf.DUMMYFUNCTION("""COMPUTED_VALUE"""),0.0)</f>
        <v>0</v>
      </c>
      <c r="Q482" s="254" t="b">
        <f>VLOOKUP($B482,'Run Reconcile'!B$2:O799,14,FALSE)</f>
        <v>1</v>
      </c>
      <c r="R482" s="255" t="str">
        <f t="array" ref="R482">IF($Q482, INDEX('Run Reconcile'!A$2:A799,MATCH(B482,'Run Reconcile'!B$2:B799,0),1),IFERROR(0/0,""))</f>
        <v>RUN-BEND_2022-02-23_RFR-039</v>
      </c>
      <c r="S482" s="261" t="str">
        <f t="shared" ref="S482:T482" si="971">IF(COUNTIF(W$2:W799, $A482) &gt; 0,TRUE,IFERROR(0/0,""))</f>
        <v/>
      </c>
      <c r="T482" s="261" t="str">
        <f t="shared" si="971"/>
        <v/>
      </c>
      <c r="U482" s="257" t="str">
        <f t="array" ref="U482">IF(ISBLANK($R482), INDEX('Run Reconcile'!A$2:A799, MATCH($B482, 'Run Reconcile'!B$2:B799, 0)+Z482, 1), IFERROR(0/0,""))
</f>
        <v/>
      </c>
      <c r="V482" s="258" t="str">
        <f t="shared" si="480"/>
        <v>RUN-BEND_2022-02-23_RFR-039</v>
      </c>
      <c r="Y482" s="130" t="str">
        <f t="shared" si="487"/>
        <v/>
      </c>
      <c r="Z482" s="49" t="str">
        <f t="shared" si="7"/>
        <v/>
      </c>
      <c r="AA482" s="49" t="str">
        <f t="shared" si="8"/>
        <v/>
      </c>
      <c r="AB482" s="49" t="str">
        <f t="shared" si="9"/>
        <v/>
      </c>
      <c r="AC482" s="20" t="str">
        <f t="shared" ref="AC482:AD482" si="972">IF(_xlfn.ISFORMULA(S482),IFERROR(0/0,""),TRUE)</f>
        <v/>
      </c>
      <c r="AD482" s="20" t="str">
        <f t="shared" si="972"/>
        <v/>
      </c>
      <c r="AE482" s="43"/>
      <c r="AF482" s="62" t="s">
        <v>61</v>
      </c>
      <c r="AG482" s="57" t="str">
        <f t="shared" si="11"/>
        <v/>
      </c>
    </row>
    <row r="483">
      <c r="A483" s="6" t="str">
        <f>IFERROR(__xludf.DUMMYFUNCTION("""COMPUTED_VALUE"""),"FM827")</f>
        <v>FM827</v>
      </c>
      <c r="B483" s="204">
        <f>IFERROR(__xludf.DUMMYFUNCTION("""COMPUTED_VALUE"""),44615.0)</f>
        <v>44615</v>
      </c>
      <c r="C483" s="250">
        <f>IFERROR(__xludf.DUMMYFUNCTION("""COMPUTED_VALUE"""),0.3097800925925926)</f>
        <v>0.3097800926</v>
      </c>
      <c r="D483" s="6" t="str">
        <f>IFERROR(__xludf.DUMMYFUNCTION("""COMPUTED_VALUE"""),"SpBEND718288")</f>
        <v>SpBEND718288</v>
      </c>
      <c r="E483" s="251"/>
      <c r="F483" s="251"/>
      <c r="G483" s="251" t="str">
        <f>IFERROR(__xludf.DUMMYFUNCTION("""COMPUTED_VALUE"""),"Positive")</f>
        <v>Positive</v>
      </c>
      <c r="H483" s="262" t="str">
        <f>IFERROR(__xludf.DUMMYFUNCTION("""COMPUTED_VALUE"""),"Negative")</f>
        <v>Negative</v>
      </c>
      <c r="I483" s="204">
        <f>IFERROR(__xludf.DUMMYFUNCTION("""COMPUTED_VALUE"""),44615.0)</f>
        <v>44615</v>
      </c>
      <c r="J483" s="252">
        <f>IFERROR(__xludf.DUMMYFUNCTION("""COMPUTED_VALUE"""),0.4912384259259259)</f>
        <v>0.4912384259</v>
      </c>
      <c r="K483" s="56">
        <f>IFERROR(__xludf.DUMMYFUNCTION("""COMPUTED_VALUE"""),2.7)</f>
        <v>2.7</v>
      </c>
      <c r="L483" s="6" t="str">
        <f>IFERROR(__xludf.DUMMYFUNCTION("""COMPUTED_VALUE"""),"Pos to Neg based on RFR - checked image and entire batch mis-called")</f>
        <v>Pos to Neg based on RFR - checked image and entire batch mis-called</v>
      </c>
      <c r="M483" s="61"/>
      <c r="N483" s="61">
        <f>IFERROR(__xludf.DUMMYFUNCTION("""COMPUTED_VALUE"""),1.0)</f>
        <v>1</v>
      </c>
      <c r="O483" s="61" t="str">
        <f t="shared" si="3"/>
        <v/>
      </c>
      <c r="P483" s="253">
        <f>IFERROR(__xludf.DUMMYFUNCTION("""COMPUTED_VALUE"""),0.0)</f>
        <v>0</v>
      </c>
      <c r="Q483" s="254" t="b">
        <f>VLOOKUP($B483,'Run Reconcile'!B$2:O799,14,FALSE)</f>
        <v>1</v>
      </c>
      <c r="R483" s="255" t="str">
        <f t="array" ref="R483">IF($Q483, INDEX('Run Reconcile'!A$2:A799,MATCH(B483,'Run Reconcile'!B$2:B799,0),1),IFERROR(0/0,""))</f>
        <v>RUN-BEND_2022-02-23_RFR-039</v>
      </c>
      <c r="S483" s="261" t="str">
        <f t="shared" ref="S483:T483" si="973">IF(COUNTIF(W$2:W799, $A483) &gt; 0,TRUE,IFERROR(0/0,""))</f>
        <v/>
      </c>
      <c r="T483" s="261" t="str">
        <f t="shared" si="973"/>
        <v/>
      </c>
      <c r="U483" s="257" t="str">
        <f t="array" ref="U483">IF(ISBLANK($R483), INDEX('Run Reconcile'!A$2:A799, MATCH($B483, 'Run Reconcile'!B$2:B799, 0)+Z483, 1), IFERROR(0/0,""))
</f>
        <v/>
      </c>
      <c r="V483" s="258" t="str">
        <f t="shared" si="480"/>
        <v>RUN-BEND_2022-02-23_RFR-039</v>
      </c>
      <c r="Y483" s="130" t="str">
        <f t="shared" si="487"/>
        <v/>
      </c>
      <c r="Z483" s="49" t="str">
        <f t="shared" si="7"/>
        <v/>
      </c>
      <c r="AA483" s="49" t="str">
        <f t="shared" si="8"/>
        <v/>
      </c>
      <c r="AB483" s="49" t="str">
        <f t="shared" si="9"/>
        <v/>
      </c>
      <c r="AC483" s="20" t="str">
        <f t="shared" ref="AC483:AD483" si="974">IF(_xlfn.ISFORMULA(S483),IFERROR(0/0,""),TRUE)</f>
        <v/>
      </c>
      <c r="AD483" s="20" t="str">
        <f t="shared" si="974"/>
        <v/>
      </c>
      <c r="AE483" s="43"/>
      <c r="AF483" s="62" t="s">
        <v>61</v>
      </c>
      <c r="AG483" s="57" t="str">
        <f t="shared" si="11"/>
        <v/>
      </c>
    </row>
    <row r="484">
      <c r="A484" s="6" t="str">
        <f>IFERROR(__xludf.DUMMYFUNCTION("""COMPUTED_VALUE"""),"MA299")</f>
        <v>MA299</v>
      </c>
      <c r="B484" s="204">
        <f>IFERROR(__xludf.DUMMYFUNCTION("""COMPUTED_VALUE"""),44615.0)</f>
        <v>44615</v>
      </c>
      <c r="C484" s="250">
        <f>IFERROR(__xludf.DUMMYFUNCTION("""COMPUTED_VALUE"""),0.3108912037037037)</f>
        <v>0.3108912037</v>
      </c>
      <c r="D484" s="6" t="str">
        <f>IFERROR(__xludf.DUMMYFUNCTION("""COMPUTED_VALUE"""),"SpBEND611299")</f>
        <v>SpBEND611299</v>
      </c>
      <c r="E484" s="251"/>
      <c r="F484" s="251"/>
      <c r="G484" s="251" t="str">
        <f>IFERROR(__xludf.DUMMYFUNCTION("""COMPUTED_VALUE"""),"Positive")</f>
        <v>Positive</v>
      </c>
      <c r="H484" s="262" t="str">
        <f>IFERROR(__xludf.DUMMYFUNCTION("""COMPUTED_VALUE"""),"Negative")</f>
        <v>Negative</v>
      </c>
      <c r="I484" s="204">
        <f>IFERROR(__xludf.DUMMYFUNCTION("""COMPUTED_VALUE"""),44615.0)</f>
        <v>44615</v>
      </c>
      <c r="J484" s="252">
        <f>IFERROR(__xludf.DUMMYFUNCTION("""COMPUTED_VALUE"""),0.4912384259259259)</f>
        <v>0.4912384259</v>
      </c>
      <c r="K484" s="56">
        <f>IFERROR(__xludf.DUMMYFUNCTION("""COMPUTED_VALUE"""),2.7)</f>
        <v>2.7</v>
      </c>
      <c r="L484" s="6" t="str">
        <f>IFERROR(__xludf.DUMMYFUNCTION("""COMPUTED_VALUE"""),"Pos to Neg based on RFR - checked image and entire batch mis-called")</f>
        <v>Pos to Neg based on RFR - checked image and entire batch mis-called</v>
      </c>
      <c r="M484" s="61"/>
      <c r="N484" s="61">
        <f>IFERROR(__xludf.DUMMYFUNCTION("""COMPUTED_VALUE"""),1.0)</f>
        <v>1</v>
      </c>
      <c r="O484" s="61" t="str">
        <f t="shared" si="3"/>
        <v/>
      </c>
      <c r="P484" s="253">
        <f>IFERROR(__xludf.DUMMYFUNCTION("""COMPUTED_VALUE"""),0.0)</f>
        <v>0</v>
      </c>
      <c r="Q484" s="254" t="b">
        <f>VLOOKUP($B484,'Run Reconcile'!B$2:O799,14,FALSE)</f>
        <v>1</v>
      </c>
      <c r="R484" s="255" t="str">
        <f t="array" ref="R484">IF($Q484, INDEX('Run Reconcile'!A$2:A799,MATCH(B484,'Run Reconcile'!B$2:B799,0),1),IFERROR(0/0,""))</f>
        <v>RUN-BEND_2022-02-23_RFR-039</v>
      </c>
      <c r="S484" s="261" t="str">
        <f t="shared" ref="S484:T484" si="975">IF(COUNTIF(W$2:W799, $A484) &gt; 0,TRUE,IFERROR(0/0,""))</f>
        <v/>
      </c>
      <c r="T484" s="261" t="str">
        <f t="shared" si="975"/>
        <v/>
      </c>
      <c r="U484" s="257" t="str">
        <f t="array" ref="U484">IF(ISBLANK($R484), INDEX('Run Reconcile'!A$2:A799, MATCH($B484, 'Run Reconcile'!B$2:B799, 0)+Z484, 1), IFERROR(0/0,""))
</f>
        <v/>
      </c>
      <c r="V484" s="258" t="str">
        <f t="shared" si="480"/>
        <v>RUN-BEND_2022-02-23_RFR-039</v>
      </c>
      <c r="Y484" s="130" t="str">
        <f t="shared" si="487"/>
        <v/>
      </c>
      <c r="Z484" s="49" t="str">
        <f t="shared" si="7"/>
        <v/>
      </c>
      <c r="AA484" s="49" t="str">
        <f t="shared" si="8"/>
        <v/>
      </c>
      <c r="AB484" s="49" t="str">
        <f t="shared" si="9"/>
        <v/>
      </c>
      <c r="AC484" s="20" t="str">
        <f t="shared" ref="AC484:AD484" si="976">IF(_xlfn.ISFORMULA(S484),IFERROR(0/0,""),TRUE)</f>
        <v/>
      </c>
      <c r="AD484" s="20" t="str">
        <f t="shared" si="976"/>
        <v/>
      </c>
      <c r="AE484" s="43"/>
      <c r="AF484" s="62" t="s">
        <v>61</v>
      </c>
      <c r="AG484" s="57" t="str">
        <f t="shared" si="11"/>
        <v/>
      </c>
    </row>
    <row r="485">
      <c r="A485" s="6" t="str">
        <f>IFERROR(__xludf.DUMMYFUNCTION("""COMPUTED_VALUE"""),"MA1104")</f>
        <v>MA1104</v>
      </c>
      <c r="B485" s="204">
        <f>IFERROR(__xludf.DUMMYFUNCTION("""COMPUTED_VALUE"""),44615.0)</f>
        <v>44615</v>
      </c>
      <c r="C485" s="250">
        <f>IFERROR(__xludf.DUMMYFUNCTION("""COMPUTED_VALUE"""),0.31449074074074074)</f>
        <v>0.3144907407</v>
      </c>
      <c r="D485" s="6" t="str">
        <f>IFERROR(__xludf.DUMMYFUNCTION("""COMPUTED_VALUE"""),"SpBEND985296")</f>
        <v>SpBEND985296</v>
      </c>
      <c r="E485" s="251"/>
      <c r="F485" s="251"/>
      <c r="G485" s="251" t="str">
        <f>IFERROR(__xludf.DUMMYFUNCTION("""COMPUTED_VALUE"""),"Positive")</f>
        <v>Positive</v>
      </c>
      <c r="H485" s="262" t="str">
        <f>IFERROR(__xludf.DUMMYFUNCTION("""COMPUTED_VALUE"""),"Negative")</f>
        <v>Negative</v>
      </c>
      <c r="I485" s="204">
        <f>IFERROR(__xludf.DUMMYFUNCTION("""COMPUTED_VALUE"""),44615.0)</f>
        <v>44615</v>
      </c>
      <c r="J485" s="252">
        <f>IFERROR(__xludf.DUMMYFUNCTION("""COMPUTED_VALUE"""),0.4912384259259259)</f>
        <v>0.4912384259</v>
      </c>
      <c r="K485" s="56">
        <f>IFERROR(__xludf.DUMMYFUNCTION("""COMPUTED_VALUE"""),2.7)</f>
        <v>2.7</v>
      </c>
      <c r="L485" s="6" t="str">
        <f>IFERROR(__xludf.DUMMYFUNCTION("""COMPUTED_VALUE"""),"Pos to Neg based on RFR - checked image and entire batch mis-called")</f>
        <v>Pos to Neg based on RFR - checked image and entire batch mis-called</v>
      </c>
      <c r="M485" s="61"/>
      <c r="N485" s="61">
        <f>IFERROR(__xludf.DUMMYFUNCTION("""COMPUTED_VALUE"""),1.0)</f>
        <v>1</v>
      </c>
      <c r="O485" s="61" t="str">
        <f t="shared" si="3"/>
        <v/>
      </c>
      <c r="P485" s="253">
        <f>IFERROR(__xludf.DUMMYFUNCTION("""COMPUTED_VALUE"""),0.0)</f>
        <v>0</v>
      </c>
      <c r="Q485" s="254" t="b">
        <f>VLOOKUP($B485,'Run Reconcile'!B$2:O799,14,FALSE)</f>
        <v>1</v>
      </c>
      <c r="R485" s="255" t="str">
        <f t="array" ref="R485">IF($Q485, INDEX('Run Reconcile'!A$2:A799,MATCH(B485,'Run Reconcile'!B$2:B799,0),1),IFERROR(0/0,""))</f>
        <v>RUN-BEND_2022-02-23_RFR-039</v>
      </c>
      <c r="S485" s="261" t="str">
        <f t="shared" ref="S485:T485" si="977">IF(COUNTIF(W$2:W799, $A485) &gt; 0,TRUE,IFERROR(0/0,""))</f>
        <v/>
      </c>
      <c r="T485" s="261" t="str">
        <f t="shared" si="977"/>
        <v/>
      </c>
      <c r="U485" s="257" t="str">
        <f t="array" ref="U485">IF(ISBLANK($R485), INDEX('Run Reconcile'!A$2:A799, MATCH($B485, 'Run Reconcile'!B$2:B799, 0)+Z485, 1), IFERROR(0/0,""))
</f>
        <v/>
      </c>
      <c r="V485" s="258" t="str">
        <f t="shared" si="480"/>
        <v>RUN-BEND_2022-02-23_RFR-039</v>
      </c>
      <c r="Y485" s="130" t="str">
        <f t="shared" si="487"/>
        <v/>
      </c>
      <c r="Z485" s="49" t="str">
        <f t="shared" si="7"/>
        <v/>
      </c>
      <c r="AA485" s="49" t="str">
        <f t="shared" si="8"/>
        <v/>
      </c>
      <c r="AB485" s="49" t="str">
        <f t="shared" si="9"/>
        <v/>
      </c>
      <c r="AC485" s="20" t="str">
        <f t="shared" ref="AC485:AD485" si="978">IF(_xlfn.ISFORMULA(S485),IFERROR(0/0,""),TRUE)</f>
        <v/>
      </c>
      <c r="AD485" s="20" t="str">
        <f t="shared" si="978"/>
        <v/>
      </c>
      <c r="AE485" s="43"/>
      <c r="AF485" s="62" t="s">
        <v>61</v>
      </c>
      <c r="AG485" s="57" t="str">
        <f t="shared" si="11"/>
        <v/>
      </c>
    </row>
    <row r="486">
      <c r="A486" s="6" t="str">
        <f>IFERROR(__xludf.DUMMYFUNCTION("""COMPUTED_VALUE"""),"MA1026")</f>
        <v>MA1026</v>
      </c>
      <c r="B486" s="204">
        <f>IFERROR(__xludf.DUMMYFUNCTION("""COMPUTED_VALUE"""),44615.0)</f>
        <v>44615</v>
      </c>
      <c r="C486" s="250">
        <f>IFERROR(__xludf.DUMMYFUNCTION("""COMPUTED_VALUE"""),0.3146412037037037)</f>
        <v>0.3146412037</v>
      </c>
      <c r="D486" s="6" t="str">
        <f>IFERROR(__xludf.DUMMYFUNCTION("""COMPUTED_VALUE"""),"SpBEND528248")</f>
        <v>SpBEND528248</v>
      </c>
      <c r="E486" s="251"/>
      <c r="F486" s="251"/>
      <c r="G486" s="251" t="str">
        <f>IFERROR(__xludf.DUMMYFUNCTION("""COMPUTED_VALUE"""),"Positive")</f>
        <v>Positive</v>
      </c>
      <c r="H486" s="262" t="str">
        <f>IFERROR(__xludf.DUMMYFUNCTION("""COMPUTED_VALUE"""),"Negative")</f>
        <v>Negative</v>
      </c>
      <c r="I486" s="204">
        <f>IFERROR(__xludf.DUMMYFUNCTION("""COMPUTED_VALUE"""),44615.0)</f>
        <v>44615</v>
      </c>
      <c r="J486" s="252">
        <f>IFERROR(__xludf.DUMMYFUNCTION("""COMPUTED_VALUE"""),0.4912384259259259)</f>
        <v>0.4912384259</v>
      </c>
      <c r="K486" s="56">
        <f>IFERROR(__xludf.DUMMYFUNCTION("""COMPUTED_VALUE"""),2.7)</f>
        <v>2.7</v>
      </c>
      <c r="L486" s="6" t="str">
        <f>IFERROR(__xludf.DUMMYFUNCTION("""COMPUTED_VALUE"""),"Pos to Neg based on RFR - checked image and entire batch mis-called")</f>
        <v>Pos to Neg based on RFR - checked image and entire batch mis-called</v>
      </c>
      <c r="M486" s="61"/>
      <c r="N486" s="61">
        <f>IFERROR(__xludf.DUMMYFUNCTION("""COMPUTED_VALUE"""),1.0)</f>
        <v>1</v>
      </c>
      <c r="O486" s="61" t="str">
        <f t="shared" si="3"/>
        <v/>
      </c>
      <c r="P486" s="253">
        <f>IFERROR(__xludf.DUMMYFUNCTION("""COMPUTED_VALUE"""),0.0)</f>
        <v>0</v>
      </c>
      <c r="Q486" s="254" t="b">
        <f>VLOOKUP($B486,'Run Reconcile'!B$2:O799,14,FALSE)</f>
        <v>1</v>
      </c>
      <c r="R486" s="255" t="str">
        <f t="array" ref="R486">IF($Q486, INDEX('Run Reconcile'!A$2:A799,MATCH(B486,'Run Reconcile'!B$2:B799,0),1),IFERROR(0/0,""))</f>
        <v>RUN-BEND_2022-02-23_RFR-039</v>
      </c>
      <c r="S486" s="261" t="str">
        <f t="shared" ref="S486:T486" si="979">IF(COUNTIF(W$2:W799, $A486) &gt; 0,TRUE,IFERROR(0/0,""))</f>
        <v/>
      </c>
      <c r="T486" s="261" t="str">
        <f t="shared" si="979"/>
        <v/>
      </c>
      <c r="U486" s="257" t="str">
        <f t="array" ref="U486">IF(ISBLANK($R486), INDEX('Run Reconcile'!A$2:A799, MATCH($B486, 'Run Reconcile'!B$2:B799, 0)+Z486, 1), IFERROR(0/0,""))
</f>
        <v/>
      </c>
      <c r="V486" s="258" t="str">
        <f t="shared" si="480"/>
        <v>RUN-BEND_2022-02-23_RFR-039</v>
      </c>
      <c r="Y486" s="130" t="str">
        <f t="shared" si="487"/>
        <v/>
      </c>
      <c r="Z486" s="49" t="str">
        <f t="shared" si="7"/>
        <v/>
      </c>
      <c r="AA486" s="49" t="str">
        <f t="shared" si="8"/>
        <v/>
      </c>
      <c r="AB486" s="49" t="str">
        <f t="shared" si="9"/>
        <v/>
      </c>
      <c r="AC486" s="20" t="str">
        <f t="shared" ref="AC486:AD486" si="980">IF(_xlfn.ISFORMULA(S486),IFERROR(0/0,""),TRUE)</f>
        <v/>
      </c>
      <c r="AD486" s="20" t="str">
        <f t="shared" si="980"/>
        <v/>
      </c>
      <c r="AE486" s="43"/>
      <c r="AF486" s="62" t="s">
        <v>61</v>
      </c>
      <c r="AG486" s="57" t="str">
        <f t="shared" si="11"/>
        <v/>
      </c>
    </row>
    <row r="487">
      <c r="A487" s="6" t="str">
        <f>IFERROR(__xludf.DUMMYFUNCTION("""COMPUTED_VALUE"""),"FM533")</f>
        <v>FM533</v>
      </c>
      <c r="B487" s="204">
        <f>IFERROR(__xludf.DUMMYFUNCTION("""COMPUTED_VALUE"""),44615.0)</f>
        <v>44615</v>
      </c>
      <c r="C487" s="250">
        <f>IFERROR(__xludf.DUMMYFUNCTION("""COMPUTED_VALUE"""),0.31958333333333333)</f>
        <v>0.3195833333</v>
      </c>
      <c r="D487" s="6" t="str">
        <f>IFERROR(__xludf.DUMMYFUNCTION("""COMPUTED_VALUE"""),"SpBEND541174")</f>
        <v>SpBEND541174</v>
      </c>
      <c r="E487" s="251"/>
      <c r="F487" s="251"/>
      <c r="G487" s="251" t="str">
        <f>IFERROR(__xludf.DUMMYFUNCTION("""COMPUTED_VALUE"""),"Positive")</f>
        <v>Positive</v>
      </c>
      <c r="H487" s="262" t="str">
        <f>IFERROR(__xludf.DUMMYFUNCTION("""COMPUTED_VALUE"""),"Negative")</f>
        <v>Negative</v>
      </c>
      <c r="I487" s="204">
        <f>IFERROR(__xludf.DUMMYFUNCTION("""COMPUTED_VALUE"""),44615.0)</f>
        <v>44615</v>
      </c>
      <c r="J487" s="252">
        <f>IFERROR(__xludf.DUMMYFUNCTION("""COMPUTED_VALUE"""),0.4912384259259259)</f>
        <v>0.4912384259</v>
      </c>
      <c r="K487" s="56">
        <f>IFERROR(__xludf.DUMMYFUNCTION("""COMPUTED_VALUE"""),2.7)</f>
        <v>2.7</v>
      </c>
      <c r="L487" s="6" t="str">
        <f>IFERROR(__xludf.DUMMYFUNCTION("""COMPUTED_VALUE"""),"Pos to Neg based on RFR - checked image and entire batch mis-called")</f>
        <v>Pos to Neg based on RFR - checked image and entire batch mis-called</v>
      </c>
      <c r="M487" s="61"/>
      <c r="N487" s="61">
        <f>IFERROR(__xludf.DUMMYFUNCTION("""COMPUTED_VALUE"""),1.0)</f>
        <v>1</v>
      </c>
      <c r="O487" s="61" t="str">
        <f t="shared" si="3"/>
        <v/>
      </c>
      <c r="P487" s="253">
        <f>IFERROR(__xludf.DUMMYFUNCTION("""COMPUTED_VALUE"""),0.0)</f>
        <v>0</v>
      </c>
      <c r="Q487" s="254" t="b">
        <f>VLOOKUP($B487,'Run Reconcile'!B$2:O799,14,FALSE)</f>
        <v>1</v>
      </c>
      <c r="R487" s="255" t="str">
        <f t="array" ref="R487">IF($Q487, INDEX('Run Reconcile'!A$2:A799,MATCH(B487,'Run Reconcile'!B$2:B799,0),1),IFERROR(0/0,""))</f>
        <v>RUN-BEND_2022-02-23_RFR-039</v>
      </c>
      <c r="S487" s="261" t="str">
        <f t="shared" ref="S487:T487" si="981">IF(COUNTIF(W$2:W799, $A487) &gt; 0,TRUE,IFERROR(0/0,""))</f>
        <v/>
      </c>
      <c r="T487" s="261" t="str">
        <f t="shared" si="981"/>
        <v/>
      </c>
      <c r="U487" s="257" t="str">
        <f t="array" ref="U487">IF(ISBLANK($R487), INDEX('Run Reconcile'!A$2:A799, MATCH($B487, 'Run Reconcile'!B$2:B799, 0)+Z487, 1), IFERROR(0/0,""))
</f>
        <v/>
      </c>
      <c r="V487" s="258" t="str">
        <f t="shared" si="480"/>
        <v>RUN-BEND_2022-02-23_RFR-039</v>
      </c>
      <c r="Y487" s="130" t="str">
        <f t="shared" si="487"/>
        <v/>
      </c>
      <c r="Z487" s="49" t="str">
        <f t="shared" si="7"/>
        <v/>
      </c>
      <c r="AA487" s="49" t="str">
        <f t="shared" si="8"/>
        <v/>
      </c>
      <c r="AB487" s="49" t="str">
        <f t="shared" si="9"/>
        <v/>
      </c>
      <c r="AC487" s="20" t="str">
        <f t="shared" ref="AC487:AD487" si="982">IF(_xlfn.ISFORMULA(S487),IFERROR(0/0,""),TRUE)</f>
        <v/>
      </c>
      <c r="AD487" s="20" t="str">
        <f t="shared" si="982"/>
        <v/>
      </c>
      <c r="AE487" s="43"/>
      <c r="AF487" s="62" t="s">
        <v>61</v>
      </c>
      <c r="AG487" s="57" t="str">
        <f t="shared" si="11"/>
        <v/>
      </c>
    </row>
    <row r="488">
      <c r="A488" s="6" t="str">
        <f>IFERROR(__xludf.DUMMYFUNCTION("""COMPUTED_VALUE"""),"MA1038")</f>
        <v>MA1038</v>
      </c>
      <c r="B488" s="204">
        <f>IFERROR(__xludf.DUMMYFUNCTION("""COMPUTED_VALUE"""),44615.0)</f>
        <v>44615</v>
      </c>
      <c r="C488" s="250">
        <f>IFERROR(__xludf.DUMMYFUNCTION("""COMPUTED_VALUE"""),0.32104166666666667)</f>
        <v>0.3210416667</v>
      </c>
      <c r="D488" s="6" t="str">
        <f>IFERROR(__xludf.DUMMYFUNCTION("""COMPUTED_VALUE"""),"SpBEND363177")</f>
        <v>SpBEND363177</v>
      </c>
      <c r="E488" s="251"/>
      <c r="F488" s="251"/>
      <c r="G488" s="251" t="str">
        <f>IFERROR(__xludf.DUMMYFUNCTION("""COMPUTED_VALUE"""),"Positive")</f>
        <v>Positive</v>
      </c>
      <c r="H488" s="262" t="str">
        <f>IFERROR(__xludf.DUMMYFUNCTION("""COMPUTED_VALUE"""),"Negative")</f>
        <v>Negative</v>
      </c>
      <c r="I488" s="204">
        <f>IFERROR(__xludf.DUMMYFUNCTION("""COMPUTED_VALUE"""),44615.0)</f>
        <v>44615</v>
      </c>
      <c r="J488" s="252">
        <f>IFERROR(__xludf.DUMMYFUNCTION("""COMPUTED_VALUE"""),0.49125)</f>
        <v>0.49125</v>
      </c>
      <c r="K488" s="56">
        <f>IFERROR(__xludf.DUMMYFUNCTION("""COMPUTED_VALUE"""),2.7)</f>
        <v>2.7</v>
      </c>
      <c r="L488" s="6" t="str">
        <f>IFERROR(__xludf.DUMMYFUNCTION("""COMPUTED_VALUE"""),"Pos to Neg based on RFR - checked image and entire batch mis-called")</f>
        <v>Pos to Neg based on RFR - checked image and entire batch mis-called</v>
      </c>
      <c r="M488" s="61"/>
      <c r="N488" s="61">
        <f>IFERROR(__xludf.DUMMYFUNCTION("""COMPUTED_VALUE"""),1.0)</f>
        <v>1</v>
      </c>
      <c r="O488" s="61" t="str">
        <f t="shared" si="3"/>
        <v/>
      </c>
      <c r="P488" s="253">
        <f>IFERROR(__xludf.DUMMYFUNCTION("""COMPUTED_VALUE"""),0.0)</f>
        <v>0</v>
      </c>
      <c r="Q488" s="254" t="b">
        <f>VLOOKUP($B488,'Run Reconcile'!B$2:O799,14,FALSE)</f>
        <v>1</v>
      </c>
      <c r="R488" s="255" t="str">
        <f t="array" ref="R488">IF($Q488, INDEX('Run Reconcile'!A$2:A799,MATCH(B488,'Run Reconcile'!B$2:B799,0),1),IFERROR(0/0,""))</f>
        <v>RUN-BEND_2022-02-23_RFR-039</v>
      </c>
      <c r="S488" s="261" t="str">
        <f t="shared" ref="S488:T488" si="983">IF(COUNTIF(W$2:W799, $A488) &gt; 0,TRUE,IFERROR(0/0,""))</f>
        <v/>
      </c>
      <c r="T488" s="261" t="str">
        <f t="shared" si="983"/>
        <v/>
      </c>
      <c r="U488" s="257" t="str">
        <f t="array" ref="U488">IF(ISBLANK($R488), INDEX('Run Reconcile'!A$2:A799, MATCH($B488, 'Run Reconcile'!B$2:B799, 0)+Z488, 1), IFERROR(0/0,""))
</f>
        <v/>
      </c>
      <c r="V488" s="258" t="str">
        <f t="shared" si="480"/>
        <v>RUN-BEND_2022-02-23_RFR-039</v>
      </c>
      <c r="Y488" s="130" t="str">
        <f t="shared" si="487"/>
        <v/>
      </c>
      <c r="Z488" s="49" t="str">
        <f t="shared" si="7"/>
        <v/>
      </c>
      <c r="AA488" s="49" t="str">
        <f t="shared" si="8"/>
        <v/>
      </c>
      <c r="AB488" s="49" t="str">
        <f t="shared" si="9"/>
        <v/>
      </c>
      <c r="AC488" s="20" t="str">
        <f t="shared" ref="AC488:AD488" si="984">IF(_xlfn.ISFORMULA(S488),IFERROR(0/0,""),TRUE)</f>
        <v/>
      </c>
      <c r="AD488" s="20" t="str">
        <f t="shared" si="984"/>
        <v/>
      </c>
      <c r="AE488" s="43"/>
      <c r="AF488" s="62" t="s">
        <v>61</v>
      </c>
      <c r="AG488" s="57" t="str">
        <f t="shared" si="11"/>
        <v/>
      </c>
    </row>
    <row r="489">
      <c r="A489" s="6" t="str">
        <f>IFERROR(__xludf.DUMMYFUNCTION("""COMPUTED_VALUE"""),"FM1008")</f>
        <v>FM1008</v>
      </c>
      <c r="B489" s="204">
        <f>IFERROR(__xludf.DUMMYFUNCTION("""COMPUTED_VALUE"""),44615.0)</f>
        <v>44615</v>
      </c>
      <c r="C489" s="250">
        <f>IFERROR(__xludf.DUMMYFUNCTION("""COMPUTED_VALUE"""),0.321712962962963)</f>
        <v>0.321712963</v>
      </c>
      <c r="D489" s="6" t="str">
        <f>IFERROR(__xludf.DUMMYFUNCTION("""COMPUTED_VALUE"""),"SpBEND436062")</f>
        <v>SpBEND436062</v>
      </c>
      <c r="E489" s="251"/>
      <c r="F489" s="251"/>
      <c r="G489" s="251" t="str">
        <f>IFERROR(__xludf.DUMMYFUNCTION("""COMPUTED_VALUE"""),"Positive")</f>
        <v>Positive</v>
      </c>
      <c r="H489" s="262" t="str">
        <f>IFERROR(__xludf.DUMMYFUNCTION("""COMPUTED_VALUE"""),"Negative")</f>
        <v>Negative</v>
      </c>
      <c r="I489" s="204">
        <f>IFERROR(__xludf.DUMMYFUNCTION("""COMPUTED_VALUE"""),44615.0)</f>
        <v>44615</v>
      </c>
      <c r="J489" s="252">
        <f>IFERROR(__xludf.DUMMYFUNCTION("""COMPUTED_VALUE"""),0.49125)</f>
        <v>0.49125</v>
      </c>
      <c r="K489" s="56">
        <f>IFERROR(__xludf.DUMMYFUNCTION("""COMPUTED_VALUE"""),2.7)</f>
        <v>2.7</v>
      </c>
      <c r="L489" s="6" t="str">
        <f>IFERROR(__xludf.DUMMYFUNCTION("""COMPUTED_VALUE"""),"Pos to Neg based on RFR - checked image and entire batch mis-called")</f>
        <v>Pos to Neg based on RFR - checked image and entire batch mis-called</v>
      </c>
      <c r="M489" s="61"/>
      <c r="N489" s="61">
        <f>IFERROR(__xludf.DUMMYFUNCTION("""COMPUTED_VALUE"""),1.0)</f>
        <v>1</v>
      </c>
      <c r="O489" s="61" t="str">
        <f t="shared" si="3"/>
        <v/>
      </c>
      <c r="P489" s="253">
        <f>IFERROR(__xludf.DUMMYFUNCTION("""COMPUTED_VALUE"""),0.0)</f>
        <v>0</v>
      </c>
      <c r="Q489" s="254" t="b">
        <f>VLOOKUP($B489,'Run Reconcile'!B$2:O799,14,FALSE)</f>
        <v>1</v>
      </c>
      <c r="R489" s="255" t="str">
        <f t="array" ref="R489">IF($Q489, INDEX('Run Reconcile'!A$2:A799,MATCH(B489,'Run Reconcile'!B$2:B799,0),1),IFERROR(0/0,""))</f>
        <v>RUN-BEND_2022-02-23_RFR-039</v>
      </c>
      <c r="S489" s="261" t="str">
        <f t="shared" ref="S489:T489" si="985">IF(COUNTIF(W$2:W799, $A489) &gt; 0,TRUE,IFERROR(0/0,""))</f>
        <v/>
      </c>
      <c r="T489" s="261" t="str">
        <f t="shared" si="985"/>
        <v/>
      </c>
      <c r="U489" s="257" t="str">
        <f t="array" ref="U489">IF(ISBLANK($R489), INDEX('Run Reconcile'!A$2:A799, MATCH($B489, 'Run Reconcile'!B$2:B799, 0)+Z489, 1), IFERROR(0/0,""))
</f>
        <v/>
      </c>
      <c r="V489" s="258" t="str">
        <f t="shared" si="480"/>
        <v>RUN-BEND_2022-02-23_RFR-039</v>
      </c>
      <c r="Y489" s="130" t="str">
        <f t="shared" si="487"/>
        <v/>
      </c>
      <c r="Z489" s="49" t="str">
        <f t="shared" si="7"/>
        <v/>
      </c>
      <c r="AA489" s="49" t="str">
        <f t="shared" si="8"/>
        <v/>
      </c>
      <c r="AB489" s="49" t="str">
        <f t="shared" si="9"/>
        <v/>
      </c>
      <c r="AC489" s="20" t="str">
        <f t="shared" ref="AC489:AD489" si="986">IF(_xlfn.ISFORMULA(S489),IFERROR(0/0,""),TRUE)</f>
        <v/>
      </c>
      <c r="AD489" s="20" t="str">
        <f t="shared" si="986"/>
        <v/>
      </c>
      <c r="AE489" s="43"/>
      <c r="AF489" s="62" t="s">
        <v>61</v>
      </c>
      <c r="AG489" s="57" t="str">
        <f t="shared" si="11"/>
        <v/>
      </c>
    </row>
    <row r="490">
      <c r="A490" s="6" t="str">
        <f>IFERROR(__xludf.DUMMYFUNCTION("""COMPUTED_VALUE"""),"MA251")</f>
        <v>MA251</v>
      </c>
      <c r="B490" s="204">
        <f>IFERROR(__xludf.DUMMYFUNCTION("""COMPUTED_VALUE"""),44615.0)</f>
        <v>44615</v>
      </c>
      <c r="C490" s="250">
        <f>IFERROR(__xludf.DUMMYFUNCTION("""COMPUTED_VALUE"""),0.3237962962962963)</f>
        <v>0.3237962963</v>
      </c>
      <c r="D490" s="6" t="str">
        <f>IFERROR(__xludf.DUMMYFUNCTION("""COMPUTED_VALUE"""),"SpBEND845509")</f>
        <v>SpBEND845509</v>
      </c>
      <c r="E490" s="251"/>
      <c r="F490" s="251"/>
      <c r="G490" s="251" t="str">
        <f>IFERROR(__xludf.DUMMYFUNCTION("""COMPUTED_VALUE"""),"Positive")</f>
        <v>Positive</v>
      </c>
      <c r="H490" s="262" t="str">
        <f>IFERROR(__xludf.DUMMYFUNCTION("""COMPUTED_VALUE"""),"Negative")</f>
        <v>Negative</v>
      </c>
      <c r="I490" s="204">
        <f>IFERROR(__xludf.DUMMYFUNCTION("""COMPUTED_VALUE"""),44615.0)</f>
        <v>44615</v>
      </c>
      <c r="J490" s="252">
        <f>IFERROR(__xludf.DUMMYFUNCTION("""COMPUTED_VALUE"""),0.49125)</f>
        <v>0.49125</v>
      </c>
      <c r="K490" s="56">
        <f>IFERROR(__xludf.DUMMYFUNCTION("""COMPUTED_VALUE"""),2.7)</f>
        <v>2.7</v>
      </c>
      <c r="L490" s="6" t="str">
        <f>IFERROR(__xludf.DUMMYFUNCTION("""COMPUTED_VALUE"""),"Pos to Neg based on RFR - checked image and entire batch mis-called")</f>
        <v>Pos to Neg based on RFR - checked image and entire batch mis-called</v>
      </c>
      <c r="M490" s="61"/>
      <c r="N490" s="61">
        <f>IFERROR(__xludf.DUMMYFUNCTION("""COMPUTED_VALUE"""),1.0)</f>
        <v>1</v>
      </c>
      <c r="O490" s="61" t="str">
        <f t="shared" si="3"/>
        <v/>
      </c>
      <c r="P490" s="253">
        <f>IFERROR(__xludf.DUMMYFUNCTION("""COMPUTED_VALUE"""),0.0)</f>
        <v>0</v>
      </c>
      <c r="Q490" s="254" t="b">
        <f>VLOOKUP($B490,'Run Reconcile'!B$2:O799,14,FALSE)</f>
        <v>1</v>
      </c>
      <c r="R490" s="255" t="str">
        <f t="array" ref="R490">IF($Q490, INDEX('Run Reconcile'!A$2:A799,MATCH(B490,'Run Reconcile'!B$2:B799,0),1),IFERROR(0/0,""))</f>
        <v>RUN-BEND_2022-02-23_RFR-039</v>
      </c>
      <c r="S490" s="261" t="str">
        <f t="shared" ref="S490:T490" si="987">IF(COUNTIF(W$2:W799, $A490) &gt; 0,TRUE,IFERROR(0/0,""))</f>
        <v/>
      </c>
      <c r="T490" s="261" t="str">
        <f t="shared" si="987"/>
        <v/>
      </c>
      <c r="U490" s="257" t="str">
        <f t="array" ref="U490">IF(ISBLANK($R490), INDEX('Run Reconcile'!A$2:A799, MATCH($B490, 'Run Reconcile'!B$2:B799, 0)+Z490, 1), IFERROR(0/0,""))
</f>
        <v/>
      </c>
      <c r="V490" s="258" t="str">
        <f t="shared" si="480"/>
        <v>RUN-BEND_2022-02-23_RFR-039</v>
      </c>
      <c r="Y490" s="130" t="str">
        <f t="shared" si="487"/>
        <v/>
      </c>
      <c r="Z490" s="49" t="str">
        <f t="shared" si="7"/>
        <v/>
      </c>
      <c r="AA490" s="49" t="str">
        <f t="shared" si="8"/>
        <v/>
      </c>
      <c r="AB490" s="49" t="str">
        <f t="shared" si="9"/>
        <v/>
      </c>
      <c r="AC490" s="20" t="str">
        <f t="shared" ref="AC490:AD490" si="988">IF(_xlfn.ISFORMULA(S490),IFERROR(0/0,""),TRUE)</f>
        <v/>
      </c>
      <c r="AD490" s="20" t="str">
        <f t="shared" si="988"/>
        <v/>
      </c>
      <c r="AE490" s="43"/>
      <c r="AF490" s="62" t="s">
        <v>61</v>
      </c>
      <c r="AG490" s="57" t="str">
        <f t="shared" si="11"/>
        <v/>
      </c>
    </row>
    <row r="491">
      <c r="A491" s="6" t="str">
        <f>IFERROR(__xludf.DUMMYFUNCTION("""COMPUTED_VALUE"""),"FM450")</f>
        <v>FM450</v>
      </c>
      <c r="B491" s="204">
        <f>IFERROR(__xludf.DUMMYFUNCTION("""COMPUTED_VALUE"""),44615.0)</f>
        <v>44615</v>
      </c>
      <c r="C491" s="250">
        <f>IFERROR(__xludf.DUMMYFUNCTION("""COMPUTED_VALUE"""),0.3284375)</f>
        <v>0.3284375</v>
      </c>
      <c r="D491" s="6" t="str">
        <f>IFERROR(__xludf.DUMMYFUNCTION("""COMPUTED_VALUE"""),"SpBEND214692")</f>
        <v>SpBEND214692</v>
      </c>
      <c r="E491" s="251"/>
      <c r="F491" s="251"/>
      <c r="G491" s="251" t="str">
        <f>IFERROR(__xludf.DUMMYFUNCTION("""COMPUTED_VALUE"""),"Positive")</f>
        <v>Positive</v>
      </c>
      <c r="H491" s="262" t="str">
        <f>IFERROR(__xludf.DUMMYFUNCTION("""COMPUTED_VALUE"""),"Negative")</f>
        <v>Negative</v>
      </c>
      <c r="I491" s="204">
        <f>IFERROR(__xludf.DUMMYFUNCTION("""COMPUTED_VALUE"""),44615.0)</f>
        <v>44615</v>
      </c>
      <c r="J491" s="252">
        <f>IFERROR(__xludf.DUMMYFUNCTION("""COMPUTED_VALUE"""),0.49125)</f>
        <v>0.49125</v>
      </c>
      <c r="K491" s="56">
        <f>IFERROR(__xludf.DUMMYFUNCTION("""COMPUTED_VALUE"""),2.7)</f>
        <v>2.7</v>
      </c>
      <c r="L491" s="6" t="str">
        <f>IFERROR(__xludf.DUMMYFUNCTION("""COMPUTED_VALUE"""),"Pos to Neg based on RFR - checked image and entire batch mis-called")</f>
        <v>Pos to Neg based on RFR - checked image and entire batch mis-called</v>
      </c>
      <c r="M491" s="61"/>
      <c r="N491" s="61">
        <f>IFERROR(__xludf.DUMMYFUNCTION("""COMPUTED_VALUE"""),1.0)</f>
        <v>1</v>
      </c>
      <c r="O491" s="61" t="str">
        <f t="shared" si="3"/>
        <v/>
      </c>
      <c r="P491" s="253">
        <f>IFERROR(__xludf.DUMMYFUNCTION("""COMPUTED_VALUE"""),0.0)</f>
        <v>0</v>
      </c>
      <c r="Q491" s="254" t="b">
        <f>VLOOKUP($B491,'Run Reconcile'!B$2:O799,14,FALSE)</f>
        <v>1</v>
      </c>
      <c r="R491" s="255" t="str">
        <f t="array" ref="R491">IF($Q491, INDEX('Run Reconcile'!A$2:A799,MATCH(B491,'Run Reconcile'!B$2:B799,0),1),IFERROR(0/0,""))</f>
        <v>RUN-BEND_2022-02-23_RFR-039</v>
      </c>
      <c r="S491" s="261" t="str">
        <f t="shared" ref="S491:T491" si="989">IF(COUNTIF(W$2:W799, $A491) &gt; 0,TRUE,IFERROR(0/0,""))</f>
        <v/>
      </c>
      <c r="T491" s="261" t="str">
        <f t="shared" si="989"/>
        <v/>
      </c>
      <c r="U491" s="257" t="str">
        <f t="array" ref="U491">IF(ISBLANK($R491), INDEX('Run Reconcile'!A$2:A799, MATCH($B491, 'Run Reconcile'!B$2:B799, 0)+Z491, 1), IFERROR(0/0,""))
</f>
        <v/>
      </c>
      <c r="V491" s="258" t="str">
        <f t="shared" si="480"/>
        <v>RUN-BEND_2022-02-23_RFR-039</v>
      </c>
      <c r="Y491" s="130" t="str">
        <f t="shared" si="487"/>
        <v/>
      </c>
      <c r="Z491" s="49" t="str">
        <f t="shared" si="7"/>
        <v/>
      </c>
      <c r="AA491" s="49" t="str">
        <f t="shared" si="8"/>
        <v/>
      </c>
      <c r="AB491" s="49" t="str">
        <f t="shared" si="9"/>
        <v/>
      </c>
      <c r="AC491" s="20" t="str">
        <f t="shared" ref="AC491:AD491" si="990">IF(_xlfn.ISFORMULA(S491),IFERROR(0/0,""),TRUE)</f>
        <v/>
      </c>
      <c r="AD491" s="20" t="str">
        <f t="shared" si="990"/>
        <v/>
      </c>
      <c r="AE491" s="43"/>
      <c r="AF491" s="62" t="s">
        <v>61</v>
      </c>
      <c r="AG491" s="57" t="str">
        <f t="shared" si="11"/>
        <v/>
      </c>
    </row>
    <row r="492">
      <c r="A492" s="6" t="str">
        <f>IFERROR(__xludf.DUMMYFUNCTION("""COMPUTED_VALUE"""),"FM976")</f>
        <v>FM976</v>
      </c>
      <c r="B492" s="204">
        <f>IFERROR(__xludf.DUMMYFUNCTION("""COMPUTED_VALUE"""),44615.0)</f>
        <v>44615</v>
      </c>
      <c r="C492" s="250">
        <f>IFERROR(__xludf.DUMMYFUNCTION("""COMPUTED_VALUE"""),0.33125)</f>
        <v>0.33125</v>
      </c>
      <c r="D492" s="6" t="str">
        <f>IFERROR(__xludf.DUMMYFUNCTION("""COMPUTED_VALUE"""),"SpBEND825522")</f>
        <v>SpBEND825522</v>
      </c>
      <c r="E492" s="251"/>
      <c r="F492" s="251"/>
      <c r="G492" s="251" t="str">
        <f>IFERROR(__xludf.DUMMYFUNCTION("""COMPUTED_VALUE"""),"Positive")</f>
        <v>Positive</v>
      </c>
      <c r="H492" s="262" t="str">
        <f>IFERROR(__xludf.DUMMYFUNCTION("""COMPUTED_VALUE"""),"Negative")</f>
        <v>Negative</v>
      </c>
      <c r="I492" s="204">
        <f>IFERROR(__xludf.DUMMYFUNCTION("""COMPUTED_VALUE"""),44615.0)</f>
        <v>44615</v>
      </c>
      <c r="J492" s="252">
        <f>IFERROR(__xludf.DUMMYFUNCTION("""COMPUTED_VALUE"""),0.49125)</f>
        <v>0.49125</v>
      </c>
      <c r="K492" s="56">
        <f>IFERROR(__xludf.DUMMYFUNCTION("""COMPUTED_VALUE"""),2.7)</f>
        <v>2.7</v>
      </c>
      <c r="L492" s="6" t="str">
        <f>IFERROR(__xludf.DUMMYFUNCTION("""COMPUTED_VALUE"""),"Pos to Neg based on RFR - checked image and entire batch mis-called")</f>
        <v>Pos to Neg based on RFR - checked image and entire batch mis-called</v>
      </c>
      <c r="M492" s="61"/>
      <c r="N492" s="61">
        <f>IFERROR(__xludf.DUMMYFUNCTION("""COMPUTED_VALUE"""),1.0)</f>
        <v>1</v>
      </c>
      <c r="O492" s="61" t="str">
        <f t="shared" si="3"/>
        <v/>
      </c>
      <c r="P492" s="253">
        <f>IFERROR(__xludf.DUMMYFUNCTION("""COMPUTED_VALUE"""),0.0)</f>
        <v>0</v>
      </c>
      <c r="Q492" s="254" t="b">
        <f>VLOOKUP($B492,'Run Reconcile'!B$2:O799,14,FALSE)</f>
        <v>1</v>
      </c>
      <c r="R492" s="255" t="str">
        <f t="array" ref="R492">IF($Q492, INDEX('Run Reconcile'!A$2:A799,MATCH(B492,'Run Reconcile'!B$2:B799,0),1),IFERROR(0/0,""))</f>
        <v>RUN-BEND_2022-02-23_RFR-039</v>
      </c>
      <c r="S492" s="261" t="str">
        <f t="shared" ref="S492:T492" si="991">IF(COUNTIF(W$2:W799, $A492) &gt; 0,TRUE,IFERROR(0/0,""))</f>
        <v/>
      </c>
      <c r="T492" s="261" t="str">
        <f t="shared" si="991"/>
        <v/>
      </c>
      <c r="U492" s="257" t="str">
        <f t="array" ref="U492">IF(ISBLANK($R492), INDEX('Run Reconcile'!A$2:A799, MATCH($B492, 'Run Reconcile'!B$2:B799, 0)+Z492, 1), IFERROR(0/0,""))
</f>
        <v/>
      </c>
      <c r="V492" s="258" t="str">
        <f t="shared" si="480"/>
        <v>RUN-BEND_2022-02-23_RFR-039</v>
      </c>
      <c r="Y492" s="130" t="str">
        <f t="shared" si="487"/>
        <v/>
      </c>
      <c r="Z492" s="49" t="str">
        <f t="shared" si="7"/>
        <v/>
      </c>
      <c r="AA492" s="49" t="str">
        <f t="shared" si="8"/>
        <v/>
      </c>
      <c r="AB492" s="49" t="str">
        <f t="shared" si="9"/>
        <v/>
      </c>
      <c r="AC492" s="20" t="str">
        <f t="shared" ref="AC492:AD492" si="992">IF(_xlfn.ISFORMULA(S492),IFERROR(0/0,""),TRUE)</f>
        <v/>
      </c>
      <c r="AD492" s="20" t="str">
        <f t="shared" si="992"/>
        <v/>
      </c>
      <c r="AE492" s="43"/>
      <c r="AF492" s="62" t="s">
        <v>61</v>
      </c>
      <c r="AG492" s="57" t="str">
        <f t="shared" si="11"/>
        <v/>
      </c>
    </row>
    <row r="493">
      <c r="A493" s="6" t="str">
        <f>IFERROR(__xludf.DUMMYFUNCTION("""COMPUTED_VALUE"""),"MA616")</f>
        <v>MA616</v>
      </c>
      <c r="B493" s="204">
        <f>IFERROR(__xludf.DUMMYFUNCTION("""COMPUTED_VALUE"""),44615.0)</f>
        <v>44615</v>
      </c>
      <c r="C493" s="250">
        <f>IFERROR(__xludf.DUMMYFUNCTION("""COMPUTED_VALUE"""),0.3322569444444444)</f>
        <v>0.3322569444</v>
      </c>
      <c r="D493" s="6" t="str">
        <f>IFERROR(__xludf.DUMMYFUNCTION("""COMPUTED_VALUE"""),"SpBEND331858")</f>
        <v>SpBEND331858</v>
      </c>
      <c r="E493" s="251"/>
      <c r="F493" s="251"/>
      <c r="G493" s="251" t="str">
        <f>IFERROR(__xludf.DUMMYFUNCTION("""COMPUTED_VALUE"""),"Positive")</f>
        <v>Positive</v>
      </c>
      <c r="H493" s="262" t="str">
        <f>IFERROR(__xludf.DUMMYFUNCTION("""COMPUTED_VALUE"""),"Negative")</f>
        <v>Negative</v>
      </c>
      <c r="I493" s="204">
        <f>IFERROR(__xludf.DUMMYFUNCTION("""COMPUTED_VALUE"""),44615.0)</f>
        <v>44615</v>
      </c>
      <c r="J493" s="252">
        <f>IFERROR(__xludf.DUMMYFUNCTION("""COMPUTED_VALUE"""),0.49125)</f>
        <v>0.49125</v>
      </c>
      <c r="K493" s="56">
        <f>IFERROR(__xludf.DUMMYFUNCTION("""COMPUTED_VALUE"""),2.7)</f>
        <v>2.7</v>
      </c>
      <c r="L493" s="6" t="str">
        <f>IFERROR(__xludf.DUMMYFUNCTION("""COMPUTED_VALUE"""),"Pos to Neg based on RFR - checked image and entire batch mis-called")</f>
        <v>Pos to Neg based on RFR - checked image and entire batch mis-called</v>
      </c>
      <c r="M493" s="61"/>
      <c r="N493" s="61">
        <f>IFERROR(__xludf.DUMMYFUNCTION("""COMPUTED_VALUE"""),1.0)</f>
        <v>1</v>
      </c>
      <c r="O493" s="61" t="str">
        <f t="shared" si="3"/>
        <v/>
      </c>
      <c r="P493" s="253">
        <f>IFERROR(__xludf.DUMMYFUNCTION("""COMPUTED_VALUE"""),0.0)</f>
        <v>0</v>
      </c>
      <c r="Q493" s="254" t="b">
        <f>VLOOKUP($B493,'Run Reconcile'!B$2:O799,14,FALSE)</f>
        <v>1</v>
      </c>
      <c r="R493" s="255" t="str">
        <f t="array" ref="R493">IF($Q493, INDEX('Run Reconcile'!A$2:A799,MATCH(B493,'Run Reconcile'!B$2:B799,0),1),IFERROR(0/0,""))</f>
        <v>RUN-BEND_2022-02-23_RFR-039</v>
      </c>
      <c r="S493" s="261" t="str">
        <f t="shared" ref="S493:T493" si="993">IF(COUNTIF(W$2:W799, $A493) &gt; 0,TRUE,IFERROR(0/0,""))</f>
        <v/>
      </c>
      <c r="T493" s="261" t="str">
        <f t="shared" si="993"/>
        <v/>
      </c>
      <c r="U493" s="257" t="str">
        <f t="array" ref="U493">IF(ISBLANK($R493), INDEX('Run Reconcile'!A$2:A799, MATCH($B493, 'Run Reconcile'!B$2:B799, 0)+Z493, 1), IFERROR(0/0,""))
</f>
        <v/>
      </c>
      <c r="V493" s="258" t="str">
        <f t="shared" si="480"/>
        <v>RUN-BEND_2022-02-23_RFR-039</v>
      </c>
      <c r="Y493" s="130" t="str">
        <f t="shared" si="487"/>
        <v/>
      </c>
      <c r="Z493" s="49" t="str">
        <f t="shared" si="7"/>
        <v/>
      </c>
      <c r="AA493" s="49" t="str">
        <f t="shared" si="8"/>
        <v/>
      </c>
      <c r="AB493" s="49" t="str">
        <f t="shared" si="9"/>
        <v/>
      </c>
      <c r="AC493" s="20" t="str">
        <f t="shared" ref="AC493:AD493" si="994">IF(_xlfn.ISFORMULA(S493),IFERROR(0/0,""),TRUE)</f>
        <v/>
      </c>
      <c r="AD493" s="20" t="str">
        <f t="shared" si="994"/>
        <v/>
      </c>
      <c r="AE493" s="43"/>
      <c r="AF493" s="62" t="s">
        <v>61</v>
      </c>
      <c r="AG493" s="57" t="str">
        <f t="shared" si="11"/>
        <v/>
      </c>
    </row>
    <row r="494">
      <c r="A494" s="6" t="str">
        <f>IFERROR(__xludf.DUMMYFUNCTION("""COMPUTED_VALUE"""),"MA1041")</f>
        <v>MA1041</v>
      </c>
      <c r="B494" s="204">
        <f>IFERROR(__xludf.DUMMYFUNCTION("""COMPUTED_VALUE"""),44615.0)</f>
        <v>44615</v>
      </c>
      <c r="C494" s="250">
        <f>IFERROR(__xludf.DUMMYFUNCTION("""COMPUTED_VALUE"""),0.33231481481481484)</f>
        <v>0.3323148148</v>
      </c>
      <c r="D494" s="6" t="str">
        <f>IFERROR(__xludf.DUMMYFUNCTION("""COMPUTED_VALUE"""),"SpBEND445560")</f>
        <v>SpBEND445560</v>
      </c>
      <c r="E494" s="251"/>
      <c r="F494" s="251"/>
      <c r="G494" s="251" t="str">
        <f>IFERROR(__xludf.DUMMYFUNCTION("""COMPUTED_VALUE"""),"Positive")</f>
        <v>Positive</v>
      </c>
      <c r="H494" s="262" t="str">
        <f>IFERROR(__xludf.DUMMYFUNCTION("""COMPUTED_VALUE"""),"Negative")</f>
        <v>Negative</v>
      </c>
      <c r="I494" s="204">
        <f>IFERROR(__xludf.DUMMYFUNCTION("""COMPUTED_VALUE"""),44615.0)</f>
        <v>44615</v>
      </c>
      <c r="J494" s="252">
        <f>IFERROR(__xludf.DUMMYFUNCTION("""COMPUTED_VALUE"""),0.49125)</f>
        <v>0.49125</v>
      </c>
      <c r="K494" s="56">
        <f>IFERROR(__xludf.DUMMYFUNCTION("""COMPUTED_VALUE"""),2.7)</f>
        <v>2.7</v>
      </c>
      <c r="L494" s="6" t="str">
        <f>IFERROR(__xludf.DUMMYFUNCTION("""COMPUTED_VALUE"""),"Pos to Neg based on RFR - checked image and entire batch mis-called")</f>
        <v>Pos to Neg based on RFR - checked image and entire batch mis-called</v>
      </c>
      <c r="M494" s="61"/>
      <c r="N494" s="61">
        <f>IFERROR(__xludf.DUMMYFUNCTION("""COMPUTED_VALUE"""),1.0)</f>
        <v>1</v>
      </c>
      <c r="O494" s="61" t="str">
        <f t="shared" si="3"/>
        <v/>
      </c>
      <c r="P494" s="253">
        <f>IFERROR(__xludf.DUMMYFUNCTION("""COMPUTED_VALUE"""),0.0)</f>
        <v>0</v>
      </c>
      <c r="Q494" s="254" t="b">
        <f>VLOOKUP($B494,'Run Reconcile'!B$2:O799,14,FALSE)</f>
        <v>1</v>
      </c>
      <c r="R494" s="255" t="str">
        <f t="array" ref="R494">IF($Q494, INDEX('Run Reconcile'!A$2:A799,MATCH(B494,'Run Reconcile'!B$2:B799,0),1),IFERROR(0/0,""))</f>
        <v>RUN-BEND_2022-02-23_RFR-039</v>
      </c>
      <c r="S494" s="261" t="str">
        <f t="shared" ref="S494:T494" si="995">IF(COUNTIF(W$2:W799, $A494) &gt; 0,TRUE,IFERROR(0/0,""))</f>
        <v/>
      </c>
      <c r="T494" s="261" t="str">
        <f t="shared" si="995"/>
        <v/>
      </c>
      <c r="U494" s="257" t="str">
        <f t="array" ref="U494">IF(ISBLANK($R494), INDEX('Run Reconcile'!A$2:A799, MATCH($B494, 'Run Reconcile'!B$2:B799, 0)+Z494, 1), IFERROR(0/0,""))
</f>
        <v/>
      </c>
      <c r="V494" s="258" t="str">
        <f t="shared" si="480"/>
        <v>RUN-BEND_2022-02-23_RFR-039</v>
      </c>
      <c r="Y494" s="130" t="str">
        <f t="shared" si="487"/>
        <v/>
      </c>
      <c r="Z494" s="49" t="str">
        <f t="shared" si="7"/>
        <v/>
      </c>
      <c r="AA494" s="49" t="str">
        <f t="shared" si="8"/>
        <v/>
      </c>
      <c r="AB494" s="49" t="str">
        <f t="shared" si="9"/>
        <v/>
      </c>
      <c r="AC494" s="20" t="str">
        <f t="shared" ref="AC494:AD494" si="996">IF(_xlfn.ISFORMULA(S494),IFERROR(0/0,""),TRUE)</f>
        <v/>
      </c>
      <c r="AD494" s="20" t="str">
        <f t="shared" si="996"/>
        <v/>
      </c>
      <c r="AE494" s="43"/>
      <c r="AF494" s="62" t="s">
        <v>61</v>
      </c>
      <c r="AG494" s="57" t="str">
        <f t="shared" si="11"/>
        <v/>
      </c>
    </row>
    <row r="495">
      <c r="A495" s="6" t="str">
        <f>IFERROR(__xludf.DUMMYFUNCTION("""COMPUTED_VALUE"""),"MA1108")</f>
        <v>MA1108</v>
      </c>
      <c r="B495" s="204">
        <f>IFERROR(__xludf.DUMMYFUNCTION("""COMPUTED_VALUE"""),44615.0)</f>
        <v>44615</v>
      </c>
      <c r="C495" s="250">
        <f>IFERROR(__xludf.DUMMYFUNCTION("""COMPUTED_VALUE"""),0.33490740740740743)</f>
        <v>0.3349074074</v>
      </c>
      <c r="D495" s="6" t="str">
        <f>IFERROR(__xludf.DUMMYFUNCTION("""COMPUTED_VALUE"""),"SpBEND216695")</f>
        <v>SpBEND216695</v>
      </c>
      <c r="E495" s="251"/>
      <c r="F495" s="251"/>
      <c r="G495" s="251" t="str">
        <f>IFERROR(__xludf.DUMMYFUNCTION("""COMPUTED_VALUE"""),"Positive")</f>
        <v>Positive</v>
      </c>
      <c r="H495" s="262" t="str">
        <f>IFERROR(__xludf.DUMMYFUNCTION("""COMPUTED_VALUE"""),"Negative")</f>
        <v>Negative</v>
      </c>
      <c r="I495" s="204">
        <f>IFERROR(__xludf.DUMMYFUNCTION("""COMPUTED_VALUE"""),44615.0)</f>
        <v>44615</v>
      </c>
      <c r="J495" s="252">
        <f>IFERROR(__xludf.DUMMYFUNCTION("""COMPUTED_VALUE"""),0.49125)</f>
        <v>0.49125</v>
      </c>
      <c r="K495" s="56">
        <f>IFERROR(__xludf.DUMMYFUNCTION("""COMPUTED_VALUE"""),2.7)</f>
        <v>2.7</v>
      </c>
      <c r="L495" s="6" t="str">
        <f>IFERROR(__xludf.DUMMYFUNCTION("""COMPUTED_VALUE"""),"Pos to Neg based on RFR - checked image and entire batch mis-called")</f>
        <v>Pos to Neg based on RFR - checked image and entire batch mis-called</v>
      </c>
      <c r="M495" s="61"/>
      <c r="N495" s="61">
        <f>IFERROR(__xludf.DUMMYFUNCTION("""COMPUTED_VALUE"""),1.0)</f>
        <v>1</v>
      </c>
      <c r="O495" s="61" t="str">
        <f t="shared" si="3"/>
        <v/>
      </c>
      <c r="P495" s="253">
        <f>IFERROR(__xludf.DUMMYFUNCTION("""COMPUTED_VALUE"""),0.0)</f>
        <v>0</v>
      </c>
      <c r="Q495" s="254" t="b">
        <f>VLOOKUP($B495,'Run Reconcile'!B$2:O799,14,FALSE)</f>
        <v>1</v>
      </c>
      <c r="R495" s="255" t="str">
        <f t="array" ref="R495">IF($Q495, INDEX('Run Reconcile'!A$2:A799,MATCH(B495,'Run Reconcile'!B$2:B799,0),1),IFERROR(0/0,""))</f>
        <v>RUN-BEND_2022-02-23_RFR-039</v>
      </c>
      <c r="S495" s="261" t="str">
        <f t="shared" ref="S495:T495" si="997">IF(COUNTIF(W$2:W799, $A495) &gt; 0,TRUE,IFERROR(0/0,""))</f>
        <v/>
      </c>
      <c r="T495" s="261" t="str">
        <f t="shared" si="997"/>
        <v/>
      </c>
      <c r="U495" s="257" t="str">
        <f t="array" ref="U495">IF(ISBLANK($R495), INDEX('Run Reconcile'!A$2:A799, MATCH($B495, 'Run Reconcile'!B$2:B799, 0)+Z495, 1), IFERROR(0/0,""))
</f>
        <v/>
      </c>
      <c r="V495" s="258" t="str">
        <f t="shared" si="480"/>
        <v>RUN-BEND_2022-02-23_RFR-039</v>
      </c>
      <c r="Y495" s="130" t="str">
        <f t="shared" si="487"/>
        <v/>
      </c>
      <c r="Z495" s="49" t="str">
        <f t="shared" si="7"/>
        <v/>
      </c>
      <c r="AA495" s="49" t="str">
        <f t="shared" si="8"/>
        <v/>
      </c>
      <c r="AB495" s="49" t="str">
        <f t="shared" si="9"/>
        <v/>
      </c>
      <c r="AC495" s="20" t="str">
        <f t="shared" ref="AC495:AD495" si="998">IF(_xlfn.ISFORMULA(S495),IFERROR(0/0,""),TRUE)</f>
        <v/>
      </c>
      <c r="AD495" s="20" t="str">
        <f t="shared" si="998"/>
        <v/>
      </c>
      <c r="AE495" s="43"/>
      <c r="AF495" s="62" t="s">
        <v>61</v>
      </c>
      <c r="AG495" s="57" t="str">
        <f t="shared" si="11"/>
        <v/>
      </c>
    </row>
    <row r="496">
      <c r="A496" s="6" t="str">
        <f>IFERROR(__xludf.DUMMYFUNCTION("""COMPUTED_VALUE"""),"MA260")</f>
        <v>MA260</v>
      </c>
      <c r="B496" s="204">
        <f>IFERROR(__xludf.DUMMYFUNCTION("""COMPUTED_VALUE"""),44615.0)</f>
        <v>44615</v>
      </c>
      <c r="C496" s="250">
        <f>IFERROR(__xludf.DUMMYFUNCTION("""COMPUTED_VALUE"""),0.3352893518518518)</f>
        <v>0.3352893519</v>
      </c>
      <c r="D496" s="6" t="str">
        <f>IFERROR(__xludf.DUMMYFUNCTION("""COMPUTED_VALUE"""),"SpBEND184203")</f>
        <v>SpBEND184203</v>
      </c>
      <c r="E496" s="251"/>
      <c r="F496" s="251"/>
      <c r="G496" s="251" t="str">
        <f>IFERROR(__xludf.DUMMYFUNCTION("""COMPUTED_VALUE"""),"Positive")</f>
        <v>Positive</v>
      </c>
      <c r="H496" s="262" t="str">
        <f>IFERROR(__xludf.DUMMYFUNCTION("""COMPUTED_VALUE"""),"Negative")</f>
        <v>Negative</v>
      </c>
      <c r="I496" s="204">
        <f>IFERROR(__xludf.DUMMYFUNCTION("""COMPUTED_VALUE"""),44615.0)</f>
        <v>44615</v>
      </c>
      <c r="J496" s="252">
        <f>IFERROR(__xludf.DUMMYFUNCTION("""COMPUTED_VALUE"""),0.49125)</f>
        <v>0.49125</v>
      </c>
      <c r="K496" s="56">
        <f>IFERROR(__xludf.DUMMYFUNCTION("""COMPUTED_VALUE"""),2.7)</f>
        <v>2.7</v>
      </c>
      <c r="L496" s="6" t="str">
        <f>IFERROR(__xludf.DUMMYFUNCTION("""COMPUTED_VALUE"""),"Pos to Neg based on RFR - checked image and entire batch mis-called")</f>
        <v>Pos to Neg based on RFR - checked image and entire batch mis-called</v>
      </c>
      <c r="M496" s="61"/>
      <c r="N496" s="61">
        <f>IFERROR(__xludf.DUMMYFUNCTION("""COMPUTED_VALUE"""),1.0)</f>
        <v>1</v>
      </c>
      <c r="O496" s="61" t="str">
        <f t="shared" si="3"/>
        <v/>
      </c>
      <c r="P496" s="253">
        <f>IFERROR(__xludf.DUMMYFUNCTION("""COMPUTED_VALUE"""),0.0)</f>
        <v>0</v>
      </c>
      <c r="Q496" s="254" t="b">
        <f>VLOOKUP($B496,'Run Reconcile'!B$2:O799,14,FALSE)</f>
        <v>1</v>
      </c>
      <c r="R496" s="255" t="str">
        <f t="array" ref="R496">IF($Q496, INDEX('Run Reconcile'!A$2:A799,MATCH(B496,'Run Reconcile'!B$2:B799,0),1),IFERROR(0/0,""))</f>
        <v>RUN-BEND_2022-02-23_RFR-039</v>
      </c>
      <c r="S496" s="261" t="str">
        <f t="shared" ref="S496:T496" si="999">IF(COUNTIF(W$2:W799, $A496) &gt; 0,TRUE,IFERROR(0/0,""))</f>
        <v/>
      </c>
      <c r="T496" s="261" t="str">
        <f t="shared" si="999"/>
        <v/>
      </c>
      <c r="U496" s="257" t="str">
        <f t="array" ref="U496">IF(ISBLANK($R496), INDEX('Run Reconcile'!A$2:A799, MATCH($B496, 'Run Reconcile'!B$2:B799, 0)+Z496, 1), IFERROR(0/0,""))
</f>
        <v/>
      </c>
      <c r="V496" s="258" t="str">
        <f t="shared" si="480"/>
        <v>RUN-BEND_2022-02-23_RFR-039</v>
      </c>
      <c r="Y496" s="130" t="str">
        <f t="shared" si="487"/>
        <v/>
      </c>
      <c r="Z496" s="49" t="str">
        <f t="shared" si="7"/>
        <v/>
      </c>
      <c r="AA496" s="49" t="str">
        <f t="shared" si="8"/>
        <v/>
      </c>
      <c r="AB496" s="49" t="str">
        <f t="shared" si="9"/>
        <v/>
      </c>
      <c r="AC496" s="20" t="str">
        <f t="shared" ref="AC496:AD496" si="1000">IF(_xlfn.ISFORMULA(S496),IFERROR(0/0,""),TRUE)</f>
        <v/>
      </c>
      <c r="AD496" s="20" t="str">
        <f t="shared" si="1000"/>
        <v/>
      </c>
      <c r="AE496" s="43"/>
      <c r="AF496" s="62" t="s">
        <v>61</v>
      </c>
      <c r="AG496" s="57" t="str">
        <f t="shared" si="11"/>
        <v/>
      </c>
    </row>
    <row r="497">
      <c r="A497" s="6" t="str">
        <f>IFERROR(__xludf.DUMMYFUNCTION("""COMPUTED_VALUE"""),"FM829")</f>
        <v>FM829</v>
      </c>
      <c r="B497" s="204">
        <f>IFERROR(__xludf.DUMMYFUNCTION("""COMPUTED_VALUE"""),44615.0)</f>
        <v>44615</v>
      </c>
      <c r="C497" s="250">
        <f>IFERROR(__xludf.DUMMYFUNCTION("""COMPUTED_VALUE"""),0.33663194444444444)</f>
        <v>0.3366319444</v>
      </c>
      <c r="D497" s="6" t="str">
        <f>IFERROR(__xludf.DUMMYFUNCTION("""COMPUTED_VALUE"""),"SpBEND982485")</f>
        <v>SpBEND982485</v>
      </c>
      <c r="E497" s="251"/>
      <c r="F497" s="251"/>
      <c r="G497" s="251" t="str">
        <f>IFERROR(__xludf.DUMMYFUNCTION("""COMPUTED_VALUE"""),"Positive")</f>
        <v>Positive</v>
      </c>
      <c r="H497" s="262" t="str">
        <f>IFERROR(__xludf.DUMMYFUNCTION("""COMPUTED_VALUE"""),"Negative")</f>
        <v>Negative</v>
      </c>
      <c r="I497" s="204">
        <f>IFERROR(__xludf.DUMMYFUNCTION("""COMPUTED_VALUE"""),44615.0)</f>
        <v>44615</v>
      </c>
      <c r="J497" s="252">
        <f>IFERROR(__xludf.DUMMYFUNCTION("""COMPUTED_VALUE"""),0.49125)</f>
        <v>0.49125</v>
      </c>
      <c r="K497" s="56">
        <f>IFERROR(__xludf.DUMMYFUNCTION("""COMPUTED_VALUE"""),2.7)</f>
        <v>2.7</v>
      </c>
      <c r="L497" s="6" t="str">
        <f>IFERROR(__xludf.DUMMYFUNCTION("""COMPUTED_VALUE"""),"Pos to Neg based on RFR - checked image and entire batch mis-called")</f>
        <v>Pos to Neg based on RFR - checked image and entire batch mis-called</v>
      </c>
      <c r="M497" s="61"/>
      <c r="N497" s="61">
        <f>IFERROR(__xludf.DUMMYFUNCTION("""COMPUTED_VALUE"""),1.0)</f>
        <v>1</v>
      </c>
      <c r="O497" s="61" t="str">
        <f t="shared" si="3"/>
        <v/>
      </c>
      <c r="P497" s="253">
        <f>IFERROR(__xludf.DUMMYFUNCTION("""COMPUTED_VALUE"""),0.0)</f>
        <v>0</v>
      </c>
      <c r="Q497" s="254" t="b">
        <f>VLOOKUP($B497,'Run Reconcile'!B$2:O799,14,FALSE)</f>
        <v>1</v>
      </c>
      <c r="R497" s="255" t="str">
        <f t="array" ref="R497">IF($Q497, INDEX('Run Reconcile'!A$2:A799,MATCH(B497,'Run Reconcile'!B$2:B799,0),1),IFERROR(0/0,""))</f>
        <v>RUN-BEND_2022-02-23_RFR-039</v>
      </c>
      <c r="S497" s="261" t="str">
        <f t="shared" ref="S497:T497" si="1001">IF(COUNTIF(W$2:W799, $A497) &gt; 0,TRUE,IFERROR(0/0,""))</f>
        <v/>
      </c>
      <c r="T497" s="261" t="str">
        <f t="shared" si="1001"/>
        <v/>
      </c>
      <c r="U497" s="257" t="str">
        <f t="array" ref="U497">IF(ISBLANK($R497), INDEX('Run Reconcile'!A$2:A799, MATCH($B497, 'Run Reconcile'!B$2:B799, 0)+Z497, 1), IFERROR(0/0,""))
</f>
        <v/>
      </c>
      <c r="V497" s="258" t="str">
        <f t="shared" si="480"/>
        <v>RUN-BEND_2022-02-23_RFR-039</v>
      </c>
      <c r="Y497" s="130" t="str">
        <f t="shared" si="487"/>
        <v/>
      </c>
      <c r="Z497" s="49" t="str">
        <f t="shared" si="7"/>
        <v/>
      </c>
      <c r="AA497" s="49" t="str">
        <f t="shared" si="8"/>
        <v/>
      </c>
      <c r="AB497" s="49" t="str">
        <f t="shared" si="9"/>
        <v/>
      </c>
      <c r="AC497" s="20" t="str">
        <f t="shared" ref="AC497:AD497" si="1002">IF(_xlfn.ISFORMULA(S497),IFERROR(0/0,""),TRUE)</f>
        <v/>
      </c>
      <c r="AD497" s="20" t="str">
        <f t="shared" si="1002"/>
        <v/>
      </c>
      <c r="AE497" s="43"/>
      <c r="AF497" s="62" t="s">
        <v>61</v>
      </c>
      <c r="AG497" s="57" t="str">
        <f t="shared" si="11"/>
        <v/>
      </c>
    </row>
    <row r="498">
      <c r="A498" s="6" t="str">
        <f>IFERROR(__xludf.DUMMYFUNCTION("""COMPUTED_VALUE"""),"MA1028")</f>
        <v>MA1028</v>
      </c>
      <c r="B498" s="204">
        <f>IFERROR(__xludf.DUMMYFUNCTION("""COMPUTED_VALUE"""),44615.0)</f>
        <v>44615</v>
      </c>
      <c r="C498" s="250">
        <f>IFERROR(__xludf.DUMMYFUNCTION("""COMPUTED_VALUE"""),0.33788194444444447)</f>
        <v>0.3378819444</v>
      </c>
      <c r="D498" s="6" t="str">
        <f>IFERROR(__xludf.DUMMYFUNCTION("""COMPUTED_VALUE"""),"SpBEND967817")</f>
        <v>SpBEND967817</v>
      </c>
      <c r="E498" s="251"/>
      <c r="F498" s="251"/>
      <c r="G498" s="251" t="str">
        <f>IFERROR(__xludf.DUMMYFUNCTION("""COMPUTED_VALUE"""),"Positive")</f>
        <v>Positive</v>
      </c>
      <c r="H498" s="262" t="str">
        <f>IFERROR(__xludf.DUMMYFUNCTION("""COMPUTED_VALUE"""),"Negative")</f>
        <v>Negative</v>
      </c>
      <c r="I498" s="204">
        <f>IFERROR(__xludf.DUMMYFUNCTION("""COMPUTED_VALUE"""),44615.0)</f>
        <v>44615</v>
      </c>
      <c r="J498" s="252">
        <f>IFERROR(__xludf.DUMMYFUNCTION("""COMPUTED_VALUE"""),0.49125)</f>
        <v>0.49125</v>
      </c>
      <c r="K498" s="56">
        <f>IFERROR(__xludf.DUMMYFUNCTION("""COMPUTED_VALUE"""),2.7)</f>
        <v>2.7</v>
      </c>
      <c r="L498" s="6" t="str">
        <f>IFERROR(__xludf.DUMMYFUNCTION("""COMPUTED_VALUE"""),"Pos to Neg based on RFR - checked image and entire batch mis-called")</f>
        <v>Pos to Neg based on RFR - checked image and entire batch mis-called</v>
      </c>
      <c r="M498" s="61"/>
      <c r="N498" s="61">
        <f>IFERROR(__xludf.DUMMYFUNCTION("""COMPUTED_VALUE"""),1.0)</f>
        <v>1</v>
      </c>
      <c r="O498" s="61" t="str">
        <f t="shared" si="3"/>
        <v/>
      </c>
      <c r="P498" s="253">
        <f>IFERROR(__xludf.DUMMYFUNCTION("""COMPUTED_VALUE"""),0.0)</f>
        <v>0</v>
      </c>
      <c r="Q498" s="254" t="b">
        <f>VLOOKUP($B498,'Run Reconcile'!B$2:O799,14,FALSE)</f>
        <v>1</v>
      </c>
      <c r="R498" s="255" t="str">
        <f t="array" ref="R498">IF($Q498, INDEX('Run Reconcile'!A$2:A799,MATCH(B498,'Run Reconcile'!B$2:B799,0),1),IFERROR(0/0,""))</f>
        <v>RUN-BEND_2022-02-23_RFR-039</v>
      </c>
      <c r="S498" s="261" t="str">
        <f t="shared" ref="S498:T498" si="1003">IF(COUNTIF(W$2:W799, $A498) &gt; 0,TRUE,IFERROR(0/0,""))</f>
        <v/>
      </c>
      <c r="T498" s="261" t="str">
        <f t="shared" si="1003"/>
        <v/>
      </c>
      <c r="U498" s="257" t="str">
        <f t="array" ref="U498">IF(ISBLANK($R498), INDEX('Run Reconcile'!A$2:A799, MATCH($B498, 'Run Reconcile'!B$2:B799, 0)+Z498, 1), IFERROR(0/0,""))
</f>
        <v/>
      </c>
      <c r="V498" s="258" t="str">
        <f t="shared" si="480"/>
        <v>RUN-BEND_2022-02-23_RFR-039</v>
      </c>
      <c r="Y498" s="130" t="str">
        <f t="shared" si="487"/>
        <v/>
      </c>
      <c r="Z498" s="49" t="str">
        <f t="shared" si="7"/>
        <v/>
      </c>
      <c r="AA498" s="49" t="str">
        <f t="shared" si="8"/>
        <v/>
      </c>
      <c r="AB498" s="49" t="str">
        <f t="shared" si="9"/>
        <v/>
      </c>
      <c r="AC498" s="20" t="str">
        <f t="shared" ref="AC498:AD498" si="1004">IF(_xlfn.ISFORMULA(S498),IFERROR(0/0,""),TRUE)</f>
        <v/>
      </c>
      <c r="AD498" s="20" t="str">
        <f t="shared" si="1004"/>
        <v/>
      </c>
      <c r="AE498" s="43"/>
      <c r="AF498" s="62" t="s">
        <v>61</v>
      </c>
      <c r="AG498" s="57" t="str">
        <f t="shared" si="11"/>
        <v/>
      </c>
    </row>
    <row r="499">
      <c r="A499" s="6" t="str">
        <f>IFERROR(__xludf.DUMMYFUNCTION("""COMPUTED_VALUE"""),"FM61")</f>
        <v>FM61</v>
      </c>
      <c r="B499" s="204">
        <f>IFERROR(__xludf.DUMMYFUNCTION("""COMPUTED_VALUE"""),44615.0)</f>
        <v>44615</v>
      </c>
      <c r="C499" s="250">
        <f>IFERROR(__xludf.DUMMYFUNCTION("""COMPUTED_VALUE"""),0.3422685185185185)</f>
        <v>0.3422685185</v>
      </c>
      <c r="D499" s="6" t="str">
        <f>IFERROR(__xludf.DUMMYFUNCTION("""COMPUTED_VALUE"""),"SpBEND768497")</f>
        <v>SpBEND768497</v>
      </c>
      <c r="E499" s="251"/>
      <c r="F499" s="251"/>
      <c r="G499" s="251" t="str">
        <f>IFERROR(__xludf.DUMMYFUNCTION("""COMPUTED_VALUE"""),"Positive")</f>
        <v>Positive</v>
      </c>
      <c r="H499" s="262" t="str">
        <f>IFERROR(__xludf.DUMMYFUNCTION("""COMPUTED_VALUE"""),"Negative")</f>
        <v>Negative</v>
      </c>
      <c r="I499" s="204">
        <f>IFERROR(__xludf.DUMMYFUNCTION("""COMPUTED_VALUE"""),44615.0)</f>
        <v>44615</v>
      </c>
      <c r="J499" s="252">
        <f>IFERROR(__xludf.DUMMYFUNCTION("""COMPUTED_VALUE"""),0.49125)</f>
        <v>0.49125</v>
      </c>
      <c r="K499" s="56">
        <f>IFERROR(__xludf.DUMMYFUNCTION("""COMPUTED_VALUE"""),2.7)</f>
        <v>2.7</v>
      </c>
      <c r="L499" s="6" t="str">
        <f>IFERROR(__xludf.DUMMYFUNCTION("""COMPUTED_VALUE"""),"Pos to Neg based on RFR - checked image and entire batch mis-called")</f>
        <v>Pos to Neg based on RFR - checked image and entire batch mis-called</v>
      </c>
      <c r="M499" s="61"/>
      <c r="N499" s="61">
        <f>IFERROR(__xludf.DUMMYFUNCTION("""COMPUTED_VALUE"""),1.0)</f>
        <v>1</v>
      </c>
      <c r="O499" s="61" t="str">
        <f t="shared" si="3"/>
        <v/>
      </c>
      <c r="P499" s="253">
        <f>IFERROR(__xludf.DUMMYFUNCTION("""COMPUTED_VALUE"""),0.0)</f>
        <v>0</v>
      </c>
      <c r="Q499" s="254" t="b">
        <f>VLOOKUP($B499,'Run Reconcile'!B$2:O799,14,FALSE)</f>
        <v>1</v>
      </c>
      <c r="R499" s="255" t="str">
        <f t="array" ref="R499">IF($Q499, INDEX('Run Reconcile'!A$2:A799,MATCH(B499,'Run Reconcile'!B$2:B799,0),1),IFERROR(0/0,""))</f>
        <v>RUN-BEND_2022-02-23_RFR-039</v>
      </c>
      <c r="S499" s="261" t="str">
        <f t="shared" ref="S499:T499" si="1005">IF(COUNTIF(W$2:W799, $A499) &gt; 0,TRUE,IFERROR(0/0,""))</f>
        <v/>
      </c>
      <c r="T499" s="261" t="str">
        <f t="shared" si="1005"/>
        <v/>
      </c>
      <c r="U499" s="257" t="str">
        <f t="array" ref="U499">IF(ISBLANK($R499), INDEX('Run Reconcile'!A$2:A799, MATCH($B499, 'Run Reconcile'!B$2:B799, 0)+Z499, 1), IFERROR(0/0,""))
</f>
        <v/>
      </c>
      <c r="V499" s="258" t="str">
        <f t="shared" si="480"/>
        <v>RUN-BEND_2022-02-23_RFR-039</v>
      </c>
      <c r="Y499" s="130" t="str">
        <f t="shared" si="487"/>
        <v/>
      </c>
      <c r="Z499" s="49" t="str">
        <f t="shared" si="7"/>
        <v/>
      </c>
      <c r="AA499" s="49" t="str">
        <f t="shared" si="8"/>
        <v/>
      </c>
      <c r="AB499" s="49" t="str">
        <f t="shared" si="9"/>
        <v/>
      </c>
      <c r="AC499" s="20" t="str">
        <f t="shared" ref="AC499:AD499" si="1006">IF(_xlfn.ISFORMULA(S499),IFERROR(0/0,""),TRUE)</f>
        <v/>
      </c>
      <c r="AD499" s="20" t="str">
        <f t="shared" si="1006"/>
        <v/>
      </c>
      <c r="AE499" s="43"/>
      <c r="AF499" s="62" t="s">
        <v>61</v>
      </c>
      <c r="AG499" s="57" t="str">
        <f t="shared" si="11"/>
        <v/>
      </c>
    </row>
    <row r="500">
      <c r="A500" s="6" t="str">
        <f>IFERROR(__xludf.DUMMYFUNCTION("""COMPUTED_VALUE"""),"FM62")</f>
        <v>FM62</v>
      </c>
      <c r="B500" s="204">
        <f>IFERROR(__xludf.DUMMYFUNCTION("""COMPUTED_VALUE"""),44615.0)</f>
        <v>44615</v>
      </c>
      <c r="C500" s="250">
        <f>IFERROR(__xludf.DUMMYFUNCTION("""COMPUTED_VALUE"""),0.342349537037037)</f>
        <v>0.342349537</v>
      </c>
      <c r="D500" s="6" t="str">
        <f>IFERROR(__xludf.DUMMYFUNCTION("""COMPUTED_VALUE"""),"SpBEND481988")</f>
        <v>SpBEND481988</v>
      </c>
      <c r="E500" s="251"/>
      <c r="F500" s="251"/>
      <c r="G500" s="251" t="str">
        <f>IFERROR(__xludf.DUMMYFUNCTION("""COMPUTED_VALUE"""),"Positive")</f>
        <v>Positive</v>
      </c>
      <c r="H500" s="262" t="str">
        <f>IFERROR(__xludf.DUMMYFUNCTION("""COMPUTED_VALUE"""),"Negative")</f>
        <v>Negative</v>
      </c>
      <c r="I500" s="204">
        <f>IFERROR(__xludf.DUMMYFUNCTION("""COMPUTED_VALUE"""),44615.0)</f>
        <v>44615</v>
      </c>
      <c r="J500" s="252">
        <f>IFERROR(__xludf.DUMMYFUNCTION("""COMPUTED_VALUE"""),0.49125)</f>
        <v>0.49125</v>
      </c>
      <c r="K500" s="56">
        <f>IFERROR(__xludf.DUMMYFUNCTION("""COMPUTED_VALUE"""),2.7)</f>
        <v>2.7</v>
      </c>
      <c r="L500" s="6" t="str">
        <f>IFERROR(__xludf.DUMMYFUNCTION("""COMPUTED_VALUE"""),"Pos to Neg based on RFR - checked image and entire batch mis-called")</f>
        <v>Pos to Neg based on RFR - checked image and entire batch mis-called</v>
      </c>
      <c r="M500" s="61"/>
      <c r="N500" s="61">
        <f>IFERROR(__xludf.DUMMYFUNCTION("""COMPUTED_VALUE"""),1.0)</f>
        <v>1</v>
      </c>
      <c r="O500" s="61" t="str">
        <f t="shared" si="3"/>
        <v/>
      </c>
      <c r="P500" s="253">
        <f>IFERROR(__xludf.DUMMYFUNCTION("""COMPUTED_VALUE"""),0.0)</f>
        <v>0</v>
      </c>
      <c r="Q500" s="254" t="b">
        <f>VLOOKUP($B500,'Run Reconcile'!B$2:O799,14,FALSE)</f>
        <v>1</v>
      </c>
      <c r="R500" s="255" t="str">
        <f t="array" ref="R500">IF($Q500, INDEX('Run Reconcile'!A$2:A799,MATCH(B500,'Run Reconcile'!B$2:B799,0),1),IFERROR(0/0,""))</f>
        <v>RUN-BEND_2022-02-23_RFR-039</v>
      </c>
      <c r="S500" s="261" t="str">
        <f t="shared" ref="S500:T500" si="1007">IF(COUNTIF(W$2:W799, $A500) &gt; 0,TRUE,IFERROR(0/0,""))</f>
        <v/>
      </c>
      <c r="T500" s="261" t="str">
        <f t="shared" si="1007"/>
        <v/>
      </c>
      <c r="U500" s="257" t="str">
        <f t="array" ref="U500">IF(ISBLANK($R500), INDEX('Run Reconcile'!A$2:A799, MATCH($B500, 'Run Reconcile'!B$2:B799, 0)+Z500, 1), IFERROR(0/0,""))
</f>
        <v/>
      </c>
      <c r="V500" s="258" t="str">
        <f t="shared" si="480"/>
        <v>RUN-BEND_2022-02-23_RFR-039</v>
      </c>
      <c r="Y500" s="130" t="str">
        <f t="shared" si="487"/>
        <v/>
      </c>
      <c r="Z500" s="49" t="str">
        <f t="shared" si="7"/>
        <v/>
      </c>
      <c r="AA500" s="49" t="str">
        <f t="shared" si="8"/>
        <v/>
      </c>
      <c r="AB500" s="49" t="str">
        <f t="shared" si="9"/>
        <v/>
      </c>
      <c r="AC500" s="20" t="str">
        <f t="shared" ref="AC500:AD500" si="1008">IF(_xlfn.ISFORMULA(S500),IFERROR(0/0,""),TRUE)</f>
        <v/>
      </c>
      <c r="AD500" s="20" t="str">
        <f t="shared" si="1008"/>
        <v/>
      </c>
      <c r="AE500" s="43"/>
      <c r="AF500" s="62" t="s">
        <v>61</v>
      </c>
      <c r="AG500" s="57" t="str">
        <f t="shared" si="11"/>
        <v/>
      </c>
    </row>
    <row r="501">
      <c r="A501" s="6" t="str">
        <f>IFERROR(__xludf.DUMMYFUNCTION("""COMPUTED_VALUE"""),"MA1223")</f>
        <v>MA1223</v>
      </c>
      <c r="B501" s="204">
        <f>IFERROR(__xludf.DUMMYFUNCTION("""COMPUTED_VALUE"""),44615.0)</f>
        <v>44615</v>
      </c>
      <c r="C501" s="250">
        <f>IFERROR(__xludf.DUMMYFUNCTION("""COMPUTED_VALUE"""),0.34300925925925924)</f>
        <v>0.3430092593</v>
      </c>
      <c r="D501" s="6" t="str">
        <f>IFERROR(__xludf.DUMMYFUNCTION("""COMPUTED_VALUE"""),"SpBEND492052")</f>
        <v>SpBEND492052</v>
      </c>
      <c r="E501" s="251"/>
      <c r="F501" s="251"/>
      <c r="G501" s="251" t="str">
        <f>IFERROR(__xludf.DUMMYFUNCTION("""COMPUTED_VALUE"""),"Positive")</f>
        <v>Positive</v>
      </c>
      <c r="H501" s="262" t="str">
        <f>IFERROR(__xludf.DUMMYFUNCTION("""COMPUTED_VALUE"""),"Negative")</f>
        <v>Negative</v>
      </c>
      <c r="I501" s="204">
        <f>IFERROR(__xludf.DUMMYFUNCTION("""COMPUTED_VALUE"""),44615.0)</f>
        <v>44615</v>
      </c>
      <c r="J501" s="252">
        <f>IFERROR(__xludf.DUMMYFUNCTION("""COMPUTED_VALUE"""),0.49125)</f>
        <v>0.49125</v>
      </c>
      <c r="K501" s="56">
        <f>IFERROR(__xludf.DUMMYFUNCTION("""COMPUTED_VALUE"""),2.7)</f>
        <v>2.7</v>
      </c>
      <c r="L501" s="6" t="str">
        <f>IFERROR(__xludf.DUMMYFUNCTION("""COMPUTED_VALUE"""),"Pos to Neg based on RFR - checked image and entire batch mis-called")</f>
        <v>Pos to Neg based on RFR - checked image and entire batch mis-called</v>
      </c>
      <c r="M501" s="61"/>
      <c r="N501" s="61">
        <f>IFERROR(__xludf.DUMMYFUNCTION("""COMPUTED_VALUE"""),1.0)</f>
        <v>1</v>
      </c>
      <c r="O501" s="61" t="str">
        <f t="shared" si="3"/>
        <v/>
      </c>
      <c r="P501" s="253">
        <f>IFERROR(__xludf.DUMMYFUNCTION("""COMPUTED_VALUE"""),0.0)</f>
        <v>0</v>
      </c>
      <c r="Q501" s="254" t="b">
        <f>VLOOKUP($B501,'Run Reconcile'!B$2:O799,14,FALSE)</f>
        <v>1</v>
      </c>
      <c r="R501" s="255" t="str">
        <f t="array" ref="R501">IF($Q501, INDEX('Run Reconcile'!A$2:A799,MATCH(B501,'Run Reconcile'!B$2:B799,0),1),IFERROR(0/0,""))</f>
        <v>RUN-BEND_2022-02-23_RFR-039</v>
      </c>
      <c r="S501" s="261" t="str">
        <f t="shared" ref="S501:T501" si="1009">IF(COUNTIF(W$2:W799, $A501) &gt; 0,TRUE,IFERROR(0/0,""))</f>
        <v/>
      </c>
      <c r="T501" s="261" t="str">
        <f t="shared" si="1009"/>
        <v/>
      </c>
      <c r="U501" s="257" t="str">
        <f t="array" ref="U501">IF(ISBLANK($R501), INDEX('Run Reconcile'!A$2:A799, MATCH($B501, 'Run Reconcile'!B$2:B799, 0)+Z501, 1), IFERROR(0/0,""))
</f>
        <v/>
      </c>
      <c r="V501" s="258" t="str">
        <f t="shared" si="480"/>
        <v>RUN-BEND_2022-02-23_RFR-039</v>
      </c>
      <c r="Y501" s="130" t="str">
        <f t="shared" si="487"/>
        <v/>
      </c>
      <c r="Z501" s="49" t="str">
        <f t="shared" si="7"/>
        <v/>
      </c>
      <c r="AA501" s="49" t="str">
        <f t="shared" si="8"/>
        <v/>
      </c>
      <c r="AB501" s="49" t="str">
        <f t="shared" si="9"/>
        <v/>
      </c>
      <c r="AC501" s="20" t="str">
        <f t="shared" ref="AC501:AD501" si="1010">IF(_xlfn.ISFORMULA(S501),IFERROR(0/0,""),TRUE)</f>
        <v/>
      </c>
      <c r="AD501" s="20" t="str">
        <f t="shared" si="1010"/>
        <v/>
      </c>
      <c r="AE501" s="43"/>
      <c r="AF501" s="62" t="s">
        <v>61</v>
      </c>
      <c r="AG501" s="57" t="str">
        <f t="shared" si="11"/>
        <v/>
      </c>
    </row>
    <row r="502">
      <c r="A502" s="6" t="str">
        <f>IFERROR(__xludf.DUMMYFUNCTION("""COMPUTED_VALUE"""),"MA1267")</f>
        <v>MA1267</v>
      </c>
      <c r="B502" s="204">
        <f>IFERROR(__xludf.DUMMYFUNCTION("""COMPUTED_VALUE"""),44615.0)</f>
        <v>44615</v>
      </c>
      <c r="C502" s="250">
        <f>IFERROR(__xludf.DUMMYFUNCTION("""COMPUTED_VALUE"""),0.3431828703703704)</f>
        <v>0.3431828704</v>
      </c>
      <c r="D502" s="6" t="str">
        <f>IFERROR(__xludf.DUMMYFUNCTION("""COMPUTED_VALUE"""),"SpBEND328905")</f>
        <v>SpBEND328905</v>
      </c>
      <c r="E502" s="251"/>
      <c r="F502" s="251"/>
      <c r="G502" s="251" t="str">
        <f>IFERROR(__xludf.DUMMYFUNCTION("""COMPUTED_VALUE"""),"Positive")</f>
        <v>Positive</v>
      </c>
      <c r="H502" s="262" t="str">
        <f>IFERROR(__xludf.DUMMYFUNCTION("""COMPUTED_VALUE"""),"Negative")</f>
        <v>Negative</v>
      </c>
      <c r="I502" s="204">
        <f>IFERROR(__xludf.DUMMYFUNCTION("""COMPUTED_VALUE"""),44615.0)</f>
        <v>44615</v>
      </c>
      <c r="J502" s="252">
        <f>IFERROR(__xludf.DUMMYFUNCTION("""COMPUTED_VALUE"""),0.49125)</f>
        <v>0.49125</v>
      </c>
      <c r="K502" s="56">
        <f>IFERROR(__xludf.DUMMYFUNCTION("""COMPUTED_VALUE"""),2.7)</f>
        <v>2.7</v>
      </c>
      <c r="L502" s="6" t="str">
        <f>IFERROR(__xludf.DUMMYFUNCTION("""COMPUTED_VALUE"""),"Pos to Neg based on RFR - checked image and entire batch mis-called")</f>
        <v>Pos to Neg based on RFR - checked image and entire batch mis-called</v>
      </c>
      <c r="M502" s="61"/>
      <c r="N502" s="61">
        <f>IFERROR(__xludf.DUMMYFUNCTION("""COMPUTED_VALUE"""),1.0)</f>
        <v>1</v>
      </c>
      <c r="O502" s="61" t="str">
        <f t="shared" si="3"/>
        <v/>
      </c>
      <c r="P502" s="253">
        <f>IFERROR(__xludf.DUMMYFUNCTION("""COMPUTED_VALUE"""),0.0)</f>
        <v>0</v>
      </c>
      <c r="Q502" s="254" t="b">
        <f>VLOOKUP($B502,'Run Reconcile'!B$2:O799,14,FALSE)</f>
        <v>1</v>
      </c>
      <c r="R502" s="255" t="str">
        <f t="array" ref="R502">IF($Q502, INDEX('Run Reconcile'!A$2:A799,MATCH(B502,'Run Reconcile'!B$2:B799,0),1),IFERROR(0/0,""))</f>
        <v>RUN-BEND_2022-02-23_RFR-039</v>
      </c>
      <c r="S502" s="261" t="str">
        <f t="shared" ref="S502:T502" si="1011">IF(COUNTIF(W$2:W799, $A502) &gt; 0,TRUE,IFERROR(0/0,""))</f>
        <v/>
      </c>
      <c r="T502" s="261" t="str">
        <f t="shared" si="1011"/>
        <v/>
      </c>
      <c r="U502" s="257" t="str">
        <f t="array" ref="U502">IF(ISBLANK($R502), INDEX('Run Reconcile'!A$2:A799, MATCH($B502, 'Run Reconcile'!B$2:B799, 0)+Z502, 1), IFERROR(0/0,""))
</f>
        <v/>
      </c>
      <c r="V502" s="258" t="str">
        <f t="shared" si="480"/>
        <v>RUN-BEND_2022-02-23_RFR-039</v>
      </c>
      <c r="Y502" s="130" t="str">
        <f t="shared" si="487"/>
        <v/>
      </c>
      <c r="Z502" s="49" t="str">
        <f t="shared" si="7"/>
        <v/>
      </c>
      <c r="AA502" s="49" t="str">
        <f t="shared" si="8"/>
        <v/>
      </c>
      <c r="AB502" s="49" t="str">
        <f t="shared" si="9"/>
        <v/>
      </c>
      <c r="AC502" s="20" t="str">
        <f t="shared" ref="AC502:AD502" si="1012">IF(_xlfn.ISFORMULA(S502),IFERROR(0/0,""),TRUE)</f>
        <v/>
      </c>
      <c r="AD502" s="20" t="str">
        <f t="shared" si="1012"/>
        <v/>
      </c>
      <c r="AE502" s="43"/>
      <c r="AF502" s="62" t="s">
        <v>61</v>
      </c>
      <c r="AG502" s="57" t="str">
        <f t="shared" si="11"/>
        <v/>
      </c>
    </row>
    <row r="503">
      <c r="A503" s="6" t="str">
        <f>IFERROR(__xludf.DUMMYFUNCTION("""COMPUTED_VALUE"""),"MA1201")</f>
        <v>MA1201</v>
      </c>
      <c r="B503" s="204">
        <f>IFERROR(__xludf.DUMMYFUNCTION("""COMPUTED_VALUE"""),44615.0)</f>
        <v>44615</v>
      </c>
      <c r="C503" s="250">
        <f>IFERROR(__xludf.DUMMYFUNCTION("""COMPUTED_VALUE"""),0.3433217592592593)</f>
        <v>0.3433217593</v>
      </c>
      <c r="D503" s="6" t="str">
        <f>IFERROR(__xludf.DUMMYFUNCTION("""COMPUTED_VALUE"""),"SpBEND977859")</f>
        <v>SpBEND977859</v>
      </c>
      <c r="E503" s="251"/>
      <c r="F503" s="251"/>
      <c r="G503" s="251" t="str">
        <f>IFERROR(__xludf.DUMMYFUNCTION("""COMPUTED_VALUE"""),"Positive")</f>
        <v>Positive</v>
      </c>
      <c r="H503" s="262" t="str">
        <f>IFERROR(__xludf.DUMMYFUNCTION("""COMPUTED_VALUE"""),"Negative")</f>
        <v>Negative</v>
      </c>
      <c r="I503" s="204">
        <f>IFERROR(__xludf.DUMMYFUNCTION("""COMPUTED_VALUE"""),44615.0)</f>
        <v>44615</v>
      </c>
      <c r="J503" s="252">
        <f>IFERROR(__xludf.DUMMYFUNCTION("""COMPUTED_VALUE"""),0.49126157407407406)</f>
        <v>0.4912615741</v>
      </c>
      <c r="K503" s="56">
        <f>IFERROR(__xludf.DUMMYFUNCTION("""COMPUTED_VALUE"""),2.7)</f>
        <v>2.7</v>
      </c>
      <c r="L503" s="6" t="str">
        <f>IFERROR(__xludf.DUMMYFUNCTION("""COMPUTED_VALUE"""),"Pos to Neg based on RFR - checked image and entire batch mis-called")</f>
        <v>Pos to Neg based on RFR - checked image and entire batch mis-called</v>
      </c>
      <c r="M503" s="61"/>
      <c r="N503" s="61">
        <f>IFERROR(__xludf.DUMMYFUNCTION("""COMPUTED_VALUE"""),1.0)</f>
        <v>1</v>
      </c>
      <c r="O503" s="61" t="str">
        <f t="shared" si="3"/>
        <v/>
      </c>
      <c r="P503" s="253">
        <f>IFERROR(__xludf.DUMMYFUNCTION("""COMPUTED_VALUE"""),0.0)</f>
        <v>0</v>
      </c>
      <c r="Q503" s="254" t="b">
        <f>VLOOKUP($B503,'Run Reconcile'!B$2:O799,14,FALSE)</f>
        <v>1</v>
      </c>
      <c r="R503" s="255" t="str">
        <f t="array" ref="R503">IF($Q503, INDEX('Run Reconcile'!A$2:A799,MATCH(B503,'Run Reconcile'!B$2:B799,0),1),IFERROR(0/0,""))</f>
        <v>RUN-BEND_2022-02-23_RFR-039</v>
      </c>
      <c r="S503" s="261" t="str">
        <f t="shared" ref="S503:T503" si="1013">IF(COUNTIF(W$2:W799, $A503) &gt; 0,TRUE,IFERROR(0/0,""))</f>
        <v/>
      </c>
      <c r="T503" s="261" t="str">
        <f t="shared" si="1013"/>
        <v/>
      </c>
      <c r="U503" s="257" t="str">
        <f t="array" ref="U503">IF(ISBLANK($R503), INDEX('Run Reconcile'!A$2:A799, MATCH($B503, 'Run Reconcile'!B$2:B799, 0)+Z503, 1), IFERROR(0/0,""))
</f>
        <v/>
      </c>
      <c r="V503" s="258" t="str">
        <f t="shared" si="480"/>
        <v>RUN-BEND_2022-02-23_RFR-039</v>
      </c>
      <c r="Y503" s="130" t="str">
        <f t="shared" si="487"/>
        <v/>
      </c>
      <c r="Z503" s="49" t="str">
        <f t="shared" si="7"/>
        <v/>
      </c>
      <c r="AA503" s="49" t="str">
        <f t="shared" si="8"/>
        <v/>
      </c>
      <c r="AB503" s="49" t="str">
        <f t="shared" si="9"/>
        <v/>
      </c>
      <c r="AC503" s="20" t="str">
        <f t="shared" ref="AC503:AD503" si="1014">IF(_xlfn.ISFORMULA(S503),IFERROR(0/0,""),TRUE)</f>
        <v/>
      </c>
      <c r="AD503" s="20" t="str">
        <f t="shared" si="1014"/>
        <v/>
      </c>
      <c r="AE503" s="43"/>
      <c r="AF503" s="62" t="s">
        <v>61</v>
      </c>
      <c r="AG503" s="57" t="str">
        <f t="shared" si="11"/>
        <v/>
      </c>
    </row>
    <row r="504">
      <c r="A504" s="6" t="str">
        <f>IFERROR(__xludf.DUMMYFUNCTION("""COMPUTED_VALUE"""),"FM493")</f>
        <v>FM493</v>
      </c>
      <c r="B504" s="204">
        <f>IFERROR(__xludf.DUMMYFUNCTION("""COMPUTED_VALUE"""),44615.0)</f>
        <v>44615</v>
      </c>
      <c r="C504" s="250">
        <f>IFERROR(__xludf.DUMMYFUNCTION("""COMPUTED_VALUE"""),0.3441782407407407)</f>
        <v>0.3441782407</v>
      </c>
      <c r="D504" s="6" t="str">
        <f>IFERROR(__xludf.DUMMYFUNCTION("""COMPUTED_VALUE"""),"SpBEND413838")</f>
        <v>SpBEND413838</v>
      </c>
      <c r="E504" s="251"/>
      <c r="F504" s="251"/>
      <c r="G504" s="251" t="str">
        <f>IFERROR(__xludf.DUMMYFUNCTION("""COMPUTED_VALUE"""),"Positive")</f>
        <v>Positive</v>
      </c>
      <c r="H504" s="262" t="str">
        <f>IFERROR(__xludf.DUMMYFUNCTION("""COMPUTED_VALUE"""),"Negative")</f>
        <v>Negative</v>
      </c>
      <c r="I504" s="204">
        <f>IFERROR(__xludf.DUMMYFUNCTION("""COMPUTED_VALUE"""),44615.0)</f>
        <v>44615</v>
      </c>
      <c r="J504" s="252">
        <f>IFERROR(__xludf.DUMMYFUNCTION("""COMPUTED_VALUE"""),0.49126157407407406)</f>
        <v>0.4912615741</v>
      </c>
      <c r="K504" s="56">
        <f>IFERROR(__xludf.DUMMYFUNCTION("""COMPUTED_VALUE"""),2.7)</f>
        <v>2.7</v>
      </c>
      <c r="L504" s="6" t="str">
        <f>IFERROR(__xludf.DUMMYFUNCTION("""COMPUTED_VALUE"""),"Pos to Neg based on RFR - checked image and entire batch mis-called")</f>
        <v>Pos to Neg based on RFR - checked image and entire batch mis-called</v>
      </c>
      <c r="M504" s="61"/>
      <c r="N504" s="61">
        <f>IFERROR(__xludf.DUMMYFUNCTION("""COMPUTED_VALUE"""),1.0)</f>
        <v>1</v>
      </c>
      <c r="O504" s="61" t="str">
        <f t="shared" si="3"/>
        <v/>
      </c>
      <c r="P504" s="253">
        <f>IFERROR(__xludf.DUMMYFUNCTION("""COMPUTED_VALUE"""),0.0)</f>
        <v>0</v>
      </c>
      <c r="Q504" s="254" t="b">
        <f>VLOOKUP($B504,'Run Reconcile'!B$2:O799,14,FALSE)</f>
        <v>1</v>
      </c>
      <c r="R504" s="255" t="str">
        <f t="array" ref="R504">IF($Q504, INDEX('Run Reconcile'!A$2:A799,MATCH(B504,'Run Reconcile'!B$2:B799,0),1),IFERROR(0/0,""))</f>
        <v>RUN-BEND_2022-02-23_RFR-039</v>
      </c>
      <c r="S504" s="261" t="str">
        <f t="shared" ref="S504:T504" si="1015">IF(COUNTIF(W$2:W799, $A504) &gt; 0,TRUE,IFERROR(0/0,""))</f>
        <v/>
      </c>
      <c r="T504" s="261" t="str">
        <f t="shared" si="1015"/>
        <v/>
      </c>
      <c r="U504" s="257" t="str">
        <f t="array" ref="U504">IF(ISBLANK($R504), INDEX('Run Reconcile'!A$2:A799, MATCH($B504, 'Run Reconcile'!B$2:B799, 0)+Z504, 1), IFERROR(0/0,""))
</f>
        <v/>
      </c>
      <c r="V504" s="258" t="str">
        <f t="shared" si="480"/>
        <v>RUN-BEND_2022-02-23_RFR-039</v>
      </c>
      <c r="Y504" s="130" t="str">
        <f t="shared" si="487"/>
        <v/>
      </c>
      <c r="Z504" s="49" t="str">
        <f t="shared" si="7"/>
        <v/>
      </c>
      <c r="AA504" s="49" t="str">
        <f t="shared" si="8"/>
        <v/>
      </c>
      <c r="AB504" s="49" t="str">
        <f t="shared" si="9"/>
        <v/>
      </c>
      <c r="AC504" s="20" t="str">
        <f t="shared" ref="AC504:AD504" si="1016">IF(_xlfn.ISFORMULA(S504),IFERROR(0/0,""),TRUE)</f>
        <v/>
      </c>
      <c r="AD504" s="20" t="str">
        <f t="shared" si="1016"/>
        <v/>
      </c>
      <c r="AE504" s="43"/>
      <c r="AF504" s="62" t="s">
        <v>61</v>
      </c>
      <c r="AG504" s="57" t="str">
        <f t="shared" si="11"/>
        <v/>
      </c>
    </row>
    <row r="505">
      <c r="A505" s="6" t="str">
        <f>IFERROR(__xludf.DUMMYFUNCTION("""COMPUTED_VALUE"""),"FM783")</f>
        <v>FM783</v>
      </c>
      <c r="B505" s="204">
        <f>IFERROR(__xludf.DUMMYFUNCTION("""COMPUTED_VALUE"""),44615.0)</f>
        <v>44615</v>
      </c>
      <c r="C505" s="250">
        <f>IFERROR(__xludf.DUMMYFUNCTION("""COMPUTED_VALUE"""),0.38722222222222225)</f>
        <v>0.3872222222</v>
      </c>
      <c r="D505" s="6" t="str">
        <f>IFERROR(__xludf.DUMMYFUNCTION("""COMPUTED_VALUE"""),"SpBEND914710")</f>
        <v>SpBEND914710</v>
      </c>
      <c r="E505" s="251"/>
      <c r="F505" s="251"/>
      <c r="G505" s="251" t="str">
        <f>IFERROR(__xludf.DUMMYFUNCTION("""COMPUTED_VALUE"""),"Positive")</f>
        <v>Positive</v>
      </c>
      <c r="H505" s="262" t="str">
        <f>IFERROR(__xludf.DUMMYFUNCTION("""COMPUTED_VALUE"""),"Negative")</f>
        <v>Negative</v>
      </c>
      <c r="I505" s="204">
        <f>IFERROR(__xludf.DUMMYFUNCTION("""COMPUTED_VALUE"""),44615.0)</f>
        <v>44615</v>
      </c>
      <c r="J505" s="252">
        <f>IFERROR(__xludf.DUMMYFUNCTION("""COMPUTED_VALUE"""),0.49126157407407406)</f>
        <v>0.4912615741</v>
      </c>
      <c r="K505" s="56">
        <f>IFERROR(__xludf.DUMMYFUNCTION("""COMPUTED_VALUE"""),2.7)</f>
        <v>2.7</v>
      </c>
      <c r="L505" s="6" t="str">
        <f>IFERROR(__xludf.DUMMYFUNCTION("""COMPUTED_VALUE"""),"Pos to Neg based on RFR - checked image and entire batch mis-called")</f>
        <v>Pos to Neg based on RFR - checked image and entire batch mis-called</v>
      </c>
      <c r="M505" s="61"/>
      <c r="N505" s="61">
        <f>IFERROR(__xludf.DUMMYFUNCTION("""COMPUTED_VALUE"""),1.0)</f>
        <v>1</v>
      </c>
      <c r="O505" s="61" t="str">
        <f t="shared" si="3"/>
        <v/>
      </c>
      <c r="P505" s="253">
        <f>IFERROR(__xludf.DUMMYFUNCTION("""COMPUTED_VALUE"""),0.0)</f>
        <v>0</v>
      </c>
      <c r="Q505" s="254" t="b">
        <f>VLOOKUP($B505,'Run Reconcile'!B$2:O799,14,FALSE)</f>
        <v>1</v>
      </c>
      <c r="R505" s="255" t="str">
        <f t="array" ref="R505">IF($Q505, INDEX('Run Reconcile'!A$2:A799,MATCH(B505,'Run Reconcile'!B$2:B799,0),1),IFERROR(0/0,""))</f>
        <v>RUN-BEND_2022-02-23_RFR-039</v>
      </c>
      <c r="S505" s="261" t="str">
        <f t="shared" ref="S505:T505" si="1017">IF(COUNTIF(W$2:W799, $A505) &gt; 0,TRUE,IFERROR(0/0,""))</f>
        <v/>
      </c>
      <c r="T505" s="261" t="str">
        <f t="shared" si="1017"/>
        <v/>
      </c>
      <c r="U505" s="257" t="str">
        <f t="array" ref="U505">IF(ISBLANK($R505), INDEX('Run Reconcile'!A$2:A799, MATCH($B505, 'Run Reconcile'!B$2:B799, 0)+Z505, 1), IFERROR(0/0,""))
</f>
        <v/>
      </c>
      <c r="V505" s="258" t="str">
        <f t="shared" si="480"/>
        <v>RUN-BEND_2022-02-23_RFR-039</v>
      </c>
      <c r="Y505" s="130" t="str">
        <f t="shared" si="487"/>
        <v/>
      </c>
      <c r="Z505" s="49" t="str">
        <f t="shared" si="7"/>
        <v/>
      </c>
      <c r="AA505" s="49" t="str">
        <f t="shared" si="8"/>
        <v/>
      </c>
      <c r="AB505" s="49" t="str">
        <f t="shared" si="9"/>
        <v/>
      </c>
      <c r="AC505" s="20" t="str">
        <f t="shared" ref="AC505:AD505" si="1018">IF(_xlfn.ISFORMULA(S505),IFERROR(0/0,""),TRUE)</f>
        <v/>
      </c>
      <c r="AD505" s="20" t="str">
        <f t="shared" si="1018"/>
        <v/>
      </c>
      <c r="AE505" s="43"/>
      <c r="AF505" s="62" t="s">
        <v>61</v>
      </c>
      <c r="AG505" s="57" t="str">
        <f t="shared" si="11"/>
        <v/>
      </c>
    </row>
    <row r="506">
      <c r="A506" s="6" t="str">
        <f>IFERROR(__xludf.DUMMYFUNCTION("""COMPUTED_VALUE"""),"FM109")</f>
        <v>FM109</v>
      </c>
      <c r="B506" s="204">
        <f>IFERROR(__xludf.DUMMYFUNCTION("""COMPUTED_VALUE"""),44615.0)</f>
        <v>44615</v>
      </c>
      <c r="C506" s="250">
        <f>IFERROR(__xludf.DUMMYFUNCTION("""COMPUTED_VALUE"""),0.39533564814814814)</f>
        <v>0.3953356481</v>
      </c>
      <c r="D506" s="6" t="str">
        <f>IFERROR(__xludf.DUMMYFUNCTION("""COMPUTED_VALUE"""),"SpBEND643855")</f>
        <v>SpBEND643855</v>
      </c>
      <c r="E506" s="251"/>
      <c r="F506" s="251"/>
      <c r="G506" s="251" t="str">
        <f>IFERROR(__xludf.DUMMYFUNCTION("""COMPUTED_VALUE"""),"Positive")</f>
        <v>Positive</v>
      </c>
      <c r="H506" s="262" t="str">
        <f>IFERROR(__xludf.DUMMYFUNCTION("""COMPUTED_VALUE"""),"Negative")</f>
        <v>Negative</v>
      </c>
      <c r="I506" s="204">
        <f>IFERROR(__xludf.DUMMYFUNCTION("""COMPUTED_VALUE"""),44615.0)</f>
        <v>44615</v>
      </c>
      <c r="J506" s="252">
        <f>IFERROR(__xludf.DUMMYFUNCTION("""COMPUTED_VALUE"""),0.49126157407407406)</f>
        <v>0.4912615741</v>
      </c>
      <c r="K506" s="56">
        <f>IFERROR(__xludf.DUMMYFUNCTION("""COMPUTED_VALUE"""),2.7)</f>
        <v>2.7</v>
      </c>
      <c r="L506" s="6" t="str">
        <f>IFERROR(__xludf.DUMMYFUNCTION("""COMPUTED_VALUE"""),"Pos to Neg based on RFR - checked image and entire batch mis-called")</f>
        <v>Pos to Neg based on RFR - checked image and entire batch mis-called</v>
      </c>
      <c r="M506" s="61"/>
      <c r="N506" s="61">
        <f>IFERROR(__xludf.DUMMYFUNCTION("""COMPUTED_VALUE"""),1.0)</f>
        <v>1</v>
      </c>
      <c r="O506" s="61" t="str">
        <f t="shared" si="3"/>
        <v/>
      </c>
      <c r="P506" s="253">
        <f>IFERROR(__xludf.DUMMYFUNCTION("""COMPUTED_VALUE"""),0.0)</f>
        <v>0</v>
      </c>
      <c r="Q506" s="254" t="b">
        <f>VLOOKUP($B506,'Run Reconcile'!B$2:O799,14,FALSE)</f>
        <v>1</v>
      </c>
      <c r="R506" s="255" t="str">
        <f t="array" ref="R506">IF($Q506, INDEX('Run Reconcile'!A$2:A799,MATCH(B506,'Run Reconcile'!B$2:B799,0),1),IFERROR(0/0,""))</f>
        <v>RUN-BEND_2022-02-23_RFR-039</v>
      </c>
      <c r="S506" s="261" t="str">
        <f t="shared" ref="S506:T506" si="1019">IF(COUNTIF(W$2:W799, $A506) &gt; 0,TRUE,IFERROR(0/0,""))</f>
        <v/>
      </c>
      <c r="T506" s="261" t="str">
        <f t="shared" si="1019"/>
        <v/>
      </c>
      <c r="U506" s="257" t="str">
        <f t="array" ref="U506">IF(ISBLANK($R506), INDEX('Run Reconcile'!A$2:A799, MATCH($B506, 'Run Reconcile'!B$2:B799, 0)+Z506, 1), IFERROR(0/0,""))
</f>
        <v/>
      </c>
      <c r="V506" s="258" t="str">
        <f t="shared" si="480"/>
        <v>RUN-BEND_2022-02-23_RFR-039</v>
      </c>
      <c r="Y506" s="130" t="str">
        <f t="shared" si="487"/>
        <v/>
      </c>
      <c r="Z506" s="49" t="str">
        <f t="shared" si="7"/>
        <v/>
      </c>
      <c r="AA506" s="49" t="str">
        <f t="shared" si="8"/>
        <v/>
      </c>
      <c r="AB506" s="49" t="str">
        <f t="shared" si="9"/>
        <v/>
      </c>
      <c r="AC506" s="20" t="str">
        <f t="shared" ref="AC506:AD506" si="1020">IF(_xlfn.ISFORMULA(S506),IFERROR(0/0,""),TRUE)</f>
        <v/>
      </c>
      <c r="AD506" s="20" t="str">
        <f t="shared" si="1020"/>
        <v/>
      </c>
      <c r="AE506" s="43"/>
      <c r="AF506" s="62" t="s">
        <v>61</v>
      </c>
      <c r="AG506" s="57" t="str">
        <f t="shared" si="11"/>
        <v/>
      </c>
    </row>
    <row r="507">
      <c r="A507" s="6" t="str">
        <f>IFERROR(__xludf.DUMMYFUNCTION("""COMPUTED_VALUE"""),"MAX118")</f>
        <v>MAX118</v>
      </c>
      <c r="B507" s="204">
        <f>IFERROR(__xludf.DUMMYFUNCTION("""COMPUTED_VALUE"""),44615.0)</f>
        <v>44615</v>
      </c>
      <c r="C507" s="250">
        <f>IFERROR(__xludf.DUMMYFUNCTION("""COMPUTED_VALUE"""),0.4183912037037037)</f>
        <v>0.4183912037</v>
      </c>
      <c r="D507" s="6" t="str">
        <f>IFERROR(__xludf.DUMMYFUNCTION("""COMPUTED_VALUE"""),"SpBEND394154")</f>
        <v>SpBEND394154</v>
      </c>
      <c r="E507" s="251"/>
      <c r="F507" s="251"/>
      <c r="G507" s="251" t="str">
        <f>IFERROR(__xludf.DUMMYFUNCTION("""COMPUTED_VALUE"""),"Positive")</f>
        <v>Positive</v>
      </c>
      <c r="H507" s="262" t="str">
        <f>IFERROR(__xludf.DUMMYFUNCTION("""COMPUTED_VALUE"""),"Negative")</f>
        <v>Negative</v>
      </c>
      <c r="I507" s="204">
        <f>IFERROR(__xludf.DUMMYFUNCTION("""COMPUTED_VALUE"""),44615.0)</f>
        <v>44615</v>
      </c>
      <c r="J507" s="252">
        <f>IFERROR(__xludf.DUMMYFUNCTION("""COMPUTED_VALUE"""),0.49126157407407406)</f>
        <v>0.4912615741</v>
      </c>
      <c r="K507" s="56">
        <f>IFERROR(__xludf.DUMMYFUNCTION("""COMPUTED_VALUE"""),2.7)</f>
        <v>2.7</v>
      </c>
      <c r="L507" s="6" t="str">
        <f>IFERROR(__xludf.DUMMYFUNCTION("""COMPUTED_VALUE"""),"Pos to Neg based on RFR - checked image and entire batch mis-called")</f>
        <v>Pos to Neg based on RFR - checked image and entire batch mis-called</v>
      </c>
      <c r="M507" s="61"/>
      <c r="N507" s="61">
        <f>IFERROR(__xludf.DUMMYFUNCTION("""COMPUTED_VALUE"""),1.0)</f>
        <v>1</v>
      </c>
      <c r="O507" s="61" t="str">
        <f t="shared" si="3"/>
        <v/>
      </c>
      <c r="P507" s="253">
        <f>IFERROR(__xludf.DUMMYFUNCTION("""COMPUTED_VALUE"""),0.0)</f>
        <v>0</v>
      </c>
      <c r="Q507" s="254" t="b">
        <f>VLOOKUP($B507,'Run Reconcile'!B$2:O799,14,FALSE)</f>
        <v>1</v>
      </c>
      <c r="R507" s="255" t="str">
        <f t="array" ref="R507">IF($Q507, INDEX('Run Reconcile'!A$2:A799,MATCH(B507,'Run Reconcile'!B$2:B799,0),1),IFERROR(0/0,""))</f>
        <v>RUN-BEND_2022-02-23_RFR-039</v>
      </c>
      <c r="S507" s="261" t="str">
        <f t="shared" ref="S507:T507" si="1021">IF(COUNTIF(W$2:W799, $A507) &gt; 0,TRUE,IFERROR(0/0,""))</f>
        <v/>
      </c>
      <c r="T507" s="261" t="str">
        <f t="shared" si="1021"/>
        <v/>
      </c>
      <c r="U507" s="257" t="str">
        <f t="array" ref="U507">IF(ISBLANK($R507), INDEX('Run Reconcile'!A$2:A799, MATCH($B507, 'Run Reconcile'!B$2:B799, 0)+Z507, 1), IFERROR(0/0,""))
</f>
        <v/>
      </c>
      <c r="V507" s="258" t="str">
        <f t="shared" si="480"/>
        <v>RUN-BEND_2022-02-23_RFR-039</v>
      </c>
      <c r="Y507" s="130" t="str">
        <f t="shared" si="487"/>
        <v/>
      </c>
      <c r="Z507" s="49" t="str">
        <f t="shared" si="7"/>
        <v/>
      </c>
      <c r="AA507" s="49" t="str">
        <f t="shared" si="8"/>
        <v/>
      </c>
      <c r="AB507" s="49" t="str">
        <f t="shared" si="9"/>
        <v/>
      </c>
      <c r="AC507" s="20" t="str">
        <f t="shared" ref="AC507:AD507" si="1022">IF(_xlfn.ISFORMULA(S507),IFERROR(0/0,""),TRUE)</f>
        <v/>
      </c>
      <c r="AD507" s="20" t="str">
        <f t="shared" si="1022"/>
        <v/>
      </c>
      <c r="AE507" s="43"/>
      <c r="AF507" s="62" t="s">
        <v>61</v>
      </c>
      <c r="AG507" s="57" t="str">
        <f t="shared" si="11"/>
        <v/>
      </c>
    </row>
    <row r="508">
      <c r="A508" s="6" t="str">
        <f>IFERROR(__xludf.DUMMYFUNCTION("""COMPUTED_VALUE"""),"MAX82")</f>
        <v>MAX82</v>
      </c>
      <c r="B508" s="204">
        <f>IFERROR(__xludf.DUMMYFUNCTION("""COMPUTED_VALUE"""),44615.0)</f>
        <v>44615</v>
      </c>
      <c r="C508" s="250">
        <f>IFERROR(__xludf.DUMMYFUNCTION("""COMPUTED_VALUE"""),0.41844907407407406)</f>
        <v>0.4184490741</v>
      </c>
      <c r="D508" s="6" t="str">
        <f>IFERROR(__xludf.DUMMYFUNCTION("""COMPUTED_VALUE"""),"SpBEND110967")</f>
        <v>SpBEND110967</v>
      </c>
      <c r="E508" s="251"/>
      <c r="F508" s="251"/>
      <c r="G508" s="251" t="str">
        <f>IFERROR(__xludf.DUMMYFUNCTION("""COMPUTED_VALUE"""),"Positive")</f>
        <v>Positive</v>
      </c>
      <c r="H508" s="262" t="str">
        <f>IFERROR(__xludf.DUMMYFUNCTION("""COMPUTED_VALUE"""),"Negative")</f>
        <v>Negative</v>
      </c>
      <c r="I508" s="204">
        <f>IFERROR(__xludf.DUMMYFUNCTION("""COMPUTED_VALUE"""),44615.0)</f>
        <v>44615</v>
      </c>
      <c r="J508" s="252">
        <f>IFERROR(__xludf.DUMMYFUNCTION("""COMPUTED_VALUE"""),0.49126157407407406)</f>
        <v>0.4912615741</v>
      </c>
      <c r="K508" s="56">
        <f>IFERROR(__xludf.DUMMYFUNCTION("""COMPUTED_VALUE"""),2.7)</f>
        <v>2.7</v>
      </c>
      <c r="L508" s="6" t="str">
        <f>IFERROR(__xludf.DUMMYFUNCTION("""COMPUTED_VALUE"""),"Pos to Neg based on RFR - checked image and entire batch mis-called")</f>
        <v>Pos to Neg based on RFR - checked image and entire batch mis-called</v>
      </c>
      <c r="M508" s="61"/>
      <c r="N508" s="61">
        <f>IFERROR(__xludf.DUMMYFUNCTION("""COMPUTED_VALUE"""),1.0)</f>
        <v>1</v>
      </c>
      <c r="O508" s="61" t="str">
        <f t="shared" si="3"/>
        <v/>
      </c>
      <c r="P508" s="253">
        <f>IFERROR(__xludf.DUMMYFUNCTION("""COMPUTED_VALUE"""),0.0)</f>
        <v>0</v>
      </c>
      <c r="Q508" s="254" t="b">
        <f>VLOOKUP($B508,'Run Reconcile'!B$2:O799,14,FALSE)</f>
        <v>1</v>
      </c>
      <c r="R508" s="255" t="str">
        <f t="array" ref="R508">IF($Q508, INDEX('Run Reconcile'!A$2:A799,MATCH(B508,'Run Reconcile'!B$2:B799,0),1),IFERROR(0/0,""))</f>
        <v>RUN-BEND_2022-02-23_RFR-039</v>
      </c>
      <c r="S508" s="261" t="str">
        <f t="shared" ref="S508:T508" si="1023">IF(COUNTIF(W$2:W799, $A508) &gt; 0,TRUE,IFERROR(0/0,""))</f>
        <v/>
      </c>
      <c r="T508" s="261" t="str">
        <f t="shared" si="1023"/>
        <v/>
      </c>
      <c r="U508" s="257" t="str">
        <f t="array" ref="U508">IF(ISBLANK($R508), INDEX('Run Reconcile'!A$2:A799, MATCH($B508, 'Run Reconcile'!B$2:B799, 0)+Z508, 1), IFERROR(0/0,""))
</f>
        <v/>
      </c>
      <c r="V508" s="258" t="str">
        <f t="shared" si="480"/>
        <v>RUN-BEND_2022-02-23_RFR-039</v>
      </c>
      <c r="Y508" s="130" t="str">
        <f t="shared" si="487"/>
        <v/>
      </c>
      <c r="Z508" s="49" t="str">
        <f t="shared" si="7"/>
        <v/>
      </c>
      <c r="AA508" s="49" t="str">
        <f t="shared" si="8"/>
        <v/>
      </c>
      <c r="AB508" s="49" t="str">
        <f t="shared" si="9"/>
        <v/>
      </c>
      <c r="AC508" s="20" t="str">
        <f t="shared" ref="AC508:AD508" si="1024">IF(_xlfn.ISFORMULA(S508),IFERROR(0/0,""),TRUE)</f>
        <v/>
      </c>
      <c r="AD508" s="20" t="str">
        <f t="shared" si="1024"/>
        <v/>
      </c>
      <c r="AE508" s="43"/>
      <c r="AF508" s="62" t="s">
        <v>61</v>
      </c>
      <c r="AG508" s="57" t="str">
        <f t="shared" si="11"/>
        <v/>
      </c>
    </row>
    <row r="509">
      <c r="A509" s="6" t="str">
        <f>IFERROR(__xludf.DUMMYFUNCTION("""COMPUTED_VALUE"""),"MA284")</f>
        <v>MA284</v>
      </c>
      <c r="B509" s="204">
        <f>IFERROR(__xludf.DUMMYFUNCTION("""COMPUTED_VALUE"""),44617.0)</f>
        <v>44617</v>
      </c>
      <c r="C509" s="250">
        <f>IFERROR(__xludf.DUMMYFUNCTION("""COMPUTED_VALUE"""),0.29310185185185184)</f>
        <v>0.2931018519</v>
      </c>
      <c r="D509" s="6" t="str">
        <f>IFERROR(__xludf.DUMMYFUNCTION("""COMPUTED_VALUE"""),"SpBEND996809")</f>
        <v>SpBEND996809</v>
      </c>
      <c r="E509" s="251"/>
      <c r="F509" s="251"/>
      <c r="G509" s="251" t="str">
        <f>IFERROR(__xludf.DUMMYFUNCTION("""COMPUTED_VALUE"""),"Negative")</f>
        <v>Negative</v>
      </c>
      <c r="H509" s="262" t="str">
        <f>IFERROR(__xludf.DUMMYFUNCTION("""COMPUTED_VALUE"""),"Negative")</f>
        <v>Negative</v>
      </c>
      <c r="I509" s="204">
        <f>IFERROR(__xludf.DUMMYFUNCTION("""COMPUTED_VALUE"""),44617.0)</f>
        <v>44617</v>
      </c>
      <c r="J509" s="252">
        <f>IFERROR(__xludf.DUMMYFUNCTION("""COMPUTED_VALUE"""),0.5033680555555555)</f>
        <v>0.5033680556</v>
      </c>
      <c r="K509" s="56"/>
      <c r="L509" s="6"/>
      <c r="M509" s="61"/>
      <c r="N509" s="61">
        <f>IFERROR(__xludf.DUMMYFUNCTION("""COMPUTED_VALUE"""),1.0)</f>
        <v>1</v>
      </c>
      <c r="O509" s="61" t="b">
        <f t="shared" si="3"/>
        <v>1</v>
      </c>
      <c r="P509" s="253">
        <f>IFERROR(__xludf.DUMMYFUNCTION("""COMPUTED_VALUE"""),0.0)</f>
        <v>0</v>
      </c>
      <c r="Q509" s="254" t="b">
        <f>VLOOKUP($B509,'Run Reconcile'!B$2:O799,14,FALSE)</f>
        <v>1</v>
      </c>
      <c r="R509" s="255" t="str">
        <f t="array" ref="R509">IF($Q509, INDEX('Run Reconcile'!A$2:A799,MATCH(B509,'Run Reconcile'!B$2:B799,0),1),IFERROR(0/0,""))</f>
        <v>RUN-BEND_2022-02-25_RFR-040</v>
      </c>
      <c r="S509" s="261" t="str">
        <f t="shared" ref="S509:T509" si="1025">IF(COUNTIF(W$2:W799, $A509) &gt; 0,TRUE,IFERROR(0/0,""))</f>
        <v/>
      </c>
      <c r="T509" s="261" t="str">
        <f t="shared" si="1025"/>
        <v/>
      </c>
      <c r="U509" s="257" t="str">
        <f t="array" ref="U509">IF(ISBLANK($R509), INDEX('Run Reconcile'!A$2:A799, MATCH($B509, 'Run Reconcile'!B$2:B799, 0)+Z509, 1), IFERROR(0/0,""))
</f>
        <v/>
      </c>
      <c r="V509" s="258" t="str">
        <f t="shared" si="480"/>
        <v>RUN-BEND_2022-02-25_RFR-040</v>
      </c>
      <c r="Y509" s="130" t="str">
        <f t="shared" si="487"/>
        <v/>
      </c>
      <c r="Z509" s="49" t="str">
        <f t="shared" si="7"/>
        <v/>
      </c>
      <c r="AA509" s="49" t="str">
        <f t="shared" si="8"/>
        <v/>
      </c>
      <c r="AB509" s="49" t="str">
        <f t="shared" si="9"/>
        <v/>
      </c>
      <c r="AC509" s="20" t="str">
        <f t="shared" ref="AC509:AD509" si="1026">IF(_xlfn.ISFORMULA(S509),IFERROR(0/0,""),TRUE)</f>
        <v/>
      </c>
      <c r="AD509" s="20" t="str">
        <f t="shared" si="1026"/>
        <v/>
      </c>
      <c r="AE509" s="43"/>
      <c r="AF509" s="62" t="s">
        <v>62</v>
      </c>
      <c r="AG509" s="57" t="str">
        <f t="shared" si="11"/>
        <v/>
      </c>
    </row>
    <row r="510">
      <c r="A510" s="6" t="str">
        <f>IFERROR(__xludf.DUMMYFUNCTION("""COMPUTED_VALUE"""),"FM27")</f>
        <v>FM27</v>
      </c>
      <c r="B510" s="204">
        <f>IFERROR(__xludf.DUMMYFUNCTION("""COMPUTED_VALUE"""),44617.0)</f>
        <v>44617</v>
      </c>
      <c r="C510" s="250">
        <f>IFERROR(__xludf.DUMMYFUNCTION("""COMPUTED_VALUE"""),0.3017476851851852)</f>
        <v>0.3017476852</v>
      </c>
      <c r="D510" s="6" t="str">
        <f>IFERROR(__xludf.DUMMYFUNCTION("""COMPUTED_VALUE"""),"SpBEND385421")</f>
        <v>SpBEND385421</v>
      </c>
      <c r="E510" s="251"/>
      <c r="F510" s="251"/>
      <c r="G510" s="251" t="str">
        <f>IFERROR(__xludf.DUMMYFUNCTION("""COMPUTED_VALUE"""),"Negative")</f>
        <v>Negative</v>
      </c>
      <c r="H510" s="262" t="str">
        <f>IFERROR(__xludf.DUMMYFUNCTION("""COMPUTED_VALUE"""),"Negative")</f>
        <v>Negative</v>
      </c>
      <c r="I510" s="204">
        <f>IFERROR(__xludf.DUMMYFUNCTION("""COMPUTED_VALUE"""),44617.0)</f>
        <v>44617</v>
      </c>
      <c r="J510" s="252">
        <f>IFERROR(__xludf.DUMMYFUNCTION("""COMPUTED_VALUE"""),0.5033680555555555)</f>
        <v>0.5033680556</v>
      </c>
      <c r="K510" s="56"/>
      <c r="L510" s="6"/>
      <c r="M510" s="61"/>
      <c r="N510" s="61">
        <f>IFERROR(__xludf.DUMMYFUNCTION("""COMPUTED_VALUE"""),1.0)</f>
        <v>1</v>
      </c>
      <c r="O510" s="61" t="str">
        <f t="shared" si="3"/>
        <v/>
      </c>
      <c r="P510" s="253">
        <f>IFERROR(__xludf.DUMMYFUNCTION("""COMPUTED_VALUE"""),0.0)</f>
        <v>0</v>
      </c>
      <c r="Q510" s="254" t="b">
        <f>VLOOKUP($B510,'Run Reconcile'!B$2:O799,14,FALSE)</f>
        <v>1</v>
      </c>
      <c r="R510" s="255" t="str">
        <f t="array" ref="R510">IF($Q510, INDEX('Run Reconcile'!A$2:A799,MATCH(B510,'Run Reconcile'!B$2:B799,0),1),IFERROR(0/0,""))</f>
        <v>RUN-BEND_2022-02-25_RFR-040</v>
      </c>
      <c r="S510" s="261" t="str">
        <f t="shared" ref="S510:T510" si="1027">IF(COUNTIF(W$2:W799, $A510) &gt; 0,TRUE,IFERROR(0/0,""))</f>
        <v/>
      </c>
      <c r="T510" s="261" t="str">
        <f t="shared" si="1027"/>
        <v/>
      </c>
      <c r="U510" s="257" t="str">
        <f t="array" ref="U510">IF(ISBLANK($R510), INDEX('Run Reconcile'!A$2:A799, MATCH($B510, 'Run Reconcile'!B$2:B799, 0)+Z510, 1), IFERROR(0/0,""))
</f>
        <v/>
      </c>
      <c r="V510" s="258" t="str">
        <f t="shared" si="480"/>
        <v>RUN-BEND_2022-02-25_RFR-040</v>
      </c>
      <c r="Y510" s="130" t="str">
        <f t="shared" si="487"/>
        <v/>
      </c>
      <c r="Z510" s="49" t="str">
        <f t="shared" si="7"/>
        <v/>
      </c>
      <c r="AA510" s="49" t="str">
        <f t="shared" si="8"/>
        <v/>
      </c>
      <c r="AB510" s="49" t="str">
        <f t="shared" si="9"/>
        <v/>
      </c>
      <c r="AC510" s="20" t="str">
        <f t="shared" ref="AC510:AD510" si="1028">IF(_xlfn.ISFORMULA(S510),IFERROR(0/0,""),TRUE)</f>
        <v/>
      </c>
      <c r="AD510" s="20" t="str">
        <f t="shared" si="1028"/>
        <v/>
      </c>
      <c r="AE510" s="43"/>
      <c r="AF510" s="62" t="s">
        <v>62</v>
      </c>
      <c r="AG510" s="57" t="str">
        <f t="shared" si="11"/>
        <v/>
      </c>
    </row>
    <row r="511">
      <c r="A511" s="6" t="str">
        <f>IFERROR(__xludf.DUMMYFUNCTION("""COMPUTED_VALUE"""),"FM37")</f>
        <v>FM37</v>
      </c>
      <c r="B511" s="204">
        <f>IFERROR(__xludf.DUMMYFUNCTION("""COMPUTED_VALUE"""),44617.0)</f>
        <v>44617</v>
      </c>
      <c r="C511" s="250">
        <f>IFERROR(__xludf.DUMMYFUNCTION("""COMPUTED_VALUE"""),0.3025115740740741)</f>
        <v>0.3025115741</v>
      </c>
      <c r="D511" s="6" t="str">
        <f>IFERROR(__xludf.DUMMYFUNCTION("""COMPUTED_VALUE"""),"SpBEND610784")</f>
        <v>SpBEND610784</v>
      </c>
      <c r="E511" s="251"/>
      <c r="F511" s="251"/>
      <c r="G511" s="251" t="str">
        <f>IFERROR(__xludf.DUMMYFUNCTION("""COMPUTED_VALUE"""),"Negative")</f>
        <v>Negative</v>
      </c>
      <c r="H511" s="262" t="str">
        <f>IFERROR(__xludf.DUMMYFUNCTION("""COMPUTED_VALUE"""),"Negative")</f>
        <v>Negative</v>
      </c>
      <c r="I511" s="204">
        <f>IFERROR(__xludf.DUMMYFUNCTION("""COMPUTED_VALUE"""),44617.0)</f>
        <v>44617</v>
      </c>
      <c r="J511" s="252">
        <f>IFERROR(__xludf.DUMMYFUNCTION("""COMPUTED_VALUE"""),0.5033680555555555)</f>
        <v>0.5033680556</v>
      </c>
      <c r="K511" s="56"/>
      <c r="L511" s="6"/>
      <c r="M511" s="61"/>
      <c r="N511" s="61">
        <f>IFERROR(__xludf.DUMMYFUNCTION("""COMPUTED_VALUE"""),1.0)</f>
        <v>1</v>
      </c>
      <c r="O511" s="61" t="str">
        <f t="shared" si="3"/>
        <v/>
      </c>
      <c r="P511" s="253">
        <f>IFERROR(__xludf.DUMMYFUNCTION("""COMPUTED_VALUE"""),0.0)</f>
        <v>0</v>
      </c>
      <c r="Q511" s="254" t="b">
        <f>VLOOKUP($B511,'Run Reconcile'!B$2:O799,14,FALSE)</f>
        <v>1</v>
      </c>
      <c r="R511" s="255" t="str">
        <f t="array" ref="R511">IF($Q511, INDEX('Run Reconcile'!A$2:A799,MATCH(B511,'Run Reconcile'!B$2:B799,0),1),IFERROR(0/0,""))</f>
        <v>RUN-BEND_2022-02-25_RFR-040</v>
      </c>
      <c r="S511" s="261" t="str">
        <f t="shared" ref="S511:T511" si="1029">IF(COUNTIF(W$2:W799, $A511) &gt; 0,TRUE,IFERROR(0/0,""))</f>
        <v/>
      </c>
      <c r="T511" s="261" t="str">
        <f t="shared" si="1029"/>
        <v/>
      </c>
      <c r="U511" s="257" t="str">
        <f t="array" ref="U511">IF(ISBLANK($R511), INDEX('Run Reconcile'!A$2:A799, MATCH($B511, 'Run Reconcile'!B$2:B799, 0)+Z511, 1), IFERROR(0/0,""))
</f>
        <v/>
      </c>
      <c r="V511" s="258" t="str">
        <f t="shared" si="480"/>
        <v>RUN-BEND_2022-02-25_RFR-040</v>
      </c>
      <c r="Y511" s="130" t="str">
        <f t="shared" si="487"/>
        <v/>
      </c>
      <c r="Z511" s="49" t="str">
        <f t="shared" si="7"/>
        <v/>
      </c>
      <c r="AA511" s="49" t="str">
        <f t="shared" si="8"/>
        <v/>
      </c>
      <c r="AB511" s="49" t="str">
        <f t="shared" si="9"/>
        <v/>
      </c>
      <c r="AC511" s="20" t="str">
        <f t="shared" ref="AC511:AD511" si="1030">IF(_xlfn.ISFORMULA(S511),IFERROR(0/0,""),TRUE)</f>
        <v/>
      </c>
      <c r="AD511" s="20" t="str">
        <f t="shared" si="1030"/>
        <v/>
      </c>
      <c r="AE511" s="43"/>
      <c r="AF511" s="62" t="s">
        <v>62</v>
      </c>
      <c r="AG511" s="57" t="str">
        <f t="shared" si="11"/>
        <v/>
      </c>
    </row>
    <row r="512">
      <c r="A512" s="6" t="str">
        <f>IFERROR(__xludf.DUMMYFUNCTION("""COMPUTED_VALUE"""),"FM466")</f>
        <v>FM466</v>
      </c>
      <c r="B512" s="204">
        <f>IFERROR(__xludf.DUMMYFUNCTION("""COMPUTED_VALUE"""),44617.0)</f>
        <v>44617</v>
      </c>
      <c r="C512" s="250">
        <f>IFERROR(__xludf.DUMMYFUNCTION("""COMPUTED_VALUE"""),0.30302083333333335)</f>
        <v>0.3030208333</v>
      </c>
      <c r="D512" s="6" t="str">
        <f>IFERROR(__xludf.DUMMYFUNCTION("""COMPUTED_VALUE"""),"SpBEND985296")</f>
        <v>SpBEND985296</v>
      </c>
      <c r="E512" s="251"/>
      <c r="F512" s="251"/>
      <c r="G512" s="251" t="str">
        <f>IFERROR(__xludf.DUMMYFUNCTION("""COMPUTED_VALUE"""),"Negative")</f>
        <v>Negative</v>
      </c>
      <c r="H512" s="262" t="str">
        <f>IFERROR(__xludf.DUMMYFUNCTION("""COMPUTED_VALUE"""),"Negative")</f>
        <v>Negative</v>
      </c>
      <c r="I512" s="204">
        <f>IFERROR(__xludf.DUMMYFUNCTION("""COMPUTED_VALUE"""),44617.0)</f>
        <v>44617</v>
      </c>
      <c r="J512" s="252">
        <f>IFERROR(__xludf.DUMMYFUNCTION("""COMPUTED_VALUE"""),0.5033680555555555)</f>
        <v>0.5033680556</v>
      </c>
      <c r="K512" s="56"/>
      <c r="L512" s="6"/>
      <c r="M512" s="61"/>
      <c r="N512" s="61">
        <f>IFERROR(__xludf.DUMMYFUNCTION("""COMPUTED_VALUE"""),1.0)</f>
        <v>1</v>
      </c>
      <c r="O512" s="61" t="str">
        <f t="shared" si="3"/>
        <v/>
      </c>
      <c r="P512" s="253">
        <f>IFERROR(__xludf.DUMMYFUNCTION("""COMPUTED_VALUE"""),0.0)</f>
        <v>0</v>
      </c>
      <c r="Q512" s="254" t="b">
        <f>VLOOKUP($B512,'Run Reconcile'!B$2:O799,14,FALSE)</f>
        <v>1</v>
      </c>
      <c r="R512" s="255" t="str">
        <f t="array" ref="R512">IF($Q512, INDEX('Run Reconcile'!A$2:A799,MATCH(B512,'Run Reconcile'!B$2:B799,0),1),IFERROR(0/0,""))</f>
        <v>RUN-BEND_2022-02-25_RFR-040</v>
      </c>
      <c r="S512" s="261" t="str">
        <f t="shared" ref="S512:T512" si="1031">IF(COUNTIF(W$2:W799, $A512) &gt; 0,TRUE,IFERROR(0/0,""))</f>
        <v/>
      </c>
      <c r="T512" s="261" t="str">
        <f t="shared" si="1031"/>
        <v/>
      </c>
      <c r="U512" s="257" t="str">
        <f t="array" ref="U512">IF(ISBLANK($R512), INDEX('Run Reconcile'!A$2:A799, MATCH($B512, 'Run Reconcile'!B$2:B799, 0)+Z512, 1), IFERROR(0/0,""))
</f>
        <v/>
      </c>
      <c r="V512" s="258" t="str">
        <f t="shared" si="480"/>
        <v>RUN-BEND_2022-02-25_RFR-040</v>
      </c>
      <c r="Y512" s="130" t="str">
        <f t="shared" si="487"/>
        <v/>
      </c>
      <c r="Z512" s="49" t="str">
        <f t="shared" si="7"/>
        <v/>
      </c>
      <c r="AA512" s="49" t="str">
        <f t="shared" si="8"/>
        <v/>
      </c>
      <c r="AB512" s="49" t="str">
        <f t="shared" si="9"/>
        <v/>
      </c>
      <c r="AC512" s="20" t="str">
        <f t="shared" ref="AC512:AD512" si="1032">IF(_xlfn.ISFORMULA(S512),IFERROR(0/0,""),TRUE)</f>
        <v/>
      </c>
      <c r="AD512" s="20" t="str">
        <f t="shared" si="1032"/>
        <v/>
      </c>
      <c r="AE512" s="43"/>
      <c r="AF512" s="62" t="s">
        <v>62</v>
      </c>
      <c r="AG512" s="57" t="str">
        <f t="shared" si="11"/>
        <v/>
      </c>
    </row>
    <row r="513">
      <c r="A513" s="6" t="str">
        <f>IFERROR(__xludf.DUMMYFUNCTION("""COMPUTED_VALUE"""),"MA273")</f>
        <v>MA273</v>
      </c>
      <c r="B513" s="204">
        <f>IFERROR(__xludf.DUMMYFUNCTION("""COMPUTED_VALUE"""),44617.0)</f>
        <v>44617</v>
      </c>
      <c r="C513" s="250">
        <f>IFERROR(__xludf.DUMMYFUNCTION("""COMPUTED_VALUE"""),0.3043518518518519)</f>
        <v>0.3043518519</v>
      </c>
      <c r="D513" s="6" t="str">
        <f>IFERROR(__xludf.DUMMYFUNCTION("""COMPUTED_VALUE"""),"SpBEND637657")</f>
        <v>SpBEND637657</v>
      </c>
      <c r="E513" s="251"/>
      <c r="F513" s="251"/>
      <c r="G513" s="251" t="str">
        <f>IFERROR(__xludf.DUMMYFUNCTION("""COMPUTED_VALUE"""),"Negative")</f>
        <v>Negative</v>
      </c>
      <c r="H513" s="262" t="str">
        <f>IFERROR(__xludf.DUMMYFUNCTION("""COMPUTED_VALUE"""),"Negative")</f>
        <v>Negative</v>
      </c>
      <c r="I513" s="204">
        <f>IFERROR(__xludf.DUMMYFUNCTION("""COMPUTED_VALUE"""),44617.0)</f>
        <v>44617</v>
      </c>
      <c r="J513" s="252">
        <f>IFERROR(__xludf.DUMMYFUNCTION("""COMPUTED_VALUE"""),0.5033680555555555)</f>
        <v>0.5033680556</v>
      </c>
      <c r="K513" s="56"/>
      <c r="L513" s="6"/>
      <c r="M513" s="61"/>
      <c r="N513" s="61">
        <f>IFERROR(__xludf.DUMMYFUNCTION("""COMPUTED_VALUE"""),1.0)</f>
        <v>1</v>
      </c>
      <c r="O513" s="61" t="str">
        <f t="shared" si="3"/>
        <v/>
      </c>
      <c r="P513" s="253">
        <f>IFERROR(__xludf.DUMMYFUNCTION("""COMPUTED_VALUE"""),0.0)</f>
        <v>0</v>
      </c>
      <c r="Q513" s="254" t="b">
        <f>VLOOKUP($B513,'Run Reconcile'!B$2:O799,14,FALSE)</f>
        <v>1</v>
      </c>
      <c r="R513" s="255" t="str">
        <f t="array" ref="R513">IF($Q513, INDEX('Run Reconcile'!A$2:A799,MATCH(B513,'Run Reconcile'!B$2:B799,0),1),IFERROR(0/0,""))</f>
        <v>RUN-BEND_2022-02-25_RFR-040</v>
      </c>
      <c r="S513" s="261" t="str">
        <f t="shared" ref="S513:T513" si="1033">IF(COUNTIF(W$2:W799, $A513) &gt; 0,TRUE,IFERROR(0/0,""))</f>
        <v/>
      </c>
      <c r="T513" s="261" t="str">
        <f t="shared" si="1033"/>
        <v/>
      </c>
      <c r="U513" s="257" t="str">
        <f t="array" ref="U513">IF(ISBLANK($R513), INDEX('Run Reconcile'!A$2:A799, MATCH($B513, 'Run Reconcile'!B$2:B799, 0)+Z513, 1), IFERROR(0/0,""))
</f>
        <v/>
      </c>
      <c r="V513" s="258" t="str">
        <f t="shared" si="480"/>
        <v>RUN-BEND_2022-02-25_RFR-040</v>
      </c>
      <c r="Y513" s="130" t="str">
        <f t="shared" si="487"/>
        <v/>
      </c>
      <c r="Z513" s="49" t="str">
        <f t="shared" si="7"/>
        <v/>
      </c>
      <c r="AA513" s="49" t="str">
        <f t="shared" si="8"/>
        <v/>
      </c>
      <c r="AB513" s="49" t="str">
        <f t="shared" si="9"/>
        <v/>
      </c>
      <c r="AC513" s="20" t="str">
        <f t="shared" ref="AC513:AD513" si="1034">IF(_xlfn.ISFORMULA(S513),IFERROR(0/0,""),TRUE)</f>
        <v/>
      </c>
      <c r="AD513" s="20" t="str">
        <f t="shared" si="1034"/>
        <v/>
      </c>
      <c r="AE513" s="43"/>
      <c r="AF513" s="62" t="s">
        <v>62</v>
      </c>
      <c r="AG513" s="57" t="str">
        <f t="shared" si="11"/>
        <v/>
      </c>
    </row>
    <row r="514">
      <c r="A514" s="6" t="str">
        <f>IFERROR(__xludf.DUMMYFUNCTION("""COMPUTED_VALUE"""),"MA225")</f>
        <v>MA225</v>
      </c>
      <c r="B514" s="204">
        <f>IFERROR(__xludf.DUMMYFUNCTION("""COMPUTED_VALUE"""),44617.0)</f>
        <v>44617</v>
      </c>
      <c r="C514" s="250">
        <f>IFERROR(__xludf.DUMMYFUNCTION("""COMPUTED_VALUE"""),0.30461805555555554)</f>
        <v>0.3046180556</v>
      </c>
      <c r="D514" s="6" t="str">
        <f>IFERROR(__xludf.DUMMYFUNCTION("""COMPUTED_VALUE"""),"SpBEND757435")</f>
        <v>SpBEND757435</v>
      </c>
      <c r="E514" s="251"/>
      <c r="F514" s="251"/>
      <c r="G514" s="251" t="str">
        <f>IFERROR(__xludf.DUMMYFUNCTION("""COMPUTED_VALUE"""),"Negative")</f>
        <v>Negative</v>
      </c>
      <c r="H514" s="262" t="str">
        <f>IFERROR(__xludf.DUMMYFUNCTION("""COMPUTED_VALUE"""),"Negative")</f>
        <v>Negative</v>
      </c>
      <c r="I514" s="204">
        <f>IFERROR(__xludf.DUMMYFUNCTION("""COMPUTED_VALUE"""),44617.0)</f>
        <v>44617</v>
      </c>
      <c r="J514" s="252">
        <f>IFERROR(__xludf.DUMMYFUNCTION("""COMPUTED_VALUE"""),0.5033680555555555)</f>
        <v>0.5033680556</v>
      </c>
      <c r="K514" s="56"/>
      <c r="L514" s="6"/>
      <c r="M514" s="61"/>
      <c r="N514" s="61">
        <f>IFERROR(__xludf.DUMMYFUNCTION("""COMPUTED_VALUE"""),1.0)</f>
        <v>1</v>
      </c>
      <c r="O514" s="61" t="str">
        <f t="shared" si="3"/>
        <v/>
      </c>
      <c r="P514" s="253">
        <f>IFERROR(__xludf.DUMMYFUNCTION("""COMPUTED_VALUE"""),0.0)</f>
        <v>0</v>
      </c>
      <c r="Q514" s="254" t="b">
        <f>VLOOKUP($B514,'Run Reconcile'!B$2:O799,14,FALSE)</f>
        <v>1</v>
      </c>
      <c r="R514" s="255" t="str">
        <f t="array" ref="R514">IF($Q514, INDEX('Run Reconcile'!A$2:A799,MATCH(B514,'Run Reconcile'!B$2:B799,0),1),IFERROR(0/0,""))</f>
        <v>RUN-BEND_2022-02-25_RFR-040</v>
      </c>
      <c r="S514" s="261" t="str">
        <f t="shared" ref="S514:T514" si="1035">IF(COUNTIF(W$2:W799, $A514) &gt; 0,TRUE,IFERROR(0/0,""))</f>
        <v/>
      </c>
      <c r="T514" s="261" t="str">
        <f t="shared" si="1035"/>
        <v/>
      </c>
      <c r="U514" s="257" t="str">
        <f t="array" ref="U514">IF(ISBLANK($R514), INDEX('Run Reconcile'!A$2:A799, MATCH($B514, 'Run Reconcile'!B$2:B799, 0)+Z514, 1), IFERROR(0/0,""))
</f>
        <v/>
      </c>
      <c r="V514" s="258" t="str">
        <f t="shared" si="480"/>
        <v>RUN-BEND_2022-02-25_RFR-040</v>
      </c>
      <c r="Y514" s="130" t="str">
        <f t="shared" si="487"/>
        <v/>
      </c>
      <c r="Z514" s="49" t="str">
        <f t="shared" si="7"/>
        <v/>
      </c>
      <c r="AA514" s="49" t="str">
        <f t="shared" si="8"/>
        <v/>
      </c>
      <c r="AB514" s="49" t="str">
        <f t="shared" si="9"/>
        <v/>
      </c>
      <c r="AC514" s="20" t="str">
        <f t="shared" ref="AC514:AD514" si="1036">IF(_xlfn.ISFORMULA(S514),IFERROR(0/0,""),TRUE)</f>
        <v/>
      </c>
      <c r="AD514" s="20" t="str">
        <f t="shared" si="1036"/>
        <v/>
      </c>
      <c r="AE514" s="43"/>
      <c r="AF514" s="62" t="s">
        <v>62</v>
      </c>
      <c r="AG514" s="57" t="str">
        <f t="shared" si="11"/>
        <v/>
      </c>
    </row>
    <row r="515">
      <c r="A515" s="6" t="str">
        <f>IFERROR(__xludf.DUMMYFUNCTION("""COMPUTED_VALUE"""),"MA234")</f>
        <v>MA234</v>
      </c>
      <c r="B515" s="204">
        <f>IFERROR(__xludf.DUMMYFUNCTION("""COMPUTED_VALUE"""),44617.0)</f>
        <v>44617</v>
      </c>
      <c r="C515" s="250">
        <f>IFERROR(__xludf.DUMMYFUNCTION("""COMPUTED_VALUE"""),0.30627314814814816)</f>
        <v>0.3062731481</v>
      </c>
      <c r="D515" s="6" t="str">
        <f>IFERROR(__xludf.DUMMYFUNCTION("""COMPUTED_VALUE"""),"SpBEND862115")</f>
        <v>SpBEND862115</v>
      </c>
      <c r="E515" s="251"/>
      <c r="F515" s="251"/>
      <c r="G515" s="251" t="str">
        <f>IFERROR(__xludf.DUMMYFUNCTION("""COMPUTED_VALUE"""),"Negative")</f>
        <v>Negative</v>
      </c>
      <c r="H515" s="262" t="str">
        <f>IFERROR(__xludf.DUMMYFUNCTION("""COMPUTED_VALUE"""),"Negative")</f>
        <v>Negative</v>
      </c>
      <c r="I515" s="204">
        <f>IFERROR(__xludf.DUMMYFUNCTION("""COMPUTED_VALUE"""),44617.0)</f>
        <v>44617</v>
      </c>
      <c r="J515" s="252">
        <f>IFERROR(__xludf.DUMMYFUNCTION("""COMPUTED_VALUE"""),0.5033680555555555)</f>
        <v>0.5033680556</v>
      </c>
      <c r="K515" s="56"/>
      <c r="L515" s="6"/>
      <c r="M515" s="61"/>
      <c r="N515" s="61">
        <f>IFERROR(__xludf.DUMMYFUNCTION("""COMPUTED_VALUE"""),1.0)</f>
        <v>1</v>
      </c>
      <c r="O515" s="61" t="str">
        <f t="shared" si="3"/>
        <v/>
      </c>
      <c r="P515" s="253">
        <f>IFERROR(__xludf.DUMMYFUNCTION("""COMPUTED_VALUE"""),0.0)</f>
        <v>0</v>
      </c>
      <c r="Q515" s="254" t="b">
        <f>VLOOKUP($B515,'Run Reconcile'!B$2:O799,14,FALSE)</f>
        <v>1</v>
      </c>
      <c r="R515" s="255" t="str">
        <f t="array" ref="R515">IF($Q515, INDEX('Run Reconcile'!A$2:A799,MATCH(B515,'Run Reconcile'!B$2:B799,0),1),IFERROR(0/0,""))</f>
        <v>RUN-BEND_2022-02-25_RFR-040</v>
      </c>
      <c r="S515" s="261" t="str">
        <f t="shared" ref="S515:T515" si="1037">IF(COUNTIF(W$2:W799, $A515) &gt; 0,TRUE,IFERROR(0/0,""))</f>
        <v/>
      </c>
      <c r="T515" s="261" t="str">
        <f t="shared" si="1037"/>
        <v/>
      </c>
      <c r="U515" s="257" t="str">
        <f t="array" ref="U515">IF(ISBLANK($R515), INDEX('Run Reconcile'!A$2:A799, MATCH($B515, 'Run Reconcile'!B$2:B799, 0)+Z515, 1), IFERROR(0/0,""))
</f>
        <v/>
      </c>
      <c r="V515" s="258" t="str">
        <f t="shared" si="480"/>
        <v>RUN-BEND_2022-02-25_RFR-040</v>
      </c>
      <c r="Y515" s="130" t="str">
        <f t="shared" si="487"/>
        <v/>
      </c>
      <c r="Z515" s="49" t="str">
        <f t="shared" si="7"/>
        <v/>
      </c>
      <c r="AA515" s="49" t="str">
        <f t="shared" si="8"/>
        <v/>
      </c>
      <c r="AB515" s="49" t="str">
        <f t="shared" si="9"/>
        <v/>
      </c>
      <c r="AC515" s="20" t="str">
        <f t="shared" ref="AC515:AD515" si="1038">IF(_xlfn.ISFORMULA(S515),IFERROR(0/0,""),TRUE)</f>
        <v/>
      </c>
      <c r="AD515" s="20" t="str">
        <f t="shared" si="1038"/>
        <v/>
      </c>
      <c r="AE515" s="43"/>
      <c r="AF515" s="62" t="s">
        <v>62</v>
      </c>
      <c r="AG515" s="57" t="str">
        <f t="shared" si="11"/>
        <v/>
      </c>
    </row>
    <row r="516">
      <c r="A516" s="6" t="str">
        <f>IFERROR(__xludf.DUMMYFUNCTION("""COMPUTED_VALUE"""),"FM807")</f>
        <v>FM807</v>
      </c>
      <c r="B516" s="204">
        <f>IFERROR(__xludf.DUMMYFUNCTION("""COMPUTED_VALUE"""),44617.0)</f>
        <v>44617</v>
      </c>
      <c r="C516" s="250">
        <f>IFERROR(__xludf.DUMMYFUNCTION("""COMPUTED_VALUE"""),0.3128009259259259)</f>
        <v>0.3128009259</v>
      </c>
      <c r="D516" s="6" t="str">
        <f>IFERROR(__xludf.DUMMYFUNCTION("""COMPUTED_VALUE"""),"SpBEND845509")</f>
        <v>SpBEND845509</v>
      </c>
      <c r="E516" s="251"/>
      <c r="F516" s="251"/>
      <c r="G516" s="251" t="str">
        <f>IFERROR(__xludf.DUMMYFUNCTION("""COMPUTED_VALUE"""),"Negative")</f>
        <v>Negative</v>
      </c>
      <c r="H516" s="262" t="str">
        <f>IFERROR(__xludf.DUMMYFUNCTION("""COMPUTED_VALUE"""),"Negative")</f>
        <v>Negative</v>
      </c>
      <c r="I516" s="204">
        <f>IFERROR(__xludf.DUMMYFUNCTION("""COMPUTED_VALUE"""),44617.0)</f>
        <v>44617</v>
      </c>
      <c r="J516" s="252">
        <f>IFERROR(__xludf.DUMMYFUNCTION("""COMPUTED_VALUE"""),0.5033680555555555)</f>
        <v>0.5033680556</v>
      </c>
      <c r="K516" s="56"/>
      <c r="L516" s="6"/>
      <c r="M516" s="61"/>
      <c r="N516" s="61">
        <f>IFERROR(__xludf.DUMMYFUNCTION("""COMPUTED_VALUE"""),1.0)</f>
        <v>1</v>
      </c>
      <c r="O516" s="61" t="str">
        <f t="shared" si="3"/>
        <v/>
      </c>
      <c r="P516" s="253">
        <f>IFERROR(__xludf.DUMMYFUNCTION("""COMPUTED_VALUE"""),0.0)</f>
        <v>0</v>
      </c>
      <c r="Q516" s="254" t="b">
        <f>VLOOKUP($B516,'Run Reconcile'!B$2:O799,14,FALSE)</f>
        <v>1</v>
      </c>
      <c r="R516" s="255" t="str">
        <f t="array" ref="R516">IF($Q516, INDEX('Run Reconcile'!A$2:A799,MATCH(B516,'Run Reconcile'!B$2:B799,0),1),IFERROR(0/0,""))</f>
        <v>RUN-BEND_2022-02-25_RFR-040</v>
      </c>
      <c r="S516" s="261" t="str">
        <f t="shared" ref="S516:T516" si="1039">IF(COUNTIF(W$2:W799, $A516) &gt; 0,TRUE,IFERROR(0/0,""))</f>
        <v/>
      </c>
      <c r="T516" s="261" t="str">
        <f t="shared" si="1039"/>
        <v/>
      </c>
      <c r="U516" s="257" t="str">
        <f t="array" ref="U516">IF(ISBLANK($R516), INDEX('Run Reconcile'!A$2:A799, MATCH($B516, 'Run Reconcile'!B$2:B799, 0)+Z516, 1), IFERROR(0/0,""))
</f>
        <v/>
      </c>
      <c r="V516" s="258" t="str">
        <f t="shared" si="480"/>
        <v>RUN-BEND_2022-02-25_RFR-040</v>
      </c>
      <c r="Y516" s="130" t="str">
        <f t="shared" si="487"/>
        <v/>
      </c>
      <c r="Z516" s="49" t="str">
        <f t="shared" si="7"/>
        <v/>
      </c>
      <c r="AA516" s="49" t="str">
        <f t="shared" si="8"/>
        <v/>
      </c>
      <c r="AB516" s="49" t="str">
        <f t="shared" si="9"/>
        <v/>
      </c>
      <c r="AC516" s="20" t="str">
        <f t="shared" ref="AC516:AD516" si="1040">IF(_xlfn.ISFORMULA(S516),IFERROR(0/0,""),TRUE)</f>
        <v/>
      </c>
      <c r="AD516" s="20" t="str">
        <f t="shared" si="1040"/>
        <v/>
      </c>
      <c r="AE516" s="43"/>
      <c r="AF516" s="62" t="s">
        <v>62</v>
      </c>
      <c r="AG516" s="57" t="str">
        <f t="shared" si="11"/>
        <v/>
      </c>
    </row>
    <row r="517">
      <c r="A517" s="6" t="str">
        <f>IFERROR(__xludf.DUMMYFUNCTION("""COMPUTED_VALUE"""),"MA1231")</f>
        <v>MA1231</v>
      </c>
      <c r="B517" s="204">
        <f>IFERROR(__xludf.DUMMYFUNCTION("""COMPUTED_VALUE"""),44617.0)</f>
        <v>44617</v>
      </c>
      <c r="C517" s="250">
        <f>IFERROR(__xludf.DUMMYFUNCTION("""COMPUTED_VALUE"""),0.3161921296296296)</f>
        <v>0.3161921296</v>
      </c>
      <c r="D517" s="6" t="str">
        <f>IFERROR(__xludf.DUMMYFUNCTION("""COMPUTED_VALUE"""),"SpBEND587584")</f>
        <v>SpBEND587584</v>
      </c>
      <c r="E517" s="251"/>
      <c r="F517" s="251"/>
      <c r="G517" s="251" t="str">
        <f>IFERROR(__xludf.DUMMYFUNCTION("""COMPUTED_VALUE"""),"Negative")</f>
        <v>Negative</v>
      </c>
      <c r="H517" s="262" t="str">
        <f>IFERROR(__xludf.DUMMYFUNCTION("""COMPUTED_VALUE"""),"Negative")</f>
        <v>Negative</v>
      </c>
      <c r="I517" s="204">
        <f>IFERROR(__xludf.DUMMYFUNCTION("""COMPUTED_VALUE"""),44617.0)</f>
        <v>44617</v>
      </c>
      <c r="J517" s="252">
        <f>IFERROR(__xludf.DUMMYFUNCTION("""COMPUTED_VALUE"""),0.5033680555555555)</f>
        <v>0.5033680556</v>
      </c>
      <c r="K517" s="56"/>
      <c r="L517" s="6"/>
      <c r="M517" s="61"/>
      <c r="N517" s="61">
        <f>IFERROR(__xludf.DUMMYFUNCTION("""COMPUTED_VALUE"""),1.0)</f>
        <v>1</v>
      </c>
      <c r="O517" s="61" t="str">
        <f t="shared" si="3"/>
        <v/>
      </c>
      <c r="P517" s="253">
        <f>IFERROR(__xludf.DUMMYFUNCTION("""COMPUTED_VALUE"""),0.0)</f>
        <v>0</v>
      </c>
      <c r="Q517" s="254" t="b">
        <f>VLOOKUP($B517,'Run Reconcile'!B$2:O799,14,FALSE)</f>
        <v>1</v>
      </c>
      <c r="R517" s="255" t="str">
        <f t="array" ref="R517">IF($Q517, INDEX('Run Reconcile'!A$2:A799,MATCH(B517,'Run Reconcile'!B$2:B799,0),1),IFERROR(0/0,""))</f>
        <v>RUN-BEND_2022-02-25_RFR-040</v>
      </c>
      <c r="S517" s="261" t="str">
        <f t="shared" ref="S517:T517" si="1041">IF(COUNTIF(W$2:W799, $A517) &gt; 0,TRUE,IFERROR(0/0,""))</f>
        <v/>
      </c>
      <c r="T517" s="261" t="str">
        <f t="shared" si="1041"/>
        <v/>
      </c>
      <c r="U517" s="257" t="str">
        <f t="array" ref="U517">IF(ISBLANK($R517), INDEX('Run Reconcile'!A$2:A799, MATCH($B517, 'Run Reconcile'!B$2:B799, 0)+Z517, 1), IFERROR(0/0,""))
</f>
        <v/>
      </c>
      <c r="V517" s="258" t="str">
        <f t="shared" si="480"/>
        <v>RUN-BEND_2022-02-25_RFR-040</v>
      </c>
      <c r="Y517" s="130" t="str">
        <f t="shared" si="487"/>
        <v/>
      </c>
      <c r="Z517" s="49" t="str">
        <f t="shared" si="7"/>
        <v/>
      </c>
      <c r="AA517" s="49" t="str">
        <f t="shared" si="8"/>
        <v/>
      </c>
      <c r="AB517" s="49" t="str">
        <f t="shared" si="9"/>
        <v/>
      </c>
      <c r="AC517" s="20" t="str">
        <f t="shared" ref="AC517:AD517" si="1042">IF(_xlfn.ISFORMULA(S517),IFERROR(0/0,""),TRUE)</f>
        <v/>
      </c>
      <c r="AD517" s="20" t="str">
        <f t="shared" si="1042"/>
        <v/>
      </c>
      <c r="AE517" s="43"/>
      <c r="AF517" s="62" t="s">
        <v>62</v>
      </c>
      <c r="AG517" s="57" t="str">
        <f t="shared" si="11"/>
        <v/>
      </c>
    </row>
    <row r="518">
      <c r="A518" s="6" t="str">
        <f>IFERROR(__xludf.DUMMYFUNCTION("""COMPUTED_VALUE"""),"MA243")</f>
        <v>MA243</v>
      </c>
      <c r="B518" s="204">
        <f>IFERROR(__xludf.DUMMYFUNCTION("""COMPUTED_VALUE"""),44617.0)</f>
        <v>44617</v>
      </c>
      <c r="C518" s="250">
        <f>IFERROR(__xludf.DUMMYFUNCTION("""COMPUTED_VALUE"""),0.31754629629629627)</f>
        <v>0.3175462963</v>
      </c>
      <c r="D518" s="6" t="str">
        <f>IFERROR(__xludf.DUMMYFUNCTION("""COMPUTED_VALUE"""),"SpBEND904348")</f>
        <v>SpBEND904348</v>
      </c>
      <c r="E518" s="251"/>
      <c r="F518" s="251"/>
      <c r="G518" s="251" t="str">
        <f>IFERROR(__xludf.DUMMYFUNCTION("""COMPUTED_VALUE"""),"Negative")</f>
        <v>Negative</v>
      </c>
      <c r="H518" s="262" t="str">
        <f>IFERROR(__xludf.DUMMYFUNCTION("""COMPUTED_VALUE"""),"Negative")</f>
        <v>Negative</v>
      </c>
      <c r="I518" s="204">
        <f>IFERROR(__xludf.DUMMYFUNCTION("""COMPUTED_VALUE"""),44617.0)</f>
        <v>44617</v>
      </c>
      <c r="J518" s="252">
        <f>IFERROR(__xludf.DUMMYFUNCTION("""COMPUTED_VALUE"""),0.5033680555555555)</f>
        <v>0.5033680556</v>
      </c>
      <c r="K518" s="56"/>
      <c r="L518" s="6"/>
      <c r="M518" s="61"/>
      <c r="N518" s="61">
        <f>IFERROR(__xludf.DUMMYFUNCTION("""COMPUTED_VALUE"""),1.0)</f>
        <v>1</v>
      </c>
      <c r="O518" s="61" t="str">
        <f t="shared" si="3"/>
        <v/>
      </c>
      <c r="P518" s="253">
        <f>IFERROR(__xludf.DUMMYFUNCTION("""COMPUTED_VALUE"""),0.0)</f>
        <v>0</v>
      </c>
      <c r="Q518" s="254" t="b">
        <f>VLOOKUP($B518,'Run Reconcile'!B$2:O799,14,FALSE)</f>
        <v>1</v>
      </c>
      <c r="R518" s="255" t="str">
        <f t="array" ref="R518">IF($Q518, INDEX('Run Reconcile'!A$2:A799,MATCH(B518,'Run Reconcile'!B$2:B799,0),1),IFERROR(0/0,""))</f>
        <v>RUN-BEND_2022-02-25_RFR-040</v>
      </c>
      <c r="S518" s="261" t="str">
        <f t="shared" ref="S518:T518" si="1043">IF(COUNTIF(W$2:W799, $A518) &gt; 0,TRUE,IFERROR(0/0,""))</f>
        <v/>
      </c>
      <c r="T518" s="261" t="str">
        <f t="shared" si="1043"/>
        <v/>
      </c>
      <c r="U518" s="257" t="str">
        <f t="array" ref="U518">IF(ISBLANK($R518), INDEX('Run Reconcile'!A$2:A799, MATCH($B518, 'Run Reconcile'!B$2:B799, 0)+Z518, 1), IFERROR(0/0,""))
</f>
        <v/>
      </c>
      <c r="V518" s="258" t="str">
        <f t="shared" si="480"/>
        <v>RUN-BEND_2022-02-25_RFR-040</v>
      </c>
      <c r="Y518" s="130" t="str">
        <f t="shared" si="487"/>
        <v/>
      </c>
      <c r="Z518" s="49" t="str">
        <f t="shared" si="7"/>
        <v/>
      </c>
      <c r="AA518" s="49" t="str">
        <f t="shared" si="8"/>
        <v/>
      </c>
      <c r="AB518" s="49" t="str">
        <f t="shared" si="9"/>
        <v/>
      </c>
      <c r="AC518" s="20" t="str">
        <f t="shared" ref="AC518:AD518" si="1044">IF(_xlfn.ISFORMULA(S518),IFERROR(0/0,""),TRUE)</f>
        <v/>
      </c>
      <c r="AD518" s="20" t="str">
        <f t="shared" si="1044"/>
        <v/>
      </c>
      <c r="AE518" s="43"/>
      <c r="AF518" s="62" t="s">
        <v>62</v>
      </c>
      <c r="AG518" s="57" t="str">
        <f t="shared" si="11"/>
        <v/>
      </c>
    </row>
    <row r="519">
      <c r="A519" s="6" t="str">
        <f>IFERROR(__xludf.DUMMYFUNCTION("""COMPUTED_VALUE"""),"MA1140")</f>
        <v>MA1140</v>
      </c>
      <c r="B519" s="204">
        <f>IFERROR(__xludf.DUMMYFUNCTION("""COMPUTED_VALUE"""),44617.0)</f>
        <v>44617</v>
      </c>
      <c r="C519" s="250">
        <f>IFERROR(__xludf.DUMMYFUNCTION("""COMPUTED_VALUE"""),0.31829861111111113)</f>
        <v>0.3182986111</v>
      </c>
      <c r="D519" s="6" t="str">
        <f>IFERROR(__xludf.DUMMYFUNCTION("""COMPUTED_VALUE"""),"SpBEND548976")</f>
        <v>SpBEND548976</v>
      </c>
      <c r="E519" s="251"/>
      <c r="F519" s="251"/>
      <c r="G519" s="251" t="str">
        <f>IFERROR(__xludf.DUMMYFUNCTION("""COMPUTED_VALUE"""),"Negative")</f>
        <v>Negative</v>
      </c>
      <c r="H519" s="262" t="str">
        <f>IFERROR(__xludf.DUMMYFUNCTION("""COMPUTED_VALUE"""),"Negative")</f>
        <v>Negative</v>
      </c>
      <c r="I519" s="204">
        <f>IFERROR(__xludf.DUMMYFUNCTION("""COMPUTED_VALUE"""),44617.0)</f>
        <v>44617</v>
      </c>
      <c r="J519" s="252">
        <f>IFERROR(__xludf.DUMMYFUNCTION("""COMPUTED_VALUE"""),0.5033680555555555)</f>
        <v>0.5033680556</v>
      </c>
      <c r="K519" s="56"/>
      <c r="L519" s="6"/>
      <c r="M519" s="61"/>
      <c r="N519" s="61">
        <f>IFERROR(__xludf.DUMMYFUNCTION("""COMPUTED_VALUE"""),1.0)</f>
        <v>1</v>
      </c>
      <c r="O519" s="61" t="str">
        <f t="shared" si="3"/>
        <v/>
      </c>
      <c r="P519" s="253">
        <f>IFERROR(__xludf.DUMMYFUNCTION("""COMPUTED_VALUE"""),0.0)</f>
        <v>0</v>
      </c>
      <c r="Q519" s="254" t="b">
        <f>VLOOKUP($B519,'Run Reconcile'!B$2:O799,14,FALSE)</f>
        <v>1</v>
      </c>
      <c r="R519" s="255" t="str">
        <f t="array" ref="R519">IF($Q519, INDEX('Run Reconcile'!A$2:A799,MATCH(B519,'Run Reconcile'!B$2:B799,0),1),IFERROR(0/0,""))</f>
        <v>RUN-BEND_2022-02-25_RFR-040</v>
      </c>
      <c r="S519" s="261" t="str">
        <f t="shared" ref="S519:T519" si="1045">IF(COUNTIF(W$2:W799, $A519) &gt; 0,TRUE,IFERROR(0/0,""))</f>
        <v/>
      </c>
      <c r="T519" s="261" t="str">
        <f t="shared" si="1045"/>
        <v/>
      </c>
      <c r="U519" s="257" t="str">
        <f t="array" ref="U519">IF(ISBLANK($R519), INDEX('Run Reconcile'!A$2:A799, MATCH($B519, 'Run Reconcile'!B$2:B799, 0)+Z519, 1), IFERROR(0/0,""))
</f>
        <v/>
      </c>
      <c r="V519" s="258" t="str">
        <f t="shared" si="480"/>
        <v>RUN-BEND_2022-02-25_RFR-040</v>
      </c>
      <c r="Y519" s="130" t="str">
        <f t="shared" si="487"/>
        <v/>
      </c>
      <c r="Z519" s="49" t="str">
        <f t="shared" si="7"/>
        <v/>
      </c>
      <c r="AA519" s="49" t="str">
        <f t="shared" si="8"/>
        <v/>
      </c>
      <c r="AB519" s="49" t="str">
        <f t="shared" si="9"/>
        <v/>
      </c>
      <c r="AC519" s="20" t="str">
        <f t="shared" ref="AC519:AD519" si="1046">IF(_xlfn.ISFORMULA(S519),IFERROR(0/0,""),TRUE)</f>
        <v/>
      </c>
      <c r="AD519" s="20" t="str">
        <f t="shared" si="1046"/>
        <v/>
      </c>
      <c r="AE519" s="43"/>
      <c r="AF519" s="62" t="s">
        <v>62</v>
      </c>
      <c r="AG519" s="57" t="str">
        <f t="shared" si="11"/>
        <v/>
      </c>
    </row>
    <row r="520">
      <c r="A520" s="6" t="str">
        <f>IFERROR(__xludf.DUMMYFUNCTION("""COMPUTED_VALUE"""),"MA1075")</f>
        <v>MA1075</v>
      </c>
      <c r="B520" s="204">
        <f>IFERROR(__xludf.DUMMYFUNCTION("""COMPUTED_VALUE"""),44617.0)</f>
        <v>44617</v>
      </c>
      <c r="C520" s="250">
        <f>IFERROR(__xludf.DUMMYFUNCTION("""COMPUTED_VALUE"""),0.31871527777777775)</f>
        <v>0.3187152778</v>
      </c>
      <c r="D520" s="6" t="str">
        <f>IFERROR(__xludf.DUMMYFUNCTION("""COMPUTED_VALUE"""),"SpBEND296258")</f>
        <v>SpBEND296258</v>
      </c>
      <c r="E520" s="251"/>
      <c r="F520" s="251"/>
      <c r="G520" s="251" t="str">
        <f>IFERROR(__xludf.DUMMYFUNCTION("""COMPUTED_VALUE"""),"Negative")</f>
        <v>Negative</v>
      </c>
      <c r="H520" s="262" t="str">
        <f>IFERROR(__xludf.DUMMYFUNCTION("""COMPUTED_VALUE"""),"Negative")</f>
        <v>Negative</v>
      </c>
      <c r="I520" s="204">
        <f>IFERROR(__xludf.DUMMYFUNCTION("""COMPUTED_VALUE"""),44617.0)</f>
        <v>44617</v>
      </c>
      <c r="J520" s="252">
        <f>IFERROR(__xludf.DUMMYFUNCTION("""COMPUTED_VALUE"""),0.5033680555555555)</f>
        <v>0.5033680556</v>
      </c>
      <c r="K520" s="56"/>
      <c r="L520" s="6"/>
      <c r="M520" s="61"/>
      <c r="N520" s="61">
        <f>IFERROR(__xludf.DUMMYFUNCTION("""COMPUTED_VALUE"""),1.0)</f>
        <v>1</v>
      </c>
      <c r="O520" s="61" t="str">
        <f t="shared" si="3"/>
        <v/>
      </c>
      <c r="P520" s="253">
        <f>IFERROR(__xludf.DUMMYFUNCTION("""COMPUTED_VALUE"""),0.0)</f>
        <v>0</v>
      </c>
      <c r="Q520" s="254" t="b">
        <f>VLOOKUP($B520,'Run Reconcile'!B$2:O799,14,FALSE)</f>
        <v>1</v>
      </c>
      <c r="R520" s="255" t="str">
        <f t="array" ref="R520">IF($Q520, INDEX('Run Reconcile'!A$2:A799,MATCH(B520,'Run Reconcile'!B$2:B799,0),1),IFERROR(0/0,""))</f>
        <v>RUN-BEND_2022-02-25_RFR-040</v>
      </c>
      <c r="S520" s="261" t="str">
        <f t="shared" ref="S520:T520" si="1047">IF(COUNTIF(W$2:W799, $A520) &gt; 0,TRUE,IFERROR(0/0,""))</f>
        <v/>
      </c>
      <c r="T520" s="261" t="str">
        <f t="shared" si="1047"/>
        <v/>
      </c>
      <c r="U520" s="257" t="str">
        <f t="array" ref="U520">IF(ISBLANK($R520), INDEX('Run Reconcile'!A$2:A799, MATCH($B520, 'Run Reconcile'!B$2:B799, 0)+Z520, 1), IFERROR(0/0,""))
</f>
        <v/>
      </c>
      <c r="V520" s="258" t="str">
        <f t="shared" si="480"/>
        <v>RUN-BEND_2022-02-25_RFR-040</v>
      </c>
      <c r="Y520" s="130" t="str">
        <f t="shared" si="487"/>
        <v/>
      </c>
      <c r="Z520" s="49" t="str">
        <f t="shared" si="7"/>
        <v/>
      </c>
      <c r="AA520" s="49" t="str">
        <f t="shared" si="8"/>
        <v/>
      </c>
      <c r="AB520" s="49" t="str">
        <f t="shared" si="9"/>
        <v/>
      </c>
      <c r="AC520" s="20" t="str">
        <f t="shared" ref="AC520:AD520" si="1048">IF(_xlfn.ISFORMULA(S520),IFERROR(0/0,""),TRUE)</f>
        <v/>
      </c>
      <c r="AD520" s="20" t="str">
        <f t="shared" si="1048"/>
        <v/>
      </c>
      <c r="AE520" s="43"/>
      <c r="AF520" s="62" t="s">
        <v>62</v>
      </c>
      <c r="AG520" s="57" t="str">
        <f t="shared" si="11"/>
        <v/>
      </c>
    </row>
    <row r="521">
      <c r="A521" s="6" t="str">
        <f>IFERROR(__xludf.DUMMYFUNCTION("""COMPUTED_VALUE"""),"FM12")</f>
        <v>FM12</v>
      </c>
      <c r="B521" s="204">
        <f>IFERROR(__xludf.DUMMYFUNCTION("""COMPUTED_VALUE"""),44617.0)</f>
        <v>44617</v>
      </c>
      <c r="C521" s="250">
        <f>IFERROR(__xludf.DUMMYFUNCTION("""COMPUTED_VALUE"""),0.3202199074074074)</f>
        <v>0.3202199074</v>
      </c>
      <c r="D521" s="6" t="str">
        <f>IFERROR(__xludf.DUMMYFUNCTION("""COMPUTED_VALUE"""),"SpBEND425753")</f>
        <v>SpBEND425753</v>
      </c>
      <c r="E521" s="251"/>
      <c r="F521" s="251"/>
      <c r="G521" s="251" t="str">
        <f>IFERROR(__xludf.DUMMYFUNCTION("""COMPUTED_VALUE"""),"Negative")</f>
        <v>Negative</v>
      </c>
      <c r="H521" s="262" t="str">
        <f>IFERROR(__xludf.DUMMYFUNCTION("""COMPUTED_VALUE"""),"Negative")</f>
        <v>Negative</v>
      </c>
      <c r="I521" s="204">
        <f>IFERROR(__xludf.DUMMYFUNCTION("""COMPUTED_VALUE"""),44617.0)</f>
        <v>44617</v>
      </c>
      <c r="J521" s="252">
        <f>IFERROR(__xludf.DUMMYFUNCTION("""COMPUTED_VALUE"""),0.5033680555555555)</f>
        <v>0.5033680556</v>
      </c>
      <c r="K521" s="56"/>
      <c r="L521" s="6"/>
      <c r="M521" s="61"/>
      <c r="N521" s="61">
        <f>IFERROR(__xludf.DUMMYFUNCTION("""COMPUTED_VALUE"""),1.0)</f>
        <v>1</v>
      </c>
      <c r="O521" s="61" t="str">
        <f t="shared" si="3"/>
        <v/>
      </c>
      <c r="P521" s="253">
        <f>IFERROR(__xludf.DUMMYFUNCTION("""COMPUTED_VALUE"""),0.0)</f>
        <v>0</v>
      </c>
      <c r="Q521" s="254" t="b">
        <f>VLOOKUP($B521,'Run Reconcile'!B$2:O799,14,FALSE)</f>
        <v>1</v>
      </c>
      <c r="R521" s="255" t="str">
        <f t="array" ref="R521">IF($Q521, INDEX('Run Reconcile'!A$2:A799,MATCH(B521,'Run Reconcile'!B$2:B799,0),1),IFERROR(0/0,""))</f>
        <v>RUN-BEND_2022-02-25_RFR-040</v>
      </c>
      <c r="S521" s="261" t="str">
        <f t="shared" ref="S521:T521" si="1049">IF(COUNTIF(W$2:W799, $A521) &gt; 0,TRUE,IFERROR(0/0,""))</f>
        <v/>
      </c>
      <c r="T521" s="261" t="str">
        <f t="shared" si="1049"/>
        <v/>
      </c>
      <c r="U521" s="257" t="str">
        <f t="array" ref="U521">IF(ISBLANK($R521), INDEX('Run Reconcile'!A$2:A799, MATCH($B521, 'Run Reconcile'!B$2:B799, 0)+Z521, 1), IFERROR(0/0,""))
</f>
        <v/>
      </c>
      <c r="V521" s="258" t="str">
        <f t="shared" si="480"/>
        <v>RUN-BEND_2022-02-25_RFR-040</v>
      </c>
      <c r="Y521" s="130" t="str">
        <f t="shared" si="487"/>
        <v/>
      </c>
      <c r="Z521" s="49" t="str">
        <f t="shared" si="7"/>
        <v/>
      </c>
      <c r="AA521" s="49" t="str">
        <f t="shared" si="8"/>
        <v/>
      </c>
      <c r="AB521" s="49" t="str">
        <f t="shared" si="9"/>
        <v/>
      </c>
      <c r="AC521" s="20" t="str">
        <f t="shared" ref="AC521:AD521" si="1050">IF(_xlfn.ISFORMULA(S521),IFERROR(0/0,""),TRUE)</f>
        <v/>
      </c>
      <c r="AD521" s="20" t="str">
        <f t="shared" si="1050"/>
        <v/>
      </c>
      <c r="AE521" s="43"/>
      <c r="AF521" s="62" t="s">
        <v>62</v>
      </c>
      <c r="AG521" s="57" t="str">
        <f t="shared" si="11"/>
        <v/>
      </c>
    </row>
    <row r="522">
      <c r="A522" s="6" t="str">
        <f>IFERROR(__xludf.DUMMYFUNCTION("""COMPUTED_VALUE"""),"MA1039")</f>
        <v>MA1039</v>
      </c>
      <c r="B522" s="204">
        <f>IFERROR(__xludf.DUMMYFUNCTION("""COMPUTED_VALUE"""),44617.0)</f>
        <v>44617</v>
      </c>
      <c r="C522" s="250">
        <f>IFERROR(__xludf.DUMMYFUNCTION("""COMPUTED_VALUE"""),0.32024305555555554)</f>
        <v>0.3202430556</v>
      </c>
      <c r="D522" s="6" t="str">
        <f>IFERROR(__xludf.DUMMYFUNCTION("""COMPUTED_VALUE"""),"SpBEND980783")</f>
        <v>SpBEND980783</v>
      </c>
      <c r="E522" s="251"/>
      <c r="F522" s="251"/>
      <c r="G522" s="251" t="str">
        <f>IFERROR(__xludf.DUMMYFUNCTION("""COMPUTED_VALUE"""),"Negative")</f>
        <v>Negative</v>
      </c>
      <c r="H522" s="262" t="str">
        <f>IFERROR(__xludf.DUMMYFUNCTION("""COMPUTED_VALUE"""),"Negative")</f>
        <v>Negative</v>
      </c>
      <c r="I522" s="204">
        <f>IFERROR(__xludf.DUMMYFUNCTION("""COMPUTED_VALUE"""),44617.0)</f>
        <v>44617</v>
      </c>
      <c r="J522" s="252">
        <f>IFERROR(__xludf.DUMMYFUNCTION("""COMPUTED_VALUE"""),0.5033680555555555)</f>
        <v>0.5033680556</v>
      </c>
      <c r="K522" s="56"/>
      <c r="L522" s="6"/>
      <c r="M522" s="61"/>
      <c r="N522" s="61">
        <f>IFERROR(__xludf.DUMMYFUNCTION("""COMPUTED_VALUE"""),1.0)</f>
        <v>1</v>
      </c>
      <c r="O522" s="61" t="str">
        <f t="shared" si="3"/>
        <v/>
      </c>
      <c r="P522" s="253">
        <f>IFERROR(__xludf.DUMMYFUNCTION("""COMPUTED_VALUE"""),0.0)</f>
        <v>0</v>
      </c>
      <c r="Q522" s="254" t="b">
        <f>VLOOKUP($B522,'Run Reconcile'!B$2:O799,14,FALSE)</f>
        <v>1</v>
      </c>
      <c r="R522" s="255" t="str">
        <f t="array" ref="R522">IF($Q522, INDEX('Run Reconcile'!A$2:A799,MATCH(B522,'Run Reconcile'!B$2:B799,0),1),IFERROR(0/0,""))</f>
        <v>RUN-BEND_2022-02-25_RFR-040</v>
      </c>
      <c r="S522" s="261" t="str">
        <f t="shared" ref="S522:T522" si="1051">IF(COUNTIF(W$2:W799, $A522) &gt; 0,TRUE,IFERROR(0/0,""))</f>
        <v/>
      </c>
      <c r="T522" s="261" t="str">
        <f t="shared" si="1051"/>
        <v/>
      </c>
      <c r="U522" s="257" t="str">
        <f t="array" ref="U522">IF(ISBLANK($R522), INDEX('Run Reconcile'!A$2:A799, MATCH($B522, 'Run Reconcile'!B$2:B799, 0)+Z522, 1), IFERROR(0/0,""))
</f>
        <v/>
      </c>
      <c r="V522" s="258" t="str">
        <f t="shared" si="480"/>
        <v>RUN-BEND_2022-02-25_RFR-040</v>
      </c>
      <c r="Y522" s="130" t="str">
        <f t="shared" si="487"/>
        <v/>
      </c>
      <c r="Z522" s="49" t="str">
        <f t="shared" si="7"/>
        <v/>
      </c>
      <c r="AA522" s="49" t="str">
        <f t="shared" si="8"/>
        <v/>
      </c>
      <c r="AB522" s="49" t="str">
        <f t="shared" si="9"/>
        <v/>
      </c>
      <c r="AC522" s="20" t="str">
        <f t="shared" ref="AC522:AD522" si="1052">IF(_xlfn.ISFORMULA(S522),IFERROR(0/0,""),TRUE)</f>
        <v/>
      </c>
      <c r="AD522" s="20" t="str">
        <f t="shared" si="1052"/>
        <v/>
      </c>
      <c r="AE522" s="43"/>
      <c r="AF522" s="62" t="s">
        <v>62</v>
      </c>
      <c r="AG522" s="57" t="str">
        <f t="shared" si="11"/>
        <v/>
      </c>
    </row>
    <row r="523">
      <c r="A523" s="6" t="str">
        <f>IFERROR(__xludf.DUMMYFUNCTION("""COMPUTED_VALUE"""),"FM793")</f>
        <v>FM793</v>
      </c>
      <c r="B523" s="204">
        <f>IFERROR(__xludf.DUMMYFUNCTION("""COMPUTED_VALUE"""),44617.0)</f>
        <v>44617</v>
      </c>
      <c r="C523" s="250">
        <f>IFERROR(__xludf.DUMMYFUNCTION("""COMPUTED_VALUE"""),0.32025462962962964)</f>
        <v>0.3202546296</v>
      </c>
      <c r="D523" s="6" t="str">
        <f>IFERROR(__xludf.DUMMYFUNCTION("""COMPUTED_VALUE"""),"SpBEND305944")</f>
        <v>SpBEND305944</v>
      </c>
      <c r="E523" s="251"/>
      <c r="F523" s="251"/>
      <c r="G523" s="251" t="str">
        <f>IFERROR(__xludf.DUMMYFUNCTION("""COMPUTED_VALUE"""),"Negative")</f>
        <v>Negative</v>
      </c>
      <c r="H523" s="262" t="str">
        <f>IFERROR(__xludf.DUMMYFUNCTION("""COMPUTED_VALUE"""),"Negative")</f>
        <v>Negative</v>
      </c>
      <c r="I523" s="204">
        <f>IFERROR(__xludf.DUMMYFUNCTION("""COMPUTED_VALUE"""),44617.0)</f>
        <v>44617</v>
      </c>
      <c r="J523" s="252">
        <f>IFERROR(__xludf.DUMMYFUNCTION("""COMPUTED_VALUE"""),0.5033796296296297)</f>
        <v>0.5033796296</v>
      </c>
      <c r="K523" s="56"/>
      <c r="L523" s="6"/>
      <c r="M523" s="61"/>
      <c r="N523" s="61">
        <f>IFERROR(__xludf.DUMMYFUNCTION("""COMPUTED_VALUE"""),1.0)</f>
        <v>1</v>
      </c>
      <c r="O523" s="61" t="str">
        <f t="shared" si="3"/>
        <v/>
      </c>
      <c r="P523" s="253">
        <f>IFERROR(__xludf.DUMMYFUNCTION("""COMPUTED_VALUE"""),0.0)</f>
        <v>0</v>
      </c>
      <c r="Q523" s="254" t="b">
        <f>VLOOKUP($B523,'Run Reconcile'!B$2:O799,14,FALSE)</f>
        <v>1</v>
      </c>
      <c r="R523" s="255" t="str">
        <f t="array" ref="R523">IF($Q523, INDEX('Run Reconcile'!A$2:A799,MATCH(B523,'Run Reconcile'!B$2:B799,0),1),IFERROR(0/0,""))</f>
        <v>RUN-BEND_2022-02-25_RFR-040</v>
      </c>
      <c r="S523" s="261" t="str">
        <f t="shared" ref="S523:T523" si="1053">IF(COUNTIF(W$2:W799, $A523) &gt; 0,TRUE,IFERROR(0/0,""))</f>
        <v/>
      </c>
      <c r="T523" s="261" t="str">
        <f t="shared" si="1053"/>
        <v/>
      </c>
      <c r="U523" s="257" t="str">
        <f t="array" ref="U523">IF(ISBLANK($R523), INDEX('Run Reconcile'!A$2:A799, MATCH($B523, 'Run Reconcile'!B$2:B799, 0)+Z523, 1), IFERROR(0/0,""))
</f>
        <v/>
      </c>
      <c r="V523" s="258" t="str">
        <f t="shared" si="480"/>
        <v>RUN-BEND_2022-02-25_RFR-040</v>
      </c>
      <c r="Y523" s="130" t="str">
        <f t="shared" si="487"/>
        <v/>
      </c>
      <c r="Z523" s="49" t="str">
        <f t="shared" si="7"/>
        <v/>
      </c>
      <c r="AA523" s="49" t="str">
        <f t="shared" si="8"/>
        <v/>
      </c>
      <c r="AB523" s="49" t="str">
        <f t="shared" si="9"/>
        <v/>
      </c>
      <c r="AC523" s="20" t="str">
        <f t="shared" ref="AC523:AD523" si="1054">IF(_xlfn.ISFORMULA(S523),IFERROR(0/0,""),TRUE)</f>
        <v/>
      </c>
      <c r="AD523" s="20" t="str">
        <f t="shared" si="1054"/>
        <v/>
      </c>
      <c r="AE523" s="43"/>
      <c r="AF523" s="62" t="s">
        <v>62</v>
      </c>
      <c r="AG523" s="57" t="str">
        <f t="shared" si="11"/>
        <v/>
      </c>
    </row>
    <row r="524">
      <c r="A524" s="6" t="str">
        <f>IFERROR(__xludf.DUMMYFUNCTION("""COMPUTED_VALUE"""),"FM463")</f>
        <v>FM463</v>
      </c>
      <c r="B524" s="204">
        <f>IFERROR(__xludf.DUMMYFUNCTION("""COMPUTED_VALUE"""),44617.0)</f>
        <v>44617</v>
      </c>
      <c r="C524" s="250">
        <f>IFERROR(__xludf.DUMMYFUNCTION("""COMPUTED_VALUE"""),0.3203472222222222)</f>
        <v>0.3203472222</v>
      </c>
      <c r="D524" s="6" t="str">
        <f>IFERROR(__xludf.DUMMYFUNCTION("""COMPUTED_VALUE"""),"SpBEND436062")</f>
        <v>SpBEND436062</v>
      </c>
      <c r="E524" s="251"/>
      <c r="F524" s="251"/>
      <c r="G524" s="251" t="str">
        <f>IFERROR(__xludf.DUMMYFUNCTION("""COMPUTED_VALUE"""),"Negative")</f>
        <v>Negative</v>
      </c>
      <c r="H524" s="262" t="str">
        <f>IFERROR(__xludf.DUMMYFUNCTION("""COMPUTED_VALUE"""),"Negative")</f>
        <v>Negative</v>
      </c>
      <c r="I524" s="204">
        <f>IFERROR(__xludf.DUMMYFUNCTION("""COMPUTED_VALUE"""),44617.0)</f>
        <v>44617</v>
      </c>
      <c r="J524" s="252">
        <f>IFERROR(__xludf.DUMMYFUNCTION("""COMPUTED_VALUE"""),0.5033680555555555)</f>
        <v>0.5033680556</v>
      </c>
      <c r="K524" s="56"/>
      <c r="L524" s="6"/>
      <c r="M524" s="61"/>
      <c r="N524" s="61">
        <f>IFERROR(__xludf.DUMMYFUNCTION("""COMPUTED_VALUE"""),1.0)</f>
        <v>1</v>
      </c>
      <c r="O524" s="61" t="str">
        <f t="shared" si="3"/>
        <v/>
      </c>
      <c r="P524" s="253">
        <f>IFERROR(__xludf.DUMMYFUNCTION("""COMPUTED_VALUE"""),0.0)</f>
        <v>0</v>
      </c>
      <c r="Q524" s="254" t="b">
        <f>VLOOKUP($B524,'Run Reconcile'!B$2:O799,14,FALSE)</f>
        <v>1</v>
      </c>
      <c r="R524" s="255" t="str">
        <f t="array" ref="R524">IF($Q524, INDEX('Run Reconcile'!A$2:A799,MATCH(B524,'Run Reconcile'!B$2:B799,0),1),IFERROR(0/0,""))</f>
        <v>RUN-BEND_2022-02-25_RFR-040</v>
      </c>
      <c r="S524" s="261" t="str">
        <f t="shared" ref="S524:T524" si="1055">IF(COUNTIF(W$2:W799, $A524) &gt; 0,TRUE,IFERROR(0/0,""))</f>
        <v/>
      </c>
      <c r="T524" s="261" t="str">
        <f t="shared" si="1055"/>
        <v/>
      </c>
      <c r="U524" s="257" t="str">
        <f t="array" ref="U524">IF(ISBLANK($R524), INDEX('Run Reconcile'!A$2:A799, MATCH($B524, 'Run Reconcile'!B$2:B799, 0)+Z524, 1), IFERROR(0/0,""))
</f>
        <v/>
      </c>
      <c r="V524" s="258" t="str">
        <f t="shared" si="480"/>
        <v>RUN-BEND_2022-02-25_RFR-040</v>
      </c>
      <c r="Y524" s="130" t="str">
        <f t="shared" si="487"/>
        <v/>
      </c>
      <c r="Z524" s="49" t="str">
        <f t="shared" si="7"/>
        <v/>
      </c>
      <c r="AA524" s="49" t="str">
        <f t="shared" si="8"/>
        <v/>
      </c>
      <c r="AB524" s="49" t="str">
        <f t="shared" si="9"/>
        <v/>
      </c>
      <c r="AC524" s="20" t="str">
        <f t="shared" ref="AC524:AD524" si="1056">IF(_xlfn.ISFORMULA(S524),IFERROR(0/0,""),TRUE)</f>
        <v/>
      </c>
      <c r="AD524" s="20" t="str">
        <f t="shared" si="1056"/>
        <v/>
      </c>
      <c r="AE524" s="43"/>
      <c r="AF524" s="62" t="s">
        <v>62</v>
      </c>
      <c r="AG524" s="57" t="str">
        <f t="shared" si="11"/>
        <v/>
      </c>
    </row>
    <row r="525">
      <c r="A525" s="6" t="str">
        <f>IFERROR(__xludf.DUMMYFUNCTION("""COMPUTED_VALUE"""),"FM425")</f>
        <v>FM425</v>
      </c>
      <c r="B525" s="204">
        <f>IFERROR(__xludf.DUMMYFUNCTION("""COMPUTED_VALUE"""),44617.0)</f>
        <v>44617</v>
      </c>
      <c r="C525" s="250">
        <f>IFERROR(__xludf.DUMMYFUNCTION("""COMPUTED_VALUE"""),0.32081018518518517)</f>
        <v>0.3208101852</v>
      </c>
      <c r="D525" s="6" t="str">
        <f>IFERROR(__xludf.DUMMYFUNCTION("""COMPUTED_VALUE"""),"SpBEND436062")</f>
        <v>SpBEND436062</v>
      </c>
      <c r="E525" s="251"/>
      <c r="F525" s="251"/>
      <c r="G525" s="251" t="str">
        <f>IFERROR(__xludf.DUMMYFUNCTION("""COMPUTED_VALUE"""),"Negative")</f>
        <v>Negative</v>
      </c>
      <c r="H525" s="262" t="str">
        <f>IFERROR(__xludf.DUMMYFUNCTION("""COMPUTED_VALUE"""),"Negative")</f>
        <v>Negative</v>
      </c>
      <c r="I525" s="204">
        <f>IFERROR(__xludf.DUMMYFUNCTION("""COMPUTED_VALUE"""),44617.0)</f>
        <v>44617</v>
      </c>
      <c r="J525" s="252">
        <f>IFERROR(__xludf.DUMMYFUNCTION("""COMPUTED_VALUE"""),0.5033796296296297)</f>
        <v>0.5033796296</v>
      </c>
      <c r="K525" s="56"/>
      <c r="L525" s="6"/>
      <c r="M525" s="61"/>
      <c r="N525" s="61">
        <f>IFERROR(__xludf.DUMMYFUNCTION("""COMPUTED_VALUE"""),1.0)</f>
        <v>1</v>
      </c>
      <c r="O525" s="61" t="str">
        <f t="shared" si="3"/>
        <v/>
      </c>
      <c r="P525" s="253">
        <f>IFERROR(__xludf.DUMMYFUNCTION("""COMPUTED_VALUE"""),0.0)</f>
        <v>0</v>
      </c>
      <c r="Q525" s="254" t="b">
        <f>VLOOKUP($B525,'Run Reconcile'!B$2:O799,14,FALSE)</f>
        <v>1</v>
      </c>
      <c r="R525" s="255" t="str">
        <f t="array" ref="R525">IF($Q525, INDEX('Run Reconcile'!A$2:A799,MATCH(B525,'Run Reconcile'!B$2:B799,0),1),IFERROR(0/0,""))</f>
        <v>RUN-BEND_2022-02-25_RFR-040</v>
      </c>
      <c r="S525" s="261" t="str">
        <f t="shared" ref="S525:T525" si="1057">IF(COUNTIF(W$2:W799, $A525) &gt; 0,TRUE,IFERROR(0/0,""))</f>
        <v/>
      </c>
      <c r="T525" s="261" t="str">
        <f t="shared" si="1057"/>
        <v/>
      </c>
      <c r="U525" s="257" t="str">
        <f t="array" ref="U525">IF(ISBLANK($R525), INDEX('Run Reconcile'!A$2:A799, MATCH($B525, 'Run Reconcile'!B$2:B799, 0)+Z525, 1), IFERROR(0/0,""))
</f>
        <v/>
      </c>
      <c r="V525" s="258" t="str">
        <f t="shared" si="480"/>
        <v>RUN-BEND_2022-02-25_RFR-040</v>
      </c>
      <c r="Y525" s="130" t="str">
        <f t="shared" si="487"/>
        <v/>
      </c>
      <c r="Z525" s="49" t="str">
        <f t="shared" si="7"/>
        <v/>
      </c>
      <c r="AA525" s="49" t="str">
        <f t="shared" si="8"/>
        <v/>
      </c>
      <c r="AB525" s="49" t="str">
        <f t="shared" si="9"/>
        <v/>
      </c>
      <c r="AC525" s="20" t="str">
        <f t="shared" ref="AC525:AD525" si="1058">IF(_xlfn.ISFORMULA(S525),IFERROR(0/0,""),TRUE)</f>
        <v/>
      </c>
      <c r="AD525" s="20" t="str">
        <f t="shared" si="1058"/>
        <v/>
      </c>
      <c r="AE525" s="43"/>
      <c r="AF525" s="62" t="s">
        <v>62</v>
      </c>
      <c r="AG525" s="57" t="str">
        <f t="shared" si="11"/>
        <v/>
      </c>
    </row>
    <row r="526">
      <c r="A526" s="6" t="str">
        <f>IFERROR(__xludf.DUMMYFUNCTION("""COMPUTED_VALUE"""),"FM456")</f>
        <v>FM456</v>
      </c>
      <c r="B526" s="204">
        <f>IFERROR(__xludf.DUMMYFUNCTION("""COMPUTED_VALUE"""),44617.0)</f>
        <v>44617</v>
      </c>
      <c r="C526" s="250">
        <f>IFERROR(__xludf.DUMMYFUNCTION("""COMPUTED_VALUE"""),0.3227083333333333)</f>
        <v>0.3227083333</v>
      </c>
      <c r="D526" s="6" t="str">
        <f>IFERROR(__xludf.DUMMYFUNCTION("""COMPUTED_VALUE"""),"SpBEND551372")</f>
        <v>SpBEND551372</v>
      </c>
      <c r="E526" s="251"/>
      <c r="F526" s="251"/>
      <c r="G526" s="251" t="str">
        <f>IFERROR(__xludf.DUMMYFUNCTION("""COMPUTED_VALUE"""),"Negative")</f>
        <v>Negative</v>
      </c>
      <c r="H526" s="262" t="str">
        <f>IFERROR(__xludf.DUMMYFUNCTION("""COMPUTED_VALUE"""),"Negative")</f>
        <v>Negative</v>
      </c>
      <c r="I526" s="204">
        <f>IFERROR(__xludf.DUMMYFUNCTION("""COMPUTED_VALUE"""),44617.0)</f>
        <v>44617</v>
      </c>
      <c r="J526" s="252">
        <f>IFERROR(__xludf.DUMMYFUNCTION("""COMPUTED_VALUE"""),0.5033796296296297)</f>
        <v>0.5033796296</v>
      </c>
      <c r="K526" s="56"/>
      <c r="L526" s="6"/>
      <c r="M526" s="61"/>
      <c r="N526" s="61">
        <f>IFERROR(__xludf.DUMMYFUNCTION("""COMPUTED_VALUE"""),1.0)</f>
        <v>1</v>
      </c>
      <c r="O526" s="61" t="str">
        <f t="shared" si="3"/>
        <v/>
      </c>
      <c r="P526" s="253">
        <f>IFERROR(__xludf.DUMMYFUNCTION("""COMPUTED_VALUE"""),0.0)</f>
        <v>0</v>
      </c>
      <c r="Q526" s="254" t="b">
        <f>VLOOKUP($B526,'Run Reconcile'!B$2:O799,14,FALSE)</f>
        <v>1</v>
      </c>
      <c r="R526" s="255" t="str">
        <f t="array" ref="R526">IF($Q526, INDEX('Run Reconcile'!A$2:A799,MATCH(B526,'Run Reconcile'!B$2:B799,0),1),IFERROR(0/0,""))</f>
        <v>RUN-BEND_2022-02-25_RFR-040</v>
      </c>
      <c r="S526" s="261" t="str">
        <f t="shared" ref="S526:T526" si="1059">IF(COUNTIF(W$2:W799, $A526) &gt; 0,TRUE,IFERROR(0/0,""))</f>
        <v/>
      </c>
      <c r="T526" s="261" t="str">
        <f t="shared" si="1059"/>
        <v/>
      </c>
      <c r="U526" s="257" t="str">
        <f t="array" ref="U526">IF(ISBLANK($R526), INDEX('Run Reconcile'!A$2:A799, MATCH($B526, 'Run Reconcile'!B$2:B799, 0)+Z526, 1), IFERROR(0/0,""))
</f>
        <v/>
      </c>
      <c r="V526" s="258" t="str">
        <f t="shared" si="480"/>
        <v>RUN-BEND_2022-02-25_RFR-040</v>
      </c>
      <c r="Y526" s="130" t="str">
        <f t="shared" si="487"/>
        <v/>
      </c>
      <c r="Z526" s="49" t="str">
        <f t="shared" si="7"/>
        <v/>
      </c>
      <c r="AA526" s="49" t="str">
        <f t="shared" si="8"/>
        <v/>
      </c>
      <c r="AB526" s="49" t="str">
        <f t="shared" si="9"/>
        <v/>
      </c>
      <c r="AC526" s="20" t="str">
        <f t="shared" ref="AC526:AD526" si="1060">IF(_xlfn.ISFORMULA(S526),IFERROR(0/0,""),TRUE)</f>
        <v/>
      </c>
      <c r="AD526" s="20" t="str">
        <f t="shared" si="1060"/>
        <v/>
      </c>
      <c r="AE526" s="43"/>
      <c r="AF526" s="62" t="s">
        <v>62</v>
      </c>
      <c r="AG526" s="57" t="str">
        <f t="shared" si="11"/>
        <v/>
      </c>
    </row>
    <row r="527">
      <c r="A527" s="6" t="str">
        <f>IFERROR(__xludf.DUMMYFUNCTION("""COMPUTED_VALUE"""),"MA1187")</f>
        <v>MA1187</v>
      </c>
      <c r="B527" s="204">
        <f>IFERROR(__xludf.DUMMYFUNCTION("""COMPUTED_VALUE"""),44617.0)</f>
        <v>44617</v>
      </c>
      <c r="C527" s="250">
        <f>IFERROR(__xludf.DUMMYFUNCTION("""COMPUTED_VALUE"""),0.32384259259259257)</f>
        <v>0.3238425926</v>
      </c>
      <c r="D527" s="6" t="str">
        <f>IFERROR(__xludf.DUMMYFUNCTION("""COMPUTED_VALUE"""),"SpBEND319298")</f>
        <v>SpBEND319298</v>
      </c>
      <c r="E527" s="251"/>
      <c r="F527" s="251"/>
      <c r="G527" s="251" t="str">
        <f>IFERROR(__xludf.DUMMYFUNCTION("""COMPUTED_VALUE"""),"Negative")</f>
        <v>Negative</v>
      </c>
      <c r="H527" s="262" t="str">
        <f>IFERROR(__xludf.DUMMYFUNCTION("""COMPUTED_VALUE"""),"Negative")</f>
        <v>Negative</v>
      </c>
      <c r="I527" s="204">
        <f>IFERROR(__xludf.DUMMYFUNCTION("""COMPUTED_VALUE"""),44617.0)</f>
        <v>44617</v>
      </c>
      <c r="J527" s="252">
        <f>IFERROR(__xludf.DUMMYFUNCTION("""COMPUTED_VALUE"""),0.5033796296296297)</f>
        <v>0.5033796296</v>
      </c>
      <c r="K527" s="56"/>
      <c r="L527" s="6"/>
      <c r="M527" s="61"/>
      <c r="N527" s="61">
        <f>IFERROR(__xludf.DUMMYFUNCTION("""COMPUTED_VALUE"""),1.0)</f>
        <v>1</v>
      </c>
      <c r="O527" s="61" t="str">
        <f t="shared" si="3"/>
        <v/>
      </c>
      <c r="P527" s="253">
        <f>IFERROR(__xludf.DUMMYFUNCTION("""COMPUTED_VALUE"""),0.0)</f>
        <v>0</v>
      </c>
      <c r="Q527" s="254" t="b">
        <f>VLOOKUP($B527,'Run Reconcile'!B$2:O799,14,FALSE)</f>
        <v>1</v>
      </c>
      <c r="R527" s="255" t="str">
        <f t="array" ref="R527">IF($Q527, INDEX('Run Reconcile'!A$2:A799,MATCH(B527,'Run Reconcile'!B$2:B799,0),1),IFERROR(0/0,""))</f>
        <v>RUN-BEND_2022-02-25_RFR-040</v>
      </c>
      <c r="S527" s="261" t="str">
        <f t="shared" ref="S527:T527" si="1061">IF(COUNTIF(W$2:W799, $A527) &gt; 0,TRUE,IFERROR(0/0,""))</f>
        <v/>
      </c>
      <c r="T527" s="261" t="str">
        <f t="shared" si="1061"/>
        <v/>
      </c>
      <c r="U527" s="257" t="str">
        <f t="array" ref="U527">IF(ISBLANK($R527), INDEX('Run Reconcile'!A$2:A799, MATCH($B527, 'Run Reconcile'!B$2:B799, 0)+Z527, 1), IFERROR(0/0,""))
</f>
        <v/>
      </c>
      <c r="V527" s="258" t="str">
        <f t="shared" si="480"/>
        <v>RUN-BEND_2022-02-25_RFR-040</v>
      </c>
      <c r="Y527" s="130" t="str">
        <f t="shared" si="487"/>
        <v/>
      </c>
      <c r="Z527" s="49" t="str">
        <f t="shared" si="7"/>
        <v/>
      </c>
      <c r="AA527" s="49" t="str">
        <f t="shared" si="8"/>
        <v/>
      </c>
      <c r="AB527" s="49" t="str">
        <f t="shared" si="9"/>
        <v/>
      </c>
      <c r="AC527" s="20" t="str">
        <f t="shared" ref="AC527:AD527" si="1062">IF(_xlfn.ISFORMULA(S527),IFERROR(0/0,""),TRUE)</f>
        <v/>
      </c>
      <c r="AD527" s="20" t="str">
        <f t="shared" si="1062"/>
        <v/>
      </c>
      <c r="AE527" s="43"/>
      <c r="AF527" s="62" t="s">
        <v>62</v>
      </c>
      <c r="AG527" s="57" t="str">
        <f t="shared" si="11"/>
        <v/>
      </c>
    </row>
    <row r="528">
      <c r="A528" s="6" t="str">
        <f>IFERROR(__xludf.DUMMYFUNCTION("""COMPUTED_VALUE"""),"FM479")</f>
        <v>FM479</v>
      </c>
      <c r="B528" s="204">
        <f>IFERROR(__xludf.DUMMYFUNCTION("""COMPUTED_VALUE"""),44617.0)</f>
        <v>44617</v>
      </c>
      <c r="C528" s="250">
        <f>IFERROR(__xludf.DUMMYFUNCTION("""COMPUTED_VALUE"""),0.3297453703703704)</f>
        <v>0.3297453704</v>
      </c>
      <c r="D528" s="6" t="str">
        <f>IFERROR(__xludf.DUMMYFUNCTION("""COMPUTED_VALUE"""),"SpBEND406814")</f>
        <v>SpBEND406814</v>
      </c>
      <c r="E528" s="251"/>
      <c r="F528" s="251"/>
      <c r="G528" s="251" t="str">
        <f>IFERROR(__xludf.DUMMYFUNCTION("""COMPUTED_VALUE"""),"Negative")</f>
        <v>Negative</v>
      </c>
      <c r="H528" s="262" t="str">
        <f>IFERROR(__xludf.DUMMYFUNCTION("""COMPUTED_VALUE"""),"Negative")</f>
        <v>Negative</v>
      </c>
      <c r="I528" s="204">
        <f>IFERROR(__xludf.DUMMYFUNCTION("""COMPUTED_VALUE"""),44617.0)</f>
        <v>44617</v>
      </c>
      <c r="J528" s="252">
        <f>IFERROR(__xludf.DUMMYFUNCTION("""COMPUTED_VALUE"""),0.5033796296296297)</f>
        <v>0.5033796296</v>
      </c>
      <c r="K528" s="56"/>
      <c r="L528" s="6"/>
      <c r="M528" s="61"/>
      <c r="N528" s="61">
        <f>IFERROR(__xludf.DUMMYFUNCTION("""COMPUTED_VALUE"""),1.0)</f>
        <v>1</v>
      </c>
      <c r="O528" s="61" t="str">
        <f t="shared" si="3"/>
        <v/>
      </c>
      <c r="P528" s="253">
        <f>IFERROR(__xludf.DUMMYFUNCTION("""COMPUTED_VALUE"""),0.0)</f>
        <v>0</v>
      </c>
      <c r="Q528" s="254" t="b">
        <f>VLOOKUP($B528,'Run Reconcile'!B$2:O799,14,FALSE)</f>
        <v>1</v>
      </c>
      <c r="R528" s="255" t="str">
        <f t="array" ref="R528">IF($Q528, INDEX('Run Reconcile'!A$2:A799,MATCH(B528,'Run Reconcile'!B$2:B799,0),1),IFERROR(0/0,""))</f>
        <v>RUN-BEND_2022-02-25_RFR-040</v>
      </c>
      <c r="S528" s="261" t="str">
        <f t="shared" ref="S528:T528" si="1063">IF(COUNTIF(W$2:W799, $A528) &gt; 0,TRUE,IFERROR(0/0,""))</f>
        <v/>
      </c>
      <c r="T528" s="261" t="str">
        <f t="shared" si="1063"/>
        <v/>
      </c>
      <c r="U528" s="257" t="str">
        <f t="array" ref="U528">IF(ISBLANK($R528), INDEX('Run Reconcile'!A$2:A799, MATCH($B528, 'Run Reconcile'!B$2:B799, 0)+Z528, 1), IFERROR(0/0,""))
</f>
        <v/>
      </c>
      <c r="V528" s="258" t="str">
        <f t="shared" si="480"/>
        <v>RUN-BEND_2022-02-25_RFR-040</v>
      </c>
      <c r="Y528" s="130" t="str">
        <f t="shared" si="487"/>
        <v/>
      </c>
      <c r="Z528" s="49" t="str">
        <f t="shared" si="7"/>
        <v/>
      </c>
      <c r="AA528" s="49" t="str">
        <f t="shared" si="8"/>
        <v/>
      </c>
      <c r="AB528" s="49" t="str">
        <f t="shared" si="9"/>
        <v/>
      </c>
      <c r="AC528" s="20" t="str">
        <f t="shared" ref="AC528:AD528" si="1064">IF(_xlfn.ISFORMULA(S528),IFERROR(0/0,""),TRUE)</f>
        <v/>
      </c>
      <c r="AD528" s="20" t="str">
        <f t="shared" si="1064"/>
        <v/>
      </c>
      <c r="AE528" s="43"/>
      <c r="AF528" s="62" t="s">
        <v>62</v>
      </c>
      <c r="AG528" s="57" t="str">
        <f t="shared" si="11"/>
        <v/>
      </c>
    </row>
    <row r="529">
      <c r="A529" s="6" t="str">
        <f>IFERROR(__xludf.DUMMYFUNCTION("""COMPUTED_VALUE"""),"MA266")</f>
        <v>MA266</v>
      </c>
      <c r="B529" s="204">
        <f>IFERROR(__xludf.DUMMYFUNCTION("""COMPUTED_VALUE"""),44617.0)</f>
        <v>44617</v>
      </c>
      <c r="C529" s="250">
        <f>IFERROR(__xludf.DUMMYFUNCTION("""COMPUTED_VALUE"""),0.3303935185185185)</f>
        <v>0.3303935185</v>
      </c>
      <c r="D529" s="6" t="str">
        <f>IFERROR(__xludf.DUMMYFUNCTION("""COMPUTED_VALUE"""),"SpBEND944634")</f>
        <v>SpBEND944634</v>
      </c>
      <c r="E529" s="251"/>
      <c r="F529" s="251"/>
      <c r="G529" s="251" t="str">
        <f>IFERROR(__xludf.DUMMYFUNCTION("""COMPUTED_VALUE"""),"Negative")</f>
        <v>Negative</v>
      </c>
      <c r="H529" s="262" t="str">
        <f>IFERROR(__xludf.DUMMYFUNCTION("""COMPUTED_VALUE"""),"Negative")</f>
        <v>Negative</v>
      </c>
      <c r="I529" s="204">
        <f>IFERROR(__xludf.DUMMYFUNCTION("""COMPUTED_VALUE"""),44617.0)</f>
        <v>44617</v>
      </c>
      <c r="J529" s="252">
        <f>IFERROR(__xludf.DUMMYFUNCTION("""COMPUTED_VALUE"""),0.5033796296296297)</f>
        <v>0.5033796296</v>
      </c>
      <c r="K529" s="56"/>
      <c r="L529" s="6"/>
      <c r="M529" s="61"/>
      <c r="N529" s="61">
        <f>IFERROR(__xludf.DUMMYFUNCTION("""COMPUTED_VALUE"""),1.0)</f>
        <v>1</v>
      </c>
      <c r="O529" s="61" t="str">
        <f t="shared" si="3"/>
        <v/>
      </c>
      <c r="P529" s="253">
        <f>IFERROR(__xludf.DUMMYFUNCTION("""COMPUTED_VALUE"""),0.0)</f>
        <v>0</v>
      </c>
      <c r="Q529" s="254" t="b">
        <f>VLOOKUP($B529,'Run Reconcile'!B$2:O799,14,FALSE)</f>
        <v>1</v>
      </c>
      <c r="R529" s="255" t="str">
        <f t="array" ref="R529">IF($Q529, INDEX('Run Reconcile'!A$2:A799,MATCH(B529,'Run Reconcile'!B$2:B799,0),1),IFERROR(0/0,""))</f>
        <v>RUN-BEND_2022-02-25_RFR-040</v>
      </c>
      <c r="S529" s="261" t="str">
        <f t="shared" ref="S529:T529" si="1065">IF(COUNTIF(W$2:W799, $A529) &gt; 0,TRUE,IFERROR(0/0,""))</f>
        <v/>
      </c>
      <c r="T529" s="261" t="str">
        <f t="shared" si="1065"/>
        <v/>
      </c>
      <c r="U529" s="257" t="str">
        <f t="array" ref="U529">IF(ISBLANK($R529), INDEX('Run Reconcile'!A$2:A799, MATCH($B529, 'Run Reconcile'!B$2:B799, 0)+Z529, 1), IFERROR(0/0,""))
</f>
        <v/>
      </c>
      <c r="V529" s="258" t="str">
        <f t="shared" si="480"/>
        <v>RUN-BEND_2022-02-25_RFR-040</v>
      </c>
      <c r="Y529" s="130" t="str">
        <f t="shared" si="487"/>
        <v/>
      </c>
      <c r="Z529" s="49" t="str">
        <f t="shared" si="7"/>
        <v/>
      </c>
      <c r="AA529" s="49" t="str">
        <f t="shared" si="8"/>
        <v/>
      </c>
      <c r="AB529" s="49" t="str">
        <f t="shared" si="9"/>
        <v/>
      </c>
      <c r="AC529" s="20" t="str">
        <f t="shared" ref="AC529:AD529" si="1066">IF(_xlfn.ISFORMULA(S529),IFERROR(0/0,""),TRUE)</f>
        <v/>
      </c>
      <c r="AD529" s="20" t="str">
        <f t="shared" si="1066"/>
        <v/>
      </c>
      <c r="AE529" s="43"/>
      <c r="AF529" s="62" t="s">
        <v>62</v>
      </c>
      <c r="AG529" s="57" t="str">
        <f t="shared" si="11"/>
        <v/>
      </c>
    </row>
    <row r="530">
      <c r="A530" s="6" t="str">
        <f>IFERROR(__xludf.DUMMYFUNCTION("""COMPUTED_VALUE"""),"FM994")</f>
        <v>FM994</v>
      </c>
      <c r="B530" s="204">
        <f>IFERROR(__xludf.DUMMYFUNCTION("""COMPUTED_VALUE"""),44617.0)</f>
        <v>44617</v>
      </c>
      <c r="C530" s="250">
        <f>IFERROR(__xludf.DUMMYFUNCTION("""COMPUTED_VALUE"""),0.3313425925925926)</f>
        <v>0.3313425926</v>
      </c>
      <c r="D530" s="6" t="str">
        <f>IFERROR(__xludf.DUMMYFUNCTION("""COMPUTED_VALUE"""),"SpBEND147819")</f>
        <v>SpBEND147819</v>
      </c>
      <c r="E530" s="251"/>
      <c r="F530" s="251"/>
      <c r="G530" s="251" t="str">
        <f>IFERROR(__xludf.DUMMYFUNCTION("""COMPUTED_VALUE"""),"Negative")</f>
        <v>Negative</v>
      </c>
      <c r="H530" s="262" t="str">
        <f>IFERROR(__xludf.DUMMYFUNCTION("""COMPUTED_VALUE"""),"Negative")</f>
        <v>Negative</v>
      </c>
      <c r="I530" s="204">
        <f>IFERROR(__xludf.DUMMYFUNCTION("""COMPUTED_VALUE"""),44617.0)</f>
        <v>44617</v>
      </c>
      <c r="J530" s="252">
        <f>IFERROR(__xludf.DUMMYFUNCTION("""COMPUTED_VALUE"""),0.5033796296296297)</f>
        <v>0.5033796296</v>
      </c>
      <c r="K530" s="56"/>
      <c r="L530" s="6"/>
      <c r="M530" s="61"/>
      <c r="N530" s="61">
        <f>IFERROR(__xludf.DUMMYFUNCTION("""COMPUTED_VALUE"""),1.0)</f>
        <v>1</v>
      </c>
      <c r="O530" s="61" t="str">
        <f t="shared" si="3"/>
        <v/>
      </c>
      <c r="P530" s="253">
        <f>IFERROR(__xludf.DUMMYFUNCTION("""COMPUTED_VALUE"""),0.0)</f>
        <v>0</v>
      </c>
      <c r="Q530" s="254" t="b">
        <f>VLOOKUP($B530,'Run Reconcile'!B$2:O799,14,FALSE)</f>
        <v>1</v>
      </c>
      <c r="R530" s="255" t="str">
        <f t="array" ref="R530">IF($Q530, INDEX('Run Reconcile'!A$2:A799,MATCH(B530,'Run Reconcile'!B$2:B799,0),1),IFERROR(0/0,""))</f>
        <v>RUN-BEND_2022-02-25_RFR-040</v>
      </c>
      <c r="S530" s="261" t="str">
        <f t="shared" ref="S530:T530" si="1067">IF(COUNTIF(W$2:W799, $A530) &gt; 0,TRUE,IFERROR(0/0,""))</f>
        <v/>
      </c>
      <c r="T530" s="261" t="str">
        <f t="shared" si="1067"/>
        <v/>
      </c>
      <c r="U530" s="257" t="str">
        <f t="array" ref="U530">IF(ISBLANK($R530), INDEX('Run Reconcile'!A$2:A799, MATCH($B530, 'Run Reconcile'!B$2:B799, 0)+Z530, 1), IFERROR(0/0,""))
</f>
        <v/>
      </c>
      <c r="V530" s="258" t="str">
        <f t="shared" si="480"/>
        <v>RUN-BEND_2022-02-25_RFR-040</v>
      </c>
      <c r="Y530" s="130" t="str">
        <f t="shared" si="487"/>
        <v/>
      </c>
      <c r="Z530" s="49" t="str">
        <f t="shared" si="7"/>
        <v/>
      </c>
      <c r="AA530" s="49" t="str">
        <f t="shared" si="8"/>
        <v/>
      </c>
      <c r="AB530" s="49" t="str">
        <f t="shared" si="9"/>
        <v/>
      </c>
      <c r="AC530" s="20" t="str">
        <f t="shared" ref="AC530:AD530" si="1068">IF(_xlfn.ISFORMULA(S530),IFERROR(0/0,""),TRUE)</f>
        <v/>
      </c>
      <c r="AD530" s="20" t="str">
        <f t="shared" si="1068"/>
        <v/>
      </c>
      <c r="AE530" s="43"/>
      <c r="AF530" s="62" t="s">
        <v>62</v>
      </c>
      <c r="AG530" s="57" t="str">
        <f t="shared" si="11"/>
        <v/>
      </c>
    </row>
    <row r="531">
      <c r="A531" s="6" t="str">
        <f>IFERROR(__xludf.DUMMYFUNCTION("""COMPUTED_VALUE"""),"FM833")</f>
        <v>FM833</v>
      </c>
      <c r="B531" s="204">
        <f>IFERROR(__xludf.DUMMYFUNCTION("""COMPUTED_VALUE"""),44617.0)</f>
        <v>44617</v>
      </c>
      <c r="C531" s="250">
        <f>IFERROR(__xludf.DUMMYFUNCTION("""COMPUTED_VALUE"""),0.3313773148148148)</f>
        <v>0.3313773148</v>
      </c>
      <c r="D531" s="6" t="str">
        <f>IFERROR(__xludf.DUMMYFUNCTION("""COMPUTED_VALUE"""),"SpBEND721986")</f>
        <v>SpBEND721986</v>
      </c>
      <c r="E531" s="251"/>
      <c r="F531" s="251"/>
      <c r="G531" s="251" t="str">
        <f>IFERROR(__xludf.DUMMYFUNCTION("""COMPUTED_VALUE"""),"Negative")</f>
        <v>Negative</v>
      </c>
      <c r="H531" s="262" t="str">
        <f>IFERROR(__xludf.DUMMYFUNCTION("""COMPUTED_VALUE"""),"Negative")</f>
        <v>Negative</v>
      </c>
      <c r="I531" s="204">
        <f>IFERROR(__xludf.DUMMYFUNCTION("""COMPUTED_VALUE"""),44617.0)</f>
        <v>44617</v>
      </c>
      <c r="J531" s="252">
        <f>IFERROR(__xludf.DUMMYFUNCTION("""COMPUTED_VALUE"""),0.5033796296296297)</f>
        <v>0.5033796296</v>
      </c>
      <c r="K531" s="56"/>
      <c r="L531" s="6"/>
      <c r="M531" s="61"/>
      <c r="N531" s="61">
        <f>IFERROR(__xludf.DUMMYFUNCTION("""COMPUTED_VALUE"""),1.0)</f>
        <v>1</v>
      </c>
      <c r="O531" s="61" t="str">
        <f t="shared" si="3"/>
        <v/>
      </c>
      <c r="P531" s="253">
        <f>IFERROR(__xludf.DUMMYFUNCTION("""COMPUTED_VALUE"""),0.0)</f>
        <v>0</v>
      </c>
      <c r="Q531" s="254" t="b">
        <f>VLOOKUP($B531,'Run Reconcile'!B$2:O799,14,FALSE)</f>
        <v>1</v>
      </c>
      <c r="R531" s="255" t="str">
        <f t="array" ref="R531">IF($Q531, INDEX('Run Reconcile'!A$2:A799,MATCH(B531,'Run Reconcile'!B$2:B799,0),1),IFERROR(0/0,""))</f>
        <v>RUN-BEND_2022-02-25_RFR-040</v>
      </c>
      <c r="S531" s="261" t="str">
        <f t="shared" ref="S531:T531" si="1069">IF(COUNTIF(W$2:W799, $A531) &gt; 0,TRUE,IFERROR(0/0,""))</f>
        <v/>
      </c>
      <c r="T531" s="261" t="str">
        <f t="shared" si="1069"/>
        <v/>
      </c>
      <c r="U531" s="257" t="str">
        <f t="array" ref="U531">IF(ISBLANK($R531), INDEX('Run Reconcile'!A$2:A799, MATCH($B531, 'Run Reconcile'!B$2:B799, 0)+Z531, 1), IFERROR(0/0,""))
</f>
        <v/>
      </c>
      <c r="V531" s="258" t="str">
        <f t="shared" si="480"/>
        <v>RUN-BEND_2022-02-25_RFR-040</v>
      </c>
      <c r="Y531" s="130" t="str">
        <f t="shared" si="487"/>
        <v/>
      </c>
      <c r="Z531" s="49" t="str">
        <f t="shared" si="7"/>
        <v/>
      </c>
      <c r="AA531" s="49" t="str">
        <f t="shared" si="8"/>
        <v/>
      </c>
      <c r="AB531" s="49" t="str">
        <f t="shared" si="9"/>
        <v/>
      </c>
      <c r="AC531" s="20" t="str">
        <f t="shared" ref="AC531:AD531" si="1070">IF(_xlfn.ISFORMULA(S531),IFERROR(0/0,""),TRUE)</f>
        <v/>
      </c>
      <c r="AD531" s="20" t="str">
        <f t="shared" si="1070"/>
        <v/>
      </c>
      <c r="AE531" s="43"/>
      <c r="AF531" s="62" t="s">
        <v>62</v>
      </c>
      <c r="AG531" s="57" t="str">
        <f t="shared" si="11"/>
        <v/>
      </c>
    </row>
    <row r="532">
      <c r="A532" s="6" t="str">
        <f>IFERROR(__xludf.DUMMYFUNCTION("""COMPUTED_VALUE"""),"FM831")</f>
        <v>FM831</v>
      </c>
      <c r="B532" s="204">
        <f>IFERROR(__xludf.DUMMYFUNCTION("""COMPUTED_VALUE"""),44617.0)</f>
        <v>44617</v>
      </c>
      <c r="C532" s="250">
        <f>IFERROR(__xludf.DUMMYFUNCTION("""COMPUTED_VALUE"""),0.33167824074074076)</f>
        <v>0.3316782407</v>
      </c>
      <c r="D532" s="6" t="str">
        <f>IFERROR(__xludf.DUMMYFUNCTION("""COMPUTED_VALUE"""),"SpBEND721986")</f>
        <v>SpBEND721986</v>
      </c>
      <c r="E532" s="251"/>
      <c r="F532" s="251"/>
      <c r="G532" s="251" t="str">
        <f>IFERROR(__xludf.DUMMYFUNCTION("""COMPUTED_VALUE"""),"Negative")</f>
        <v>Negative</v>
      </c>
      <c r="H532" s="262" t="str">
        <f>IFERROR(__xludf.DUMMYFUNCTION("""COMPUTED_VALUE"""),"Negative")</f>
        <v>Negative</v>
      </c>
      <c r="I532" s="204">
        <f>IFERROR(__xludf.DUMMYFUNCTION("""COMPUTED_VALUE"""),44617.0)</f>
        <v>44617</v>
      </c>
      <c r="J532" s="252">
        <f>IFERROR(__xludf.DUMMYFUNCTION("""COMPUTED_VALUE"""),0.5033796296296297)</f>
        <v>0.5033796296</v>
      </c>
      <c r="K532" s="56"/>
      <c r="L532" s="6"/>
      <c r="M532" s="61"/>
      <c r="N532" s="61">
        <f>IFERROR(__xludf.DUMMYFUNCTION("""COMPUTED_VALUE"""),1.0)</f>
        <v>1</v>
      </c>
      <c r="O532" s="61" t="str">
        <f t="shared" si="3"/>
        <v/>
      </c>
      <c r="P532" s="253">
        <f>IFERROR(__xludf.DUMMYFUNCTION("""COMPUTED_VALUE"""),0.0)</f>
        <v>0</v>
      </c>
      <c r="Q532" s="254" t="b">
        <f>VLOOKUP($B532,'Run Reconcile'!B$2:O799,14,FALSE)</f>
        <v>1</v>
      </c>
      <c r="R532" s="255" t="str">
        <f t="array" ref="R532">IF($Q532, INDEX('Run Reconcile'!A$2:A799,MATCH(B532,'Run Reconcile'!B$2:B799,0),1),IFERROR(0/0,""))</f>
        <v>RUN-BEND_2022-02-25_RFR-040</v>
      </c>
      <c r="S532" s="261" t="str">
        <f t="shared" ref="S532:T532" si="1071">IF(COUNTIF(W$2:W799, $A532) &gt; 0,TRUE,IFERROR(0/0,""))</f>
        <v/>
      </c>
      <c r="T532" s="261" t="str">
        <f t="shared" si="1071"/>
        <v/>
      </c>
      <c r="U532" s="257" t="str">
        <f t="array" ref="U532">IF(ISBLANK($R532), INDEX('Run Reconcile'!A$2:A799, MATCH($B532, 'Run Reconcile'!B$2:B799, 0)+Z532, 1), IFERROR(0/0,""))
</f>
        <v/>
      </c>
      <c r="V532" s="258" t="str">
        <f t="shared" si="480"/>
        <v>RUN-BEND_2022-02-25_RFR-040</v>
      </c>
      <c r="Y532" s="130" t="str">
        <f t="shared" si="487"/>
        <v/>
      </c>
      <c r="Z532" s="49" t="str">
        <f t="shared" si="7"/>
        <v/>
      </c>
      <c r="AA532" s="49" t="str">
        <f t="shared" si="8"/>
        <v/>
      </c>
      <c r="AB532" s="49" t="str">
        <f t="shared" si="9"/>
        <v/>
      </c>
      <c r="AC532" s="20" t="str">
        <f t="shared" ref="AC532:AD532" si="1072">IF(_xlfn.ISFORMULA(S532),IFERROR(0/0,""),TRUE)</f>
        <v/>
      </c>
      <c r="AD532" s="20" t="str">
        <f t="shared" si="1072"/>
        <v/>
      </c>
      <c r="AE532" s="43"/>
      <c r="AF532" s="62" t="s">
        <v>62</v>
      </c>
      <c r="AG532" s="57" t="str">
        <f t="shared" si="11"/>
        <v/>
      </c>
    </row>
    <row r="533">
      <c r="A533" s="6" t="str">
        <f>IFERROR(__xludf.DUMMYFUNCTION("""COMPUTED_VALUE"""),"FM25")</f>
        <v>FM25</v>
      </c>
      <c r="B533" s="204">
        <f>IFERROR(__xludf.DUMMYFUNCTION("""COMPUTED_VALUE"""),44617.0)</f>
        <v>44617</v>
      </c>
      <c r="C533" s="250">
        <f>IFERROR(__xludf.DUMMYFUNCTION("""COMPUTED_VALUE"""),0.3319328703703704)</f>
        <v>0.3319328704</v>
      </c>
      <c r="D533" s="6" t="str">
        <f>IFERROR(__xludf.DUMMYFUNCTION("""COMPUTED_VALUE"""),"SpBEND643855")</f>
        <v>SpBEND643855</v>
      </c>
      <c r="E533" s="251"/>
      <c r="F533" s="251"/>
      <c r="G533" s="251" t="str">
        <f>IFERROR(__xludf.DUMMYFUNCTION("""COMPUTED_VALUE"""),"Negative")</f>
        <v>Negative</v>
      </c>
      <c r="H533" s="262" t="str">
        <f>IFERROR(__xludf.DUMMYFUNCTION("""COMPUTED_VALUE"""),"Negative")</f>
        <v>Negative</v>
      </c>
      <c r="I533" s="204">
        <f>IFERROR(__xludf.DUMMYFUNCTION("""COMPUTED_VALUE"""),44617.0)</f>
        <v>44617</v>
      </c>
      <c r="J533" s="252">
        <f>IFERROR(__xludf.DUMMYFUNCTION("""COMPUTED_VALUE"""),0.5033796296296297)</f>
        <v>0.5033796296</v>
      </c>
      <c r="K533" s="56"/>
      <c r="L533" s="6"/>
      <c r="M533" s="61"/>
      <c r="N533" s="61">
        <f>IFERROR(__xludf.DUMMYFUNCTION("""COMPUTED_VALUE"""),1.0)</f>
        <v>1</v>
      </c>
      <c r="O533" s="61" t="str">
        <f t="shared" si="3"/>
        <v/>
      </c>
      <c r="P533" s="253">
        <f>IFERROR(__xludf.DUMMYFUNCTION("""COMPUTED_VALUE"""),0.0)</f>
        <v>0</v>
      </c>
      <c r="Q533" s="254" t="b">
        <f>VLOOKUP($B533,'Run Reconcile'!B$2:O799,14,FALSE)</f>
        <v>1</v>
      </c>
      <c r="R533" s="255" t="str">
        <f t="array" ref="R533">IF($Q533, INDEX('Run Reconcile'!A$2:A799,MATCH(B533,'Run Reconcile'!B$2:B799,0),1),IFERROR(0/0,""))</f>
        <v>RUN-BEND_2022-02-25_RFR-040</v>
      </c>
      <c r="S533" s="261" t="str">
        <f t="shared" ref="S533:T533" si="1073">IF(COUNTIF(W$2:W799, $A533) &gt; 0,TRUE,IFERROR(0/0,""))</f>
        <v/>
      </c>
      <c r="T533" s="261" t="str">
        <f t="shared" si="1073"/>
        <v/>
      </c>
      <c r="U533" s="257" t="str">
        <f t="array" ref="U533">IF(ISBLANK($R533), INDEX('Run Reconcile'!A$2:A799, MATCH($B533, 'Run Reconcile'!B$2:B799, 0)+Z533, 1), IFERROR(0/0,""))
</f>
        <v/>
      </c>
      <c r="V533" s="258" t="str">
        <f t="shared" si="480"/>
        <v>RUN-BEND_2022-02-25_RFR-040</v>
      </c>
      <c r="Y533" s="130" t="str">
        <f t="shared" si="487"/>
        <v/>
      </c>
      <c r="Z533" s="49" t="str">
        <f t="shared" si="7"/>
        <v/>
      </c>
      <c r="AA533" s="49" t="str">
        <f t="shared" si="8"/>
        <v/>
      </c>
      <c r="AB533" s="49" t="str">
        <f t="shared" si="9"/>
        <v/>
      </c>
      <c r="AC533" s="20" t="str">
        <f t="shared" ref="AC533:AD533" si="1074">IF(_xlfn.ISFORMULA(S533),IFERROR(0/0,""),TRUE)</f>
        <v/>
      </c>
      <c r="AD533" s="20" t="str">
        <f t="shared" si="1074"/>
        <v/>
      </c>
      <c r="AE533" s="43"/>
      <c r="AF533" s="62" t="s">
        <v>62</v>
      </c>
      <c r="AG533" s="57" t="str">
        <f t="shared" si="11"/>
        <v/>
      </c>
    </row>
    <row r="534">
      <c r="A534" s="6" t="str">
        <f>IFERROR(__xludf.DUMMYFUNCTION("""COMPUTED_VALUE"""),"FM794")</f>
        <v>FM794</v>
      </c>
      <c r="B534" s="204">
        <f>IFERROR(__xludf.DUMMYFUNCTION("""COMPUTED_VALUE"""),44617.0)</f>
        <v>44617</v>
      </c>
      <c r="C534" s="250">
        <f>IFERROR(__xludf.DUMMYFUNCTION("""COMPUTED_VALUE"""),0.3321875)</f>
        <v>0.3321875</v>
      </c>
      <c r="D534" s="6" t="str">
        <f>IFERROR(__xludf.DUMMYFUNCTION("""COMPUTED_VALUE"""),"SpBEND747592")</f>
        <v>SpBEND747592</v>
      </c>
      <c r="E534" s="251"/>
      <c r="F534" s="251"/>
      <c r="G534" s="251" t="str">
        <f>IFERROR(__xludf.DUMMYFUNCTION("""COMPUTED_VALUE"""),"Negative")</f>
        <v>Negative</v>
      </c>
      <c r="H534" s="262" t="str">
        <f>IFERROR(__xludf.DUMMYFUNCTION("""COMPUTED_VALUE"""),"Negative")</f>
        <v>Negative</v>
      </c>
      <c r="I534" s="204">
        <f>IFERROR(__xludf.DUMMYFUNCTION("""COMPUTED_VALUE"""),44617.0)</f>
        <v>44617</v>
      </c>
      <c r="J534" s="252">
        <f>IFERROR(__xludf.DUMMYFUNCTION("""COMPUTED_VALUE"""),0.5033796296296297)</f>
        <v>0.5033796296</v>
      </c>
      <c r="K534" s="56"/>
      <c r="L534" s="6"/>
      <c r="M534" s="61"/>
      <c r="N534" s="61">
        <f>IFERROR(__xludf.DUMMYFUNCTION("""COMPUTED_VALUE"""),1.0)</f>
        <v>1</v>
      </c>
      <c r="O534" s="61" t="str">
        <f t="shared" si="3"/>
        <v/>
      </c>
      <c r="P534" s="253">
        <f>IFERROR(__xludf.DUMMYFUNCTION("""COMPUTED_VALUE"""),0.0)</f>
        <v>0</v>
      </c>
      <c r="Q534" s="254" t="b">
        <f>VLOOKUP($B534,'Run Reconcile'!B$2:O799,14,FALSE)</f>
        <v>1</v>
      </c>
      <c r="R534" s="255" t="str">
        <f t="array" ref="R534">IF($Q534, INDEX('Run Reconcile'!A$2:A799,MATCH(B534,'Run Reconcile'!B$2:B799,0),1),IFERROR(0/0,""))</f>
        <v>RUN-BEND_2022-02-25_RFR-040</v>
      </c>
      <c r="S534" s="261" t="str">
        <f t="shared" ref="S534:T534" si="1075">IF(COUNTIF(W$2:W799, $A534) &gt; 0,TRUE,IFERROR(0/0,""))</f>
        <v/>
      </c>
      <c r="T534" s="261" t="str">
        <f t="shared" si="1075"/>
        <v/>
      </c>
      <c r="U534" s="257" t="str">
        <f t="array" ref="U534">IF(ISBLANK($R534), INDEX('Run Reconcile'!A$2:A799, MATCH($B534, 'Run Reconcile'!B$2:B799, 0)+Z534, 1), IFERROR(0/0,""))
</f>
        <v/>
      </c>
      <c r="V534" s="258" t="str">
        <f t="shared" si="480"/>
        <v>RUN-BEND_2022-02-25_RFR-040</v>
      </c>
      <c r="Y534" s="130" t="str">
        <f t="shared" si="487"/>
        <v/>
      </c>
      <c r="Z534" s="49" t="str">
        <f t="shared" si="7"/>
        <v/>
      </c>
      <c r="AA534" s="49" t="str">
        <f t="shared" si="8"/>
        <v/>
      </c>
      <c r="AB534" s="49" t="str">
        <f t="shared" si="9"/>
        <v/>
      </c>
      <c r="AC534" s="20" t="str">
        <f t="shared" ref="AC534:AD534" si="1076">IF(_xlfn.ISFORMULA(S534),IFERROR(0/0,""),TRUE)</f>
        <v/>
      </c>
      <c r="AD534" s="20" t="str">
        <f t="shared" si="1076"/>
        <v/>
      </c>
      <c r="AE534" s="43"/>
      <c r="AF534" s="62" t="s">
        <v>62</v>
      </c>
      <c r="AG534" s="57" t="str">
        <f t="shared" si="11"/>
        <v/>
      </c>
    </row>
    <row r="535">
      <c r="A535" s="6" t="str">
        <f>IFERROR(__xludf.DUMMYFUNCTION("""COMPUTED_VALUE"""),"FM796")</f>
        <v>FM796</v>
      </c>
      <c r="B535" s="204">
        <f>IFERROR(__xludf.DUMMYFUNCTION("""COMPUTED_VALUE"""),44617.0)</f>
        <v>44617</v>
      </c>
      <c r="C535" s="250">
        <f>IFERROR(__xludf.DUMMYFUNCTION("""COMPUTED_VALUE"""),0.3329050925925926)</f>
        <v>0.3329050926</v>
      </c>
      <c r="D535" s="6" t="str">
        <f>IFERROR(__xludf.DUMMYFUNCTION("""COMPUTED_VALUE"""),"SpBEND522465")</f>
        <v>SpBEND522465</v>
      </c>
      <c r="E535" s="251"/>
      <c r="F535" s="251"/>
      <c r="G535" s="251" t="str">
        <f>IFERROR(__xludf.DUMMYFUNCTION("""COMPUTED_VALUE"""),"Negative")</f>
        <v>Negative</v>
      </c>
      <c r="H535" s="262" t="str">
        <f>IFERROR(__xludf.DUMMYFUNCTION("""COMPUTED_VALUE"""),"Negative")</f>
        <v>Negative</v>
      </c>
      <c r="I535" s="204">
        <f>IFERROR(__xludf.DUMMYFUNCTION("""COMPUTED_VALUE"""),44617.0)</f>
        <v>44617</v>
      </c>
      <c r="J535" s="252">
        <f>IFERROR(__xludf.DUMMYFUNCTION("""COMPUTED_VALUE"""),0.5033796296296297)</f>
        <v>0.5033796296</v>
      </c>
      <c r="K535" s="56"/>
      <c r="L535" s="6"/>
      <c r="M535" s="61"/>
      <c r="N535" s="61">
        <f>IFERROR(__xludf.DUMMYFUNCTION("""COMPUTED_VALUE"""),1.0)</f>
        <v>1</v>
      </c>
      <c r="O535" s="61" t="str">
        <f t="shared" si="3"/>
        <v/>
      </c>
      <c r="P535" s="253">
        <f>IFERROR(__xludf.DUMMYFUNCTION("""COMPUTED_VALUE"""),0.0)</f>
        <v>0</v>
      </c>
      <c r="Q535" s="254" t="b">
        <f>VLOOKUP($B535,'Run Reconcile'!B$2:O799,14,FALSE)</f>
        <v>1</v>
      </c>
      <c r="R535" s="255" t="str">
        <f t="array" ref="R535">IF($Q535, INDEX('Run Reconcile'!A$2:A799,MATCH(B535,'Run Reconcile'!B$2:B799,0),1),IFERROR(0/0,""))</f>
        <v>RUN-BEND_2022-02-25_RFR-040</v>
      </c>
      <c r="S535" s="261" t="str">
        <f t="shared" ref="S535:T535" si="1077">IF(COUNTIF(W$2:W799, $A535) &gt; 0,TRUE,IFERROR(0/0,""))</f>
        <v/>
      </c>
      <c r="T535" s="261" t="str">
        <f t="shared" si="1077"/>
        <v/>
      </c>
      <c r="U535" s="257" t="str">
        <f t="array" ref="U535">IF(ISBLANK($R535), INDEX('Run Reconcile'!A$2:A799, MATCH($B535, 'Run Reconcile'!B$2:B799, 0)+Z535, 1), IFERROR(0/0,""))
</f>
        <v/>
      </c>
      <c r="V535" s="258" t="str">
        <f t="shared" si="480"/>
        <v>RUN-BEND_2022-02-25_RFR-040</v>
      </c>
      <c r="Y535" s="130" t="str">
        <f t="shared" si="487"/>
        <v/>
      </c>
      <c r="Z535" s="49" t="str">
        <f t="shared" si="7"/>
        <v/>
      </c>
      <c r="AA535" s="49" t="str">
        <f t="shared" si="8"/>
        <v/>
      </c>
      <c r="AB535" s="49" t="str">
        <f t="shared" si="9"/>
        <v/>
      </c>
      <c r="AC535" s="20" t="str">
        <f t="shared" ref="AC535:AD535" si="1078">IF(_xlfn.ISFORMULA(S535),IFERROR(0/0,""),TRUE)</f>
        <v/>
      </c>
      <c r="AD535" s="20" t="str">
        <f t="shared" si="1078"/>
        <v/>
      </c>
      <c r="AE535" s="43"/>
      <c r="AF535" s="62" t="s">
        <v>62</v>
      </c>
      <c r="AG535" s="57" t="str">
        <f t="shared" si="11"/>
        <v/>
      </c>
    </row>
    <row r="536">
      <c r="A536" s="6" t="str">
        <f>IFERROR(__xludf.DUMMYFUNCTION("""COMPUTED_VALUE"""),"MA1230")</f>
        <v>MA1230</v>
      </c>
      <c r="B536" s="204">
        <f>IFERROR(__xludf.DUMMYFUNCTION("""COMPUTED_VALUE"""),44617.0)</f>
        <v>44617</v>
      </c>
      <c r="C536" s="250">
        <f>IFERROR(__xludf.DUMMYFUNCTION("""COMPUTED_VALUE"""),0.3387847222222222)</f>
        <v>0.3387847222</v>
      </c>
      <c r="D536" s="6" t="str">
        <f>IFERROR(__xludf.DUMMYFUNCTION("""COMPUTED_VALUE"""),"SpBEND198321")</f>
        <v>SpBEND198321</v>
      </c>
      <c r="E536" s="251"/>
      <c r="F536" s="251"/>
      <c r="G536" s="251" t="str">
        <f>IFERROR(__xludf.DUMMYFUNCTION("""COMPUTED_VALUE"""),"Negative")</f>
        <v>Negative</v>
      </c>
      <c r="H536" s="262" t="str">
        <f>IFERROR(__xludf.DUMMYFUNCTION("""COMPUTED_VALUE"""),"Negative")</f>
        <v>Negative</v>
      </c>
      <c r="I536" s="204">
        <f>IFERROR(__xludf.DUMMYFUNCTION("""COMPUTED_VALUE"""),44617.0)</f>
        <v>44617</v>
      </c>
      <c r="J536" s="252">
        <f>IFERROR(__xludf.DUMMYFUNCTION("""COMPUTED_VALUE"""),0.5033796296296297)</f>
        <v>0.5033796296</v>
      </c>
      <c r="K536" s="56"/>
      <c r="L536" s="6"/>
      <c r="M536" s="61"/>
      <c r="N536" s="61">
        <f>IFERROR(__xludf.DUMMYFUNCTION("""COMPUTED_VALUE"""),1.0)</f>
        <v>1</v>
      </c>
      <c r="O536" s="61" t="str">
        <f t="shared" si="3"/>
        <v/>
      </c>
      <c r="P536" s="253">
        <f>IFERROR(__xludf.DUMMYFUNCTION("""COMPUTED_VALUE"""),0.0)</f>
        <v>0</v>
      </c>
      <c r="Q536" s="254" t="b">
        <f>VLOOKUP($B536,'Run Reconcile'!B$2:O799,14,FALSE)</f>
        <v>1</v>
      </c>
      <c r="R536" s="255" t="str">
        <f t="array" ref="R536">IF($Q536, INDEX('Run Reconcile'!A$2:A799,MATCH(B536,'Run Reconcile'!B$2:B799,0),1),IFERROR(0/0,""))</f>
        <v>RUN-BEND_2022-02-25_RFR-040</v>
      </c>
      <c r="S536" s="261" t="str">
        <f t="shared" ref="S536:T536" si="1079">IF(COUNTIF(W$2:W799, $A536) &gt; 0,TRUE,IFERROR(0/0,""))</f>
        <v/>
      </c>
      <c r="T536" s="261" t="str">
        <f t="shared" si="1079"/>
        <v/>
      </c>
      <c r="U536" s="257" t="str">
        <f t="array" ref="U536">IF(ISBLANK($R536), INDEX('Run Reconcile'!A$2:A799, MATCH($B536, 'Run Reconcile'!B$2:B799, 0)+Z536, 1), IFERROR(0/0,""))
</f>
        <v/>
      </c>
      <c r="V536" s="258" t="str">
        <f t="shared" si="480"/>
        <v>RUN-BEND_2022-02-25_RFR-040</v>
      </c>
      <c r="Y536" s="130" t="str">
        <f t="shared" si="487"/>
        <v/>
      </c>
      <c r="Z536" s="49" t="str">
        <f t="shared" si="7"/>
        <v/>
      </c>
      <c r="AA536" s="49" t="str">
        <f t="shared" si="8"/>
        <v/>
      </c>
      <c r="AB536" s="49" t="str">
        <f t="shared" si="9"/>
        <v/>
      </c>
      <c r="AC536" s="20" t="str">
        <f t="shared" ref="AC536:AD536" si="1080">IF(_xlfn.ISFORMULA(S536),IFERROR(0/0,""),TRUE)</f>
        <v/>
      </c>
      <c r="AD536" s="20" t="str">
        <f t="shared" si="1080"/>
        <v/>
      </c>
      <c r="AE536" s="43"/>
      <c r="AF536" s="62" t="s">
        <v>62</v>
      </c>
      <c r="AG536" s="57" t="str">
        <f t="shared" si="11"/>
        <v/>
      </c>
    </row>
    <row r="537">
      <c r="A537" s="6" t="str">
        <f>IFERROR(__xludf.DUMMYFUNCTION("""COMPUTED_VALUE"""),"FM45")</f>
        <v>FM45</v>
      </c>
      <c r="B537" s="204">
        <f>IFERROR(__xludf.DUMMYFUNCTION("""COMPUTED_VALUE"""),44617.0)</f>
        <v>44617</v>
      </c>
      <c r="C537" s="250">
        <f>IFERROR(__xludf.DUMMYFUNCTION("""COMPUTED_VALUE"""),0.34032407407407406)</f>
        <v>0.3403240741</v>
      </c>
      <c r="D537" s="6" t="str">
        <f>IFERROR(__xludf.DUMMYFUNCTION("""COMPUTED_VALUE"""),"SpBEND139600")</f>
        <v>SpBEND139600</v>
      </c>
      <c r="E537" s="251"/>
      <c r="F537" s="251"/>
      <c r="G537" s="251" t="str">
        <f>IFERROR(__xludf.DUMMYFUNCTION("""COMPUTED_VALUE"""),"Negative")</f>
        <v>Negative</v>
      </c>
      <c r="H537" s="262" t="str">
        <f>IFERROR(__xludf.DUMMYFUNCTION("""COMPUTED_VALUE"""),"Negative")</f>
        <v>Negative</v>
      </c>
      <c r="I537" s="204">
        <f>IFERROR(__xludf.DUMMYFUNCTION("""COMPUTED_VALUE"""),44617.0)</f>
        <v>44617</v>
      </c>
      <c r="J537" s="252">
        <f>IFERROR(__xludf.DUMMYFUNCTION("""COMPUTED_VALUE"""),0.5033796296296297)</f>
        <v>0.5033796296</v>
      </c>
      <c r="K537" s="56"/>
      <c r="L537" s="6"/>
      <c r="M537" s="61"/>
      <c r="N537" s="61">
        <f>IFERROR(__xludf.DUMMYFUNCTION("""COMPUTED_VALUE"""),1.0)</f>
        <v>1</v>
      </c>
      <c r="O537" s="61" t="str">
        <f t="shared" si="3"/>
        <v/>
      </c>
      <c r="P537" s="253">
        <f>IFERROR(__xludf.DUMMYFUNCTION("""COMPUTED_VALUE"""),0.0)</f>
        <v>0</v>
      </c>
      <c r="Q537" s="254" t="b">
        <f>VLOOKUP($B537,'Run Reconcile'!B$2:O799,14,FALSE)</f>
        <v>1</v>
      </c>
      <c r="R537" s="255" t="str">
        <f t="array" ref="R537">IF($Q537, INDEX('Run Reconcile'!A$2:A799,MATCH(B537,'Run Reconcile'!B$2:B799,0),1),IFERROR(0/0,""))</f>
        <v>RUN-BEND_2022-02-25_RFR-040</v>
      </c>
      <c r="S537" s="261" t="str">
        <f t="shared" ref="S537:T537" si="1081">IF(COUNTIF(W$2:W799, $A537) &gt; 0,TRUE,IFERROR(0/0,""))</f>
        <v/>
      </c>
      <c r="T537" s="261" t="str">
        <f t="shared" si="1081"/>
        <v/>
      </c>
      <c r="U537" s="257" t="str">
        <f t="array" ref="U537">IF(ISBLANK($R537), INDEX('Run Reconcile'!A$2:A799, MATCH($B537, 'Run Reconcile'!B$2:B799, 0)+Z537, 1), IFERROR(0/0,""))
</f>
        <v/>
      </c>
      <c r="V537" s="258" t="str">
        <f t="shared" si="480"/>
        <v>RUN-BEND_2022-02-25_RFR-040</v>
      </c>
      <c r="Y537" s="130" t="str">
        <f t="shared" si="487"/>
        <v/>
      </c>
      <c r="Z537" s="49" t="str">
        <f t="shared" si="7"/>
        <v/>
      </c>
      <c r="AA537" s="49" t="str">
        <f t="shared" si="8"/>
        <v/>
      </c>
      <c r="AB537" s="49" t="str">
        <f t="shared" si="9"/>
        <v/>
      </c>
      <c r="AC537" s="20" t="str">
        <f t="shared" ref="AC537:AD537" si="1082">IF(_xlfn.ISFORMULA(S537),IFERROR(0/0,""),TRUE)</f>
        <v/>
      </c>
      <c r="AD537" s="20" t="str">
        <f t="shared" si="1082"/>
        <v/>
      </c>
      <c r="AE537" s="43"/>
      <c r="AF537" s="62" t="s">
        <v>62</v>
      </c>
      <c r="AG537" s="57" t="str">
        <f t="shared" si="11"/>
        <v/>
      </c>
    </row>
    <row r="538">
      <c r="A538" s="6" t="str">
        <f>IFERROR(__xludf.DUMMYFUNCTION("""COMPUTED_VALUE"""),"MA1240")</f>
        <v>MA1240</v>
      </c>
      <c r="B538" s="204">
        <f>IFERROR(__xludf.DUMMYFUNCTION("""COMPUTED_VALUE"""),44617.0)</f>
        <v>44617</v>
      </c>
      <c r="C538" s="250">
        <f>IFERROR(__xludf.DUMMYFUNCTION("""COMPUTED_VALUE"""),0.34774305555555557)</f>
        <v>0.3477430556</v>
      </c>
      <c r="D538" s="6" t="str">
        <f>IFERROR(__xludf.DUMMYFUNCTION("""COMPUTED_VALUE"""),"SpBEND967817")</f>
        <v>SpBEND967817</v>
      </c>
      <c r="E538" s="251"/>
      <c r="F538" s="251"/>
      <c r="G538" s="251" t="str">
        <f>IFERROR(__xludf.DUMMYFUNCTION("""COMPUTED_VALUE"""),"Negative")</f>
        <v>Negative</v>
      </c>
      <c r="H538" s="262" t="str">
        <f>IFERROR(__xludf.DUMMYFUNCTION("""COMPUTED_VALUE"""),"Negative")</f>
        <v>Negative</v>
      </c>
      <c r="I538" s="204">
        <f>IFERROR(__xludf.DUMMYFUNCTION("""COMPUTED_VALUE"""),44617.0)</f>
        <v>44617</v>
      </c>
      <c r="J538" s="252">
        <f>IFERROR(__xludf.DUMMYFUNCTION("""COMPUTED_VALUE"""),0.5033796296296297)</f>
        <v>0.5033796296</v>
      </c>
      <c r="K538" s="56"/>
      <c r="L538" s="6"/>
      <c r="M538" s="61"/>
      <c r="N538" s="61">
        <f>IFERROR(__xludf.DUMMYFUNCTION("""COMPUTED_VALUE"""),1.0)</f>
        <v>1</v>
      </c>
      <c r="O538" s="61" t="str">
        <f t="shared" si="3"/>
        <v/>
      </c>
      <c r="P538" s="253">
        <f>IFERROR(__xludf.DUMMYFUNCTION("""COMPUTED_VALUE"""),0.0)</f>
        <v>0</v>
      </c>
      <c r="Q538" s="254" t="b">
        <f>VLOOKUP($B538,'Run Reconcile'!B$2:O799,14,FALSE)</f>
        <v>1</v>
      </c>
      <c r="R538" s="255" t="str">
        <f t="array" ref="R538">IF($Q538, INDEX('Run Reconcile'!A$2:A799,MATCH(B538,'Run Reconcile'!B$2:B799,0),1),IFERROR(0/0,""))</f>
        <v>RUN-BEND_2022-02-25_RFR-040</v>
      </c>
      <c r="S538" s="261" t="str">
        <f t="shared" ref="S538:T538" si="1083">IF(COUNTIF(W$2:W799, $A538) &gt; 0,TRUE,IFERROR(0/0,""))</f>
        <v/>
      </c>
      <c r="T538" s="261" t="str">
        <f t="shared" si="1083"/>
        <v/>
      </c>
      <c r="U538" s="257" t="str">
        <f t="array" ref="U538">IF(ISBLANK($R538), INDEX('Run Reconcile'!A$2:A799, MATCH($B538, 'Run Reconcile'!B$2:B799, 0)+Z538, 1), IFERROR(0/0,""))
</f>
        <v/>
      </c>
      <c r="V538" s="258" t="str">
        <f t="shared" si="480"/>
        <v>RUN-BEND_2022-02-25_RFR-040</v>
      </c>
      <c r="Y538" s="130" t="str">
        <f t="shared" si="487"/>
        <v/>
      </c>
      <c r="Z538" s="49" t="str">
        <f t="shared" si="7"/>
        <v/>
      </c>
      <c r="AA538" s="49" t="str">
        <f t="shared" si="8"/>
        <v/>
      </c>
      <c r="AB538" s="49" t="str">
        <f t="shared" si="9"/>
        <v/>
      </c>
      <c r="AC538" s="20" t="str">
        <f t="shared" ref="AC538:AD538" si="1084">IF(_xlfn.ISFORMULA(S538),IFERROR(0/0,""),TRUE)</f>
        <v/>
      </c>
      <c r="AD538" s="20" t="str">
        <f t="shared" si="1084"/>
        <v/>
      </c>
      <c r="AE538" s="43"/>
      <c r="AF538" s="62" t="s">
        <v>62</v>
      </c>
      <c r="AG538" s="57" t="str">
        <f t="shared" si="11"/>
        <v/>
      </c>
    </row>
    <row r="539">
      <c r="A539" s="6" t="str">
        <f>IFERROR(__xludf.DUMMYFUNCTION("""COMPUTED_VALUE"""),"MA298")</f>
        <v>MA298</v>
      </c>
      <c r="B539" s="204">
        <f>IFERROR(__xludf.DUMMYFUNCTION("""COMPUTED_VALUE"""),44617.0)</f>
        <v>44617</v>
      </c>
      <c r="C539" s="250">
        <f>IFERROR(__xludf.DUMMYFUNCTION("""COMPUTED_VALUE"""),0.3486342592592593)</f>
        <v>0.3486342593</v>
      </c>
      <c r="D539" s="6" t="str">
        <f>IFERROR(__xludf.DUMMYFUNCTION("""COMPUTED_VALUE"""),"SpBEND967817")</f>
        <v>SpBEND967817</v>
      </c>
      <c r="E539" s="251"/>
      <c r="F539" s="251"/>
      <c r="G539" s="251" t="str">
        <f>IFERROR(__xludf.DUMMYFUNCTION("""COMPUTED_VALUE"""),"Negative")</f>
        <v>Negative</v>
      </c>
      <c r="H539" s="262" t="str">
        <f>IFERROR(__xludf.DUMMYFUNCTION("""COMPUTED_VALUE"""),"Negative")</f>
        <v>Negative</v>
      </c>
      <c r="I539" s="204">
        <f>IFERROR(__xludf.DUMMYFUNCTION("""COMPUTED_VALUE"""),44617.0)</f>
        <v>44617</v>
      </c>
      <c r="J539" s="252">
        <f>IFERROR(__xludf.DUMMYFUNCTION("""COMPUTED_VALUE"""),0.5033796296296297)</f>
        <v>0.5033796296</v>
      </c>
      <c r="K539" s="56"/>
      <c r="L539" s="6"/>
      <c r="M539" s="61"/>
      <c r="N539" s="61">
        <f>IFERROR(__xludf.DUMMYFUNCTION("""COMPUTED_VALUE"""),1.0)</f>
        <v>1</v>
      </c>
      <c r="O539" s="61" t="str">
        <f t="shared" si="3"/>
        <v/>
      </c>
      <c r="P539" s="253">
        <f>IFERROR(__xludf.DUMMYFUNCTION("""COMPUTED_VALUE"""),0.0)</f>
        <v>0</v>
      </c>
      <c r="Q539" s="254" t="b">
        <f>VLOOKUP($B539,'Run Reconcile'!B$2:O799,14,FALSE)</f>
        <v>1</v>
      </c>
      <c r="R539" s="255" t="str">
        <f t="array" ref="R539">IF($Q539, INDEX('Run Reconcile'!A$2:A799,MATCH(B539,'Run Reconcile'!B$2:B799,0),1),IFERROR(0/0,""))</f>
        <v>RUN-BEND_2022-02-25_RFR-040</v>
      </c>
      <c r="S539" s="261" t="str">
        <f t="shared" ref="S539:T539" si="1085">IF(COUNTIF(W$2:W799, $A539) &gt; 0,TRUE,IFERROR(0/0,""))</f>
        <v/>
      </c>
      <c r="T539" s="261" t="str">
        <f t="shared" si="1085"/>
        <v/>
      </c>
      <c r="U539" s="257" t="str">
        <f t="array" ref="U539">IF(ISBLANK($R539), INDEX('Run Reconcile'!A$2:A799, MATCH($B539, 'Run Reconcile'!B$2:B799, 0)+Z539, 1), IFERROR(0/0,""))
</f>
        <v/>
      </c>
      <c r="V539" s="258" t="str">
        <f t="shared" si="480"/>
        <v>RUN-BEND_2022-02-25_RFR-040</v>
      </c>
      <c r="Y539" s="130" t="str">
        <f t="shared" si="487"/>
        <v/>
      </c>
      <c r="Z539" s="49" t="str">
        <f t="shared" si="7"/>
        <v/>
      </c>
      <c r="AA539" s="49" t="str">
        <f t="shared" si="8"/>
        <v/>
      </c>
      <c r="AB539" s="49" t="str">
        <f t="shared" si="9"/>
        <v/>
      </c>
      <c r="AC539" s="20" t="str">
        <f t="shared" ref="AC539:AD539" si="1086">IF(_xlfn.ISFORMULA(S539),IFERROR(0/0,""),TRUE)</f>
        <v/>
      </c>
      <c r="AD539" s="20" t="str">
        <f t="shared" si="1086"/>
        <v/>
      </c>
      <c r="AE539" s="43"/>
      <c r="AF539" s="62" t="s">
        <v>62</v>
      </c>
      <c r="AG539" s="57" t="str">
        <f t="shared" si="11"/>
        <v/>
      </c>
    </row>
    <row r="540">
      <c r="A540" s="6" t="str">
        <f>IFERROR(__xludf.DUMMYFUNCTION("""COMPUTED_VALUE"""),"MA186")</f>
        <v>MA186</v>
      </c>
      <c r="B540" s="204">
        <f>IFERROR(__xludf.DUMMYFUNCTION("""COMPUTED_VALUE"""),44617.0)</f>
        <v>44617</v>
      </c>
      <c r="C540" s="250">
        <f>IFERROR(__xludf.DUMMYFUNCTION("""COMPUTED_VALUE"""),0.3496412037037037)</f>
        <v>0.3496412037</v>
      </c>
      <c r="D540" s="6" t="str">
        <f>IFERROR(__xludf.DUMMYFUNCTION("""COMPUTED_VALUE"""),"SpBEND967817")</f>
        <v>SpBEND967817</v>
      </c>
      <c r="E540" s="251"/>
      <c r="F540" s="251"/>
      <c r="G540" s="251" t="str">
        <f>IFERROR(__xludf.DUMMYFUNCTION("""COMPUTED_VALUE"""),"Negative")</f>
        <v>Negative</v>
      </c>
      <c r="H540" s="262" t="str">
        <f>IFERROR(__xludf.DUMMYFUNCTION("""COMPUTED_VALUE"""),"Negative")</f>
        <v>Negative</v>
      </c>
      <c r="I540" s="204">
        <f>IFERROR(__xludf.DUMMYFUNCTION("""COMPUTED_VALUE"""),44617.0)</f>
        <v>44617</v>
      </c>
      <c r="J540" s="252">
        <f>IFERROR(__xludf.DUMMYFUNCTION("""COMPUTED_VALUE"""),0.5033796296296297)</f>
        <v>0.5033796296</v>
      </c>
      <c r="K540" s="56"/>
      <c r="L540" s="6"/>
      <c r="M540" s="61"/>
      <c r="N540" s="61">
        <f>IFERROR(__xludf.DUMMYFUNCTION("""COMPUTED_VALUE"""),1.0)</f>
        <v>1</v>
      </c>
      <c r="O540" s="61" t="str">
        <f t="shared" si="3"/>
        <v/>
      </c>
      <c r="P540" s="253">
        <f>IFERROR(__xludf.DUMMYFUNCTION("""COMPUTED_VALUE"""),0.0)</f>
        <v>0</v>
      </c>
      <c r="Q540" s="254" t="b">
        <f>VLOOKUP($B540,'Run Reconcile'!B$2:O799,14,FALSE)</f>
        <v>1</v>
      </c>
      <c r="R540" s="255" t="str">
        <f t="array" ref="R540">IF($Q540, INDEX('Run Reconcile'!A$2:A799,MATCH(B540,'Run Reconcile'!B$2:B799,0),1),IFERROR(0/0,""))</f>
        <v>RUN-BEND_2022-02-25_RFR-040</v>
      </c>
      <c r="S540" s="261" t="str">
        <f t="shared" ref="S540:T540" si="1087">IF(COUNTIF(W$2:W799, $A540) &gt; 0,TRUE,IFERROR(0/0,""))</f>
        <v/>
      </c>
      <c r="T540" s="261" t="str">
        <f t="shared" si="1087"/>
        <v/>
      </c>
      <c r="U540" s="257" t="str">
        <f t="array" ref="U540">IF(ISBLANK($R540), INDEX('Run Reconcile'!A$2:A799, MATCH($B540, 'Run Reconcile'!B$2:B799, 0)+Z540, 1), IFERROR(0/0,""))
</f>
        <v/>
      </c>
      <c r="V540" s="258" t="str">
        <f t="shared" si="480"/>
        <v>RUN-BEND_2022-02-25_RFR-040</v>
      </c>
      <c r="Y540" s="130" t="str">
        <f t="shared" si="487"/>
        <v/>
      </c>
      <c r="Z540" s="49" t="str">
        <f t="shared" si="7"/>
        <v/>
      </c>
      <c r="AA540" s="49" t="str">
        <f t="shared" si="8"/>
        <v/>
      </c>
      <c r="AB540" s="49" t="str">
        <f t="shared" si="9"/>
        <v/>
      </c>
      <c r="AC540" s="20" t="str">
        <f t="shared" ref="AC540:AD540" si="1088">IF(_xlfn.ISFORMULA(S540),IFERROR(0/0,""),TRUE)</f>
        <v/>
      </c>
      <c r="AD540" s="20" t="str">
        <f t="shared" si="1088"/>
        <v/>
      </c>
      <c r="AE540" s="43"/>
      <c r="AF540" s="62" t="s">
        <v>62</v>
      </c>
      <c r="AG540" s="57" t="str">
        <f t="shared" si="11"/>
        <v/>
      </c>
    </row>
    <row r="541">
      <c r="A541" s="6" t="str">
        <f>IFERROR(__xludf.DUMMYFUNCTION("""COMPUTED_VALUE"""),"MA1276")</f>
        <v>MA1276</v>
      </c>
      <c r="B541" s="204">
        <f>IFERROR(__xludf.DUMMYFUNCTION("""COMPUTED_VALUE"""),44617.0)</f>
        <v>44617</v>
      </c>
      <c r="C541" s="250">
        <f>IFERROR(__xludf.DUMMYFUNCTION("""COMPUTED_VALUE"""),0.41888888888888887)</f>
        <v>0.4188888889</v>
      </c>
      <c r="D541" s="6" t="str">
        <f>IFERROR(__xludf.DUMMYFUNCTION("""COMPUTED_VALUE"""),"SpBEND394154")</f>
        <v>SpBEND394154</v>
      </c>
      <c r="E541" s="251"/>
      <c r="F541" s="251"/>
      <c r="G541" s="251" t="str">
        <f>IFERROR(__xludf.DUMMYFUNCTION("""COMPUTED_VALUE"""),"Negative")</f>
        <v>Negative</v>
      </c>
      <c r="H541" s="262" t="str">
        <f>IFERROR(__xludf.DUMMYFUNCTION("""COMPUTED_VALUE"""),"Negative")</f>
        <v>Negative</v>
      </c>
      <c r="I541" s="204">
        <f>IFERROR(__xludf.DUMMYFUNCTION("""COMPUTED_VALUE"""),44617.0)</f>
        <v>44617</v>
      </c>
      <c r="J541" s="252">
        <f>IFERROR(__xludf.DUMMYFUNCTION("""COMPUTED_VALUE"""),0.5033912037037037)</f>
        <v>0.5033912037</v>
      </c>
      <c r="K541" s="56"/>
      <c r="L541" s="6"/>
      <c r="M541" s="61"/>
      <c r="N541" s="61">
        <f>IFERROR(__xludf.DUMMYFUNCTION("""COMPUTED_VALUE"""),1.0)</f>
        <v>1</v>
      </c>
      <c r="O541" s="61" t="str">
        <f t="shared" si="3"/>
        <v/>
      </c>
      <c r="P541" s="253">
        <f>IFERROR(__xludf.DUMMYFUNCTION("""COMPUTED_VALUE"""),0.0)</f>
        <v>0</v>
      </c>
      <c r="Q541" s="254" t="b">
        <f>VLOOKUP($B541,'Run Reconcile'!B$2:O799,14,FALSE)</f>
        <v>1</v>
      </c>
      <c r="R541" s="255" t="str">
        <f t="array" ref="R541">IF($Q541, INDEX('Run Reconcile'!A$2:A799,MATCH(B541,'Run Reconcile'!B$2:B799,0),1),IFERROR(0/0,""))</f>
        <v>RUN-BEND_2022-02-25_RFR-040</v>
      </c>
      <c r="S541" s="261" t="str">
        <f t="shared" ref="S541:T541" si="1089">IF(COUNTIF(W$2:W799, $A541) &gt; 0,TRUE,IFERROR(0/0,""))</f>
        <v/>
      </c>
      <c r="T541" s="261" t="str">
        <f t="shared" si="1089"/>
        <v/>
      </c>
      <c r="U541" s="257" t="str">
        <f t="array" ref="U541">IF(ISBLANK($R541), INDEX('Run Reconcile'!A$2:A799, MATCH($B541, 'Run Reconcile'!B$2:B799, 0)+Z541, 1), IFERROR(0/0,""))
</f>
        <v/>
      </c>
      <c r="V541" s="258" t="str">
        <f t="shared" si="480"/>
        <v>RUN-BEND_2022-02-25_RFR-040</v>
      </c>
      <c r="Y541" s="130" t="str">
        <f t="shared" si="487"/>
        <v/>
      </c>
      <c r="Z541" s="49" t="str">
        <f t="shared" si="7"/>
        <v/>
      </c>
      <c r="AA541" s="49" t="str">
        <f t="shared" si="8"/>
        <v/>
      </c>
      <c r="AB541" s="49" t="str">
        <f t="shared" si="9"/>
        <v/>
      </c>
      <c r="AC541" s="20" t="str">
        <f t="shared" ref="AC541:AD541" si="1090">IF(_xlfn.ISFORMULA(S541),IFERROR(0/0,""),TRUE)</f>
        <v/>
      </c>
      <c r="AD541" s="20" t="str">
        <f t="shared" si="1090"/>
        <v/>
      </c>
      <c r="AE541" s="43"/>
      <c r="AF541" s="62" t="s">
        <v>62</v>
      </c>
      <c r="AG541" s="57" t="str">
        <f t="shared" si="11"/>
        <v/>
      </c>
    </row>
    <row r="542">
      <c r="A542" s="6" t="str">
        <f>IFERROR(__xludf.DUMMYFUNCTION("""COMPUTED_VALUE"""),"FM454")</f>
        <v>FM454</v>
      </c>
      <c r="B542" s="204">
        <f>IFERROR(__xludf.DUMMYFUNCTION("""COMPUTED_VALUE"""),44619.0)</f>
        <v>44619</v>
      </c>
      <c r="C542" s="250">
        <f>IFERROR(__xludf.DUMMYFUNCTION("""COMPUTED_VALUE"""),0.26229166666666665)</f>
        <v>0.2622916667</v>
      </c>
      <c r="D542" s="6" t="str">
        <f>IFERROR(__xludf.DUMMYFUNCTION("""COMPUTED_VALUE"""),"SpBEND672680")</f>
        <v>SpBEND672680</v>
      </c>
      <c r="E542" s="251"/>
      <c r="F542" s="251"/>
      <c r="G542" s="251" t="str">
        <f>IFERROR(__xludf.DUMMYFUNCTION("""COMPUTED_VALUE"""),"Negative")</f>
        <v>Negative</v>
      </c>
      <c r="H542" s="262" t="str">
        <f>IFERROR(__xludf.DUMMYFUNCTION("""COMPUTED_VALUE"""),"Negative")</f>
        <v>Negative</v>
      </c>
      <c r="I542" s="204">
        <f>IFERROR(__xludf.DUMMYFUNCTION("""COMPUTED_VALUE"""),44621.0)</f>
        <v>44621</v>
      </c>
      <c r="J542" s="252">
        <f>IFERROR(__xludf.DUMMYFUNCTION("""COMPUTED_VALUE"""),0.47833333333333333)</f>
        <v>0.4783333333</v>
      </c>
      <c r="K542" s="56"/>
      <c r="L542" s="6"/>
      <c r="M542" s="61"/>
      <c r="N542" s="61">
        <f>IFERROR(__xludf.DUMMYFUNCTION("""COMPUTED_VALUE"""),1.0)</f>
        <v>1</v>
      </c>
      <c r="O542" s="61" t="b">
        <f t="shared" si="3"/>
        <v>1</v>
      </c>
      <c r="P542" s="253">
        <f>IFERROR(__xludf.DUMMYFUNCTION("""COMPUTED_VALUE"""),2.0)</f>
        <v>2</v>
      </c>
      <c r="Q542" s="254" t="b">
        <f>VLOOKUP($B542,'Run Reconcile'!B$2:O799,14,FALSE)</f>
        <v>1</v>
      </c>
      <c r="R542" s="255" t="str">
        <f t="array" ref="R542">IF($Q542, INDEX('Run Reconcile'!A$2:A799,MATCH(B542,'Run Reconcile'!B$2:B799,0),1),IFERROR(0/0,""))</f>
        <v>RUN-BEND_2022-02-27_RFR-042</v>
      </c>
      <c r="S542" s="261" t="str">
        <f t="shared" ref="S542:T542" si="1091">IF(COUNTIF(W$2:W799, $A542) &gt; 0,TRUE,IFERROR(0/0,""))</f>
        <v/>
      </c>
      <c r="T542" s="261" t="str">
        <f t="shared" si="1091"/>
        <v/>
      </c>
      <c r="U542" s="257" t="str">
        <f t="array" ref="U542">IF(ISBLANK($R542), INDEX('Run Reconcile'!A$2:A799, MATCH($B542, 'Run Reconcile'!B$2:B799, 0)+Z542, 1), IFERROR(0/0,""))
</f>
        <v/>
      </c>
      <c r="V542" s="258" t="str">
        <f t="shared" si="480"/>
        <v>RUN-BEND_2022-02-27_RFR-042</v>
      </c>
      <c r="Y542" s="130" t="str">
        <f t="shared" si="487"/>
        <v/>
      </c>
      <c r="Z542" s="49" t="str">
        <f t="shared" si="7"/>
        <v/>
      </c>
      <c r="AA542" s="49" t="str">
        <f t="shared" si="8"/>
        <v/>
      </c>
      <c r="AB542" s="49" t="str">
        <f t="shared" si="9"/>
        <v/>
      </c>
      <c r="AC542" s="20" t="str">
        <f t="shared" ref="AC542:AD542" si="1092">IF(_xlfn.ISFORMULA(S542),IFERROR(0/0,""),TRUE)</f>
        <v/>
      </c>
      <c r="AD542" s="20" t="str">
        <f t="shared" si="1092"/>
        <v/>
      </c>
      <c r="AE542" s="43"/>
      <c r="AF542" s="62" t="s">
        <v>63</v>
      </c>
      <c r="AG542" s="57" t="str">
        <f t="shared" si="11"/>
        <v/>
      </c>
    </row>
    <row r="543">
      <c r="A543" s="6" t="str">
        <f>IFERROR(__xludf.DUMMYFUNCTION("""COMPUTED_VALUE"""),"FM1011")</f>
        <v>FM1011</v>
      </c>
      <c r="B543" s="204">
        <f>IFERROR(__xludf.DUMMYFUNCTION("""COMPUTED_VALUE"""),44619.0)</f>
        <v>44619</v>
      </c>
      <c r="C543" s="250">
        <f>IFERROR(__xludf.DUMMYFUNCTION("""COMPUTED_VALUE"""),0.27760416666666665)</f>
        <v>0.2776041667</v>
      </c>
      <c r="D543" s="6" t="str">
        <f>IFERROR(__xludf.DUMMYFUNCTION("""COMPUTED_VALUE"""),"SpBEND947055")</f>
        <v>SpBEND947055</v>
      </c>
      <c r="E543" s="251"/>
      <c r="F543" s="251"/>
      <c r="G543" s="251" t="str">
        <f>IFERROR(__xludf.DUMMYFUNCTION("""COMPUTED_VALUE"""),"Negative")</f>
        <v>Negative</v>
      </c>
      <c r="H543" s="262" t="str">
        <f>IFERROR(__xludf.DUMMYFUNCTION("""COMPUTED_VALUE"""),"Negative")</f>
        <v>Negative</v>
      </c>
      <c r="I543" s="204">
        <f>IFERROR(__xludf.DUMMYFUNCTION("""COMPUTED_VALUE"""),44621.0)</f>
        <v>44621</v>
      </c>
      <c r="J543" s="252">
        <f>IFERROR(__xludf.DUMMYFUNCTION("""COMPUTED_VALUE"""),0.4783449074074074)</f>
        <v>0.4783449074</v>
      </c>
      <c r="K543" s="56"/>
      <c r="L543" s="6"/>
      <c r="M543" s="61"/>
      <c r="N543" s="61">
        <f>IFERROR(__xludf.DUMMYFUNCTION("""COMPUTED_VALUE"""),1.0)</f>
        <v>1</v>
      </c>
      <c r="O543" s="61" t="str">
        <f t="shared" si="3"/>
        <v/>
      </c>
      <c r="P543" s="253">
        <f>IFERROR(__xludf.DUMMYFUNCTION("""COMPUTED_VALUE"""),2.0)</f>
        <v>2</v>
      </c>
      <c r="Q543" s="254" t="b">
        <f>VLOOKUP($B543,'Run Reconcile'!B$2:O799,14,FALSE)</f>
        <v>1</v>
      </c>
      <c r="R543" s="255" t="str">
        <f t="array" ref="R543">IF($Q543, INDEX('Run Reconcile'!A$2:A799,MATCH(B543,'Run Reconcile'!B$2:B799,0),1),IFERROR(0/0,""))</f>
        <v>RUN-BEND_2022-02-27_RFR-042</v>
      </c>
      <c r="S543" s="261" t="str">
        <f t="shared" ref="S543:T543" si="1093">IF(COUNTIF(W$2:W799, $A543) &gt; 0,TRUE,IFERROR(0/0,""))</f>
        <v/>
      </c>
      <c r="T543" s="261" t="str">
        <f t="shared" si="1093"/>
        <v/>
      </c>
      <c r="U543" s="257" t="str">
        <f t="array" ref="U543">IF(ISBLANK($R543), INDEX('Run Reconcile'!A$2:A799, MATCH($B543, 'Run Reconcile'!B$2:B799, 0)+Z543, 1), IFERROR(0/0,""))
</f>
        <v/>
      </c>
      <c r="V543" s="258" t="str">
        <f t="shared" si="480"/>
        <v>RUN-BEND_2022-02-27_RFR-042</v>
      </c>
      <c r="Y543" s="130" t="str">
        <f t="shared" si="487"/>
        <v/>
      </c>
      <c r="Z543" s="49" t="str">
        <f t="shared" si="7"/>
        <v/>
      </c>
      <c r="AA543" s="49" t="str">
        <f t="shared" si="8"/>
        <v/>
      </c>
      <c r="AB543" s="49" t="str">
        <f t="shared" si="9"/>
        <v/>
      </c>
      <c r="AC543" s="20" t="str">
        <f t="shared" ref="AC543:AD543" si="1094">IF(_xlfn.ISFORMULA(S543),IFERROR(0/0,""),TRUE)</f>
        <v/>
      </c>
      <c r="AD543" s="20" t="str">
        <f t="shared" si="1094"/>
        <v/>
      </c>
      <c r="AE543" s="43"/>
      <c r="AF543" s="62" t="s">
        <v>63</v>
      </c>
      <c r="AG543" s="57" t="str">
        <f t="shared" si="11"/>
        <v/>
      </c>
    </row>
    <row r="544">
      <c r="A544" s="6" t="str">
        <f>IFERROR(__xludf.DUMMYFUNCTION("""COMPUTED_VALUE"""),"MA349")</f>
        <v>MA349</v>
      </c>
      <c r="B544" s="204">
        <f>IFERROR(__xludf.DUMMYFUNCTION("""COMPUTED_VALUE"""),44619.0)</f>
        <v>44619</v>
      </c>
      <c r="C544" s="250">
        <f>IFERROR(__xludf.DUMMYFUNCTION("""COMPUTED_VALUE"""),0.28652777777777777)</f>
        <v>0.2865277778</v>
      </c>
      <c r="D544" s="6" t="str">
        <f>IFERROR(__xludf.DUMMYFUNCTION("""COMPUTED_VALUE"""),"SpBEND670368")</f>
        <v>SpBEND670368</v>
      </c>
      <c r="E544" s="251"/>
      <c r="F544" s="251"/>
      <c r="G544" s="251" t="str">
        <f>IFERROR(__xludf.DUMMYFUNCTION("""COMPUTED_VALUE"""),"Negative")</f>
        <v>Negative</v>
      </c>
      <c r="H544" s="262" t="str">
        <f>IFERROR(__xludf.DUMMYFUNCTION("""COMPUTED_VALUE"""),"Negative")</f>
        <v>Negative</v>
      </c>
      <c r="I544" s="204">
        <f>IFERROR(__xludf.DUMMYFUNCTION("""COMPUTED_VALUE"""),44621.0)</f>
        <v>44621</v>
      </c>
      <c r="J544" s="252">
        <f>IFERROR(__xludf.DUMMYFUNCTION("""COMPUTED_VALUE"""),0.4783449074074074)</f>
        <v>0.4783449074</v>
      </c>
      <c r="K544" s="56"/>
      <c r="L544" s="6"/>
      <c r="M544" s="61"/>
      <c r="N544" s="61">
        <f>IFERROR(__xludf.DUMMYFUNCTION("""COMPUTED_VALUE"""),1.0)</f>
        <v>1</v>
      </c>
      <c r="O544" s="61" t="str">
        <f t="shared" si="3"/>
        <v/>
      </c>
      <c r="P544" s="253">
        <f>IFERROR(__xludf.DUMMYFUNCTION("""COMPUTED_VALUE"""),2.0)</f>
        <v>2</v>
      </c>
      <c r="Q544" s="254" t="b">
        <f>VLOOKUP($B544,'Run Reconcile'!B$2:O799,14,FALSE)</f>
        <v>1</v>
      </c>
      <c r="R544" s="255" t="str">
        <f t="array" ref="R544">IF($Q544, INDEX('Run Reconcile'!A$2:A799,MATCH(B544,'Run Reconcile'!B$2:B799,0),1),IFERROR(0/0,""))</f>
        <v>RUN-BEND_2022-02-27_RFR-042</v>
      </c>
      <c r="S544" s="261" t="str">
        <f t="shared" ref="S544:T544" si="1095">IF(COUNTIF(W$2:W799, $A544) &gt; 0,TRUE,IFERROR(0/0,""))</f>
        <v/>
      </c>
      <c r="T544" s="261" t="str">
        <f t="shared" si="1095"/>
        <v/>
      </c>
      <c r="U544" s="257" t="str">
        <f t="array" ref="U544">IF(ISBLANK($R544), INDEX('Run Reconcile'!A$2:A799, MATCH($B544, 'Run Reconcile'!B$2:B799, 0)+Z544, 1), IFERROR(0/0,""))
</f>
        <v/>
      </c>
      <c r="V544" s="258" t="str">
        <f t="shared" si="480"/>
        <v>RUN-BEND_2022-02-27_RFR-042</v>
      </c>
      <c r="Y544" s="130" t="str">
        <f t="shared" si="487"/>
        <v/>
      </c>
      <c r="Z544" s="49" t="str">
        <f t="shared" si="7"/>
        <v/>
      </c>
      <c r="AA544" s="49" t="str">
        <f t="shared" si="8"/>
        <v/>
      </c>
      <c r="AB544" s="49" t="str">
        <f t="shared" si="9"/>
        <v/>
      </c>
      <c r="AC544" s="20" t="str">
        <f t="shared" ref="AC544:AD544" si="1096">IF(_xlfn.ISFORMULA(S544),IFERROR(0/0,""),TRUE)</f>
        <v/>
      </c>
      <c r="AD544" s="20" t="str">
        <f t="shared" si="1096"/>
        <v/>
      </c>
      <c r="AE544" s="43"/>
      <c r="AF544" s="62" t="s">
        <v>63</v>
      </c>
      <c r="AG544" s="57" t="str">
        <f t="shared" si="11"/>
        <v/>
      </c>
    </row>
    <row r="545">
      <c r="A545" s="6" t="str">
        <f>IFERROR(__xludf.DUMMYFUNCTION("""COMPUTED_VALUE"""),"FM455")</f>
        <v>FM455</v>
      </c>
      <c r="B545" s="204">
        <f>IFERROR(__xludf.DUMMYFUNCTION("""COMPUTED_VALUE"""),44619.0)</f>
        <v>44619</v>
      </c>
      <c r="C545" s="250">
        <f>IFERROR(__xludf.DUMMYFUNCTION("""COMPUTED_VALUE"""),0.28791666666666665)</f>
        <v>0.2879166667</v>
      </c>
      <c r="D545" s="6" t="str">
        <f>IFERROR(__xludf.DUMMYFUNCTION("""COMPUTED_VALUE"""),"SpBEND737678")</f>
        <v>SpBEND737678</v>
      </c>
      <c r="E545" s="251"/>
      <c r="F545" s="251"/>
      <c r="G545" s="251" t="str">
        <f>IFERROR(__xludf.DUMMYFUNCTION("""COMPUTED_VALUE"""),"Negative")</f>
        <v>Negative</v>
      </c>
      <c r="H545" s="262" t="str">
        <f>IFERROR(__xludf.DUMMYFUNCTION("""COMPUTED_VALUE"""),"Negative")</f>
        <v>Negative</v>
      </c>
      <c r="I545" s="204">
        <f>IFERROR(__xludf.DUMMYFUNCTION("""COMPUTED_VALUE"""),44621.0)</f>
        <v>44621</v>
      </c>
      <c r="J545" s="252">
        <f>IFERROR(__xludf.DUMMYFUNCTION("""COMPUTED_VALUE"""),0.4783449074074074)</f>
        <v>0.4783449074</v>
      </c>
      <c r="K545" s="56"/>
      <c r="L545" s="6"/>
      <c r="M545" s="61"/>
      <c r="N545" s="61">
        <f>IFERROR(__xludf.DUMMYFUNCTION("""COMPUTED_VALUE"""),1.0)</f>
        <v>1</v>
      </c>
      <c r="O545" s="61" t="str">
        <f t="shared" si="3"/>
        <v/>
      </c>
      <c r="P545" s="253">
        <f>IFERROR(__xludf.DUMMYFUNCTION("""COMPUTED_VALUE"""),2.0)</f>
        <v>2</v>
      </c>
      <c r="Q545" s="254" t="b">
        <f>VLOOKUP($B545,'Run Reconcile'!B$2:O799,14,FALSE)</f>
        <v>1</v>
      </c>
      <c r="R545" s="255" t="str">
        <f t="array" ref="R545">IF($Q545, INDEX('Run Reconcile'!A$2:A799,MATCH(B545,'Run Reconcile'!B$2:B799,0),1),IFERROR(0/0,""))</f>
        <v>RUN-BEND_2022-02-27_RFR-042</v>
      </c>
      <c r="S545" s="261" t="str">
        <f t="shared" ref="S545:T545" si="1097">IF(COUNTIF(W$2:W799, $A545) &gt; 0,TRUE,IFERROR(0/0,""))</f>
        <v/>
      </c>
      <c r="T545" s="261" t="str">
        <f t="shared" si="1097"/>
        <v/>
      </c>
      <c r="U545" s="257" t="str">
        <f t="array" ref="U545">IF(ISBLANK($R545), INDEX('Run Reconcile'!A$2:A799, MATCH($B545, 'Run Reconcile'!B$2:B799, 0)+Z545, 1), IFERROR(0/0,""))
</f>
        <v/>
      </c>
      <c r="V545" s="258" t="str">
        <f t="shared" si="480"/>
        <v>RUN-BEND_2022-02-27_RFR-042</v>
      </c>
      <c r="Y545" s="130" t="str">
        <f t="shared" si="487"/>
        <v/>
      </c>
      <c r="Z545" s="49" t="str">
        <f t="shared" si="7"/>
        <v/>
      </c>
      <c r="AA545" s="49" t="str">
        <f t="shared" si="8"/>
        <v/>
      </c>
      <c r="AB545" s="49" t="str">
        <f t="shared" si="9"/>
        <v/>
      </c>
      <c r="AC545" s="20" t="str">
        <f t="shared" ref="AC545:AD545" si="1098">IF(_xlfn.ISFORMULA(S545),IFERROR(0/0,""),TRUE)</f>
        <v/>
      </c>
      <c r="AD545" s="20" t="str">
        <f t="shared" si="1098"/>
        <v/>
      </c>
      <c r="AE545" s="43"/>
      <c r="AF545" s="62" t="s">
        <v>63</v>
      </c>
      <c r="AG545" s="57" t="str">
        <f t="shared" si="11"/>
        <v/>
      </c>
    </row>
    <row r="546">
      <c r="A546" s="6" t="str">
        <f>IFERROR(__xludf.DUMMYFUNCTION("""COMPUTED_VALUE"""),"FM2093")</f>
        <v>FM2093</v>
      </c>
      <c r="B546" s="204">
        <f>IFERROR(__xludf.DUMMYFUNCTION("""COMPUTED_VALUE"""),44619.0)</f>
        <v>44619</v>
      </c>
      <c r="C546" s="250">
        <f>IFERROR(__xludf.DUMMYFUNCTION("""COMPUTED_VALUE"""),0.29094907407407405)</f>
        <v>0.2909490741</v>
      </c>
      <c r="D546" s="6" t="str">
        <f>IFERROR(__xludf.DUMMYFUNCTION("""COMPUTED_VALUE"""),"SpBEND321883")</f>
        <v>SpBEND321883</v>
      </c>
      <c r="E546" s="251"/>
      <c r="F546" s="251"/>
      <c r="G546" s="251" t="str">
        <f>IFERROR(__xludf.DUMMYFUNCTION("""COMPUTED_VALUE"""),"Negative")</f>
        <v>Negative</v>
      </c>
      <c r="H546" s="262" t="str">
        <f>IFERROR(__xludf.DUMMYFUNCTION("""COMPUTED_VALUE"""),"Negative")</f>
        <v>Negative</v>
      </c>
      <c r="I546" s="204">
        <f>IFERROR(__xludf.DUMMYFUNCTION("""COMPUTED_VALUE"""),44621.0)</f>
        <v>44621</v>
      </c>
      <c r="J546" s="252">
        <f>IFERROR(__xludf.DUMMYFUNCTION("""COMPUTED_VALUE"""),0.4783449074074074)</f>
        <v>0.4783449074</v>
      </c>
      <c r="K546" s="56"/>
      <c r="L546" s="6"/>
      <c r="M546" s="61"/>
      <c r="N546" s="61">
        <f>IFERROR(__xludf.DUMMYFUNCTION("""COMPUTED_VALUE"""),1.0)</f>
        <v>1</v>
      </c>
      <c r="O546" s="61" t="str">
        <f t="shared" si="3"/>
        <v/>
      </c>
      <c r="P546" s="253">
        <f>IFERROR(__xludf.DUMMYFUNCTION("""COMPUTED_VALUE"""),2.0)</f>
        <v>2</v>
      </c>
      <c r="Q546" s="254" t="b">
        <f>VLOOKUP($B546,'Run Reconcile'!B$2:O799,14,FALSE)</f>
        <v>1</v>
      </c>
      <c r="R546" s="255" t="str">
        <f t="array" ref="R546">IF($Q546, INDEX('Run Reconcile'!A$2:A799,MATCH(B546,'Run Reconcile'!B$2:B799,0),1),IFERROR(0/0,""))</f>
        <v>RUN-BEND_2022-02-27_RFR-042</v>
      </c>
      <c r="S546" s="261" t="str">
        <f t="shared" ref="S546:T546" si="1099">IF(COUNTIF(W$2:W799, $A546) &gt; 0,TRUE,IFERROR(0/0,""))</f>
        <v/>
      </c>
      <c r="T546" s="261" t="str">
        <f t="shared" si="1099"/>
        <v/>
      </c>
      <c r="U546" s="257" t="str">
        <f t="array" ref="U546">IF(ISBLANK($R546), INDEX('Run Reconcile'!A$2:A799, MATCH($B546, 'Run Reconcile'!B$2:B799, 0)+Z546, 1), IFERROR(0/0,""))
</f>
        <v/>
      </c>
      <c r="V546" s="258" t="str">
        <f t="shared" si="480"/>
        <v>RUN-BEND_2022-02-27_RFR-042</v>
      </c>
      <c r="Y546" s="130" t="str">
        <f t="shared" si="487"/>
        <v/>
      </c>
      <c r="Z546" s="49" t="str">
        <f t="shared" si="7"/>
        <v/>
      </c>
      <c r="AA546" s="49" t="str">
        <f t="shared" si="8"/>
        <v/>
      </c>
      <c r="AB546" s="49" t="str">
        <f t="shared" si="9"/>
        <v/>
      </c>
      <c r="AC546" s="20" t="str">
        <f t="shared" ref="AC546:AD546" si="1100">IF(_xlfn.ISFORMULA(S546),IFERROR(0/0,""),TRUE)</f>
        <v/>
      </c>
      <c r="AD546" s="20" t="str">
        <f t="shared" si="1100"/>
        <v/>
      </c>
      <c r="AE546" s="43"/>
      <c r="AF546" s="62" t="s">
        <v>63</v>
      </c>
      <c r="AG546" s="57" t="str">
        <f t="shared" si="11"/>
        <v/>
      </c>
    </row>
    <row r="547">
      <c r="A547" s="6" t="str">
        <f>IFERROR(__xludf.DUMMYFUNCTION("""COMPUTED_VALUE"""),"FM445")</f>
        <v>FM445</v>
      </c>
      <c r="B547" s="204">
        <f>IFERROR(__xludf.DUMMYFUNCTION("""COMPUTED_VALUE"""),44619.0)</f>
        <v>44619</v>
      </c>
      <c r="C547" s="250">
        <f>IFERROR(__xludf.DUMMYFUNCTION("""COMPUTED_VALUE"""),0.2973032407407407)</f>
        <v>0.2973032407</v>
      </c>
      <c r="D547" s="6" t="str">
        <f>IFERROR(__xludf.DUMMYFUNCTION("""COMPUTED_VALUE"""),"SpBEND734943")</f>
        <v>SpBEND734943</v>
      </c>
      <c r="E547" s="251"/>
      <c r="F547" s="251"/>
      <c r="G547" s="251" t="str">
        <f>IFERROR(__xludf.DUMMYFUNCTION("""COMPUTED_VALUE"""),"Negative")</f>
        <v>Negative</v>
      </c>
      <c r="H547" s="262" t="str">
        <f>IFERROR(__xludf.DUMMYFUNCTION("""COMPUTED_VALUE"""),"Negative")</f>
        <v>Negative</v>
      </c>
      <c r="I547" s="204">
        <f>IFERROR(__xludf.DUMMYFUNCTION("""COMPUTED_VALUE"""),44621.0)</f>
        <v>44621</v>
      </c>
      <c r="J547" s="252">
        <f>IFERROR(__xludf.DUMMYFUNCTION("""COMPUTED_VALUE"""),0.4783449074074074)</f>
        <v>0.4783449074</v>
      </c>
      <c r="K547" s="56"/>
      <c r="L547" s="6"/>
      <c r="M547" s="61"/>
      <c r="N547" s="61">
        <f>IFERROR(__xludf.DUMMYFUNCTION("""COMPUTED_VALUE"""),1.0)</f>
        <v>1</v>
      </c>
      <c r="O547" s="61" t="str">
        <f t="shared" si="3"/>
        <v/>
      </c>
      <c r="P547" s="253">
        <f>IFERROR(__xludf.DUMMYFUNCTION("""COMPUTED_VALUE"""),2.0)</f>
        <v>2</v>
      </c>
      <c r="Q547" s="254" t="b">
        <f>VLOOKUP($B547,'Run Reconcile'!B$2:O799,14,FALSE)</f>
        <v>1</v>
      </c>
      <c r="R547" s="255" t="str">
        <f t="array" ref="R547">IF($Q547, INDEX('Run Reconcile'!A$2:A799,MATCH(B547,'Run Reconcile'!B$2:B799,0),1),IFERROR(0/0,""))</f>
        <v>RUN-BEND_2022-02-27_RFR-042</v>
      </c>
      <c r="S547" s="261" t="str">
        <f t="shared" ref="S547:T547" si="1101">IF(COUNTIF(W$2:W799, $A547) &gt; 0,TRUE,IFERROR(0/0,""))</f>
        <v/>
      </c>
      <c r="T547" s="261" t="str">
        <f t="shared" si="1101"/>
        <v/>
      </c>
      <c r="U547" s="257" t="str">
        <f t="array" ref="U547">IF(ISBLANK($R547), INDEX('Run Reconcile'!A$2:A799, MATCH($B547, 'Run Reconcile'!B$2:B799, 0)+Z547, 1), IFERROR(0/0,""))
</f>
        <v/>
      </c>
      <c r="V547" s="258" t="str">
        <f t="shared" si="480"/>
        <v>RUN-BEND_2022-02-27_RFR-042</v>
      </c>
      <c r="Y547" s="130" t="str">
        <f t="shared" si="487"/>
        <v/>
      </c>
      <c r="Z547" s="49" t="str">
        <f t="shared" si="7"/>
        <v/>
      </c>
      <c r="AA547" s="49" t="str">
        <f t="shared" si="8"/>
        <v/>
      </c>
      <c r="AB547" s="49" t="str">
        <f t="shared" si="9"/>
        <v/>
      </c>
      <c r="AC547" s="20" t="str">
        <f t="shared" ref="AC547:AD547" si="1102">IF(_xlfn.ISFORMULA(S547),IFERROR(0/0,""),TRUE)</f>
        <v/>
      </c>
      <c r="AD547" s="20" t="str">
        <f t="shared" si="1102"/>
        <v/>
      </c>
      <c r="AE547" s="43"/>
      <c r="AF547" s="62" t="s">
        <v>63</v>
      </c>
      <c r="AG547" s="57" t="str">
        <f t="shared" si="11"/>
        <v/>
      </c>
    </row>
    <row r="548">
      <c r="A548" s="6" t="str">
        <f>IFERROR(__xludf.DUMMYFUNCTION("""COMPUTED_VALUE"""),"MA394")</f>
        <v>MA394</v>
      </c>
      <c r="B548" s="204">
        <f>IFERROR(__xludf.DUMMYFUNCTION("""COMPUTED_VALUE"""),44619.0)</f>
        <v>44619</v>
      </c>
      <c r="C548" s="250">
        <f>IFERROR(__xludf.DUMMYFUNCTION("""COMPUTED_VALUE"""),0.3128587962962963)</f>
        <v>0.3128587963</v>
      </c>
      <c r="D548" s="6" t="str">
        <f>IFERROR(__xludf.DUMMYFUNCTION("""COMPUTED_VALUE"""),"SpBEND435789")</f>
        <v>SpBEND435789</v>
      </c>
      <c r="E548" s="251"/>
      <c r="F548" s="251"/>
      <c r="G548" s="251" t="str">
        <f>IFERROR(__xludf.DUMMYFUNCTION("""COMPUTED_VALUE"""),"Negative")</f>
        <v>Negative</v>
      </c>
      <c r="H548" s="262" t="str">
        <f>IFERROR(__xludf.DUMMYFUNCTION("""COMPUTED_VALUE"""),"Negative")</f>
        <v>Negative</v>
      </c>
      <c r="I548" s="204">
        <f>IFERROR(__xludf.DUMMYFUNCTION("""COMPUTED_VALUE"""),44621.0)</f>
        <v>44621</v>
      </c>
      <c r="J548" s="252">
        <f>IFERROR(__xludf.DUMMYFUNCTION("""COMPUTED_VALUE"""),0.4783449074074074)</f>
        <v>0.4783449074</v>
      </c>
      <c r="K548" s="56"/>
      <c r="L548" s="6"/>
      <c r="M548" s="61"/>
      <c r="N548" s="61">
        <f>IFERROR(__xludf.DUMMYFUNCTION("""COMPUTED_VALUE"""),1.0)</f>
        <v>1</v>
      </c>
      <c r="O548" s="61" t="str">
        <f t="shared" si="3"/>
        <v/>
      </c>
      <c r="P548" s="253">
        <f>IFERROR(__xludf.DUMMYFUNCTION("""COMPUTED_VALUE"""),2.0)</f>
        <v>2</v>
      </c>
      <c r="Q548" s="254" t="b">
        <f>VLOOKUP($B548,'Run Reconcile'!B$2:O799,14,FALSE)</f>
        <v>1</v>
      </c>
      <c r="R548" s="255" t="str">
        <f t="array" ref="R548">IF($Q548, INDEX('Run Reconcile'!A$2:A799,MATCH(B548,'Run Reconcile'!B$2:B799,0),1),IFERROR(0/0,""))</f>
        <v>RUN-BEND_2022-02-27_RFR-042</v>
      </c>
      <c r="S548" s="261" t="str">
        <f t="shared" ref="S548:T548" si="1103">IF(COUNTIF(W$2:W799, $A548) &gt; 0,TRUE,IFERROR(0/0,""))</f>
        <v/>
      </c>
      <c r="T548" s="261" t="str">
        <f t="shared" si="1103"/>
        <v/>
      </c>
      <c r="U548" s="257" t="str">
        <f t="array" ref="U548">IF(ISBLANK($R548), INDEX('Run Reconcile'!A$2:A799, MATCH($B548, 'Run Reconcile'!B$2:B799, 0)+Z548, 1), IFERROR(0/0,""))
</f>
        <v/>
      </c>
      <c r="V548" s="258" t="str">
        <f t="shared" si="480"/>
        <v>RUN-BEND_2022-02-27_RFR-042</v>
      </c>
      <c r="Y548" s="130" t="str">
        <f t="shared" si="487"/>
        <v/>
      </c>
      <c r="Z548" s="49" t="str">
        <f t="shared" si="7"/>
        <v/>
      </c>
      <c r="AA548" s="49" t="str">
        <f t="shared" si="8"/>
        <v/>
      </c>
      <c r="AB548" s="49" t="str">
        <f t="shared" si="9"/>
        <v/>
      </c>
      <c r="AC548" s="20" t="str">
        <f t="shared" ref="AC548:AD548" si="1104">IF(_xlfn.ISFORMULA(S548),IFERROR(0/0,""),TRUE)</f>
        <v/>
      </c>
      <c r="AD548" s="20" t="str">
        <f t="shared" si="1104"/>
        <v/>
      </c>
      <c r="AE548" s="43"/>
      <c r="AF548" s="62" t="s">
        <v>63</v>
      </c>
      <c r="AG548" s="57" t="str">
        <f t="shared" si="11"/>
        <v/>
      </c>
    </row>
    <row r="549">
      <c r="A549" s="6" t="str">
        <f>IFERROR(__xludf.DUMMYFUNCTION("""COMPUTED_VALUE"""),"FM2")</f>
        <v>FM2</v>
      </c>
      <c r="B549" s="204">
        <f>IFERROR(__xludf.DUMMYFUNCTION("""COMPUTED_VALUE"""),44619.0)</f>
        <v>44619</v>
      </c>
      <c r="C549" s="250">
        <f>IFERROR(__xludf.DUMMYFUNCTION("""COMPUTED_VALUE"""),0.31364583333333335)</f>
        <v>0.3136458333</v>
      </c>
      <c r="D549" s="6" t="str">
        <f>IFERROR(__xludf.DUMMYFUNCTION("""COMPUTED_VALUE"""),"SpBEND136234")</f>
        <v>SpBEND136234</v>
      </c>
      <c r="E549" s="251"/>
      <c r="F549" s="251"/>
      <c r="G549" s="251" t="str">
        <f>IFERROR(__xludf.DUMMYFUNCTION("""COMPUTED_VALUE"""),"Negative")</f>
        <v>Negative</v>
      </c>
      <c r="H549" s="262" t="str">
        <f>IFERROR(__xludf.DUMMYFUNCTION("""COMPUTED_VALUE"""),"Negative")</f>
        <v>Negative</v>
      </c>
      <c r="I549" s="204">
        <f>IFERROR(__xludf.DUMMYFUNCTION("""COMPUTED_VALUE"""),44621.0)</f>
        <v>44621</v>
      </c>
      <c r="J549" s="252">
        <f>IFERROR(__xludf.DUMMYFUNCTION("""COMPUTED_VALUE"""),0.4783449074074074)</f>
        <v>0.4783449074</v>
      </c>
      <c r="K549" s="56"/>
      <c r="L549" s="6"/>
      <c r="M549" s="61"/>
      <c r="N549" s="61">
        <f>IFERROR(__xludf.DUMMYFUNCTION("""COMPUTED_VALUE"""),1.0)</f>
        <v>1</v>
      </c>
      <c r="O549" s="61" t="str">
        <f t="shared" si="3"/>
        <v/>
      </c>
      <c r="P549" s="253">
        <f>IFERROR(__xludf.DUMMYFUNCTION("""COMPUTED_VALUE"""),2.0)</f>
        <v>2</v>
      </c>
      <c r="Q549" s="254" t="b">
        <f>VLOOKUP($B549,'Run Reconcile'!B$2:O799,14,FALSE)</f>
        <v>1</v>
      </c>
      <c r="R549" s="255" t="str">
        <f t="array" ref="R549">IF($Q549, INDEX('Run Reconcile'!A$2:A799,MATCH(B549,'Run Reconcile'!B$2:B799,0),1),IFERROR(0/0,""))</f>
        <v>RUN-BEND_2022-02-27_RFR-042</v>
      </c>
      <c r="S549" s="261" t="str">
        <f t="shared" ref="S549:T549" si="1105">IF(COUNTIF(W$2:W799, $A549) &gt; 0,TRUE,IFERROR(0/0,""))</f>
        <v/>
      </c>
      <c r="T549" s="261" t="str">
        <f t="shared" si="1105"/>
        <v/>
      </c>
      <c r="U549" s="257" t="str">
        <f t="array" ref="U549">IF(ISBLANK($R549), INDEX('Run Reconcile'!A$2:A799, MATCH($B549, 'Run Reconcile'!B$2:B799, 0)+Z549, 1), IFERROR(0/0,""))
</f>
        <v/>
      </c>
      <c r="V549" s="258" t="str">
        <f t="shared" si="480"/>
        <v>RUN-BEND_2022-02-27_RFR-042</v>
      </c>
      <c r="Y549" s="130" t="str">
        <f t="shared" si="487"/>
        <v/>
      </c>
      <c r="Z549" s="49" t="str">
        <f t="shared" si="7"/>
        <v/>
      </c>
      <c r="AA549" s="49" t="str">
        <f t="shared" si="8"/>
        <v/>
      </c>
      <c r="AB549" s="49" t="str">
        <f t="shared" si="9"/>
        <v/>
      </c>
      <c r="AC549" s="20" t="str">
        <f t="shared" ref="AC549:AD549" si="1106">IF(_xlfn.ISFORMULA(S549),IFERROR(0/0,""),TRUE)</f>
        <v/>
      </c>
      <c r="AD549" s="20" t="str">
        <f t="shared" si="1106"/>
        <v/>
      </c>
      <c r="AE549" s="43"/>
      <c r="AF549" s="62" t="s">
        <v>63</v>
      </c>
      <c r="AG549" s="57" t="str">
        <f t="shared" si="11"/>
        <v/>
      </c>
    </row>
    <row r="550">
      <c r="A550" s="6" t="str">
        <f>IFERROR(__xludf.DUMMYFUNCTION("""COMPUTED_VALUE"""),"MA1123")</f>
        <v>MA1123</v>
      </c>
      <c r="B550" s="204">
        <f>IFERROR(__xludf.DUMMYFUNCTION("""COMPUTED_VALUE"""),44619.0)</f>
        <v>44619</v>
      </c>
      <c r="C550" s="250">
        <f>IFERROR(__xludf.DUMMYFUNCTION("""COMPUTED_VALUE"""),0.3194212962962963)</f>
        <v>0.3194212963</v>
      </c>
      <c r="D550" s="6" t="str">
        <f>IFERROR(__xludf.DUMMYFUNCTION("""COMPUTED_VALUE"""),"SpBEND845568")</f>
        <v>SpBEND845568</v>
      </c>
      <c r="E550" s="251"/>
      <c r="F550" s="251"/>
      <c r="G550" s="251" t="str">
        <f>IFERROR(__xludf.DUMMYFUNCTION("""COMPUTED_VALUE"""),"Negative")</f>
        <v>Negative</v>
      </c>
      <c r="H550" s="262" t="str">
        <f>IFERROR(__xludf.DUMMYFUNCTION("""COMPUTED_VALUE"""),"Negative")</f>
        <v>Negative</v>
      </c>
      <c r="I550" s="204">
        <f>IFERROR(__xludf.DUMMYFUNCTION("""COMPUTED_VALUE"""),44621.0)</f>
        <v>44621</v>
      </c>
      <c r="J550" s="252">
        <f>IFERROR(__xludf.DUMMYFUNCTION("""COMPUTED_VALUE"""),0.4783449074074074)</f>
        <v>0.4783449074</v>
      </c>
      <c r="K550" s="56"/>
      <c r="L550" s="6"/>
      <c r="M550" s="61"/>
      <c r="N550" s="61">
        <f>IFERROR(__xludf.DUMMYFUNCTION("""COMPUTED_VALUE"""),1.0)</f>
        <v>1</v>
      </c>
      <c r="O550" s="61" t="str">
        <f t="shared" si="3"/>
        <v/>
      </c>
      <c r="P550" s="253">
        <f>IFERROR(__xludf.DUMMYFUNCTION("""COMPUTED_VALUE"""),2.0)</f>
        <v>2</v>
      </c>
      <c r="Q550" s="254" t="b">
        <f>VLOOKUP($B550,'Run Reconcile'!B$2:O799,14,FALSE)</f>
        <v>1</v>
      </c>
      <c r="R550" s="255" t="str">
        <f t="array" ref="R550">IF($Q550, INDEX('Run Reconcile'!A$2:A799,MATCH(B550,'Run Reconcile'!B$2:B799,0),1),IFERROR(0/0,""))</f>
        <v>RUN-BEND_2022-02-27_RFR-042</v>
      </c>
      <c r="S550" s="261" t="str">
        <f t="shared" ref="S550:T550" si="1107">IF(COUNTIF(W$2:W799, $A550) &gt; 0,TRUE,IFERROR(0/0,""))</f>
        <v/>
      </c>
      <c r="T550" s="261" t="str">
        <f t="shared" si="1107"/>
        <v/>
      </c>
      <c r="U550" s="257" t="str">
        <f t="array" ref="U550">IF(ISBLANK($R550), INDEX('Run Reconcile'!A$2:A799, MATCH($B550, 'Run Reconcile'!B$2:B799, 0)+Z550, 1), IFERROR(0/0,""))
</f>
        <v/>
      </c>
      <c r="V550" s="258" t="str">
        <f t="shared" si="480"/>
        <v>RUN-BEND_2022-02-27_RFR-042</v>
      </c>
      <c r="Y550" s="130" t="str">
        <f t="shared" si="487"/>
        <v/>
      </c>
      <c r="Z550" s="49" t="str">
        <f t="shared" si="7"/>
        <v/>
      </c>
      <c r="AA550" s="49" t="str">
        <f t="shared" si="8"/>
        <v/>
      </c>
      <c r="AB550" s="49" t="str">
        <f t="shared" si="9"/>
        <v/>
      </c>
      <c r="AC550" s="20" t="str">
        <f t="shared" ref="AC550:AD550" si="1108">IF(_xlfn.ISFORMULA(S550),IFERROR(0/0,""),TRUE)</f>
        <v/>
      </c>
      <c r="AD550" s="20" t="str">
        <f t="shared" si="1108"/>
        <v/>
      </c>
      <c r="AE550" s="43"/>
      <c r="AF550" s="62" t="s">
        <v>63</v>
      </c>
      <c r="AG550" s="57" t="str">
        <f t="shared" si="11"/>
        <v/>
      </c>
    </row>
    <row r="551">
      <c r="A551" s="6" t="str">
        <f>IFERROR(__xludf.DUMMYFUNCTION("""COMPUTED_VALUE"""),"MA1263")</f>
        <v>MA1263</v>
      </c>
      <c r="B551" s="204">
        <f>IFERROR(__xludf.DUMMYFUNCTION("""COMPUTED_VALUE"""),44619.0)</f>
        <v>44619</v>
      </c>
      <c r="C551" s="250">
        <f>IFERROR(__xludf.DUMMYFUNCTION("""COMPUTED_VALUE"""),0.3200462962962963)</f>
        <v>0.3200462963</v>
      </c>
      <c r="D551" s="6" t="str">
        <f>IFERROR(__xludf.DUMMYFUNCTION("""COMPUTED_VALUE"""),"SpBEND815974")</f>
        <v>SpBEND815974</v>
      </c>
      <c r="E551" s="251"/>
      <c r="F551" s="251"/>
      <c r="G551" s="251" t="str">
        <f>IFERROR(__xludf.DUMMYFUNCTION("""COMPUTED_VALUE"""),"Negative")</f>
        <v>Negative</v>
      </c>
      <c r="H551" s="262" t="str">
        <f>IFERROR(__xludf.DUMMYFUNCTION("""COMPUTED_VALUE"""),"Negative")</f>
        <v>Negative</v>
      </c>
      <c r="I551" s="204">
        <f>IFERROR(__xludf.DUMMYFUNCTION("""COMPUTED_VALUE"""),44621.0)</f>
        <v>44621</v>
      </c>
      <c r="J551" s="252">
        <f>IFERROR(__xludf.DUMMYFUNCTION("""COMPUTED_VALUE"""),0.4783449074074074)</f>
        <v>0.4783449074</v>
      </c>
      <c r="K551" s="56"/>
      <c r="L551" s="6"/>
      <c r="M551" s="61"/>
      <c r="N551" s="61">
        <f>IFERROR(__xludf.DUMMYFUNCTION("""COMPUTED_VALUE"""),1.0)</f>
        <v>1</v>
      </c>
      <c r="O551" s="61" t="str">
        <f t="shared" si="3"/>
        <v/>
      </c>
      <c r="P551" s="253">
        <f>IFERROR(__xludf.DUMMYFUNCTION("""COMPUTED_VALUE"""),2.0)</f>
        <v>2</v>
      </c>
      <c r="Q551" s="254" t="b">
        <f>VLOOKUP($B551,'Run Reconcile'!B$2:O799,14,FALSE)</f>
        <v>1</v>
      </c>
      <c r="R551" s="255" t="str">
        <f t="array" ref="R551">IF($Q551, INDEX('Run Reconcile'!A$2:A799,MATCH(B551,'Run Reconcile'!B$2:B799,0),1),IFERROR(0/0,""))</f>
        <v>RUN-BEND_2022-02-27_RFR-042</v>
      </c>
      <c r="S551" s="261" t="str">
        <f t="shared" ref="S551:T551" si="1109">IF(COUNTIF(W$2:W799, $A551) &gt; 0,TRUE,IFERROR(0/0,""))</f>
        <v/>
      </c>
      <c r="T551" s="261" t="str">
        <f t="shared" si="1109"/>
        <v/>
      </c>
      <c r="U551" s="257" t="str">
        <f t="array" ref="U551">IF(ISBLANK($R551), INDEX('Run Reconcile'!A$2:A799, MATCH($B551, 'Run Reconcile'!B$2:B799, 0)+Z551, 1), IFERROR(0/0,""))
</f>
        <v/>
      </c>
      <c r="V551" s="258" t="str">
        <f t="shared" si="480"/>
        <v>RUN-BEND_2022-02-27_RFR-042</v>
      </c>
      <c r="Y551" s="130" t="str">
        <f t="shared" si="487"/>
        <v/>
      </c>
      <c r="Z551" s="49" t="str">
        <f t="shared" si="7"/>
        <v/>
      </c>
      <c r="AA551" s="49" t="str">
        <f t="shared" si="8"/>
        <v/>
      </c>
      <c r="AB551" s="49" t="str">
        <f t="shared" si="9"/>
        <v/>
      </c>
      <c r="AC551" s="20" t="str">
        <f t="shared" ref="AC551:AD551" si="1110">IF(_xlfn.ISFORMULA(S551),IFERROR(0/0,""),TRUE)</f>
        <v/>
      </c>
      <c r="AD551" s="20" t="str">
        <f t="shared" si="1110"/>
        <v/>
      </c>
      <c r="AE551" s="43"/>
      <c r="AF551" s="62" t="s">
        <v>63</v>
      </c>
      <c r="AG551" s="57" t="str">
        <f t="shared" si="11"/>
        <v/>
      </c>
    </row>
    <row r="552">
      <c r="A552" s="6" t="str">
        <f>IFERROR(__xludf.DUMMYFUNCTION("""COMPUTED_VALUE"""),"MA1090")</f>
        <v>MA1090</v>
      </c>
      <c r="B552" s="204">
        <f>IFERROR(__xludf.DUMMYFUNCTION("""COMPUTED_VALUE"""),44619.0)</f>
        <v>44619</v>
      </c>
      <c r="C552" s="250">
        <f>IFERROR(__xludf.DUMMYFUNCTION("""COMPUTED_VALUE"""),0.32108796296296294)</f>
        <v>0.321087963</v>
      </c>
      <c r="D552" s="6" t="str">
        <f>IFERROR(__xludf.DUMMYFUNCTION("""COMPUTED_VALUE"""),"SpBEND269695")</f>
        <v>SpBEND269695</v>
      </c>
      <c r="E552" s="251"/>
      <c r="F552" s="251"/>
      <c r="G552" s="251" t="str">
        <f>IFERROR(__xludf.DUMMYFUNCTION("""COMPUTED_VALUE"""),"Negative")</f>
        <v>Negative</v>
      </c>
      <c r="H552" s="262" t="str">
        <f>IFERROR(__xludf.DUMMYFUNCTION("""COMPUTED_VALUE"""),"Negative")</f>
        <v>Negative</v>
      </c>
      <c r="I552" s="204">
        <f>IFERROR(__xludf.DUMMYFUNCTION("""COMPUTED_VALUE"""),44621.0)</f>
        <v>44621</v>
      </c>
      <c r="J552" s="252">
        <f>IFERROR(__xludf.DUMMYFUNCTION("""COMPUTED_VALUE"""),0.4783449074074074)</f>
        <v>0.4783449074</v>
      </c>
      <c r="K552" s="56"/>
      <c r="L552" s="6"/>
      <c r="M552" s="61"/>
      <c r="N552" s="61">
        <f>IFERROR(__xludf.DUMMYFUNCTION("""COMPUTED_VALUE"""),1.0)</f>
        <v>1</v>
      </c>
      <c r="O552" s="61" t="str">
        <f t="shared" si="3"/>
        <v/>
      </c>
      <c r="P552" s="253">
        <f>IFERROR(__xludf.DUMMYFUNCTION("""COMPUTED_VALUE"""),2.0)</f>
        <v>2</v>
      </c>
      <c r="Q552" s="254" t="b">
        <f>VLOOKUP($B552,'Run Reconcile'!B$2:O799,14,FALSE)</f>
        <v>1</v>
      </c>
      <c r="R552" s="255" t="str">
        <f t="array" ref="R552">IF($Q552, INDEX('Run Reconcile'!A$2:A799,MATCH(B552,'Run Reconcile'!B$2:B799,0),1),IFERROR(0/0,""))</f>
        <v>RUN-BEND_2022-02-27_RFR-042</v>
      </c>
      <c r="S552" s="261" t="str">
        <f t="shared" ref="S552:T552" si="1111">IF(COUNTIF(W$2:W799, $A552) &gt; 0,TRUE,IFERROR(0/0,""))</f>
        <v/>
      </c>
      <c r="T552" s="261" t="str">
        <f t="shared" si="1111"/>
        <v/>
      </c>
      <c r="U552" s="257" t="str">
        <f t="array" ref="U552">IF(ISBLANK($R552), INDEX('Run Reconcile'!A$2:A799, MATCH($B552, 'Run Reconcile'!B$2:B799, 0)+Z552, 1), IFERROR(0/0,""))
</f>
        <v/>
      </c>
      <c r="V552" s="258" t="str">
        <f t="shared" si="480"/>
        <v>RUN-BEND_2022-02-27_RFR-042</v>
      </c>
      <c r="Y552" s="130" t="str">
        <f t="shared" si="487"/>
        <v/>
      </c>
      <c r="Z552" s="49" t="str">
        <f t="shared" si="7"/>
        <v/>
      </c>
      <c r="AA552" s="49" t="str">
        <f t="shared" si="8"/>
        <v/>
      </c>
      <c r="AB552" s="49" t="str">
        <f t="shared" si="9"/>
        <v/>
      </c>
      <c r="AC552" s="20" t="str">
        <f t="shared" ref="AC552:AD552" si="1112">IF(_xlfn.ISFORMULA(S552),IFERROR(0/0,""),TRUE)</f>
        <v/>
      </c>
      <c r="AD552" s="20" t="str">
        <f t="shared" si="1112"/>
        <v/>
      </c>
      <c r="AE552" s="43"/>
      <c r="AF552" s="62" t="s">
        <v>63</v>
      </c>
      <c r="AG552" s="57" t="str">
        <f t="shared" si="11"/>
        <v/>
      </c>
    </row>
    <row r="553">
      <c r="A553" s="6" t="str">
        <f>IFERROR(__xludf.DUMMYFUNCTION("""COMPUTED_VALUE"""),"FM23")</f>
        <v>FM23</v>
      </c>
      <c r="B553" s="204">
        <f>IFERROR(__xludf.DUMMYFUNCTION("""COMPUTED_VALUE"""),44619.0)</f>
        <v>44619</v>
      </c>
      <c r="C553" s="250">
        <f>IFERROR(__xludf.DUMMYFUNCTION("""COMPUTED_VALUE"""),0.32261574074074073)</f>
        <v>0.3226157407</v>
      </c>
      <c r="D553" s="6" t="str">
        <f>IFERROR(__xludf.DUMMYFUNCTION("""COMPUTED_VALUE"""),"SpBEND524085")</f>
        <v>SpBEND524085</v>
      </c>
      <c r="E553" s="251"/>
      <c r="F553" s="251"/>
      <c r="G553" s="251" t="str">
        <f>IFERROR(__xludf.DUMMYFUNCTION("""COMPUTED_VALUE"""),"Negative")</f>
        <v>Negative</v>
      </c>
      <c r="H553" s="262" t="str">
        <f>IFERROR(__xludf.DUMMYFUNCTION("""COMPUTED_VALUE"""),"Negative")</f>
        <v>Negative</v>
      </c>
      <c r="I553" s="204">
        <f>IFERROR(__xludf.DUMMYFUNCTION("""COMPUTED_VALUE"""),44621.0)</f>
        <v>44621</v>
      </c>
      <c r="J553" s="252">
        <f>IFERROR(__xludf.DUMMYFUNCTION("""COMPUTED_VALUE"""),0.4783449074074074)</f>
        <v>0.4783449074</v>
      </c>
      <c r="K553" s="56"/>
      <c r="L553" s="6"/>
      <c r="M553" s="61"/>
      <c r="N553" s="61">
        <f>IFERROR(__xludf.DUMMYFUNCTION("""COMPUTED_VALUE"""),1.0)</f>
        <v>1</v>
      </c>
      <c r="O553" s="61" t="str">
        <f t="shared" si="3"/>
        <v/>
      </c>
      <c r="P553" s="253">
        <f>IFERROR(__xludf.DUMMYFUNCTION("""COMPUTED_VALUE"""),2.0)</f>
        <v>2</v>
      </c>
      <c r="Q553" s="254" t="b">
        <f>VLOOKUP($B553,'Run Reconcile'!B$2:O799,14,FALSE)</f>
        <v>1</v>
      </c>
      <c r="R553" s="255" t="str">
        <f t="array" ref="R553">IF($Q553, INDEX('Run Reconcile'!A$2:A799,MATCH(B553,'Run Reconcile'!B$2:B799,0),1),IFERROR(0/0,""))</f>
        <v>RUN-BEND_2022-02-27_RFR-042</v>
      </c>
      <c r="S553" s="261" t="str">
        <f t="shared" ref="S553:T553" si="1113">IF(COUNTIF(W$2:W799, $A553) &gt; 0,TRUE,IFERROR(0/0,""))</f>
        <v/>
      </c>
      <c r="T553" s="261" t="str">
        <f t="shared" si="1113"/>
        <v/>
      </c>
      <c r="U553" s="257" t="str">
        <f t="array" ref="U553">IF(ISBLANK($R553), INDEX('Run Reconcile'!A$2:A799, MATCH($B553, 'Run Reconcile'!B$2:B799, 0)+Z553, 1), IFERROR(0/0,""))
</f>
        <v/>
      </c>
      <c r="V553" s="258" t="str">
        <f t="shared" si="480"/>
        <v>RUN-BEND_2022-02-27_RFR-042</v>
      </c>
      <c r="Y553" s="130" t="str">
        <f t="shared" si="487"/>
        <v/>
      </c>
      <c r="Z553" s="49" t="str">
        <f t="shared" si="7"/>
        <v/>
      </c>
      <c r="AA553" s="49" t="str">
        <f t="shared" si="8"/>
        <v/>
      </c>
      <c r="AB553" s="49" t="str">
        <f t="shared" si="9"/>
        <v/>
      </c>
      <c r="AC553" s="20" t="str">
        <f t="shared" ref="AC553:AD553" si="1114">IF(_xlfn.ISFORMULA(S553),IFERROR(0/0,""),TRUE)</f>
        <v/>
      </c>
      <c r="AD553" s="20" t="str">
        <f t="shared" si="1114"/>
        <v/>
      </c>
      <c r="AE553" s="43"/>
      <c r="AF553" s="62" t="s">
        <v>63</v>
      </c>
      <c r="AG553" s="57" t="str">
        <f t="shared" si="11"/>
        <v/>
      </c>
    </row>
    <row r="554">
      <c r="A554" s="6" t="str">
        <f>IFERROR(__xludf.DUMMYFUNCTION("""COMPUTED_VALUE"""),"FM4")</f>
        <v>FM4</v>
      </c>
      <c r="B554" s="204">
        <f>IFERROR(__xludf.DUMMYFUNCTION("""COMPUTED_VALUE"""),44619.0)</f>
        <v>44619</v>
      </c>
      <c r="C554" s="250">
        <f>IFERROR(__xludf.DUMMYFUNCTION("""COMPUTED_VALUE"""),0.32320601851851855)</f>
        <v>0.3232060185</v>
      </c>
      <c r="D554" s="6" t="str">
        <f>IFERROR(__xludf.DUMMYFUNCTION("""COMPUTED_VALUE"""),"SpBEND524085")</f>
        <v>SpBEND524085</v>
      </c>
      <c r="E554" s="251"/>
      <c r="F554" s="251"/>
      <c r="G554" s="251" t="str">
        <f>IFERROR(__xludf.DUMMYFUNCTION("""COMPUTED_VALUE"""),"Negative")</f>
        <v>Negative</v>
      </c>
      <c r="H554" s="262" t="str">
        <f>IFERROR(__xludf.DUMMYFUNCTION("""COMPUTED_VALUE"""),"Negative")</f>
        <v>Negative</v>
      </c>
      <c r="I554" s="204">
        <f>IFERROR(__xludf.DUMMYFUNCTION("""COMPUTED_VALUE"""),44621.0)</f>
        <v>44621</v>
      </c>
      <c r="J554" s="252">
        <f>IFERROR(__xludf.DUMMYFUNCTION("""COMPUTED_VALUE"""),0.4783449074074074)</f>
        <v>0.4783449074</v>
      </c>
      <c r="K554" s="56"/>
      <c r="L554" s="6"/>
      <c r="M554" s="61"/>
      <c r="N554" s="61">
        <f>IFERROR(__xludf.DUMMYFUNCTION("""COMPUTED_VALUE"""),1.0)</f>
        <v>1</v>
      </c>
      <c r="O554" s="61" t="str">
        <f t="shared" si="3"/>
        <v/>
      </c>
      <c r="P554" s="253">
        <f>IFERROR(__xludf.DUMMYFUNCTION("""COMPUTED_VALUE"""),2.0)</f>
        <v>2</v>
      </c>
      <c r="Q554" s="254" t="b">
        <f>VLOOKUP($B554,'Run Reconcile'!B$2:O799,14,FALSE)</f>
        <v>1</v>
      </c>
      <c r="R554" s="255" t="str">
        <f t="array" ref="R554">IF($Q554, INDEX('Run Reconcile'!A$2:A799,MATCH(B554,'Run Reconcile'!B$2:B799,0),1),IFERROR(0/0,""))</f>
        <v>RUN-BEND_2022-02-27_RFR-042</v>
      </c>
      <c r="S554" s="261" t="str">
        <f t="shared" ref="S554:T554" si="1115">IF(COUNTIF(W$2:W799, $A554) &gt; 0,TRUE,IFERROR(0/0,""))</f>
        <v/>
      </c>
      <c r="T554" s="261" t="str">
        <f t="shared" si="1115"/>
        <v/>
      </c>
      <c r="U554" s="257" t="str">
        <f t="array" ref="U554">IF(ISBLANK($R554), INDEX('Run Reconcile'!A$2:A799, MATCH($B554, 'Run Reconcile'!B$2:B799, 0)+Z554, 1), IFERROR(0/0,""))
</f>
        <v/>
      </c>
      <c r="V554" s="258" t="str">
        <f t="shared" si="480"/>
        <v>RUN-BEND_2022-02-27_RFR-042</v>
      </c>
      <c r="Y554" s="130" t="str">
        <f t="shared" si="487"/>
        <v/>
      </c>
      <c r="Z554" s="49" t="str">
        <f t="shared" si="7"/>
        <v/>
      </c>
      <c r="AA554" s="49" t="str">
        <f t="shared" si="8"/>
        <v/>
      </c>
      <c r="AB554" s="49" t="str">
        <f t="shared" si="9"/>
        <v/>
      </c>
      <c r="AC554" s="20" t="str">
        <f t="shared" ref="AC554:AD554" si="1116">IF(_xlfn.ISFORMULA(S554),IFERROR(0/0,""),TRUE)</f>
        <v/>
      </c>
      <c r="AD554" s="20" t="str">
        <f t="shared" si="1116"/>
        <v/>
      </c>
      <c r="AE554" s="43"/>
      <c r="AF554" s="62" t="s">
        <v>63</v>
      </c>
      <c r="AG554" s="57" t="str">
        <f t="shared" si="11"/>
        <v/>
      </c>
    </row>
    <row r="555">
      <c r="A555" s="6" t="str">
        <f>IFERROR(__xludf.DUMMYFUNCTION("""COMPUTED_VALUE"""),"FM2066")</f>
        <v>FM2066</v>
      </c>
      <c r="B555" s="204">
        <f>IFERROR(__xludf.DUMMYFUNCTION("""COMPUTED_VALUE"""),44619.0)</f>
        <v>44619</v>
      </c>
      <c r="C555" s="250">
        <f>IFERROR(__xludf.DUMMYFUNCTION("""COMPUTED_VALUE"""),0.3246759259259259)</f>
        <v>0.3246759259</v>
      </c>
      <c r="D555" s="6" t="str">
        <f>IFERROR(__xludf.DUMMYFUNCTION("""COMPUTED_VALUE"""),"SpBEND454594")</f>
        <v>SpBEND454594</v>
      </c>
      <c r="E555" s="251"/>
      <c r="F555" s="251"/>
      <c r="G555" s="251" t="str">
        <f>IFERROR(__xludf.DUMMYFUNCTION("""COMPUTED_VALUE"""),"Negative")</f>
        <v>Negative</v>
      </c>
      <c r="H555" s="262" t="str">
        <f>IFERROR(__xludf.DUMMYFUNCTION("""COMPUTED_VALUE"""),"Negative")</f>
        <v>Negative</v>
      </c>
      <c r="I555" s="204">
        <f>IFERROR(__xludf.DUMMYFUNCTION("""COMPUTED_VALUE"""),44621.0)</f>
        <v>44621</v>
      </c>
      <c r="J555" s="252">
        <f>IFERROR(__xludf.DUMMYFUNCTION("""COMPUTED_VALUE"""),0.47835648148148147)</f>
        <v>0.4783564815</v>
      </c>
      <c r="K555" s="56"/>
      <c r="L555" s="6"/>
      <c r="M555" s="61"/>
      <c r="N555" s="61">
        <f>IFERROR(__xludf.DUMMYFUNCTION("""COMPUTED_VALUE"""),1.0)</f>
        <v>1</v>
      </c>
      <c r="O555" s="61" t="str">
        <f t="shared" si="3"/>
        <v/>
      </c>
      <c r="P555" s="253">
        <f>IFERROR(__xludf.DUMMYFUNCTION("""COMPUTED_VALUE"""),2.0)</f>
        <v>2</v>
      </c>
      <c r="Q555" s="254" t="b">
        <f>VLOOKUP($B555,'Run Reconcile'!B$2:O799,14,FALSE)</f>
        <v>1</v>
      </c>
      <c r="R555" s="255" t="str">
        <f t="array" ref="R555">IF($Q555, INDEX('Run Reconcile'!A$2:A799,MATCH(B555,'Run Reconcile'!B$2:B799,0),1),IFERROR(0/0,""))</f>
        <v>RUN-BEND_2022-02-27_RFR-042</v>
      </c>
      <c r="S555" s="261" t="str">
        <f t="shared" ref="S555:T555" si="1117">IF(COUNTIF(W$2:W799, $A555) &gt; 0,TRUE,IFERROR(0/0,""))</f>
        <v/>
      </c>
      <c r="T555" s="261" t="str">
        <f t="shared" si="1117"/>
        <v/>
      </c>
      <c r="U555" s="257" t="str">
        <f t="array" ref="U555">IF(ISBLANK($R555), INDEX('Run Reconcile'!A$2:A799, MATCH($B555, 'Run Reconcile'!B$2:B799, 0)+Z555, 1), IFERROR(0/0,""))
</f>
        <v/>
      </c>
      <c r="V555" s="258" t="str">
        <f t="shared" si="480"/>
        <v>RUN-BEND_2022-02-27_RFR-042</v>
      </c>
      <c r="Y555" s="130" t="str">
        <f t="shared" si="487"/>
        <v/>
      </c>
      <c r="Z555" s="49" t="str">
        <f t="shared" si="7"/>
        <v/>
      </c>
      <c r="AA555" s="49" t="str">
        <f t="shared" si="8"/>
        <v/>
      </c>
      <c r="AB555" s="49" t="str">
        <f t="shared" si="9"/>
        <v/>
      </c>
      <c r="AC555" s="20" t="str">
        <f t="shared" ref="AC555:AD555" si="1118">IF(_xlfn.ISFORMULA(S555),IFERROR(0/0,""),TRUE)</f>
        <v/>
      </c>
      <c r="AD555" s="20" t="str">
        <f t="shared" si="1118"/>
        <v/>
      </c>
      <c r="AE555" s="43"/>
      <c r="AF555" s="62" t="s">
        <v>63</v>
      </c>
      <c r="AG555" s="57" t="str">
        <f t="shared" si="11"/>
        <v/>
      </c>
    </row>
    <row r="556">
      <c r="A556" s="6" t="str">
        <f>IFERROR(__xludf.DUMMYFUNCTION("""COMPUTED_VALUE"""),"FM2059")</f>
        <v>FM2059</v>
      </c>
      <c r="B556" s="204">
        <f>IFERROR(__xludf.DUMMYFUNCTION("""COMPUTED_VALUE"""),44619.0)</f>
        <v>44619</v>
      </c>
      <c r="C556" s="250">
        <f>IFERROR(__xludf.DUMMYFUNCTION("""COMPUTED_VALUE"""),0.3249768518518519)</f>
        <v>0.3249768519</v>
      </c>
      <c r="D556" s="6" t="str">
        <f>IFERROR(__xludf.DUMMYFUNCTION("""COMPUTED_VALUE"""),"SpBEND372845")</f>
        <v>SpBEND372845</v>
      </c>
      <c r="E556" s="251"/>
      <c r="F556" s="251"/>
      <c r="G556" s="251" t="str">
        <f>IFERROR(__xludf.DUMMYFUNCTION("""COMPUTED_VALUE"""),"Negative")</f>
        <v>Negative</v>
      </c>
      <c r="H556" s="262" t="str">
        <f>IFERROR(__xludf.DUMMYFUNCTION("""COMPUTED_VALUE"""),"Negative")</f>
        <v>Negative</v>
      </c>
      <c r="I556" s="204">
        <f>IFERROR(__xludf.DUMMYFUNCTION("""COMPUTED_VALUE"""),44621.0)</f>
        <v>44621</v>
      </c>
      <c r="J556" s="252">
        <f>IFERROR(__xludf.DUMMYFUNCTION("""COMPUTED_VALUE"""),0.47835648148148147)</f>
        <v>0.4783564815</v>
      </c>
      <c r="K556" s="56"/>
      <c r="L556" s="6"/>
      <c r="M556" s="61"/>
      <c r="N556" s="61">
        <f>IFERROR(__xludf.DUMMYFUNCTION("""COMPUTED_VALUE"""),1.0)</f>
        <v>1</v>
      </c>
      <c r="O556" s="61" t="str">
        <f t="shared" si="3"/>
        <v/>
      </c>
      <c r="P556" s="253">
        <f>IFERROR(__xludf.DUMMYFUNCTION("""COMPUTED_VALUE"""),2.0)</f>
        <v>2</v>
      </c>
      <c r="Q556" s="254" t="b">
        <f>VLOOKUP($B556,'Run Reconcile'!B$2:O799,14,FALSE)</f>
        <v>1</v>
      </c>
      <c r="R556" s="255" t="str">
        <f t="array" ref="R556">IF($Q556, INDEX('Run Reconcile'!A$2:A799,MATCH(B556,'Run Reconcile'!B$2:B799,0),1),IFERROR(0/0,""))</f>
        <v>RUN-BEND_2022-02-27_RFR-042</v>
      </c>
      <c r="S556" s="261" t="str">
        <f t="shared" ref="S556:T556" si="1119">IF(COUNTIF(W$2:W799, $A556) &gt; 0,TRUE,IFERROR(0/0,""))</f>
        <v/>
      </c>
      <c r="T556" s="261" t="str">
        <f t="shared" si="1119"/>
        <v/>
      </c>
      <c r="U556" s="257" t="str">
        <f t="array" ref="U556">IF(ISBLANK($R556), INDEX('Run Reconcile'!A$2:A799, MATCH($B556, 'Run Reconcile'!B$2:B799, 0)+Z556, 1), IFERROR(0/0,""))
</f>
        <v/>
      </c>
      <c r="V556" s="258" t="str">
        <f t="shared" si="480"/>
        <v>RUN-BEND_2022-02-27_RFR-042</v>
      </c>
      <c r="Y556" s="130" t="str">
        <f t="shared" si="487"/>
        <v/>
      </c>
      <c r="Z556" s="49" t="str">
        <f t="shared" si="7"/>
        <v/>
      </c>
      <c r="AA556" s="49" t="str">
        <f t="shared" si="8"/>
        <v/>
      </c>
      <c r="AB556" s="49" t="str">
        <f t="shared" si="9"/>
        <v/>
      </c>
      <c r="AC556" s="20" t="str">
        <f t="shared" ref="AC556:AD556" si="1120">IF(_xlfn.ISFORMULA(S556),IFERROR(0/0,""),TRUE)</f>
        <v/>
      </c>
      <c r="AD556" s="20" t="str">
        <f t="shared" si="1120"/>
        <v/>
      </c>
      <c r="AE556" s="43"/>
      <c r="AF556" s="62" t="s">
        <v>63</v>
      </c>
      <c r="AG556" s="57" t="str">
        <f t="shared" si="11"/>
        <v/>
      </c>
    </row>
    <row r="557">
      <c r="A557" s="6" t="str">
        <f>IFERROR(__xludf.DUMMYFUNCTION("""COMPUTED_VALUE"""),"FM471")</f>
        <v>FM471</v>
      </c>
      <c r="B557" s="204">
        <f>IFERROR(__xludf.DUMMYFUNCTION("""COMPUTED_VALUE"""),44619.0)</f>
        <v>44619</v>
      </c>
      <c r="C557" s="250">
        <f>IFERROR(__xludf.DUMMYFUNCTION("""COMPUTED_VALUE"""),0.32743055555555556)</f>
        <v>0.3274305556</v>
      </c>
      <c r="D557" s="6" t="str">
        <f>IFERROR(__xludf.DUMMYFUNCTION("""COMPUTED_VALUE"""),"SpBEND642175")</f>
        <v>SpBEND642175</v>
      </c>
      <c r="E557" s="251"/>
      <c r="F557" s="251"/>
      <c r="G557" s="251" t="str">
        <f>IFERROR(__xludf.DUMMYFUNCTION("""COMPUTED_VALUE"""),"Negative")</f>
        <v>Negative</v>
      </c>
      <c r="H557" s="262" t="str">
        <f>IFERROR(__xludf.DUMMYFUNCTION("""COMPUTED_VALUE"""),"Negative")</f>
        <v>Negative</v>
      </c>
      <c r="I557" s="204">
        <f>IFERROR(__xludf.DUMMYFUNCTION("""COMPUTED_VALUE"""),44621.0)</f>
        <v>44621</v>
      </c>
      <c r="J557" s="252">
        <f>IFERROR(__xludf.DUMMYFUNCTION("""COMPUTED_VALUE"""),0.47835648148148147)</f>
        <v>0.4783564815</v>
      </c>
      <c r="K557" s="56"/>
      <c r="L557" s="6"/>
      <c r="M557" s="61"/>
      <c r="N557" s="61">
        <f>IFERROR(__xludf.DUMMYFUNCTION("""COMPUTED_VALUE"""),1.0)</f>
        <v>1</v>
      </c>
      <c r="O557" s="61" t="str">
        <f t="shared" si="3"/>
        <v/>
      </c>
      <c r="P557" s="253">
        <f>IFERROR(__xludf.DUMMYFUNCTION("""COMPUTED_VALUE"""),2.0)</f>
        <v>2</v>
      </c>
      <c r="Q557" s="254" t="b">
        <f>VLOOKUP($B557,'Run Reconcile'!B$2:O799,14,FALSE)</f>
        <v>1</v>
      </c>
      <c r="R557" s="255" t="str">
        <f t="array" ref="R557">IF($Q557, INDEX('Run Reconcile'!A$2:A799,MATCH(B557,'Run Reconcile'!B$2:B799,0),1),IFERROR(0/0,""))</f>
        <v>RUN-BEND_2022-02-27_RFR-042</v>
      </c>
      <c r="S557" s="261" t="str">
        <f t="shared" ref="S557:T557" si="1121">IF(COUNTIF(W$2:W799, $A557) &gt; 0,TRUE,IFERROR(0/0,""))</f>
        <v/>
      </c>
      <c r="T557" s="261" t="str">
        <f t="shared" si="1121"/>
        <v/>
      </c>
      <c r="U557" s="257" t="str">
        <f t="array" ref="U557">IF(ISBLANK($R557), INDEX('Run Reconcile'!A$2:A799, MATCH($B557, 'Run Reconcile'!B$2:B799, 0)+Z557, 1), IFERROR(0/0,""))
</f>
        <v/>
      </c>
      <c r="V557" s="258" t="str">
        <f t="shared" si="480"/>
        <v>RUN-BEND_2022-02-27_RFR-042</v>
      </c>
      <c r="Y557" s="130" t="str">
        <f t="shared" si="487"/>
        <v/>
      </c>
      <c r="Z557" s="49" t="str">
        <f t="shared" si="7"/>
        <v/>
      </c>
      <c r="AA557" s="49" t="str">
        <f t="shared" si="8"/>
        <v/>
      </c>
      <c r="AB557" s="49" t="str">
        <f t="shared" si="9"/>
        <v/>
      </c>
      <c r="AC557" s="20" t="str">
        <f t="shared" ref="AC557:AD557" si="1122">IF(_xlfn.ISFORMULA(S557),IFERROR(0/0,""),TRUE)</f>
        <v/>
      </c>
      <c r="AD557" s="20" t="str">
        <f t="shared" si="1122"/>
        <v/>
      </c>
      <c r="AE557" s="43"/>
      <c r="AF557" s="62" t="s">
        <v>63</v>
      </c>
      <c r="AG557" s="57" t="str">
        <f t="shared" si="11"/>
        <v/>
      </c>
    </row>
    <row r="558">
      <c r="A558" s="6" t="str">
        <f>IFERROR(__xludf.DUMMYFUNCTION("""COMPUTED_VALUE"""),"FM812")</f>
        <v>FM812</v>
      </c>
      <c r="B558" s="204">
        <f>IFERROR(__xludf.DUMMYFUNCTION("""COMPUTED_VALUE"""),44619.0)</f>
        <v>44619</v>
      </c>
      <c r="C558" s="250">
        <f>IFERROR(__xludf.DUMMYFUNCTION("""COMPUTED_VALUE"""),0.33024305555555555)</f>
        <v>0.3302430556</v>
      </c>
      <c r="D558" s="6" t="str">
        <f>IFERROR(__xludf.DUMMYFUNCTION("""COMPUTED_VALUE"""),"SpBEND824412")</f>
        <v>SpBEND824412</v>
      </c>
      <c r="E558" s="251"/>
      <c r="F558" s="251"/>
      <c r="G558" s="251" t="str">
        <f>IFERROR(__xludf.DUMMYFUNCTION("""COMPUTED_VALUE"""),"Negative")</f>
        <v>Negative</v>
      </c>
      <c r="H558" s="262" t="str">
        <f>IFERROR(__xludf.DUMMYFUNCTION("""COMPUTED_VALUE"""),"Negative")</f>
        <v>Negative</v>
      </c>
      <c r="I558" s="204">
        <f>IFERROR(__xludf.DUMMYFUNCTION("""COMPUTED_VALUE"""),44621.0)</f>
        <v>44621</v>
      </c>
      <c r="J558" s="252">
        <f>IFERROR(__xludf.DUMMYFUNCTION("""COMPUTED_VALUE"""),0.47835648148148147)</f>
        <v>0.4783564815</v>
      </c>
      <c r="K558" s="56"/>
      <c r="L558" s="6"/>
      <c r="M558" s="61"/>
      <c r="N558" s="61">
        <f>IFERROR(__xludf.DUMMYFUNCTION("""COMPUTED_VALUE"""),1.0)</f>
        <v>1</v>
      </c>
      <c r="O558" s="61" t="str">
        <f t="shared" si="3"/>
        <v/>
      </c>
      <c r="P558" s="253">
        <f>IFERROR(__xludf.DUMMYFUNCTION("""COMPUTED_VALUE"""),2.0)</f>
        <v>2</v>
      </c>
      <c r="Q558" s="254" t="b">
        <f>VLOOKUP($B558,'Run Reconcile'!B$2:O799,14,FALSE)</f>
        <v>1</v>
      </c>
      <c r="R558" s="255" t="str">
        <f t="array" ref="R558">IF($Q558, INDEX('Run Reconcile'!A$2:A799,MATCH(B558,'Run Reconcile'!B$2:B799,0),1),IFERROR(0/0,""))</f>
        <v>RUN-BEND_2022-02-27_RFR-042</v>
      </c>
      <c r="S558" s="261" t="str">
        <f t="shared" ref="S558:T558" si="1123">IF(COUNTIF(W$2:W799, $A558) &gt; 0,TRUE,IFERROR(0/0,""))</f>
        <v/>
      </c>
      <c r="T558" s="261" t="str">
        <f t="shared" si="1123"/>
        <v/>
      </c>
      <c r="U558" s="257" t="str">
        <f t="array" ref="U558">IF(ISBLANK($R558), INDEX('Run Reconcile'!A$2:A799, MATCH($B558, 'Run Reconcile'!B$2:B799, 0)+Z558, 1), IFERROR(0/0,""))
</f>
        <v/>
      </c>
      <c r="V558" s="258" t="str">
        <f t="shared" si="480"/>
        <v>RUN-BEND_2022-02-27_RFR-042</v>
      </c>
      <c r="Y558" s="130" t="str">
        <f t="shared" si="487"/>
        <v/>
      </c>
      <c r="Z558" s="49" t="str">
        <f t="shared" si="7"/>
        <v/>
      </c>
      <c r="AA558" s="49" t="str">
        <f t="shared" si="8"/>
        <v/>
      </c>
      <c r="AB558" s="49" t="str">
        <f t="shared" si="9"/>
        <v/>
      </c>
      <c r="AC558" s="20" t="str">
        <f t="shared" ref="AC558:AD558" si="1124">IF(_xlfn.ISFORMULA(S558),IFERROR(0/0,""),TRUE)</f>
        <v/>
      </c>
      <c r="AD558" s="20" t="str">
        <f t="shared" si="1124"/>
        <v/>
      </c>
      <c r="AE558" s="43"/>
      <c r="AF558" s="62" t="s">
        <v>63</v>
      </c>
      <c r="AG558" s="57" t="str">
        <f t="shared" si="11"/>
        <v/>
      </c>
    </row>
    <row r="559">
      <c r="A559" s="6" t="str">
        <f>IFERROR(__xludf.DUMMYFUNCTION("""COMPUTED_VALUE"""),"FM444")</f>
        <v>FM444</v>
      </c>
      <c r="B559" s="204">
        <f>IFERROR(__xludf.DUMMYFUNCTION("""COMPUTED_VALUE"""),44619.0)</f>
        <v>44619</v>
      </c>
      <c r="C559" s="250">
        <f>IFERROR(__xludf.DUMMYFUNCTION("""COMPUTED_VALUE"""),0.3308449074074074)</f>
        <v>0.3308449074</v>
      </c>
      <c r="D559" s="6" t="str">
        <f>IFERROR(__xludf.DUMMYFUNCTION("""COMPUTED_VALUE"""),"SpBEND634692")</f>
        <v>SpBEND634692</v>
      </c>
      <c r="E559" s="251"/>
      <c r="F559" s="251"/>
      <c r="G559" s="251" t="str">
        <f>IFERROR(__xludf.DUMMYFUNCTION("""COMPUTED_VALUE"""),"Negative")</f>
        <v>Negative</v>
      </c>
      <c r="H559" s="262" t="str">
        <f>IFERROR(__xludf.DUMMYFUNCTION("""COMPUTED_VALUE"""),"Negative")</f>
        <v>Negative</v>
      </c>
      <c r="I559" s="204">
        <f>IFERROR(__xludf.DUMMYFUNCTION("""COMPUTED_VALUE"""),44621.0)</f>
        <v>44621</v>
      </c>
      <c r="J559" s="252">
        <f>IFERROR(__xludf.DUMMYFUNCTION("""COMPUTED_VALUE"""),0.47835648148148147)</f>
        <v>0.4783564815</v>
      </c>
      <c r="K559" s="56"/>
      <c r="L559" s="6"/>
      <c r="M559" s="61"/>
      <c r="N559" s="61">
        <f>IFERROR(__xludf.DUMMYFUNCTION("""COMPUTED_VALUE"""),1.0)</f>
        <v>1</v>
      </c>
      <c r="O559" s="61" t="str">
        <f t="shared" si="3"/>
        <v/>
      </c>
      <c r="P559" s="253">
        <f>IFERROR(__xludf.DUMMYFUNCTION("""COMPUTED_VALUE"""),2.0)</f>
        <v>2</v>
      </c>
      <c r="Q559" s="254" t="b">
        <f>VLOOKUP($B559,'Run Reconcile'!B$2:O799,14,FALSE)</f>
        <v>1</v>
      </c>
      <c r="R559" s="255" t="str">
        <f t="array" ref="R559">IF($Q559, INDEX('Run Reconcile'!A$2:A799,MATCH(B559,'Run Reconcile'!B$2:B799,0),1),IFERROR(0/0,""))</f>
        <v>RUN-BEND_2022-02-27_RFR-042</v>
      </c>
      <c r="S559" s="261" t="str">
        <f t="shared" ref="S559:T559" si="1125">IF(COUNTIF(W$2:W799, $A559) &gt; 0,TRUE,IFERROR(0/0,""))</f>
        <v/>
      </c>
      <c r="T559" s="261" t="str">
        <f t="shared" si="1125"/>
        <v/>
      </c>
      <c r="U559" s="257" t="str">
        <f t="array" ref="U559">IF(ISBLANK($R559), INDEX('Run Reconcile'!A$2:A799, MATCH($B559, 'Run Reconcile'!B$2:B799, 0)+Z559, 1), IFERROR(0/0,""))
</f>
        <v/>
      </c>
      <c r="V559" s="258" t="str">
        <f t="shared" si="480"/>
        <v>RUN-BEND_2022-02-27_RFR-042</v>
      </c>
      <c r="Y559" s="130" t="str">
        <f t="shared" si="487"/>
        <v/>
      </c>
      <c r="Z559" s="49" t="str">
        <f t="shared" si="7"/>
        <v/>
      </c>
      <c r="AA559" s="49" t="str">
        <f t="shared" si="8"/>
        <v/>
      </c>
      <c r="AB559" s="49" t="str">
        <f t="shared" si="9"/>
        <v/>
      </c>
      <c r="AC559" s="20" t="str">
        <f t="shared" ref="AC559:AD559" si="1126">IF(_xlfn.ISFORMULA(S559),IFERROR(0/0,""),TRUE)</f>
        <v/>
      </c>
      <c r="AD559" s="20" t="str">
        <f t="shared" si="1126"/>
        <v/>
      </c>
      <c r="AE559" s="43"/>
      <c r="AF559" s="62" t="s">
        <v>63</v>
      </c>
      <c r="AG559" s="57" t="str">
        <f t="shared" si="11"/>
        <v/>
      </c>
    </row>
    <row r="560">
      <c r="A560" s="6" t="str">
        <f>IFERROR(__xludf.DUMMYFUNCTION("""COMPUTED_VALUE"""),"MA194")</f>
        <v>MA194</v>
      </c>
      <c r="B560" s="204">
        <f>IFERROR(__xludf.DUMMYFUNCTION("""COMPUTED_VALUE"""),44619.0)</f>
        <v>44619</v>
      </c>
      <c r="C560" s="250">
        <f>IFERROR(__xludf.DUMMYFUNCTION("""COMPUTED_VALUE"""),0.3308564814814815)</f>
        <v>0.3308564815</v>
      </c>
      <c r="D560" s="6" t="str">
        <f>IFERROR(__xludf.DUMMYFUNCTION("""COMPUTED_VALUE"""),"SpBEND967817")</f>
        <v>SpBEND967817</v>
      </c>
      <c r="E560" s="251"/>
      <c r="F560" s="251"/>
      <c r="G560" s="251" t="str">
        <f>IFERROR(__xludf.DUMMYFUNCTION("""COMPUTED_VALUE"""),"Negative")</f>
        <v>Negative</v>
      </c>
      <c r="H560" s="262" t="str">
        <f>IFERROR(__xludf.DUMMYFUNCTION("""COMPUTED_VALUE"""),"Negative")</f>
        <v>Negative</v>
      </c>
      <c r="I560" s="204">
        <f>IFERROR(__xludf.DUMMYFUNCTION("""COMPUTED_VALUE"""),44621.0)</f>
        <v>44621</v>
      </c>
      <c r="J560" s="252">
        <f>IFERROR(__xludf.DUMMYFUNCTION("""COMPUTED_VALUE"""),0.47835648148148147)</f>
        <v>0.4783564815</v>
      </c>
      <c r="K560" s="56"/>
      <c r="L560" s="6"/>
      <c r="M560" s="61"/>
      <c r="N560" s="61">
        <f>IFERROR(__xludf.DUMMYFUNCTION("""COMPUTED_VALUE"""),1.0)</f>
        <v>1</v>
      </c>
      <c r="O560" s="61" t="str">
        <f t="shared" si="3"/>
        <v/>
      </c>
      <c r="P560" s="253">
        <f>IFERROR(__xludf.DUMMYFUNCTION("""COMPUTED_VALUE"""),2.0)</f>
        <v>2</v>
      </c>
      <c r="Q560" s="254" t="b">
        <f>VLOOKUP($B560,'Run Reconcile'!B$2:O799,14,FALSE)</f>
        <v>1</v>
      </c>
      <c r="R560" s="255" t="str">
        <f t="array" ref="R560">IF($Q560, INDEX('Run Reconcile'!A$2:A799,MATCH(B560,'Run Reconcile'!B$2:B799,0),1),IFERROR(0/0,""))</f>
        <v>RUN-BEND_2022-02-27_RFR-042</v>
      </c>
      <c r="S560" s="261" t="str">
        <f t="shared" ref="S560:T560" si="1127">IF(COUNTIF(W$2:W799, $A560) &gt; 0,TRUE,IFERROR(0/0,""))</f>
        <v/>
      </c>
      <c r="T560" s="261" t="str">
        <f t="shared" si="1127"/>
        <v/>
      </c>
      <c r="U560" s="257" t="str">
        <f t="array" ref="U560">IF(ISBLANK($R560), INDEX('Run Reconcile'!A$2:A799, MATCH($B560, 'Run Reconcile'!B$2:B799, 0)+Z560, 1), IFERROR(0/0,""))
</f>
        <v/>
      </c>
      <c r="V560" s="258" t="str">
        <f t="shared" si="480"/>
        <v>RUN-BEND_2022-02-27_RFR-042</v>
      </c>
      <c r="Y560" s="130" t="str">
        <f t="shared" si="487"/>
        <v/>
      </c>
      <c r="Z560" s="49" t="str">
        <f t="shared" si="7"/>
        <v/>
      </c>
      <c r="AA560" s="49" t="str">
        <f t="shared" si="8"/>
        <v/>
      </c>
      <c r="AB560" s="49" t="str">
        <f t="shared" si="9"/>
        <v/>
      </c>
      <c r="AC560" s="20" t="str">
        <f t="shared" ref="AC560:AD560" si="1128">IF(_xlfn.ISFORMULA(S560),IFERROR(0/0,""),TRUE)</f>
        <v/>
      </c>
      <c r="AD560" s="20" t="str">
        <f t="shared" si="1128"/>
        <v/>
      </c>
      <c r="AE560" s="43"/>
      <c r="AF560" s="62" t="s">
        <v>63</v>
      </c>
      <c r="AG560" s="57" t="str">
        <f t="shared" si="11"/>
        <v/>
      </c>
    </row>
    <row r="561">
      <c r="A561" s="6" t="str">
        <f>IFERROR(__xludf.DUMMYFUNCTION("""COMPUTED_VALUE"""),"FM414")</f>
        <v>FM414</v>
      </c>
      <c r="B561" s="204">
        <f>IFERROR(__xludf.DUMMYFUNCTION("""COMPUTED_VALUE"""),44619.0)</f>
        <v>44619</v>
      </c>
      <c r="C561" s="250">
        <f>IFERROR(__xludf.DUMMYFUNCTION("""COMPUTED_VALUE"""),0.3393055555555556)</f>
        <v>0.3393055556</v>
      </c>
      <c r="D561" s="6" t="str">
        <f>IFERROR(__xludf.DUMMYFUNCTION("""COMPUTED_VALUE"""),"SpBEND302553")</f>
        <v>SpBEND302553</v>
      </c>
      <c r="E561" s="251"/>
      <c r="F561" s="251"/>
      <c r="G561" s="251" t="str">
        <f>IFERROR(__xludf.DUMMYFUNCTION("""COMPUTED_VALUE"""),"Negative")</f>
        <v>Negative</v>
      </c>
      <c r="H561" s="262" t="str">
        <f>IFERROR(__xludf.DUMMYFUNCTION("""COMPUTED_VALUE"""),"Negative")</f>
        <v>Negative</v>
      </c>
      <c r="I561" s="204">
        <f>IFERROR(__xludf.DUMMYFUNCTION("""COMPUTED_VALUE"""),44621.0)</f>
        <v>44621</v>
      </c>
      <c r="J561" s="252">
        <f>IFERROR(__xludf.DUMMYFUNCTION("""COMPUTED_VALUE"""),0.47835648148148147)</f>
        <v>0.4783564815</v>
      </c>
      <c r="K561" s="56"/>
      <c r="L561" s="6"/>
      <c r="M561" s="61"/>
      <c r="N561" s="61">
        <f>IFERROR(__xludf.DUMMYFUNCTION("""COMPUTED_VALUE"""),1.0)</f>
        <v>1</v>
      </c>
      <c r="O561" s="61" t="str">
        <f t="shared" si="3"/>
        <v/>
      </c>
      <c r="P561" s="253">
        <f>IFERROR(__xludf.DUMMYFUNCTION("""COMPUTED_VALUE"""),2.0)</f>
        <v>2</v>
      </c>
      <c r="Q561" s="254" t="b">
        <f>VLOOKUP($B561,'Run Reconcile'!B$2:O799,14,FALSE)</f>
        <v>1</v>
      </c>
      <c r="R561" s="255" t="str">
        <f t="array" ref="R561">IF($Q561, INDEX('Run Reconcile'!A$2:A799,MATCH(B561,'Run Reconcile'!B$2:B799,0),1),IFERROR(0/0,""))</f>
        <v>RUN-BEND_2022-02-27_RFR-042</v>
      </c>
      <c r="S561" s="261" t="str">
        <f t="shared" ref="S561:T561" si="1129">IF(COUNTIF(W$2:W799, $A561) &gt; 0,TRUE,IFERROR(0/0,""))</f>
        <v/>
      </c>
      <c r="T561" s="261" t="str">
        <f t="shared" si="1129"/>
        <v/>
      </c>
      <c r="U561" s="257" t="str">
        <f t="array" ref="U561">IF(ISBLANK($R561), INDEX('Run Reconcile'!A$2:A799, MATCH($B561, 'Run Reconcile'!B$2:B799, 0)+Z561, 1), IFERROR(0/0,""))
</f>
        <v/>
      </c>
      <c r="V561" s="258" t="str">
        <f t="shared" si="480"/>
        <v>RUN-BEND_2022-02-27_RFR-042</v>
      </c>
      <c r="Y561" s="130" t="str">
        <f t="shared" si="487"/>
        <v/>
      </c>
      <c r="Z561" s="49" t="str">
        <f t="shared" si="7"/>
        <v/>
      </c>
      <c r="AA561" s="49" t="str">
        <f t="shared" si="8"/>
        <v/>
      </c>
      <c r="AB561" s="49" t="str">
        <f t="shared" si="9"/>
        <v/>
      </c>
      <c r="AC561" s="20" t="str">
        <f t="shared" ref="AC561:AD561" si="1130">IF(_xlfn.ISFORMULA(S561),IFERROR(0/0,""),TRUE)</f>
        <v/>
      </c>
      <c r="AD561" s="20" t="str">
        <f t="shared" si="1130"/>
        <v/>
      </c>
      <c r="AE561" s="43"/>
      <c r="AF561" s="62" t="s">
        <v>63</v>
      </c>
      <c r="AG561" s="57" t="str">
        <f t="shared" si="11"/>
        <v/>
      </c>
    </row>
    <row r="562">
      <c r="A562" s="6" t="str">
        <f>IFERROR(__xludf.DUMMYFUNCTION("""COMPUTED_VALUE"""),"MA1095")</f>
        <v>MA1095</v>
      </c>
      <c r="B562" s="204">
        <f>IFERROR(__xludf.DUMMYFUNCTION("""COMPUTED_VALUE"""),44619.0)</f>
        <v>44619</v>
      </c>
      <c r="C562" s="250">
        <f>IFERROR(__xludf.DUMMYFUNCTION("""COMPUTED_VALUE"""),0.35444444444444445)</f>
        <v>0.3544444444</v>
      </c>
      <c r="D562" s="6" t="str">
        <f>IFERROR(__xludf.DUMMYFUNCTION("""COMPUTED_VALUE"""),"SpBEND183210")</f>
        <v>SpBEND183210</v>
      </c>
      <c r="E562" s="251"/>
      <c r="F562" s="251"/>
      <c r="G562" s="251" t="str">
        <f>IFERROR(__xludf.DUMMYFUNCTION("""COMPUTED_VALUE"""),"Positive")</f>
        <v>Positive</v>
      </c>
      <c r="H562" s="262" t="str">
        <f>IFERROR(__xludf.DUMMYFUNCTION("""COMPUTED_VALUE"""),"Positive")</f>
        <v>Positive</v>
      </c>
      <c r="I562" s="204">
        <f>IFERROR(__xludf.DUMMYFUNCTION("""COMPUTED_VALUE"""),44627.0)</f>
        <v>44627</v>
      </c>
      <c r="J562" s="252">
        <f>IFERROR(__xludf.DUMMYFUNCTION("""COMPUTED_VALUE"""),0.4778935185185185)</f>
        <v>0.4778935185</v>
      </c>
      <c r="K562" s="56"/>
      <c r="L562" s="6"/>
      <c r="M562" s="61"/>
      <c r="N562" s="61">
        <f>IFERROR(__xludf.DUMMYFUNCTION("""COMPUTED_VALUE"""),1.0)</f>
        <v>1</v>
      </c>
      <c r="O562" s="61" t="str">
        <f t="shared" si="3"/>
        <v/>
      </c>
      <c r="P562" s="253">
        <f>IFERROR(__xludf.DUMMYFUNCTION("""COMPUTED_VALUE"""),8.0)</f>
        <v>8</v>
      </c>
      <c r="Q562" s="254" t="b">
        <f>VLOOKUP($B562,'Run Reconcile'!B$2:O799,14,FALSE)</f>
        <v>1</v>
      </c>
      <c r="R562" s="255" t="str">
        <f t="array" ref="R562">IF($Q562, INDEX('Run Reconcile'!A$2:A799,MATCH(B562,'Run Reconcile'!B$2:B799,0),1),IFERROR(0/0,""))</f>
        <v>RUN-BEND_2022-02-27_RFR-042</v>
      </c>
      <c r="S562" s="261" t="str">
        <f t="shared" ref="S562:T562" si="1131">IF(COUNTIF(W$2:W799, $A562) &gt; 0,TRUE,IFERROR(0/0,""))</f>
        <v/>
      </c>
      <c r="T562" s="261" t="str">
        <f t="shared" si="1131"/>
        <v/>
      </c>
      <c r="U562" s="257" t="str">
        <f t="array" ref="U562">IF(ISBLANK($R562), INDEX('Run Reconcile'!A$2:A799, MATCH($B562, 'Run Reconcile'!B$2:B799, 0)+Z562, 1), IFERROR(0/0,""))
</f>
        <v/>
      </c>
      <c r="V562" s="258" t="str">
        <f t="shared" si="480"/>
        <v>RUN-BEND_2022-02-27_RFR-042</v>
      </c>
      <c r="Y562" s="130" t="str">
        <f t="shared" si="487"/>
        <v/>
      </c>
      <c r="Z562" s="49" t="str">
        <f t="shared" si="7"/>
        <v/>
      </c>
      <c r="AA562" s="49" t="str">
        <f t="shared" si="8"/>
        <v/>
      </c>
      <c r="AB562" s="49" t="str">
        <f t="shared" si="9"/>
        <v/>
      </c>
      <c r="AC562" s="20" t="str">
        <f t="shared" ref="AC562:AD562" si="1132">IF(_xlfn.ISFORMULA(S562),IFERROR(0/0,""),TRUE)</f>
        <v/>
      </c>
      <c r="AD562" s="20" t="str">
        <f t="shared" si="1132"/>
        <v/>
      </c>
      <c r="AE562" s="43"/>
      <c r="AF562" s="62" t="s">
        <v>63</v>
      </c>
      <c r="AG562" s="57" t="str">
        <f t="shared" si="11"/>
        <v/>
      </c>
    </row>
    <row r="563">
      <c r="A563" s="6" t="str">
        <f>IFERROR(__xludf.DUMMYFUNCTION("""COMPUTED_VALUE"""),"MA1288")</f>
        <v>MA1288</v>
      </c>
      <c r="B563" s="204">
        <f>IFERROR(__xludf.DUMMYFUNCTION("""COMPUTED_VALUE"""),44619.0)</f>
        <v>44619</v>
      </c>
      <c r="C563" s="250">
        <f>IFERROR(__xludf.DUMMYFUNCTION("""COMPUTED_VALUE"""),0.35575231481481484)</f>
        <v>0.3557523148</v>
      </c>
      <c r="D563" s="6" t="str">
        <f>IFERROR(__xludf.DUMMYFUNCTION("""COMPUTED_VALUE"""),"SpBEND279112")</f>
        <v>SpBEND279112</v>
      </c>
      <c r="E563" s="251"/>
      <c r="F563" s="251"/>
      <c r="G563" s="251" t="str">
        <f>IFERROR(__xludf.DUMMYFUNCTION("""COMPUTED_VALUE"""),"Negative")</f>
        <v>Negative</v>
      </c>
      <c r="H563" s="262" t="str">
        <f>IFERROR(__xludf.DUMMYFUNCTION("""COMPUTED_VALUE"""),"Negative")</f>
        <v>Negative</v>
      </c>
      <c r="I563" s="204">
        <f>IFERROR(__xludf.DUMMYFUNCTION("""COMPUTED_VALUE"""),44621.0)</f>
        <v>44621</v>
      </c>
      <c r="J563" s="252">
        <f>IFERROR(__xludf.DUMMYFUNCTION("""COMPUTED_VALUE"""),0.47835648148148147)</f>
        <v>0.4783564815</v>
      </c>
      <c r="K563" s="56"/>
      <c r="L563" s="6"/>
      <c r="M563" s="61"/>
      <c r="N563" s="61">
        <f>IFERROR(__xludf.DUMMYFUNCTION("""COMPUTED_VALUE"""),1.0)</f>
        <v>1</v>
      </c>
      <c r="O563" s="61" t="str">
        <f t="shared" si="3"/>
        <v/>
      </c>
      <c r="P563" s="253">
        <f>IFERROR(__xludf.DUMMYFUNCTION("""COMPUTED_VALUE"""),2.0)</f>
        <v>2</v>
      </c>
      <c r="Q563" s="254" t="b">
        <f>VLOOKUP($B563,'Run Reconcile'!B$2:O799,14,FALSE)</f>
        <v>1</v>
      </c>
      <c r="R563" s="255" t="str">
        <f t="array" ref="R563">IF($Q563, INDEX('Run Reconcile'!A$2:A799,MATCH(B563,'Run Reconcile'!B$2:B799,0),1),IFERROR(0/0,""))</f>
        <v>RUN-BEND_2022-02-27_RFR-042</v>
      </c>
      <c r="S563" s="261" t="str">
        <f t="shared" ref="S563:T563" si="1133">IF(COUNTIF(W$2:W799, $A563) &gt; 0,TRUE,IFERROR(0/0,""))</f>
        <v/>
      </c>
      <c r="T563" s="261" t="str">
        <f t="shared" si="1133"/>
        <v/>
      </c>
      <c r="U563" s="257" t="str">
        <f t="array" ref="U563">IF(ISBLANK($R563), INDEX('Run Reconcile'!A$2:A799, MATCH($B563, 'Run Reconcile'!B$2:B799, 0)+Z563, 1), IFERROR(0/0,""))
</f>
        <v/>
      </c>
      <c r="V563" s="258" t="str">
        <f t="shared" si="480"/>
        <v>RUN-BEND_2022-02-27_RFR-042</v>
      </c>
      <c r="Y563" s="130" t="str">
        <f t="shared" si="487"/>
        <v/>
      </c>
      <c r="Z563" s="49" t="str">
        <f t="shared" si="7"/>
        <v/>
      </c>
      <c r="AA563" s="49" t="str">
        <f t="shared" si="8"/>
        <v/>
      </c>
      <c r="AB563" s="49" t="str">
        <f t="shared" si="9"/>
        <v/>
      </c>
      <c r="AC563" s="20" t="str">
        <f t="shared" ref="AC563:AD563" si="1134">IF(_xlfn.ISFORMULA(S563),IFERROR(0/0,""),TRUE)</f>
        <v/>
      </c>
      <c r="AD563" s="20" t="str">
        <f t="shared" si="1134"/>
        <v/>
      </c>
      <c r="AE563" s="43"/>
      <c r="AF563" s="62" t="s">
        <v>63</v>
      </c>
      <c r="AG563" s="57" t="str">
        <f t="shared" si="11"/>
        <v/>
      </c>
    </row>
    <row r="564">
      <c r="A564" s="6" t="str">
        <f>IFERROR(__xludf.DUMMYFUNCTION("""COMPUTED_VALUE"""),"MA1320")</f>
        <v>MA1320</v>
      </c>
      <c r="B564" s="204">
        <f>IFERROR(__xludf.DUMMYFUNCTION("""COMPUTED_VALUE"""),44619.0)</f>
        <v>44619</v>
      </c>
      <c r="C564" s="250">
        <f>IFERROR(__xludf.DUMMYFUNCTION("""COMPUTED_VALUE"""),0.3563773148148148)</f>
        <v>0.3563773148</v>
      </c>
      <c r="D564" s="6" t="str">
        <f>IFERROR(__xludf.DUMMYFUNCTION("""COMPUTED_VALUE"""),"SpBEND490402")</f>
        <v>SpBEND490402</v>
      </c>
      <c r="E564" s="251"/>
      <c r="F564" s="251"/>
      <c r="G564" s="251" t="str">
        <f>IFERROR(__xludf.DUMMYFUNCTION("""COMPUTED_VALUE"""),"Negative")</f>
        <v>Negative</v>
      </c>
      <c r="H564" s="262" t="str">
        <f>IFERROR(__xludf.DUMMYFUNCTION("""COMPUTED_VALUE"""),"Negative")</f>
        <v>Negative</v>
      </c>
      <c r="I564" s="204">
        <f>IFERROR(__xludf.DUMMYFUNCTION("""COMPUTED_VALUE"""),44621.0)</f>
        <v>44621</v>
      </c>
      <c r="J564" s="252">
        <f>IFERROR(__xludf.DUMMYFUNCTION("""COMPUTED_VALUE"""),0.47835648148148147)</f>
        <v>0.4783564815</v>
      </c>
      <c r="K564" s="56"/>
      <c r="L564" s="6"/>
      <c r="M564" s="61"/>
      <c r="N564" s="61">
        <f>IFERROR(__xludf.DUMMYFUNCTION("""COMPUTED_VALUE"""),1.0)</f>
        <v>1</v>
      </c>
      <c r="O564" s="61" t="str">
        <f t="shared" si="3"/>
        <v/>
      </c>
      <c r="P564" s="253">
        <f>IFERROR(__xludf.DUMMYFUNCTION("""COMPUTED_VALUE"""),2.0)</f>
        <v>2</v>
      </c>
      <c r="Q564" s="254" t="b">
        <f>VLOOKUP($B564,'Run Reconcile'!B$2:O799,14,FALSE)</f>
        <v>1</v>
      </c>
      <c r="R564" s="255" t="str">
        <f t="array" ref="R564">IF($Q564, INDEX('Run Reconcile'!A$2:A799,MATCH(B564,'Run Reconcile'!B$2:B799,0),1),IFERROR(0/0,""))</f>
        <v>RUN-BEND_2022-02-27_RFR-042</v>
      </c>
      <c r="S564" s="261" t="str">
        <f t="shared" ref="S564:T564" si="1135">IF(COUNTIF(W$2:W799, $A564) &gt; 0,TRUE,IFERROR(0/0,""))</f>
        <v/>
      </c>
      <c r="T564" s="261" t="str">
        <f t="shared" si="1135"/>
        <v/>
      </c>
      <c r="U564" s="257" t="str">
        <f t="array" ref="U564">IF(ISBLANK($R564), INDEX('Run Reconcile'!A$2:A799, MATCH($B564, 'Run Reconcile'!B$2:B799, 0)+Z564, 1), IFERROR(0/0,""))
</f>
        <v/>
      </c>
      <c r="V564" s="258" t="str">
        <f t="shared" si="480"/>
        <v>RUN-BEND_2022-02-27_RFR-042</v>
      </c>
      <c r="Y564" s="130" t="str">
        <f t="shared" si="487"/>
        <v/>
      </c>
      <c r="Z564" s="49" t="str">
        <f t="shared" si="7"/>
        <v/>
      </c>
      <c r="AA564" s="49" t="str">
        <f t="shared" si="8"/>
        <v/>
      </c>
      <c r="AB564" s="49" t="str">
        <f t="shared" si="9"/>
        <v/>
      </c>
      <c r="AC564" s="20" t="str">
        <f t="shared" ref="AC564:AD564" si="1136">IF(_xlfn.ISFORMULA(S564),IFERROR(0/0,""),TRUE)</f>
        <v/>
      </c>
      <c r="AD564" s="20" t="str">
        <f t="shared" si="1136"/>
        <v/>
      </c>
      <c r="AE564" s="43"/>
      <c r="AF564" s="62" t="s">
        <v>63</v>
      </c>
      <c r="AG564" s="57" t="str">
        <f t="shared" si="11"/>
        <v/>
      </c>
    </row>
    <row r="565">
      <c r="A565" s="6" t="str">
        <f>IFERROR(__xludf.DUMMYFUNCTION("""COMPUTED_VALUE"""),"FM617")</f>
        <v>FM617</v>
      </c>
      <c r="B565" s="204">
        <f>IFERROR(__xludf.DUMMYFUNCTION("""COMPUTED_VALUE"""),44619.0)</f>
        <v>44619</v>
      </c>
      <c r="C565" s="250">
        <f>IFERROR(__xludf.DUMMYFUNCTION("""COMPUTED_VALUE"""),0.3628587962962963)</f>
        <v>0.3628587963</v>
      </c>
      <c r="D565" s="6" t="str">
        <f>IFERROR(__xludf.DUMMYFUNCTION("""COMPUTED_VALUE"""),"SpBEND394154")</f>
        <v>SpBEND394154</v>
      </c>
      <c r="E565" s="251"/>
      <c r="F565" s="251"/>
      <c r="G565" s="251" t="str">
        <f>IFERROR(__xludf.DUMMYFUNCTION("""COMPUTED_VALUE"""),"Negative")</f>
        <v>Negative</v>
      </c>
      <c r="H565" s="264" t="str">
        <f>IFERROR(__xludf.DUMMYFUNCTION("""COMPUTED_VALUE"""),"Negative")</f>
        <v>Negative</v>
      </c>
      <c r="I565" s="263">
        <f>IFERROR(__xludf.DUMMYFUNCTION("""COMPUTED_VALUE"""),44621.0)</f>
        <v>44621</v>
      </c>
      <c r="J565" s="252">
        <f>IFERROR(__xludf.DUMMYFUNCTION("""COMPUTED_VALUE"""),0.47835648148148147)</f>
        <v>0.4783564815</v>
      </c>
      <c r="K565" s="56"/>
      <c r="L565" s="6"/>
      <c r="M565" s="61"/>
      <c r="N565" s="61">
        <f>IFERROR(__xludf.DUMMYFUNCTION("""COMPUTED_VALUE"""),1.0)</f>
        <v>1</v>
      </c>
      <c r="O565" s="61" t="str">
        <f t="shared" si="3"/>
        <v/>
      </c>
      <c r="P565" s="253">
        <f>IFERROR(__xludf.DUMMYFUNCTION("""COMPUTED_VALUE"""),2.0)</f>
        <v>2</v>
      </c>
      <c r="Q565" s="254" t="b">
        <f>VLOOKUP($B565,'Run Reconcile'!B$2:O799,14,FALSE)</f>
        <v>1</v>
      </c>
      <c r="R565" s="255" t="str">
        <f t="array" ref="R565">IF($Q565, INDEX('Run Reconcile'!A$2:A799,MATCH(B565,'Run Reconcile'!B$2:B799,0),1),IFERROR(0/0,""))</f>
        <v>RUN-BEND_2022-02-27_RFR-042</v>
      </c>
      <c r="S565" s="261" t="str">
        <f t="shared" ref="S565:T565" si="1137">IF(COUNTIF(W$2:W799, $A565) &gt; 0,TRUE,IFERROR(0/0,""))</f>
        <v/>
      </c>
      <c r="T565" s="261" t="str">
        <f t="shared" si="1137"/>
        <v/>
      </c>
      <c r="U565" s="257" t="str">
        <f t="array" ref="U565">IF(ISBLANK($R565), INDEX('Run Reconcile'!A$2:A799, MATCH($B565, 'Run Reconcile'!B$2:B799, 0)+Z565, 1), IFERROR(0/0,""))
</f>
        <v/>
      </c>
      <c r="V565" s="258" t="str">
        <f t="shared" si="480"/>
        <v>RUN-BEND_2022-02-27_RFR-042</v>
      </c>
      <c r="Y565" s="130" t="str">
        <f t="shared" si="487"/>
        <v/>
      </c>
      <c r="Z565" s="49" t="str">
        <f t="shared" si="7"/>
        <v/>
      </c>
      <c r="AA565" s="49" t="str">
        <f t="shared" si="8"/>
        <v/>
      </c>
      <c r="AB565" s="49" t="str">
        <f t="shared" si="9"/>
        <v/>
      </c>
      <c r="AC565" s="20" t="str">
        <f t="shared" ref="AC565:AD565" si="1138">IF(_xlfn.ISFORMULA(S565),IFERROR(0/0,""),TRUE)</f>
        <v/>
      </c>
      <c r="AD565" s="20" t="str">
        <f t="shared" si="1138"/>
        <v/>
      </c>
      <c r="AE565" s="43"/>
      <c r="AF565" s="62" t="s">
        <v>63</v>
      </c>
      <c r="AG565" s="57" t="str">
        <f t="shared" si="11"/>
        <v/>
      </c>
    </row>
    <row r="566">
      <c r="A566" s="6" t="str">
        <f>IFERROR(__xludf.DUMMYFUNCTION("""COMPUTED_VALUE"""),"FM6")</f>
        <v>FM6</v>
      </c>
      <c r="B566" s="204">
        <f>IFERROR(__xludf.DUMMYFUNCTION("""COMPUTED_VALUE"""),44619.0)</f>
        <v>44619</v>
      </c>
      <c r="C566" s="250">
        <f>IFERROR(__xludf.DUMMYFUNCTION("""COMPUTED_VALUE"""),0.3654513888888889)</f>
        <v>0.3654513889</v>
      </c>
      <c r="D566" s="6" t="str">
        <f>IFERROR(__xludf.DUMMYFUNCTION("""COMPUTED_VALUE"""),"SpBEND899578")</f>
        <v>SpBEND899578</v>
      </c>
      <c r="E566" s="251"/>
      <c r="F566" s="251"/>
      <c r="G566" s="251" t="str">
        <f>IFERROR(__xludf.DUMMYFUNCTION("""COMPUTED_VALUE"""),"Negative")</f>
        <v>Negative</v>
      </c>
      <c r="H566" s="262" t="str">
        <f>IFERROR(__xludf.DUMMYFUNCTION("""COMPUTED_VALUE"""),"Negative")</f>
        <v>Negative</v>
      </c>
      <c r="I566" s="204">
        <f>IFERROR(__xludf.DUMMYFUNCTION("""COMPUTED_VALUE"""),44621.0)</f>
        <v>44621</v>
      </c>
      <c r="J566" s="252">
        <f>IFERROR(__xludf.DUMMYFUNCTION("""COMPUTED_VALUE"""),0.47835648148148147)</f>
        <v>0.4783564815</v>
      </c>
      <c r="K566" s="56"/>
      <c r="L566" s="6"/>
      <c r="M566" s="61"/>
      <c r="N566" s="61">
        <f>IFERROR(__xludf.DUMMYFUNCTION("""COMPUTED_VALUE"""),1.0)</f>
        <v>1</v>
      </c>
      <c r="O566" s="61" t="str">
        <f t="shared" si="3"/>
        <v/>
      </c>
      <c r="P566" s="253">
        <f>IFERROR(__xludf.DUMMYFUNCTION("""COMPUTED_VALUE"""),2.0)</f>
        <v>2</v>
      </c>
      <c r="Q566" s="254" t="b">
        <f>VLOOKUP($B566,'Run Reconcile'!B$2:O799,14,FALSE)</f>
        <v>1</v>
      </c>
      <c r="R566" s="255" t="str">
        <f t="array" ref="R566">IF($Q566, INDEX('Run Reconcile'!A$2:A799,MATCH(B566,'Run Reconcile'!B$2:B799,0),1),IFERROR(0/0,""))</f>
        <v>RUN-BEND_2022-02-27_RFR-042</v>
      </c>
      <c r="S566" s="261" t="str">
        <f t="shared" ref="S566:T566" si="1139">IF(COUNTIF(W$2:W799, $A566) &gt; 0,TRUE,IFERROR(0/0,""))</f>
        <v/>
      </c>
      <c r="T566" s="261" t="str">
        <f t="shared" si="1139"/>
        <v/>
      </c>
      <c r="U566" s="257" t="str">
        <f t="array" ref="U566">IF(ISBLANK($R566), INDEX('Run Reconcile'!A$2:A799, MATCH($B566, 'Run Reconcile'!B$2:B799, 0)+Z566, 1), IFERROR(0/0,""))
</f>
        <v/>
      </c>
      <c r="V566" s="258" t="str">
        <f t="shared" si="480"/>
        <v>RUN-BEND_2022-02-27_RFR-042</v>
      </c>
      <c r="Y566" s="130" t="str">
        <f t="shared" si="487"/>
        <v/>
      </c>
      <c r="Z566" s="49" t="str">
        <f t="shared" si="7"/>
        <v/>
      </c>
      <c r="AA566" s="49" t="str">
        <f t="shared" si="8"/>
        <v/>
      </c>
      <c r="AB566" s="49" t="str">
        <f t="shared" si="9"/>
        <v/>
      </c>
      <c r="AC566" s="20" t="str">
        <f t="shared" ref="AC566:AD566" si="1140">IF(_xlfn.ISFORMULA(S566),IFERROR(0/0,""),TRUE)</f>
        <v/>
      </c>
      <c r="AD566" s="20" t="str">
        <f t="shared" si="1140"/>
        <v/>
      </c>
      <c r="AE566" s="43"/>
      <c r="AF566" s="62" t="s">
        <v>63</v>
      </c>
      <c r="AG566" s="57" t="str">
        <f t="shared" si="11"/>
        <v/>
      </c>
    </row>
    <row r="567">
      <c r="A567" s="6" t="str">
        <f>IFERROR(__xludf.DUMMYFUNCTION("""COMPUTED_VALUE"""),"MAX40")</f>
        <v>MAX40</v>
      </c>
      <c r="B567" s="204">
        <f>IFERROR(__xludf.DUMMYFUNCTION("""COMPUTED_VALUE"""),44619.0)</f>
        <v>44619</v>
      </c>
      <c r="C567" s="250">
        <f>IFERROR(__xludf.DUMMYFUNCTION("""COMPUTED_VALUE"""),0.47077546296296297)</f>
        <v>0.470775463</v>
      </c>
      <c r="D567" s="6" t="str">
        <f>IFERROR(__xludf.DUMMYFUNCTION("""COMPUTED_VALUE"""),"SpBEND904348")</f>
        <v>SpBEND904348</v>
      </c>
      <c r="E567" s="251"/>
      <c r="F567" s="251"/>
      <c r="G567" s="251" t="str">
        <f>IFERROR(__xludf.DUMMYFUNCTION("""COMPUTED_VALUE"""),"Positive")</f>
        <v>Positive</v>
      </c>
      <c r="H567" s="262" t="str">
        <f>IFERROR(__xludf.DUMMYFUNCTION("""COMPUTED_VALUE"""),"Positive")</f>
        <v>Positive</v>
      </c>
      <c r="I567" s="204">
        <f>IFERROR(__xludf.DUMMYFUNCTION("""COMPUTED_VALUE"""),44627.0)</f>
        <v>44627</v>
      </c>
      <c r="J567" s="252">
        <f>IFERROR(__xludf.DUMMYFUNCTION("""COMPUTED_VALUE"""),0.4778935185185185)</f>
        <v>0.4778935185</v>
      </c>
      <c r="K567" s="56"/>
      <c r="L567" s="6"/>
      <c r="M567" s="61"/>
      <c r="N567" s="61">
        <f>IFERROR(__xludf.DUMMYFUNCTION("""COMPUTED_VALUE"""),1.0)</f>
        <v>1</v>
      </c>
      <c r="O567" s="61" t="str">
        <f t="shared" si="3"/>
        <v/>
      </c>
      <c r="P567" s="253">
        <f>IFERROR(__xludf.DUMMYFUNCTION("""COMPUTED_VALUE"""),8.0)</f>
        <v>8</v>
      </c>
      <c r="Q567" s="254" t="b">
        <f>VLOOKUP($B567,'Run Reconcile'!B$2:O799,14,FALSE)</f>
        <v>1</v>
      </c>
      <c r="R567" s="255" t="str">
        <f t="array" ref="R567">IF($Q567, INDEX('Run Reconcile'!A$2:A799,MATCH(B567,'Run Reconcile'!B$2:B799,0),1),IFERROR(0/0,""))</f>
        <v>RUN-BEND_2022-02-27_RFR-042</v>
      </c>
      <c r="S567" s="261" t="str">
        <f t="shared" ref="S567:T567" si="1141">IF(COUNTIF(W$2:W799, $A567) &gt; 0,TRUE,IFERROR(0/0,""))</f>
        <v/>
      </c>
      <c r="T567" s="261" t="str">
        <f t="shared" si="1141"/>
        <v/>
      </c>
      <c r="U567" s="257" t="str">
        <f t="array" ref="U567">IF(ISBLANK($R567), INDEX('Run Reconcile'!A$2:A799, MATCH($B567, 'Run Reconcile'!B$2:B799, 0)+Z567, 1), IFERROR(0/0,""))
</f>
        <v/>
      </c>
      <c r="V567" s="258" t="str">
        <f t="shared" si="480"/>
        <v>RUN-BEND_2022-02-27_RFR-042</v>
      </c>
      <c r="Y567" s="130" t="str">
        <f t="shared" si="487"/>
        <v/>
      </c>
      <c r="Z567" s="49" t="str">
        <f t="shared" si="7"/>
        <v/>
      </c>
      <c r="AA567" s="49" t="str">
        <f t="shared" si="8"/>
        <v/>
      </c>
      <c r="AB567" s="49" t="str">
        <f t="shared" si="9"/>
        <v/>
      </c>
      <c r="AC567" s="20" t="str">
        <f t="shared" ref="AC567:AD567" si="1142">IF(_xlfn.ISFORMULA(S567),IFERROR(0/0,""),TRUE)</f>
        <v/>
      </c>
      <c r="AD567" s="20" t="str">
        <f t="shared" si="1142"/>
        <v/>
      </c>
      <c r="AE567" s="43"/>
      <c r="AF567" s="62" t="s">
        <v>63</v>
      </c>
      <c r="AG567" s="57" t="str">
        <f t="shared" si="11"/>
        <v/>
      </c>
    </row>
    <row r="568">
      <c r="A568" s="6" t="str">
        <f>IFERROR(__xludf.DUMMYFUNCTION("""COMPUTED_VALUE"""),"MAX106")</f>
        <v>MAX106</v>
      </c>
      <c r="B568" s="204">
        <f>IFERROR(__xludf.DUMMYFUNCTION("""COMPUTED_VALUE"""),44619.0)</f>
        <v>44619</v>
      </c>
      <c r="C568" s="250">
        <f>IFERROR(__xludf.DUMMYFUNCTION("""COMPUTED_VALUE"""),0.47128472222222223)</f>
        <v>0.4712847222</v>
      </c>
      <c r="D568" s="6" t="str">
        <f>IFERROR(__xludf.DUMMYFUNCTION("""COMPUTED_VALUE"""),"SpBEND904348")</f>
        <v>SpBEND904348</v>
      </c>
      <c r="E568" s="251"/>
      <c r="F568" s="251"/>
      <c r="G568" s="251" t="str">
        <f>IFERROR(__xludf.DUMMYFUNCTION("""COMPUTED_VALUE"""),"Negative")</f>
        <v>Negative</v>
      </c>
      <c r="H568" s="262" t="str">
        <f>IFERROR(__xludf.DUMMYFUNCTION("""COMPUTED_VALUE"""),"Negative")</f>
        <v>Negative</v>
      </c>
      <c r="I568" s="204">
        <f>IFERROR(__xludf.DUMMYFUNCTION("""COMPUTED_VALUE"""),44621.0)</f>
        <v>44621</v>
      </c>
      <c r="J568" s="252">
        <f>IFERROR(__xludf.DUMMYFUNCTION("""COMPUTED_VALUE"""),0.47835648148148147)</f>
        <v>0.4783564815</v>
      </c>
      <c r="K568" s="56"/>
      <c r="L568" s="6"/>
      <c r="M568" s="61"/>
      <c r="N568" s="61">
        <f>IFERROR(__xludf.DUMMYFUNCTION("""COMPUTED_VALUE"""),1.0)</f>
        <v>1</v>
      </c>
      <c r="O568" s="61" t="str">
        <f t="shared" si="3"/>
        <v/>
      </c>
      <c r="P568" s="253">
        <f>IFERROR(__xludf.DUMMYFUNCTION("""COMPUTED_VALUE"""),2.0)</f>
        <v>2</v>
      </c>
      <c r="Q568" s="254" t="b">
        <f>VLOOKUP($B568,'Run Reconcile'!B$2:O799,14,FALSE)</f>
        <v>1</v>
      </c>
      <c r="R568" s="255" t="str">
        <f t="array" ref="R568">IF($Q568, INDEX('Run Reconcile'!A$2:A799,MATCH(B568,'Run Reconcile'!B$2:B799,0),1),IFERROR(0/0,""))</f>
        <v>RUN-BEND_2022-02-27_RFR-042</v>
      </c>
      <c r="S568" s="261" t="str">
        <f t="shared" ref="S568:T568" si="1143">IF(COUNTIF(W$2:W799, $A568) &gt; 0,TRUE,IFERROR(0/0,""))</f>
        <v/>
      </c>
      <c r="T568" s="261" t="str">
        <f t="shared" si="1143"/>
        <v/>
      </c>
      <c r="U568" s="257" t="str">
        <f t="array" ref="U568">IF(ISBLANK($R568), INDEX('Run Reconcile'!A$2:A799, MATCH($B568, 'Run Reconcile'!B$2:B799, 0)+Z568, 1), IFERROR(0/0,""))
</f>
        <v/>
      </c>
      <c r="V568" s="258" t="str">
        <f t="shared" si="480"/>
        <v>RUN-BEND_2022-02-27_RFR-042</v>
      </c>
      <c r="Y568" s="130" t="str">
        <f t="shared" si="487"/>
        <v/>
      </c>
      <c r="Z568" s="49" t="str">
        <f t="shared" si="7"/>
        <v/>
      </c>
      <c r="AA568" s="49" t="str">
        <f t="shared" si="8"/>
        <v/>
      </c>
      <c r="AB568" s="49" t="str">
        <f t="shared" si="9"/>
        <v/>
      </c>
      <c r="AC568" s="20" t="str">
        <f t="shared" ref="AC568:AD568" si="1144">IF(_xlfn.ISFORMULA(S568),IFERROR(0/0,""),TRUE)</f>
        <v/>
      </c>
      <c r="AD568" s="20" t="str">
        <f t="shared" si="1144"/>
        <v/>
      </c>
      <c r="AE568" s="43"/>
      <c r="AF568" s="62" t="s">
        <v>63</v>
      </c>
      <c r="AG568" s="57" t="str">
        <f t="shared" si="11"/>
        <v/>
      </c>
    </row>
    <row r="569">
      <c r="A569" s="6" t="str">
        <f>IFERROR(__xludf.DUMMYFUNCTION("""COMPUTED_VALUE"""),"MAX93")</f>
        <v>MAX93</v>
      </c>
      <c r="B569" s="204">
        <f>IFERROR(__xludf.DUMMYFUNCTION("""COMPUTED_VALUE"""),44619.0)</f>
        <v>44619</v>
      </c>
      <c r="C569" s="250">
        <f>IFERROR(__xludf.DUMMYFUNCTION("""COMPUTED_VALUE"""),0.4717476851851852)</f>
        <v>0.4717476852</v>
      </c>
      <c r="D569" s="6" t="str">
        <f>IFERROR(__xludf.DUMMYFUNCTION("""COMPUTED_VALUE"""),"SpBEND904348")</f>
        <v>SpBEND904348</v>
      </c>
      <c r="E569" s="251"/>
      <c r="F569" s="251"/>
      <c r="G569" s="251" t="str">
        <f>IFERROR(__xludf.DUMMYFUNCTION("""COMPUTED_VALUE"""),"Negative")</f>
        <v>Negative</v>
      </c>
      <c r="H569" s="262" t="str">
        <f>IFERROR(__xludf.DUMMYFUNCTION("""COMPUTED_VALUE"""),"Negative")</f>
        <v>Negative</v>
      </c>
      <c r="I569" s="204">
        <f>IFERROR(__xludf.DUMMYFUNCTION("""COMPUTED_VALUE"""),44621.0)</f>
        <v>44621</v>
      </c>
      <c r="J569" s="252">
        <f>IFERROR(__xludf.DUMMYFUNCTION("""COMPUTED_VALUE"""),0.47836805555555556)</f>
        <v>0.4783680556</v>
      </c>
      <c r="K569" s="56"/>
      <c r="L569" s="6"/>
      <c r="M569" s="61"/>
      <c r="N569" s="61">
        <f>IFERROR(__xludf.DUMMYFUNCTION("""COMPUTED_VALUE"""),1.0)</f>
        <v>1</v>
      </c>
      <c r="O569" s="61" t="str">
        <f t="shared" si="3"/>
        <v/>
      </c>
      <c r="P569" s="253">
        <f>IFERROR(__xludf.DUMMYFUNCTION("""COMPUTED_VALUE"""),2.0)</f>
        <v>2</v>
      </c>
      <c r="Q569" s="254" t="b">
        <f>VLOOKUP($B569,'Run Reconcile'!B$2:O799,14,FALSE)</f>
        <v>1</v>
      </c>
      <c r="R569" s="255" t="str">
        <f t="array" ref="R569">IF($Q569, INDEX('Run Reconcile'!A$2:A799,MATCH(B569,'Run Reconcile'!B$2:B799,0),1),IFERROR(0/0,""))</f>
        <v>RUN-BEND_2022-02-27_RFR-042</v>
      </c>
      <c r="S569" s="261" t="str">
        <f t="shared" ref="S569:T569" si="1145">IF(COUNTIF(W$2:W799, $A569) &gt; 0,TRUE,IFERROR(0/0,""))</f>
        <v/>
      </c>
      <c r="T569" s="261" t="str">
        <f t="shared" si="1145"/>
        <v/>
      </c>
      <c r="U569" s="257" t="str">
        <f t="array" ref="U569">IF(ISBLANK($R569), INDEX('Run Reconcile'!A$2:A799, MATCH($B569, 'Run Reconcile'!B$2:B799, 0)+Z569, 1), IFERROR(0/0,""))
</f>
        <v/>
      </c>
      <c r="V569" s="258" t="str">
        <f t="shared" si="480"/>
        <v>RUN-BEND_2022-02-27_RFR-042</v>
      </c>
      <c r="Y569" s="130" t="str">
        <f t="shared" si="487"/>
        <v/>
      </c>
      <c r="Z569" s="49" t="str">
        <f t="shared" si="7"/>
        <v/>
      </c>
      <c r="AA569" s="49" t="str">
        <f t="shared" si="8"/>
        <v/>
      </c>
      <c r="AB569" s="49" t="str">
        <f t="shared" si="9"/>
        <v/>
      </c>
      <c r="AC569" s="20" t="str">
        <f t="shared" ref="AC569:AD569" si="1146">IF(_xlfn.ISFORMULA(S569),IFERROR(0/0,""),TRUE)</f>
        <v/>
      </c>
      <c r="AD569" s="20" t="str">
        <f t="shared" si="1146"/>
        <v/>
      </c>
      <c r="AE569" s="43"/>
      <c r="AF569" s="62" t="s">
        <v>63</v>
      </c>
      <c r="AG569" s="57" t="str">
        <f t="shared" si="11"/>
        <v/>
      </c>
    </row>
    <row r="570">
      <c r="A570" s="6" t="str">
        <f>IFERROR(__xludf.DUMMYFUNCTION("""COMPUTED_VALUE"""),"MAX48")</f>
        <v>MAX48</v>
      </c>
      <c r="B570" s="204">
        <f>IFERROR(__xludf.DUMMYFUNCTION("""COMPUTED_VALUE"""),44619.0)</f>
        <v>44619</v>
      </c>
      <c r="C570" s="250">
        <f>IFERROR(__xludf.DUMMYFUNCTION("""COMPUTED_VALUE"""),0.47225694444444444)</f>
        <v>0.4722569444</v>
      </c>
      <c r="D570" s="6" t="str">
        <f>IFERROR(__xludf.DUMMYFUNCTION("""COMPUTED_VALUE"""),"SpBEND904348")</f>
        <v>SpBEND904348</v>
      </c>
      <c r="E570" s="251"/>
      <c r="F570" s="251"/>
      <c r="G570" s="251" t="str">
        <f>IFERROR(__xludf.DUMMYFUNCTION("""COMPUTED_VALUE"""),"Negative")</f>
        <v>Negative</v>
      </c>
      <c r="H570" s="264" t="str">
        <f>IFERROR(__xludf.DUMMYFUNCTION("""COMPUTED_VALUE"""),"Negative")</f>
        <v>Negative</v>
      </c>
      <c r="I570" s="263">
        <f>IFERROR(__xludf.DUMMYFUNCTION("""COMPUTED_VALUE"""),44621.0)</f>
        <v>44621</v>
      </c>
      <c r="J570" s="252">
        <f>IFERROR(__xludf.DUMMYFUNCTION("""COMPUTED_VALUE"""),0.47836805555555556)</f>
        <v>0.4783680556</v>
      </c>
      <c r="K570" s="56"/>
      <c r="L570" s="6"/>
      <c r="M570" s="61"/>
      <c r="N570" s="61">
        <f>IFERROR(__xludf.DUMMYFUNCTION("""COMPUTED_VALUE"""),1.0)</f>
        <v>1</v>
      </c>
      <c r="O570" s="61" t="str">
        <f t="shared" si="3"/>
        <v/>
      </c>
      <c r="P570" s="253">
        <f>IFERROR(__xludf.DUMMYFUNCTION("""COMPUTED_VALUE"""),2.0)</f>
        <v>2</v>
      </c>
      <c r="Q570" s="254" t="b">
        <f>VLOOKUP($B570,'Run Reconcile'!B$2:O799,14,FALSE)</f>
        <v>1</v>
      </c>
      <c r="R570" s="255" t="str">
        <f t="array" ref="R570">IF($Q570, INDEX('Run Reconcile'!A$2:A799,MATCH(B570,'Run Reconcile'!B$2:B799,0),1),IFERROR(0/0,""))</f>
        <v>RUN-BEND_2022-02-27_RFR-042</v>
      </c>
      <c r="S570" s="261" t="str">
        <f t="shared" ref="S570:T570" si="1147">IF(COUNTIF(W$2:W799, $A570) &gt; 0,TRUE,IFERROR(0/0,""))</f>
        <v/>
      </c>
      <c r="T570" s="261" t="str">
        <f t="shared" si="1147"/>
        <v/>
      </c>
      <c r="U570" s="257" t="str">
        <f t="array" ref="U570">IF(ISBLANK($R570), INDEX('Run Reconcile'!A$2:A799, MATCH($B570, 'Run Reconcile'!B$2:B799, 0)+Z570, 1), IFERROR(0/0,""))
</f>
        <v/>
      </c>
      <c r="V570" s="258" t="str">
        <f t="shared" si="480"/>
        <v>RUN-BEND_2022-02-27_RFR-042</v>
      </c>
      <c r="Y570" s="130" t="str">
        <f t="shared" si="487"/>
        <v/>
      </c>
      <c r="Z570" s="49" t="str">
        <f t="shared" si="7"/>
        <v/>
      </c>
      <c r="AA570" s="49" t="str">
        <f t="shared" si="8"/>
        <v/>
      </c>
      <c r="AB570" s="49" t="str">
        <f t="shared" si="9"/>
        <v/>
      </c>
      <c r="AC570" s="20" t="str">
        <f t="shared" ref="AC570:AD570" si="1148">IF(_xlfn.ISFORMULA(S570),IFERROR(0/0,""),TRUE)</f>
        <v/>
      </c>
      <c r="AD570" s="20" t="str">
        <f t="shared" si="1148"/>
        <v/>
      </c>
      <c r="AE570" s="43"/>
      <c r="AF570" s="62" t="s">
        <v>63</v>
      </c>
      <c r="AG570" s="57" t="str">
        <f t="shared" si="11"/>
        <v/>
      </c>
    </row>
    <row r="571">
      <c r="A571" s="6" t="str">
        <f>IFERROR(__xludf.DUMMYFUNCTION("""COMPUTED_VALUE"""),"FM2070")</f>
        <v>FM2070</v>
      </c>
      <c r="B571" s="204">
        <f>IFERROR(__xludf.DUMMYFUNCTION("""COMPUTED_VALUE"""),44619.0)</f>
        <v>44619</v>
      </c>
      <c r="C571" s="250">
        <f>IFERROR(__xludf.DUMMYFUNCTION("""COMPUTED_VALUE"""),0.47260416666666666)</f>
        <v>0.4726041667</v>
      </c>
      <c r="D571" s="6" t="str">
        <f>IFERROR(__xludf.DUMMYFUNCTION("""COMPUTED_VALUE"""),"SpBEND904348")</f>
        <v>SpBEND904348</v>
      </c>
      <c r="E571" s="251"/>
      <c r="F571" s="251"/>
      <c r="G571" s="251" t="str">
        <f>IFERROR(__xludf.DUMMYFUNCTION("""COMPUTED_VALUE"""),"Negative")</f>
        <v>Negative</v>
      </c>
      <c r="H571" s="262" t="str">
        <f>IFERROR(__xludf.DUMMYFUNCTION("""COMPUTED_VALUE"""),"Negative")</f>
        <v>Negative</v>
      </c>
      <c r="I571" s="204">
        <f>IFERROR(__xludf.DUMMYFUNCTION("""COMPUTED_VALUE"""),44621.0)</f>
        <v>44621</v>
      </c>
      <c r="J571" s="252">
        <f>IFERROR(__xludf.DUMMYFUNCTION("""COMPUTED_VALUE"""),0.47836805555555556)</f>
        <v>0.4783680556</v>
      </c>
      <c r="K571" s="56"/>
      <c r="L571" s="6"/>
      <c r="M571" s="61"/>
      <c r="N571" s="61">
        <f>IFERROR(__xludf.DUMMYFUNCTION("""COMPUTED_VALUE"""),1.0)</f>
        <v>1</v>
      </c>
      <c r="O571" s="61" t="str">
        <f t="shared" si="3"/>
        <v/>
      </c>
      <c r="P571" s="253">
        <f>IFERROR(__xludf.DUMMYFUNCTION("""COMPUTED_VALUE"""),2.0)</f>
        <v>2</v>
      </c>
      <c r="Q571" s="254" t="b">
        <f>VLOOKUP($B571,'Run Reconcile'!B$2:O799,14,FALSE)</f>
        <v>1</v>
      </c>
      <c r="R571" s="255" t="str">
        <f t="array" ref="R571">IF($Q571, INDEX('Run Reconcile'!A$2:A799,MATCH(B571,'Run Reconcile'!B$2:B799,0),1),IFERROR(0/0,""))</f>
        <v>RUN-BEND_2022-02-27_RFR-042</v>
      </c>
      <c r="S571" s="261" t="str">
        <f t="shared" ref="S571:T571" si="1149">IF(COUNTIF(W$2:W799, $A571) &gt; 0,TRUE,IFERROR(0/0,""))</f>
        <v/>
      </c>
      <c r="T571" s="261" t="str">
        <f t="shared" si="1149"/>
        <v/>
      </c>
      <c r="U571" s="257" t="str">
        <f t="array" ref="U571">IF(ISBLANK($R571), INDEX('Run Reconcile'!A$2:A799, MATCH($B571, 'Run Reconcile'!B$2:B799, 0)+Z571, 1), IFERROR(0/0,""))
</f>
        <v/>
      </c>
      <c r="V571" s="258" t="str">
        <f t="shared" si="480"/>
        <v>RUN-BEND_2022-02-27_RFR-042</v>
      </c>
      <c r="Y571" s="130" t="str">
        <f t="shared" si="487"/>
        <v/>
      </c>
      <c r="Z571" s="49" t="str">
        <f t="shared" si="7"/>
        <v/>
      </c>
      <c r="AA571" s="49" t="str">
        <f t="shared" si="8"/>
        <v/>
      </c>
      <c r="AB571" s="49" t="str">
        <f t="shared" si="9"/>
        <v/>
      </c>
      <c r="AC571" s="20" t="str">
        <f t="shared" ref="AC571:AD571" si="1150">IF(_xlfn.ISFORMULA(S571),IFERROR(0/0,""),TRUE)</f>
        <v/>
      </c>
      <c r="AD571" s="20" t="str">
        <f t="shared" si="1150"/>
        <v/>
      </c>
      <c r="AE571" s="43"/>
      <c r="AF571" s="62" t="s">
        <v>63</v>
      </c>
      <c r="AG571" s="57" t="str">
        <f t="shared" si="11"/>
        <v/>
      </c>
    </row>
    <row r="572">
      <c r="A572" s="6" t="str">
        <f>IFERROR(__xludf.DUMMYFUNCTION("""COMPUTED_VALUE"""),"MA315")</f>
        <v>MA315</v>
      </c>
      <c r="B572" s="204">
        <f>IFERROR(__xludf.DUMMYFUNCTION("""COMPUTED_VALUE"""),44619.0)</f>
        <v>44619</v>
      </c>
      <c r="C572" s="250">
        <f>IFERROR(__xludf.DUMMYFUNCTION("""COMPUTED_VALUE"""),0.5150231481481482)</f>
        <v>0.5150231481</v>
      </c>
      <c r="D572" s="6" t="str">
        <f>IFERROR(__xludf.DUMMYFUNCTION("""COMPUTED_VALUE"""),"SpBEND151586")</f>
        <v>SpBEND151586</v>
      </c>
      <c r="E572" s="251"/>
      <c r="F572" s="251"/>
      <c r="G572" s="251" t="str">
        <f>IFERROR(__xludf.DUMMYFUNCTION("""COMPUTED_VALUE"""),"Negative")</f>
        <v>Negative</v>
      </c>
      <c r="H572" s="262" t="str">
        <f>IFERROR(__xludf.DUMMYFUNCTION("""COMPUTED_VALUE"""),"Negative")</f>
        <v>Negative</v>
      </c>
      <c r="I572" s="204">
        <f>IFERROR(__xludf.DUMMYFUNCTION("""COMPUTED_VALUE"""),44621.0)</f>
        <v>44621</v>
      </c>
      <c r="J572" s="252">
        <f>IFERROR(__xludf.DUMMYFUNCTION("""COMPUTED_VALUE"""),0.47836805555555556)</f>
        <v>0.4783680556</v>
      </c>
      <c r="K572" s="56"/>
      <c r="L572" s="6"/>
      <c r="M572" s="61"/>
      <c r="N572" s="61">
        <f>IFERROR(__xludf.DUMMYFUNCTION("""COMPUTED_VALUE"""),1.0)</f>
        <v>1</v>
      </c>
      <c r="O572" s="61" t="str">
        <f t="shared" si="3"/>
        <v/>
      </c>
      <c r="P572" s="253">
        <f>IFERROR(__xludf.DUMMYFUNCTION("""COMPUTED_VALUE"""),2.0)</f>
        <v>2</v>
      </c>
      <c r="Q572" s="254" t="b">
        <f>VLOOKUP($B572,'Run Reconcile'!B$2:O799,14,FALSE)</f>
        <v>1</v>
      </c>
      <c r="R572" s="255" t="str">
        <f t="array" ref="R572">IF($Q572, INDEX('Run Reconcile'!A$2:A799,MATCH(B572,'Run Reconcile'!B$2:B799,0),1),IFERROR(0/0,""))</f>
        <v>RUN-BEND_2022-02-27_RFR-042</v>
      </c>
      <c r="S572" s="261" t="str">
        <f t="shared" ref="S572:T572" si="1151">IF(COUNTIF(W$2:W799, $A572) &gt; 0,TRUE,IFERROR(0/0,""))</f>
        <v/>
      </c>
      <c r="T572" s="261" t="str">
        <f t="shared" si="1151"/>
        <v/>
      </c>
      <c r="U572" s="257" t="str">
        <f t="array" ref="U572">IF(ISBLANK($R572), INDEX('Run Reconcile'!A$2:A799, MATCH($B572, 'Run Reconcile'!B$2:B799, 0)+Z572, 1), IFERROR(0/0,""))
</f>
        <v/>
      </c>
      <c r="V572" s="258" t="str">
        <f t="shared" si="480"/>
        <v>RUN-BEND_2022-02-27_RFR-042</v>
      </c>
      <c r="Y572" s="130" t="str">
        <f t="shared" si="487"/>
        <v/>
      </c>
      <c r="Z572" s="49" t="str">
        <f t="shared" si="7"/>
        <v/>
      </c>
      <c r="AA572" s="49" t="str">
        <f t="shared" si="8"/>
        <v/>
      </c>
      <c r="AB572" s="49" t="str">
        <f t="shared" si="9"/>
        <v/>
      </c>
      <c r="AC572" s="20" t="str">
        <f t="shared" ref="AC572:AD572" si="1152">IF(_xlfn.ISFORMULA(S572),IFERROR(0/0,""),TRUE)</f>
        <v/>
      </c>
      <c r="AD572" s="20" t="str">
        <f t="shared" si="1152"/>
        <v/>
      </c>
      <c r="AE572" s="43"/>
      <c r="AF572" s="62" t="s">
        <v>63</v>
      </c>
      <c r="AG572" s="57" t="str">
        <f t="shared" si="11"/>
        <v/>
      </c>
    </row>
    <row r="573">
      <c r="A573" s="6" t="str">
        <f>IFERROR(__xludf.DUMMYFUNCTION("""COMPUTED_VALUE"""),"FM51")</f>
        <v>FM51</v>
      </c>
      <c r="B573" s="204">
        <f>IFERROR(__xludf.DUMMYFUNCTION("""COMPUTED_VALUE"""),44619.0)</f>
        <v>44619</v>
      </c>
      <c r="C573" s="250">
        <f>IFERROR(__xludf.DUMMYFUNCTION("""COMPUTED_VALUE"""),0.5154282407407408)</f>
        <v>0.5154282407</v>
      </c>
      <c r="D573" s="6" t="str">
        <f>IFERROR(__xludf.DUMMYFUNCTION("""COMPUTED_VALUE"""),"SpBEND151586")</f>
        <v>SpBEND151586</v>
      </c>
      <c r="E573" s="251"/>
      <c r="F573" s="251"/>
      <c r="G573" s="251" t="str">
        <f>IFERROR(__xludf.DUMMYFUNCTION("""COMPUTED_VALUE"""),"Negative")</f>
        <v>Negative</v>
      </c>
      <c r="H573" s="262" t="str">
        <f>IFERROR(__xludf.DUMMYFUNCTION("""COMPUTED_VALUE"""),"Negative")</f>
        <v>Negative</v>
      </c>
      <c r="I573" s="204">
        <f>IFERROR(__xludf.DUMMYFUNCTION("""COMPUTED_VALUE"""),44621.0)</f>
        <v>44621</v>
      </c>
      <c r="J573" s="252">
        <f>IFERROR(__xludf.DUMMYFUNCTION("""COMPUTED_VALUE"""),0.47836805555555556)</f>
        <v>0.4783680556</v>
      </c>
      <c r="K573" s="56"/>
      <c r="L573" s="6"/>
      <c r="M573" s="61"/>
      <c r="N573" s="61">
        <f>IFERROR(__xludf.DUMMYFUNCTION("""COMPUTED_VALUE"""),1.0)</f>
        <v>1</v>
      </c>
      <c r="O573" s="61" t="str">
        <f t="shared" si="3"/>
        <v/>
      </c>
      <c r="P573" s="253">
        <f>IFERROR(__xludf.DUMMYFUNCTION("""COMPUTED_VALUE"""),2.0)</f>
        <v>2</v>
      </c>
      <c r="Q573" s="254" t="b">
        <f>VLOOKUP($B573,'Run Reconcile'!B$2:O799,14,FALSE)</f>
        <v>1</v>
      </c>
      <c r="R573" s="255" t="str">
        <f t="array" ref="R573">IF($Q573, INDEX('Run Reconcile'!A$2:A799,MATCH(B573,'Run Reconcile'!B$2:B799,0),1),IFERROR(0/0,""))</f>
        <v>RUN-BEND_2022-02-27_RFR-042</v>
      </c>
      <c r="S573" s="261" t="str">
        <f t="shared" ref="S573:T573" si="1153">IF(COUNTIF(W$2:W799, $A573) &gt; 0,TRUE,IFERROR(0/0,""))</f>
        <v/>
      </c>
      <c r="T573" s="261" t="str">
        <f t="shared" si="1153"/>
        <v/>
      </c>
      <c r="U573" s="257" t="str">
        <f t="array" ref="U573">IF(ISBLANK($R573), INDEX('Run Reconcile'!A$2:A799, MATCH($B573, 'Run Reconcile'!B$2:B799, 0)+Z573, 1), IFERROR(0/0,""))
</f>
        <v/>
      </c>
      <c r="V573" s="258" t="str">
        <f t="shared" si="480"/>
        <v>RUN-BEND_2022-02-27_RFR-042</v>
      </c>
      <c r="Y573" s="130" t="str">
        <f t="shared" si="487"/>
        <v/>
      </c>
      <c r="Z573" s="49" t="str">
        <f t="shared" si="7"/>
        <v/>
      </c>
      <c r="AA573" s="49" t="str">
        <f t="shared" si="8"/>
        <v/>
      </c>
      <c r="AB573" s="49" t="str">
        <f t="shared" si="9"/>
        <v/>
      </c>
      <c r="AC573" s="20" t="str">
        <f t="shared" ref="AC573:AD573" si="1154">IF(_xlfn.ISFORMULA(S573),IFERROR(0/0,""),TRUE)</f>
        <v/>
      </c>
      <c r="AD573" s="20" t="str">
        <f t="shared" si="1154"/>
        <v/>
      </c>
      <c r="AE573" s="43"/>
      <c r="AF573" s="62" t="s">
        <v>63</v>
      </c>
      <c r="AG573" s="57" t="str">
        <f t="shared" si="11"/>
        <v/>
      </c>
    </row>
    <row r="574">
      <c r="A574" s="6" t="str">
        <f>IFERROR(__xludf.DUMMYFUNCTION("""COMPUTED_VALUE"""),"FM1909")</f>
        <v>FM1909</v>
      </c>
      <c r="B574" s="204">
        <f>IFERROR(__xludf.DUMMYFUNCTION("""COMPUTED_VALUE"""),44621.0)</f>
        <v>44621</v>
      </c>
      <c r="C574" s="250">
        <f>IFERROR(__xludf.DUMMYFUNCTION("""COMPUTED_VALUE"""),0.2698611111111111)</f>
        <v>0.2698611111</v>
      </c>
      <c r="D574" s="6" t="str">
        <f>IFERROR(__xludf.DUMMYFUNCTION("""COMPUTED_VALUE"""),"SpBEND413838")</f>
        <v>SpBEND413838</v>
      </c>
      <c r="E574" s="251"/>
      <c r="F574" s="251"/>
      <c r="G574" s="251" t="str">
        <f>IFERROR(__xludf.DUMMYFUNCTION("""COMPUTED_VALUE"""),"Negative")</f>
        <v>Negative</v>
      </c>
      <c r="H574" s="262" t="str">
        <f>IFERROR(__xludf.DUMMYFUNCTION("""COMPUTED_VALUE"""),"Negative")</f>
        <v>Negative</v>
      </c>
      <c r="I574" s="204">
        <f>IFERROR(__xludf.DUMMYFUNCTION("""COMPUTED_VALUE"""),44627.0)</f>
        <v>44627</v>
      </c>
      <c r="J574" s="252">
        <f>IFERROR(__xludf.DUMMYFUNCTION("""COMPUTED_VALUE"""),0.4779050925925926)</f>
        <v>0.4779050926</v>
      </c>
      <c r="K574" s="56"/>
      <c r="L574" s="6"/>
      <c r="M574" s="61"/>
      <c r="N574" s="61">
        <f>IFERROR(__xludf.DUMMYFUNCTION("""COMPUTED_VALUE"""),1.0)</f>
        <v>1</v>
      </c>
      <c r="O574" s="61" t="b">
        <f t="shared" si="3"/>
        <v>1</v>
      </c>
      <c r="P574" s="253">
        <f>IFERROR(__xludf.DUMMYFUNCTION("""COMPUTED_VALUE"""),6.0)</f>
        <v>6</v>
      </c>
      <c r="Q574" s="254" t="str">
        <f>VLOOKUP($B574,'Run Reconcile'!B$2:O799,14,FALSE)</f>
        <v/>
      </c>
      <c r="R574" s="255" t="str">
        <f t="array" ref="R574">IF($Q574, INDEX('Run Reconcile'!A$2:A799,MATCH(B574,'Run Reconcile'!B$2:B799,0),1),IFERROR(0/0,""))</f>
        <v/>
      </c>
      <c r="S574" s="261" t="str">
        <f t="shared" ref="S574:T574" si="1155">IF(COUNTIF(W$2:W799, $A574) &gt; 0,TRUE,IFERROR(0/0,""))</f>
        <v/>
      </c>
      <c r="T574" s="261" t="str">
        <f t="shared" si="1155"/>
        <v/>
      </c>
      <c r="U574" s="257" t="str">
        <f t="array" ref="U574">IF(ISBLANK($R574), INDEX('Run Reconcile'!A$2:A799, MATCH($B574, 'Run Reconcile'!B$2:B799, 0)+Z574, 1), IFERROR(0/0,""))
</f>
        <v>RUN-BEND_2022-03-01_RFR-043</v>
      </c>
      <c r="V574" s="258" t="str">
        <f t="shared" si="480"/>
        <v>RUN-BEND_2022-03-01_RFR-043</v>
      </c>
      <c r="Y574" s="130" t="str">
        <f t="shared" si="487"/>
        <v/>
      </c>
      <c r="Z574" s="49" t="str">
        <f t="shared" si="7"/>
        <v/>
      </c>
      <c r="AA574" s="49" t="str">
        <f t="shared" si="8"/>
        <v/>
      </c>
      <c r="AB574" s="49" t="str">
        <f t="shared" si="9"/>
        <v/>
      </c>
      <c r="AC574" s="20" t="str">
        <f t="shared" ref="AC574:AD574" si="1156">IF(_xlfn.ISFORMULA(S574),IFERROR(0/0,""),TRUE)</f>
        <v/>
      </c>
      <c r="AD574" s="20" t="str">
        <f t="shared" si="1156"/>
        <v/>
      </c>
      <c r="AE574" s="43"/>
      <c r="AF574" s="62" t="s">
        <v>64</v>
      </c>
      <c r="AG574" s="57" t="str">
        <f t="shared" si="11"/>
        <v/>
      </c>
    </row>
    <row r="575">
      <c r="A575" s="6" t="str">
        <f>IFERROR(__xludf.DUMMYFUNCTION("""COMPUTED_VALUE"""),"FM2069")</f>
        <v>FM2069</v>
      </c>
      <c r="B575" s="204">
        <f>IFERROR(__xludf.DUMMYFUNCTION("""COMPUTED_VALUE"""),44621.0)</f>
        <v>44621</v>
      </c>
      <c r="C575" s="250">
        <f>IFERROR(__xludf.DUMMYFUNCTION("""COMPUTED_VALUE"""),0.2941435185185185)</f>
        <v>0.2941435185</v>
      </c>
      <c r="D575" s="6" t="str">
        <f>IFERROR(__xludf.DUMMYFUNCTION("""COMPUTED_VALUE"""),"SpBEND264858")</f>
        <v>SpBEND264858</v>
      </c>
      <c r="E575" s="251"/>
      <c r="F575" s="251"/>
      <c r="G575" s="251" t="str">
        <f>IFERROR(__xludf.DUMMYFUNCTION("""COMPUTED_VALUE"""),"Negative")</f>
        <v>Negative</v>
      </c>
      <c r="H575" s="262" t="str">
        <f>IFERROR(__xludf.DUMMYFUNCTION("""COMPUTED_VALUE"""),"Negative")</f>
        <v>Negative</v>
      </c>
      <c r="I575" s="204">
        <f>IFERROR(__xludf.DUMMYFUNCTION("""COMPUTED_VALUE"""),44627.0)</f>
        <v>44627</v>
      </c>
      <c r="J575" s="252">
        <f>IFERROR(__xludf.DUMMYFUNCTION("""COMPUTED_VALUE"""),0.4779050925925926)</f>
        <v>0.4779050926</v>
      </c>
      <c r="K575" s="56"/>
      <c r="L575" s="6"/>
      <c r="M575" s="61"/>
      <c r="N575" s="61">
        <f>IFERROR(__xludf.DUMMYFUNCTION("""COMPUTED_VALUE"""),1.0)</f>
        <v>1</v>
      </c>
      <c r="O575" s="61" t="str">
        <f t="shared" si="3"/>
        <v/>
      </c>
      <c r="P575" s="253">
        <f>IFERROR(__xludf.DUMMYFUNCTION("""COMPUTED_VALUE"""),6.0)</f>
        <v>6</v>
      </c>
      <c r="Q575" s="254" t="str">
        <f>VLOOKUP($B575,'Run Reconcile'!B$2:O799,14,FALSE)</f>
        <v/>
      </c>
      <c r="R575" s="255" t="str">
        <f t="array" ref="R575">IF($Q575, INDEX('Run Reconcile'!A$2:A799,MATCH(B575,'Run Reconcile'!B$2:B799,0),1),IFERROR(0/0,""))</f>
        <v/>
      </c>
      <c r="S575" s="261" t="str">
        <f t="shared" ref="S575:T575" si="1157">IF(COUNTIF(W$2:W799, $A575) &gt; 0,TRUE,IFERROR(0/0,""))</f>
        <v/>
      </c>
      <c r="T575" s="261" t="str">
        <f t="shared" si="1157"/>
        <v/>
      </c>
      <c r="U575" s="257" t="str">
        <f t="array" ref="U575">IF(ISBLANK($R575), INDEX('Run Reconcile'!A$2:A799, MATCH($B575, 'Run Reconcile'!B$2:B799, 0)+Z575, 1), IFERROR(0/0,""))
</f>
        <v>RUN-BEND_2022-03-01_RFR-043</v>
      </c>
      <c r="V575" s="258" t="str">
        <f t="shared" si="480"/>
        <v>RUN-BEND_2022-03-01_RFR-043</v>
      </c>
      <c r="Y575" s="130" t="str">
        <f t="shared" si="487"/>
        <v/>
      </c>
      <c r="Z575" s="49" t="str">
        <f t="shared" si="7"/>
        <v/>
      </c>
      <c r="AA575" s="49" t="str">
        <f t="shared" si="8"/>
        <v/>
      </c>
      <c r="AB575" s="49" t="str">
        <f t="shared" si="9"/>
        <v/>
      </c>
      <c r="AC575" s="20" t="str">
        <f t="shared" ref="AC575:AD575" si="1158">IF(_xlfn.ISFORMULA(S575),IFERROR(0/0,""),TRUE)</f>
        <v/>
      </c>
      <c r="AD575" s="20" t="str">
        <f t="shared" si="1158"/>
        <v/>
      </c>
      <c r="AE575" s="43"/>
      <c r="AF575" s="62" t="s">
        <v>64</v>
      </c>
      <c r="AG575" s="57" t="str">
        <f t="shared" si="11"/>
        <v/>
      </c>
    </row>
    <row r="576">
      <c r="A576" s="6" t="str">
        <f>IFERROR(__xludf.DUMMYFUNCTION("""COMPUTED_VALUE"""),"FM2100")</f>
        <v>FM2100</v>
      </c>
      <c r="B576" s="204">
        <f>IFERROR(__xludf.DUMMYFUNCTION("""COMPUTED_VALUE"""),44621.0)</f>
        <v>44621</v>
      </c>
      <c r="C576" s="250">
        <f>IFERROR(__xludf.DUMMYFUNCTION("""COMPUTED_VALUE"""),0.3004513888888889)</f>
        <v>0.3004513889</v>
      </c>
      <c r="D576" s="6" t="str">
        <f>IFERROR(__xludf.DUMMYFUNCTION("""COMPUTED_VALUE"""),"SpBEND184203")</f>
        <v>SpBEND184203</v>
      </c>
      <c r="E576" s="251"/>
      <c r="F576" s="251"/>
      <c r="G576" s="251" t="str">
        <f>IFERROR(__xludf.DUMMYFUNCTION("""COMPUTED_VALUE"""),"Negative")</f>
        <v>Negative</v>
      </c>
      <c r="H576" s="262" t="str">
        <f>IFERROR(__xludf.DUMMYFUNCTION("""COMPUTED_VALUE"""),"Negative")</f>
        <v>Negative</v>
      </c>
      <c r="I576" s="204">
        <f>IFERROR(__xludf.DUMMYFUNCTION("""COMPUTED_VALUE"""),44627.0)</f>
        <v>44627</v>
      </c>
      <c r="J576" s="252">
        <f>IFERROR(__xludf.DUMMYFUNCTION("""COMPUTED_VALUE"""),0.4779050925925926)</f>
        <v>0.4779050926</v>
      </c>
      <c r="K576" s="56"/>
      <c r="L576" s="6"/>
      <c r="M576" s="61"/>
      <c r="N576" s="61">
        <f>IFERROR(__xludf.DUMMYFUNCTION("""COMPUTED_VALUE"""),1.0)</f>
        <v>1</v>
      </c>
      <c r="O576" s="61" t="str">
        <f t="shared" si="3"/>
        <v/>
      </c>
      <c r="P576" s="253">
        <f>IFERROR(__xludf.DUMMYFUNCTION("""COMPUTED_VALUE"""),6.0)</f>
        <v>6</v>
      </c>
      <c r="Q576" s="254" t="str">
        <f>VLOOKUP($B576,'Run Reconcile'!B$2:O799,14,FALSE)</f>
        <v/>
      </c>
      <c r="R576" s="255" t="str">
        <f t="array" ref="R576">IF($Q576, INDEX('Run Reconcile'!A$2:A799,MATCH(B576,'Run Reconcile'!B$2:B799,0),1),IFERROR(0/0,""))</f>
        <v/>
      </c>
      <c r="S576" s="261" t="str">
        <f t="shared" ref="S576:T576" si="1159">IF(COUNTIF(W$2:W799, $A576) &gt; 0,TRUE,IFERROR(0/0,""))</f>
        <v/>
      </c>
      <c r="T576" s="261" t="str">
        <f t="shared" si="1159"/>
        <v/>
      </c>
      <c r="U576" s="257" t="str">
        <f t="array" ref="U576">IF(ISBLANK($R576), INDEX('Run Reconcile'!A$2:A799, MATCH($B576, 'Run Reconcile'!B$2:B799, 0)+Z576, 1), IFERROR(0/0,""))
</f>
        <v>RUN-BEND_2022-03-01_RFR-043</v>
      </c>
      <c r="V576" s="258" t="str">
        <f t="shared" si="480"/>
        <v>RUN-BEND_2022-03-01_RFR-043</v>
      </c>
      <c r="Y576" s="130" t="str">
        <f t="shared" si="487"/>
        <v/>
      </c>
      <c r="Z576" s="49" t="str">
        <f t="shared" si="7"/>
        <v/>
      </c>
      <c r="AA576" s="49" t="str">
        <f t="shared" si="8"/>
        <v/>
      </c>
      <c r="AB576" s="49" t="str">
        <f t="shared" si="9"/>
        <v/>
      </c>
      <c r="AC576" s="20" t="str">
        <f t="shared" ref="AC576:AD576" si="1160">IF(_xlfn.ISFORMULA(S576),IFERROR(0/0,""),TRUE)</f>
        <v/>
      </c>
      <c r="AD576" s="20" t="str">
        <f t="shared" si="1160"/>
        <v/>
      </c>
      <c r="AE576" s="43"/>
      <c r="AF576" s="62" t="s">
        <v>64</v>
      </c>
      <c r="AG576" s="57" t="str">
        <f t="shared" si="11"/>
        <v/>
      </c>
    </row>
    <row r="577">
      <c r="A577" s="6" t="str">
        <f>IFERROR(__xludf.DUMMYFUNCTION("""COMPUTED_VALUE"""),"FM18")</f>
        <v>FM18</v>
      </c>
      <c r="B577" s="204">
        <f>IFERROR(__xludf.DUMMYFUNCTION("""COMPUTED_VALUE"""),44621.0)</f>
        <v>44621</v>
      </c>
      <c r="C577" s="250">
        <f>IFERROR(__xludf.DUMMYFUNCTION("""COMPUTED_VALUE"""),0.3062152777777778)</f>
        <v>0.3062152778</v>
      </c>
      <c r="D577" s="6" t="str">
        <f>IFERROR(__xludf.DUMMYFUNCTION("""COMPUTED_VALUE"""),"SpBEND768497")</f>
        <v>SpBEND768497</v>
      </c>
      <c r="E577" s="251"/>
      <c r="F577" s="251"/>
      <c r="G577" s="251" t="str">
        <f>IFERROR(__xludf.DUMMYFUNCTION("""COMPUTED_VALUE"""),"Negative")</f>
        <v>Negative</v>
      </c>
      <c r="H577" s="262" t="str">
        <f>IFERROR(__xludf.DUMMYFUNCTION("""COMPUTED_VALUE"""),"Negative")</f>
        <v>Negative</v>
      </c>
      <c r="I577" s="204">
        <f>IFERROR(__xludf.DUMMYFUNCTION("""COMPUTED_VALUE"""),44627.0)</f>
        <v>44627</v>
      </c>
      <c r="J577" s="252">
        <f>IFERROR(__xludf.DUMMYFUNCTION("""COMPUTED_VALUE"""),0.47791666666666666)</f>
        <v>0.4779166667</v>
      </c>
      <c r="K577" s="56"/>
      <c r="L577" s="6"/>
      <c r="M577" s="61"/>
      <c r="N577" s="61">
        <f>IFERROR(__xludf.DUMMYFUNCTION("""COMPUTED_VALUE"""),1.0)</f>
        <v>1</v>
      </c>
      <c r="O577" s="61" t="str">
        <f t="shared" si="3"/>
        <v/>
      </c>
      <c r="P577" s="253">
        <f>IFERROR(__xludf.DUMMYFUNCTION("""COMPUTED_VALUE"""),6.0)</f>
        <v>6</v>
      </c>
      <c r="Q577" s="254" t="str">
        <f>VLOOKUP($B577,'Run Reconcile'!B$2:O799,14,FALSE)</f>
        <v/>
      </c>
      <c r="R577" s="255" t="str">
        <f t="array" ref="R577">IF($Q577, INDEX('Run Reconcile'!A$2:A799,MATCH(B577,'Run Reconcile'!B$2:B799,0),1),IFERROR(0/0,""))</f>
        <v/>
      </c>
      <c r="S577" s="261" t="str">
        <f t="shared" ref="S577:T577" si="1161">IF(COUNTIF(W$2:W799, $A577) &gt; 0,TRUE,IFERROR(0/0,""))</f>
        <v/>
      </c>
      <c r="T577" s="261" t="str">
        <f t="shared" si="1161"/>
        <v/>
      </c>
      <c r="U577" s="257" t="str">
        <f t="array" ref="U577">IF(ISBLANK($R577), INDEX('Run Reconcile'!A$2:A799, MATCH($B577, 'Run Reconcile'!B$2:B799, 0)+Z577, 1), IFERROR(0/0,""))
</f>
        <v>RUN-BEND_2022-03-01_RFR-043</v>
      </c>
      <c r="V577" s="258" t="str">
        <f t="shared" si="480"/>
        <v>RUN-BEND_2022-03-01_RFR-043</v>
      </c>
      <c r="Y577" s="130" t="str">
        <f t="shared" si="487"/>
        <v/>
      </c>
      <c r="Z577" s="49" t="str">
        <f t="shared" si="7"/>
        <v/>
      </c>
      <c r="AA577" s="49" t="str">
        <f t="shared" si="8"/>
        <v/>
      </c>
      <c r="AB577" s="49" t="str">
        <f t="shared" si="9"/>
        <v/>
      </c>
      <c r="AC577" s="20" t="str">
        <f t="shared" ref="AC577:AD577" si="1162">IF(_xlfn.ISFORMULA(S577),IFERROR(0/0,""),TRUE)</f>
        <v/>
      </c>
      <c r="AD577" s="20" t="str">
        <f t="shared" si="1162"/>
        <v/>
      </c>
      <c r="AE577" s="43"/>
      <c r="AF577" s="62" t="s">
        <v>64</v>
      </c>
      <c r="AG577" s="57" t="str">
        <f t="shared" si="11"/>
        <v/>
      </c>
    </row>
    <row r="578">
      <c r="A578" s="6" t="str">
        <f>IFERROR(__xludf.DUMMYFUNCTION("""COMPUTED_VALUE"""),"FM354")</f>
        <v>FM354</v>
      </c>
      <c r="B578" s="204">
        <f>IFERROR(__xludf.DUMMYFUNCTION("""COMPUTED_VALUE"""),44621.0)</f>
        <v>44621</v>
      </c>
      <c r="C578" s="250">
        <f>IFERROR(__xludf.DUMMYFUNCTION("""COMPUTED_VALUE"""),0.3067708333333333)</f>
        <v>0.3067708333</v>
      </c>
      <c r="D578" s="6" t="str">
        <f>IFERROR(__xludf.DUMMYFUNCTION("""COMPUTED_VALUE"""),"SpBEND445560")</f>
        <v>SpBEND445560</v>
      </c>
      <c r="E578" s="251"/>
      <c r="F578" s="251"/>
      <c r="G578" s="251" t="str">
        <f>IFERROR(__xludf.DUMMYFUNCTION("""COMPUTED_VALUE"""),"Negative")</f>
        <v>Negative</v>
      </c>
      <c r="H578" s="262" t="str">
        <f>IFERROR(__xludf.DUMMYFUNCTION("""COMPUTED_VALUE"""),"Negative")</f>
        <v>Negative</v>
      </c>
      <c r="I578" s="204">
        <f>IFERROR(__xludf.DUMMYFUNCTION("""COMPUTED_VALUE"""),44627.0)</f>
        <v>44627</v>
      </c>
      <c r="J578" s="252">
        <f>IFERROR(__xludf.DUMMYFUNCTION("""COMPUTED_VALUE"""),0.47791666666666666)</f>
        <v>0.4779166667</v>
      </c>
      <c r="K578" s="56"/>
      <c r="L578" s="6"/>
      <c r="M578" s="61"/>
      <c r="N578" s="61">
        <f>IFERROR(__xludf.DUMMYFUNCTION("""COMPUTED_VALUE"""),1.0)</f>
        <v>1</v>
      </c>
      <c r="O578" s="61" t="str">
        <f t="shared" si="3"/>
        <v/>
      </c>
      <c r="P578" s="253">
        <f>IFERROR(__xludf.DUMMYFUNCTION("""COMPUTED_VALUE"""),6.0)</f>
        <v>6</v>
      </c>
      <c r="Q578" s="254" t="str">
        <f>VLOOKUP($B578,'Run Reconcile'!B$2:O799,14,FALSE)</f>
        <v/>
      </c>
      <c r="R578" s="255" t="str">
        <f t="array" ref="R578">IF($Q578, INDEX('Run Reconcile'!A$2:A799,MATCH(B578,'Run Reconcile'!B$2:B799,0),1),IFERROR(0/0,""))</f>
        <v/>
      </c>
      <c r="S578" s="261" t="str">
        <f t="shared" ref="S578:T578" si="1163">IF(COUNTIF(W$2:W799, $A578) &gt; 0,TRUE,IFERROR(0/0,""))</f>
        <v/>
      </c>
      <c r="T578" s="261" t="str">
        <f t="shared" si="1163"/>
        <v/>
      </c>
      <c r="U578" s="257" t="str">
        <f t="array" ref="U578">IF(ISBLANK($R578), INDEX('Run Reconcile'!A$2:A799, MATCH($B578, 'Run Reconcile'!B$2:B799, 0)+Z578, 1), IFERROR(0/0,""))
</f>
        <v>RUN-BEND_2022-03-01_RFR-043</v>
      </c>
      <c r="V578" s="258" t="str">
        <f t="shared" si="480"/>
        <v>RUN-BEND_2022-03-01_RFR-043</v>
      </c>
      <c r="Y578" s="130" t="str">
        <f t="shared" si="487"/>
        <v/>
      </c>
      <c r="Z578" s="49" t="str">
        <f t="shared" si="7"/>
        <v/>
      </c>
      <c r="AA578" s="49" t="str">
        <f t="shared" si="8"/>
        <v/>
      </c>
      <c r="AB578" s="49" t="str">
        <f t="shared" si="9"/>
        <v/>
      </c>
      <c r="AC578" s="20" t="str">
        <f t="shared" ref="AC578:AD578" si="1164">IF(_xlfn.ISFORMULA(S578),IFERROR(0/0,""),TRUE)</f>
        <v/>
      </c>
      <c r="AD578" s="20" t="str">
        <f t="shared" si="1164"/>
        <v/>
      </c>
      <c r="AE578" s="43"/>
      <c r="AF578" s="62" t="s">
        <v>64</v>
      </c>
      <c r="AG578" s="57" t="str">
        <f t="shared" si="11"/>
        <v/>
      </c>
    </row>
    <row r="579">
      <c r="A579" s="6" t="str">
        <f>IFERROR(__xludf.DUMMYFUNCTION("""COMPUTED_VALUE"""),"FM489")</f>
        <v>FM489</v>
      </c>
      <c r="B579" s="204">
        <f>IFERROR(__xludf.DUMMYFUNCTION("""COMPUTED_VALUE"""),44621.0)</f>
        <v>44621</v>
      </c>
      <c r="C579" s="250">
        <f>IFERROR(__xludf.DUMMYFUNCTION("""COMPUTED_VALUE"""),0.3078587962962963)</f>
        <v>0.3078587963</v>
      </c>
      <c r="D579" s="6" t="str">
        <f>IFERROR(__xludf.DUMMYFUNCTION("""COMPUTED_VALUE"""),"SpBEND982195")</f>
        <v>SpBEND982195</v>
      </c>
      <c r="E579" s="251"/>
      <c r="F579" s="251"/>
      <c r="G579" s="251" t="str">
        <f>IFERROR(__xludf.DUMMYFUNCTION("""COMPUTED_VALUE"""),"Negative")</f>
        <v>Negative</v>
      </c>
      <c r="H579" s="262" t="str">
        <f>IFERROR(__xludf.DUMMYFUNCTION("""COMPUTED_VALUE"""),"Negative")</f>
        <v>Negative</v>
      </c>
      <c r="I579" s="204">
        <f>IFERROR(__xludf.DUMMYFUNCTION("""COMPUTED_VALUE"""),44627.0)</f>
        <v>44627</v>
      </c>
      <c r="J579" s="252">
        <f>IFERROR(__xludf.DUMMYFUNCTION("""COMPUTED_VALUE"""),0.47791666666666666)</f>
        <v>0.4779166667</v>
      </c>
      <c r="K579" s="56"/>
      <c r="L579" s="6"/>
      <c r="M579" s="61"/>
      <c r="N579" s="61">
        <f>IFERROR(__xludf.DUMMYFUNCTION("""COMPUTED_VALUE"""),1.0)</f>
        <v>1</v>
      </c>
      <c r="O579" s="61" t="str">
        <f t="shared" si="3"/>
        <v/>
      </c>
      <c r="P579" s="253">
        <f>IFERROR(__xludf.DUMMYFUNCTION("""COMPUTED_VALUE"""),6.0)</f>
        <v>6</v>
      </c>
      <c r="Q579" s="254" t="str">
        <f>VLOOKUP($B579,'Run Reconcile'!B$2:O799,14,FALSE)</f>
        <v/>
      </c>
      <c r="R579" s="255" t="str">
        <f t="array" ref="R579">IF($Q579, INDEX('Run Reconcile'!A$2:A799,MATCH(B579,'Run Reconcile'!B$2:B799,0),1),IFERROR(0/0,""))</f>
        <v/>
      </c>
      <c r="S579" s="261" t="str">
        <f t="shared" ref="S579:T579" si="1165">IF(COUNTIF(W$2:W799, $A579) &gt; 0,TRUE,IFERROR(0/0,""))</f>
        <v/>
      </c>
      <c r="T579" s="261" t="str">
        <f t="shared" si="1165"/>
        <v/>
      </c>
      <c r="U579" s="257" t="str">
        <f t="array" ref="U579">IF(ISBLANK($R579), INDEX('Run Reconcile'!A$2:A799, MATCH($B579, 'Run Reconcile'!B$2:B799, 0)+Z579, 1), IFERROR(0/0,""))
</f>
        <v>RUN-BEND_2022-03-01_RFR-043</v>
      </c>
      <c r="V579" s="258" t="str">
        <f t="shared" si="480"/>
        <v>RUN-BEND_2022-03-01_RFR-043</v>
      </c>
      <c r="Y579" s="130" t="str">
        <f t="shared" si="487"/>
        <v/>
      </c>
      <c r="Z579" s="49" t="str">
        <f t="shared" si="7"/>
        <v/>
      </c>
      <c r="AA579" s="49" t="str">
        <f t="shared" si="8"/>
        <v/>
      </c>
      <c r="AB579" s="49" t="str">
        <f t="shared" si="9"/>
        <v/>
      </c>
      <c r="AC579" s="20" t="str">
        <f t="shared" ref="AC579:AD579" si="1166">IF(_xlfn.ISFORMULA(S579),IFERROR(0/0,""),TRUE)</f>
        <v/>
      </c>
      <c r="AD579" s="20" t="str">
        <f t="shared" si="1166"/>
        <v/>
      </c>
      <c r="AE579" s="43"/>
      <c r="AF579" s="62" t="s">
        <v>64</v>
      </c>
      <c r="AG579" s="57" t="str">
        <f t="shared" si="11"/>
        <v/>
      </c>
    </row>
    <row r="580">
      <c r="A580" s="6" t="str">
        <f>IFERROR(__xludf.DUMMYFUNCTION("""COMPUTED_VALUE"""),"FM481")</f>
        <v>FM481</v>
      </c>
      <c r="B580" s="204">
        <f>IFERROR(__xludf.DUMMYFUNCTION("""COMPUTED_VALUE"""),44621.0)</f>
        <v>44621</v>
      </c>
      <c r="C580" s="250">
        <f>IFERROR(__xludf.DUMMYFUNCTION("""COMPUTED_VALUE"""),0.3086921296296296)</f>
        <v>0.3086921296</v>
      </c>
      <c r="D580" s="6" t="str">
        <f>IFERROR(__xludf.DUMMYFUNCTION("""COMPUTED_VALUE"""),"SpBEND713650")</f>
        <v>SpBEND713650</v>
      </c>
      <c r="E580" s="251"/>
      <c r="F580" s="251"/>
      <c r="G580" s="251" t="str">
        <f>IFERROR(__xludf.DUMMYFUNCTION("""COMPUTED_VALUE"""),"Negative")</f>
        <v>Negative</v>
      </c>
      <c r="H580" s="262" t="str">
        <f>IFERROR(__xludf.DUMMYFUNCTION("""COMPUTED_VALUE"""),"Negative")</f>
        <v>Negative</v>
      </c>
      <c r="I580" s="204">
        <f>IFERROR(__xludf.DUMMYFUNCTION("""COMPUTED_VALUE"""),44627.0)</f>
        <v>44627</v>
      </c>
      <c r="J580" s="252">
        <f>IFERROR(__xludf.DUMMYFUNCTION("""COMPUTED_VALUE"""),0.47791666666666666)</f>
        <v>0.4779166667</v>
      </c>
      <c r="K580" s="56"/>
      <c r="L580" s="6"/>
      <c r="M580" s="61"/>
      <c r="N580" s="61">
        <f>IFERROR(__xludf.DUMMYFUNCTION("""COMPUTED_VALUE"""),1.0)</f>
        <v>1</v>
      </c>
      <c r="O580" s="61" t="str">
        <f t="shared" si="3"/>
        <v/>
      </c>
      <c r="P580" s="253">
        <f>IFERROR(__xludf.DUMMYFUNCTION("""COMPUTED_VALUE"""),6.0)</f>
        <v>6</v>
      </c>
      <c r="Q580" s="254" t="str">
        <f>VLOOKUP($B580,'Run Reconcile'!B$2:O799,14,FALSE)</f>
        <v/>
      </c>
      <c r="R580" s="255" t="str">
        <f t="array" ref="R580">IF($Q580, INDEX('Run Reconcile'!A$2:A799,MATCH(B580,'Run Reconcile'!B$2:B799,0),1),IFERROR(0/0,""))</f>
        <v/>
      </c>
      <c r="S580" s="261" t="str">
        <f t="shared" ref="S580:T580" si="1167">IF(COUNTIF(W$2:W799, $A580) &gt; 0,TRUE,IFERROR(0/0,""))</f>
        <v/>
      </c>
      <c r="T580" s="261" t="str">
        <f t="shared" si="1167"/>
        <v/>
      </c>
      <c r="U580" s="257" t="str">
        <f t="array" ref="U580">IF(ISBLANK($R580), INDEX('Run Reconcile'!A$2:A799, MATCH($B580, 'Run Reconcile'!B$2:B799, 0)+Z580, 1), IFERROR(0/0,""))
</f>
        <v>RUN-BEND_2022-03-01_RFR-043</v>
      </c>
      <c r="V580" s="258" t="str">
        <f t="shared" si="480"/>
        <v>RUN-BEND_2022-03-01_RFR-043</v>
      </c>
      <c r="Y580" s="130" t="str">
        <f t="shared" si="487"/>
        <v/>
      </c>
      <c r="Z580" s="49" t="str">
        <f t="shared" si="7"/>
        <v/>
      </c>
      <c r="AA580" s="49" t="str">
        <f t="shared" si="8"/>
        <v/>
      </c>
      <c r="AB580" s="49" t="str">
        <f t="shared" si="9"/>
        <v/>
      </c>
      <c r="AC580" s="20" t="str">
        <f t="shared" ref="AC580:AD580" si="1168">IF(_xlfn.ISFORMULA(S580),IFERROR(0/0,""),TRUE)</f>
        <v/>
      </c>
      <c r="AD580" s="20" t="str">
        <f t="shared" si="1168"/>
        <v/>
      </c>
      <c r="AE580" s="43"/>
      <c r="AF580" s="62" t="s">
        <v>64</v>
      </c>
      <c r="AG580" s="57" t="str">
        <f t="shared" si="11"/>
        <v/>
      </c>
    </row>
    <row r="581">
      <c r="A581" s="6" t="str">
        <f>IFERROR(__xludf.DUMMYFUNCTION("""COMPUTED_VALUE"""),"MA1282")</f>
        <v>MA1282</v>
      </c>
      <c r="B581" s="204">
        <f>IFERROR(__xludf.DUMMYFUNCTION("""COMPUTED_VALUE"""),44621.0)</f>
        <v>44621</v>
      </c>
      <c r="C581" s="250">
        <f>IFERROR(__xludf.DUMMYFUNCTION("""COMPUTED_VALUE"""),0.3096875)</f>
        <v>0.3096875</v>
      </c>
      <c r="D581" s="6" t="str">
        <f>IFERROR(__xludf.DUMMYFUNCTION("""COMPUTED_VALUE"""),"SpBEND350015")</f>
        <v>SpBEND350015</v>
      </c>
      <c r="E581" s="251"/>
      <c r="F581" s="251"/>
      <c r="G581" s="251" t="str">
        <f>IFERROR(__xludf.DUMMYFUNCTION("""COMPUTED_VALUE"""),"Negative")</f>
        <v>Negative</v>
      </c>
      <c r="H581" s="262" t="str">
        <f>IFERROR(__xludf.DUMMYFUNCTION("""COMPUTED_VALUE"""),"Negative")</f>
        <v>Negative</v>
      </c>
      <c r="I581" s="204">
        <f>IFERROR(__xludf.DUMMYFUNCTION("""COMPUTED_VALUE"""),44627.0)</f>
        <v>44627</v>
      </c>
      <c r="J581" s="252">
        <f>IFERROR(__xludf.DUMMYFUNCTION("""COMPUTED_VALUE"""),0.47791666666666666)</f>
        <v>0.4779166667</v>
      </c>
      <c r="K581" s="56"/>
      <c r="L581" s="6"/>
      <c r="M581" s="61"/>
      <c r="N581" s="61">
        <f>IFERROR(__xludf.DUMMYFUNCTION("""COMPUTED_VALUE"""),1.0)</f>
        <v>1</v>
      </c>
      <c r="O581" s="61" t="str">
        <f t="shared" si="3"/>
        <v/>
      </c>
      <c r="P581" s="253">
        <f>IFERROR(__xludf.DUMMYFUNCTION("""COMPUTED_VALUE"""),6.0)</f>
        <v>6</v>
      </c>
      <c r="Q581" s="254" t="str">
        <f>VLOOKUP($B581,'Run Reconcile'!B$2:O799,14,FALSE)</f>
        <v/>
      </c>
      <c r="R581" s="255" t="str">
        <f t="array" ref="R581">IF($Q581, INDEX('Run Reconcile'!A$2:A799,MATCH(B581,'Run Reconcile'!B$2:B799,0),1),IFERROR(0/0,""))</f>
        <v/>
      </c>
      <c r="S581" s="261" t="str">
        <f t="shared" ref="S581:T581" si="1169">IF(COUNTIF(W$2:W799, $A581) &gt; 0,TRUE,IFERROR(0/0,""))</f>
        <v/>
      </c>
      <c r="T581" s="261" t="str">
        <f t="shared" si="1169"/>
        <v/>
      </c>
      <c r="U581" s="257" t="str">
        <f t="array" ref="U581">IF(ISBLANK($R581), INDEX('Run Reconcile'!A$2:A799, MATCH($B581, 'Run Reconcile'!B$2:B799, 0)+Z581, 1), IFERROR(0/0,""))
</f>
        <v>RUN-BEND_2022-03-01_RFR-043</v>
      </c>
      <c r="V581" s="258" t="str">
        <f t="shared" si="480"/>
        <v>RUN-BEND_2022-03-01_RFR-043</v>
      </c>
      <c r="Y581" s="130" t="str">
        <f t="shared" si="487"/>
        <v/>
      </c>
      <c r="Z581" s="49" t="str">
        <f t="shared" si="7"/>
        <v/>
      </c>
      <c r="AA581" s="49" t="str">
        <f t="shared" si="8"/>
        <v/>
      </c>
      <c r="AB581" s="49" t="str">
        <f t="shared" si="9"/>
        <v/>
      </c>
      <c r="AC581" s="20" t="str">
        <f t="shared" ref="AC581:AD581" si="1170">IF(_xlfn.ISFORMULA(S581),IFERROR(0/0,""),TRUE)</f>
        <v/>
      </c>
      <c r="AD581" s="20" t="str">
        <f t="shared" si="1170"/>
        <v/>
      </c>
      <c r="AE581" s="43"/>
      <c r="AF581" s="62" t="s">
        <v>64</v>
      </c>
      <c r="AG581" s="57" t="str">
        <f t="shared" si="11"/>
        <v/>
      </c>
    </row>
    <row r="582">
      <c r="A582" s="6" t="str">
        <f>IFERROR(__xludf.DUMMYFUNCTION("""COMPUTED_VALUE"""),"FM78")</f>
        <v>FM78</v>
      </c>
      <c r="B582" s="204">
        <f>IFERROR(__xludf.DUMMYFUNCTION("""COMPUTED_VALUE"""),44621.0)</f>
        <v>44621</v>
      </c>
      <c r="C582" s="250">
        <f>IFERROR(__xludf.DUMMYFUNCTION("""COMPUTED_VALUE"""),0.3111921296296296)</f>
        <v>0.3111921296</v>
      </c>
      <c r="D582" s="6" t="str">
        <f>IFERROR(__xludf.DUMMYFUNCTION("""COMPUTED_VALUE"""),"SpBEND967817")</f>
        <v>SpBEND967817</v>
      </c>
      <c r="E582" s="251"/>
      <c r="F582" s="251"/>
      <c r="G582" s="251" t="str">
        <f>IFERROR(__xludf.DUMMYFUNCTION("""COMPUTED_VALUE"""),"Negative")</f>
        <v>Negative</v>
      </c>
      <c r="H582" s="262" t="str">
        <f>IFERROR(__xludf.DUMMYFUNCTION("""COMPUTED_VALUE"""),"Negative")</f>
        <v>Negative</v>
      </c>
      <c r="I582" s="204">
        <f>IFERROR(__xludf.DUMMYFUNCTION("""COMPUTED_VALUE"""),44627.0)</f>
        <v>44627</v>
      </c>
      <c r="J582" s="252">
        <f>IFERROR(__xludf.DUMMYFUNCTION("""COMPUTED_VALUE"""),0.47791666666666666)</f>
        <v>0.4779166667</v>
      </c>
      <c r="K582" s="56"/>
      <c r="L582" s="6"/>
      <c r="M582" s="61"/>
      <c r="N582" s="61">
        <f>IFERROR(__xludf.DUMMYFUNCTION("""COMPUTED_VALUE"""),1.0)</f>
        <v>1</v>
      </c>
      <c r="O582" s="61" t="str">
        <f t="shared" si="3"/>
        <v/>
      </c>
      <c r="P582" s="253">
        <f>IFERROR(__xludf.DUMMYFUNCTION("""COMPUTED_VALUE"""),6.0)</f>
        <v>6</v>
      </c>
      <c r="Q582" s="254" t="str">
        <f>VLOOKUP($B582,'Run Reconcile'!B$2:O799,14,FALSE)</f>
        <v/>
      </c>
      <c r="R582" s="255" t="str">
        <f t="array" ref="R582">IF($Q582, INDEX('Run Reconcile'!A$2:A799,MATCH(B582,'Run Reconcile'!B$2:B799,0),1),IFERROR(0/0,""))</f>
        <v/>
      </c>
      <c r="S582" s="261" t="str">
        <f t="shared" ref="S582:T582" si="1171">IF(COUNTIF(W$2:W799, $A582) &gt; 0,TRUE,IFERROR(0/0,""))</f>
        <v/>
      </c>
      <c r="T582" s="261" t="str">
        <f t="shared" si="1171"/>
        <v/>
      </c>
      <c r="U582" s="257" t="str">
        <f t="array" ref="U582">IF(ISBLANK($R582), INDEX('Run Reconcile'!A$2:A799, MATCH($B582, 'Run Reconcile'!B$2:B799, 0)+Z582, 1), IFERROR(0/0,""))
</f>
        <v>RUN-BEND_2022-03-01_RFR-043</v>
      </c>
      <c r="V582" s="258" t="str">
        <f t="shared" si="480"/>
        <v>RUN-BEND_2022-03-01_RFR-043</v>
      </c>
      <c r="Y582" s="130" t="str">
        <f t="shared" si="487"/>
        <v/>
      </c>
      <c r="Z582" s="49" t="str">
        <f t="shared" si="7"/>
        <v/>
      </c>
      <c r="AA582" s="49" t="str">
        <f t="shared" si="8"/>
        <v/>
      </c>
      <c r="AB582" s="49" t="str">
        <f t="shared" si="9"/>
        <v/>
      </c>
      <c r="AC582" s="20" t="str">
        <f t="shared" ref="AC582:AD582" si="1172">IF(_xlfn.ISFORMULA(S582),IFERROR(0/0,""),TRUE)</f>
        <v/>
      </c>
      <c r="AD582" s="20" t="str">
        <f t="shared" si="1172"/>
        <v/>
      </c>
      <c r="AE582" s="43"/>
      <c r="AF582" s="62" t="s">
        <v>64</v>
      </c>
      <c r="AG582" s="57" t="str">
        <f t="shared" si="11"/>
        <v/>
      </c>
    </row>
    <row r="583">
      <c r="A583" s="6" t="str">
        <f>IFERROR(__xludf.DUMMYFUNCTION("""COMPUTED_VALUE"""),"FM2054")</f>
        <v>FM2054</v>
      </c>
      <c r="B583" s="204">
        <f>IFERROR(__xludf.DUMMYFUNCTION("""COMPUTED_VALUE"""),44621.0)</f>
        <v>44621</v>
      </c>
      <c r="C583" s="250">
        <f>IFERROR(__xludf.DUMMYFUNCTION("""COMPUTED_VALUE"""),0.3119675925925926)</f>
        <v>0.3119675926</v>
      </c>
      <c r="D583" s="6" t="str">
        <f>IFERROR(__xludf.DUMMYFUNCTION("""COMPUTED_VALUE"""),"SpBEND584950")</f>
        <v>SpBEND584950</v>
      </c>
      <c r="E583" s="251"/>
      <c r="F583" s="251"/>
      <c r="G583" s="251" t="str">
        <f>IFERROR(__xludf.DUMMYFUNCTION("""COMPUTED_VALUE"""),"Negative")</f>
        <v>Negative</v>
      </c>
      <c r="H583" s="262" t="str">
        <f>IFERROR(__xludf.DUMMYFUNCTION("""COMPUTED_VALUE"""),"Negative")</f>
        <v>Negative</v>
      </c>
      <c r="I583" s="204">
        <f>IFERROR(__xludf.DUMMYFUNCTION("""COMPUTED_VALUE"""),44627.0)</f>
        <v>44627</v>
      </c>
      <c r="J583" s="252">
        <f>IFERROR(__xludf.DUMMYFUNCTION("""COMPUTED_VALUE"""),0.47791666666666666)</f>
        <v>0.4779166667</v>
      </c>
      <c r="K583" s="56"/>
      <c r="L583" s="6"/>
      <c r="M583" s="61"/>
      <c r="N583" s="61">
        <f>IFERROR(__xludf.DUMMYFUNCTION("""COMPUTED_VALUE"""),1.0)</f>
        <v>1</v>
      </c>
      <c r="O583" s="61" t="str">
        <f t="shared" si="3"/>
        <v/>
      </c>
      <c r="P583" s="253">
        <f>IFERROR(__xludf.DUMMYFUNCTION("""COMPUTED_VALUE"""),6.0)</f>
        <v>6</v>
      </c>
      <c r="Q583" s="254" t="str">
        <f>VLOOKUP($B583,'Run Reconcile'!B$2:O799,14,FALSE)</f>
        <v/>
      </c>
      <c r="R583" s="255" t="str">
        <f t="array" ref="R583">IF($Q583, INDEX('Run Reconcile'!A$2:A799,MATCH(B583,'Run Reconcile'!B$2:B799,0),1),IFERROR(0/0,""))</f>
        <v/>
      </c>
      <c r="S583" s="261" t="str">
        <f t="shared" ref="S583:T583" si="1173">IF(COUNTIF(W$2:W799, $A583) &gt; 0,TRUE,IFERROR(0/0,""))</f>
        <v/>
      </c>
      <c r="T583" s="261" t="str">
        <f t="shared" si="1173"/>
        <v/>
      </c>
      <c r="U583" s="257" t="str">
        <f t="array" ref="U583">IF(ISBLANK($R583), INDEX('Run Reconcile'!A$2:A799, MATCH($B583, 'Run Reconcile'!B$2:B799, 0)+Z583, 1), IFERROR(0/0,""))
</f>
        <v>RUN-BEND_2022-03-01_RFR-043</v>
      </c>
      <c r="V583" s="258" t="str">
        <f t="shared" si="480"/>
        <v>RUN-BEND_2022-03-01_RFR-043</v>
      </c>
      <c r="Y583" s="130" t="str">
        <f t="shared" si="487"/>
        <v/>
      </c>
      <c r="Z583" s="49" t="str">
        <f t="shared" si="7"/>
        <v/>
      </c>
      <c r="AA583" s="49" t="str">
        <f t="shared" si="8"/>
        <v/>
      </c>
      <c r="AB583" s="49" t="str">
        <f t="shared" si="9"/>
        <v/>
      </c>
      <c r="AC583" s="20" t="str">
        <f t="shared" ref="AC583:AD583" si="1174">IF(_xlfn.ISFORMULA(S583),IFERROR(0/0,""),TRUE)</f>
        <v/>
      </c>
      <c r="AD583" s="20" t="str">
        <f t="shared" si="1174"/>
        <v/>
      </c>
      <c r="AE583" s="43"/>
      <c r="AF583" s="62" t="s">
        <v>64</v>
      </c>
      <c r="AG583" s="57" t="str">
        <f t="shared" si="11"/>
        <v/>
      </c>
    </row>
    <row r="584">
      <c r="A584" s="6" t="str">
        <f>IFERROR(__xludf.DUMMYFUNCTION("""COMPUTED_VALUE"""),"MA322")</f>
        <v>MA322</v>
      </c>
      <c r="B584" s="204">
        <f>IFERROR(__xludf.DUMMYFUNCTION("""COMPUTED_VALUE"""),44621.0)</f>
        <v>44621</v>
      </c>
      <c r="C584" s="250">
        <f>IFERROR(__xludf.DUMMYFUNCTION("""COMPUTED_VALUE"""),0.3153587962962963)</f>
        <v>0.3153587963</v>
      </c>
      <c r="D584" s="6" t="str">
        <f>IFERROR(__xludf.DUMMYFUNCTION("""COMPUTED_VALUE"""),"SpBEND825522")</f>
        <v>SpBEND825522</v>
      </c>
      <c r="E584" s="251"/>
      <c r="F584" s="251"/>
      <c r="G584" s="251" t="str">
        <f>IFERROR(__xludf.DUMMYFUNCTION("""COMPUTED_VALUE"""),"Negative")</f>
        <v>Negative</v>
      </c>
      <c r="H584" s="262" t="str">
        <f>IFERROR(__xludf.DUMMYFUNCTION("""COMPUTED_VALUE"""),"Negative")</f>
        <v>Negative</v>
      </c>
      <c r="I584" s="204">
        <f>IFERROR(__xludf.DUMMYFUNCTION("""COMPUTED_VALUE"""),44623.0)</f>
        <v>44623</v>
      </c>
      <c r="J584" s="252">
        <f>IFERROR(__xludf.DUMMYFUNCTION("""COMPUTED_VALUE"""),0.4605787037037037)</f>
        <v>0.4605787037</v>
      </c>
      <c r="K584" s="56"/>
      <c r="L584" s="6"/>
      <c r="M584" s="61"/>
      <c r="N584" s="61">
        <f>IFERROR(__xludf.DUMMYFUNCTION("""COMPUTED_VALUE"""),1.0)</f>
        <v>1</v>
      </c>
      <c r="O584" s="61" t="str">
        <f t="shared" si="3"/>
        <v/>
      </c>
      <c r="P584" s="253">
        <f>IFERROR(__xludf.DUMMYFUNCTION("""COMPUTED_VALUE"""),2.0)</f>
        <v>2</v>
      </c>
      <c r="Q584" s="254" t="str">
        <f>VLOOKUP($B584,'Run Reconcile'!B$2:O799,14,FALSE)</f>
        <v/>
      </c>
      <c r="R584" s="255" t="str">
        <f t="array" ref="R584">IF($Q584, INDEX('Run Reconcile'!A$2:A799,MATCH(B584,'Run Reconcile'!B$2:B799,0),1),IFERROR(0/0,""))</f>
        <v/>
      </c>
      <c r="S584" s="261" t="str">
        <f t="shared" ref="S584:T584" si="1175">IF(COUNTIF(W$2:W799, $A584) &gt; 0,TRUE,IFERROR(0/0,""))</f>
        <v/>
      </c>
      <c r="T584" s="261" t="str">
        <f t="shared" si="1175"/>
        <v/>
      </c>
      <c r="U584" s="257" t="str">
        <f t="array" ref="U584">IF(ISBLANK($R584), INDEX('Run Reconcile'!A$2:A799, MATCH($B584, 'Run Reconcile'!B$2:B799, 0)+Z584, 1), IFERROR(0/0,""))
</f>
        <v>RUN-BEND_2022-03-01_RFR-043</v>
      </c>
      <c r="V584" s="258" t="str">
        <f t="shared" si="480"/>
        <v>RUN-BEND_2022-03-01_RFR-043</v>
      </c>
      <c r="Y584" s="130" t="str">
        <f t="shared" si="487"/>
        <v/>
      </c>
      <c r="Z584" s="49" t="str">
        <f t="shared" si="7"/>
        <v/>
      </c>
      <c r="AA584" s="49" t="str">
        <f t="shared" si="8"/>
        <v/>
      </c>
      <c r="AB584" s="49" t="str">
        <f t="shared" si="9"/>
        <v/>
      </c>
      <c r="AC584" s="20" t="str">
        <f t="shared" ref="AC584:AD584" si="1176">IF(_xlfn.ISFORMULA(S584),IFERROR(0/0,""),TRUE)</f>
        <v/>
      </c>
      <c r="AD584" s="20" t="str">
        <f t="shared" si="1176"/>
        <v/>
      </c>
      <c r="AE584" s="43"/>
      <c r="AF584" s="62" t="s">
        <v>64</v>
      </c>
      <c r="AG584" s="57" t="str">
        <f t="shared" si="11"/>
        <v/>
      </c>
    </row>
    <row r="585">
      <c r="A585" s="6" t="str">
        <f>IFERROR(__xludf.DUMMYFUNCTION("""COMPUTED_VALUE"""),"MA1264")</f>
        <v>MA1264</v>
      </c>
      <c r="B585" s="204">
        <f>IFERROR(__xludf.DUMMYFUNCTION("""COMPUTED_VALUE"""),44621.0)</f>
        <v>44621</v>
      </c>
      <c r="C585" s="250">
        <f>IFERROR(__xludf.DUMMYFUNCTION("""COMPUTED_VALUE"""),0.31734953703703705)</f>
        <v>0.317349537</v>
      </c>
      <c r="D585" s="6" t="str">
        <f>IFERROR(__xludf.DUMMYFUNCTION("""COMPUTED_VALUE"""),"SpBEND492052")</f>
        <v>SpBEND492052</v>
      </c>
      <c r="E585" s="251"/>
      <c r="F585" s="251"/>
      <c r="G585" s="251" t="str">
        <f>IFERROR(__xludf.DUMMYFUNCTION("""COMPUTED_VALUE"""),"Negative")</f>
        <v>Negative</v>
      </c>
      <c r="H585" s="262" t="str">
        <f>IFERROR(__xludf.DUMMYFUNCTION("""COMPUTED_VALUE"""),"Negative")</f>
        <v>Negative</v>
      </c>
      <c r="I585" s="204">
        <f>IFERROR(__xludf.DUMMYFUNCTION("""COMPUTED_VALUE"""),44627.0)</f>
        <v>44627</v>
      </c>
      <c r="J585" s="252">
        <f>IFERROR(__xludf.DUMMYFUNCTION("""COMPUTED_VALUE"""),0.47791666666666666)</f>
        <v>0.4779166667</v>
      </c>
      <c r="K585" s="56"/>
      <c r="L585" s="6"/>
      <c r="M585" s="61"/>
      <c r="N585" s="61">
        <f>IFERROR(__xludf.DUMMYFUNCTION("""COMPUTED_VALUE"""),1.0)</f>
        <v>1</v>
      </c>
      <c r="O585" s="61" t="str">
        <f t="shared" si="3"/>
        <v/>
      </c>
      <c r="P585" s="253">
        <f>IFERROR(__xludf.DUMMYFUNCTION("""COMPUTED_VALUE"""),6.0)</f>
        <v>6</v>
      </c>
      <c r="Q585" s="254" t="str">
        <f>VLOOKUP($B585,'Run Reconcile'!B$2:O799,14,FALSE)</f>
        <v/>
      </c>
      <c r="R585" s="255" t="str">
        <f t="array" ref="R585">IF($Q585, INDEX('Run Reconcile'!A$2:A799,MATCH(B585,'Run Reconcile'!B$2:B799,0),1),IFERROR(0/0,""))</f>
        <v/>
      </c>
      <c r="S585" s="261" t="str">
        <f t="shared" ref="S585:T585" si="1177">IF(COUNTIF(W$2:W799, $A585) &gt; 0,TRUE,IFERROR(0/0,""))</f>
        <v/>
      </c>
      <c r="T585" s="261" t="str">
        <f t="shared" si="1177"/>
        <v/>
      </c>
      <c r="U585" s="257" t="str">
        <f t="array" ref="U585">IF(ISBLANK($R585), INDEX('Run Reconcile'!A$2:A799, MATCH($B585, 'Run Reconcile'!B$2:B799, 0)+Z585, 1), IFERROR(0/0,""))
</f>
        <v>RUN-BEND_2022-03-01_RFR-043</v>
      </c>
      <c r="V585" s="258" t="str">
        <f t="shared" si="480"/>
        <v>RUN-BEND_2022-03-01_RFR-043</v>
      </c>
      <c r="Y585" s="130" t="str">
        <f t="shared" si="487"/>
        <v/>
      </c>
      <c r="Z585" s="49" t="str">
        <f t="shared" si="7"/>
        <v/>
      </c>
      <c r="AA585" s="49" t="str">
        <f t="shared" si="8"/>
        <v/>
      </c>
      <c r="AB585" s="49" t="str">
        <f t="shared" si="9"/>
        <v/>
      </c>
      <c r="AC585" s="20" t="str">
        <f t="shared" ref="AC585:AD585" si="1178">IF(_xlfn.ISFORMULA(S585),IFERROR(0/0,""),TRUE)</f>
        <v/>
      </c>
      <c r="AD585" s="20" t="str">
        <f t="shared" si="1178"/>
        <v/>
      </c>
      <c r="AE585" s="43"/>
      <c r="AF585" s="62" t="s">
        <v>64</v>
      </c>
      <c r="AG585" s="57" t="str">
        <f t="shared" si="11"/>
        <v/>
      </c>
    </row>
    <row r="586">
      <c r="A586" s="6" t="str">
        <f>IFERROR(__xludf.DUMMYFUNCTION("""COMPUTED_VALUE"""),"MA380")</f>
        <v>MA380</v>
      </c>
      <c r="B586" s="204">
        <f>IFERROR(__xludf.DUMMYFUNCTION("""COMPUTED_VALUE"""),44621.0)</f>
        <v>44621</v>
      </c>
      <c r="C586" s="250">
        <f>IFERROR(__xludf.DUMMYFUNCTION("""COMPUTED_VALUE"""),0.32395833333333335)</f>
        <v>0.3239583333</v>
      </c>
      <c r="D586" s="6" t="str">
        <f>IFERROR(__xludf.DUMMYFUNCTION("""COMPUTED_VALUE"""),"SpBEND139816")</f>
        <v>SpBEND139816</v>
      </c>
      <c r="E586" s="251"/>
      <c r="F586" s="251"/>
      <c r="G586" s="251" t="str">
        <f>IFERROR(__xludf.DUMMYFUNCTION("""COMPUTED_VALUE"""),"Negative")</f>
        <v>Negative</v>
      </c>
      <c r="H586" s="262" t="str">
        <f>IFERROR(__xludf.DUMMYFUNCTION("""COMPUTED_VALUE"""),"Negative")</f>
        <v>Negative</v>
      </c>
      <c r="I586" s="204">
        <f>IFERROR(__xludf.DUMMYFUNCTION("""COMPUTED_VALUE"""),44627.0)</f>
        <v>44627</v>
      </c>
      <c r="J586" s="252">
        <f>IFERROR(__xludf.DUMMYFUNCTION("""COMPUTED_VALUE"""),0.47791666666666666)</f>
        <v>0.4779166667</v>
      </c>
      <c r="K586" s="56"/>
      <c r="L586" s="6"/>
      <c r="M586" s="61"/>
      <c r="N586" s="61">
        <f>IFERROR(__xludf.DUMMYFUNCTION("""COMPUTED_VALUE"""),1.0)</f>
        <v>1</v>
      </c>
      <c r="O586" s="61" t="str">
        <f t="shared" si="3"/>
        <v/>
      </c>
      <c r="P586" s="253">
        <f>IFERROR(__xludf.DUMMYFUNCTION("""COMPUTED_VALUE"""),6.0)</f>
        <v>6</v>
      </c>
      <c r="Q586" s="254" t="str">
        <f>VLOOKUP($B586,'Run Reconcile'!B$2:O799,14,FALSE)</f>
        <v/>
      </c>
      <c r="R586" s="255" t="str">
        <f t="array" ref="R586">IF($Q586, INDEX('Run Reconcile'!A$2:A799,MATCH(B586,'Run Reconcile'!B$2:B799,0),1),IFERROR(0/0,""))</f>
        <v/>
      </c>
      <c r="S586" s="261" t="str">
        <f t="shared" ref="S586:T586" si="1179">IF(COUNTIF(W$2:W799, $A586) &gt; 0,TRUE,IFERROR(0/0,""))</f>
        <v/>
      </c>
      <c r="T586" s="261" t="str">
        <f t="shared" si="1179"/>
        <v/>
      </c>
      <c r="U586" s="257" t="str">
        <f t="array" ref="U586">IF(ISBLANK($R586), INDEX('Run Reconcile'!A$2:A799, MATCH($B586, 'Run Reconcile'!B$2:B799, 0)+Z586, 1), IFERROR(0/0,""))
</f>
        <v>RUN-BEND_2022-03-01_RFR-043</v>
      </c>
      <c r="V586" s="258" t="str">
        <f t="shared" si="480"/>
        <v>RUN-BEND_2022-03-01_RFR-043</v>
      </c>
      <c r="Y586" s="130" t="str">
        <f t="shared" si="487"/>
        <v/>
      </c>
      <c r="Z586" s="49" t="str">
        <f t="shared" si="7"/>
        <v/>
      </c>
      <c r="AA586" s="49" t="str">
        <f t="shared" si="8"/>
        <v/>
      </c>
      <c r="AB586" s="49" t="str">
        <f t="shared" si="9"/>
        <v/>
      </c>
      <c r="AC586" s="20" t="str">
        <f t="shared" ref="AC586:AD586" si="1180">IF(_xlfn.ISFORMULA(S586),IFERROR(0/0,""),TRUE)</f>
        <v/>
      </c>
      <c r="AD586" s="20" t="str">
        <f t="shared" si="1180"/>
        <v/>
      </c>
      <c r="AE586" s="43"/>
      <c r="AF586" s="62" t="s">
        <v>64</v>
      </c>
      <c r="AG586" s="57" t="str">
        <f t="shared" si="11"/>
        <v/>
      </c>
    </row>
    <row r="587">
      <c r="A587" s="6" t="str">
        <f>IFERROR(__xludf.DUMMYFUNCTION("""COMPUTED_VALUE"""),"MA364")</f>
        <v>MA364</v>
      </c>
      <c r="B587" s="204">
        <f>IFERROR(__xludf.DUMMYFUNCTION("""COMPUTED_VALUE"""),44621.0)</f>
        <v>44621</v>
      </c>
      <c r="C587" s="250">
        <f>IFERROR(__xludf.DUMMYFUNCTION("""COMPUTED_VALUE"""),0.3244675925925926)</f>
        <v>0.3244675926</v>
      </c>
      <c r="D587" s="6" t="str">
        <f>IFERROR(__xludf.DUMMYFUNCTION("""COMPUTED_VALUE"""),"SpBEND328905")</f>
        <v>SpBEND328905</v>
      </c>
      <c r="E587" s="251"/>
      <c r="F587" s="251"/>
      <c r="G587" s="251" t="str">
        <f>IFERROR(__xludf.DUMMYFUNCTION("""COMPUTED_VALUE"""),"Negative")</f>
        <v>Negative</v>
      </c>
      <c r="H587" s="264" t="str">
        <f>IFERROR(__xludf.DUMMYFUNCTION("""COMPUTED_VALUE"""),"Negative")</f>
        <v>Negative</v>
      </c>
      <c r="I587" s="263">
        <f>IFERROR(__xludf.DUMMYFUNCTION("""COMPUTED_VALUE"""),44627.0)</f>
        <v>44627</v>
      </c>
      <c r="J587" s="252">
        <f>IFERROR(__xludf.DUMMYFUNCTION("""COMPUTED_VALUE"""),0.47791666666666666)</f>
        <v>0.4779166667</v>
      </c>
      <c r="K587" s="56"/>
      <c r="L587" s="6"/>
      <c r="M587" s="61"/>
      <c r="N587" s="61">
        <f>IFERROR(__xludf.DUMMYFUNCTION("""COMPUTED_VALUE"""),1.0)</f>
        <v>1</v>
      </c>
      <c r="O587" s="61" t="str">
        <f t="shared" si="3"/>
        <v/>
      </c>
      <c r="P587" s="253">
        <f>IFERROR(__xludf.DUMMYFUNCTION("""COMPUTED_VALUE"""),6.0)</f>
        <v>6</v>
      </c>
      <c r="Q587" s="254" t="str">
        <f>VLOOKUP($B587,'Run Reconcile'!B$2:O799,14,FALSE)</f>
        <v/>
      </c>
      <c r="R587" s="255" t="str">
        <f t="array" ref="R587">IF($Q587, INDEX('Run Reconcile'!A$2:A799,MATCH(B587,'Run Reconcile'!B$2:B799,0),1),IFERROR(0/0,""))</f>
        <v/>
      </c>
      <c r="S587" s="261" t="str">
        <f t="shared" ref="S587:T587" si="1181">IF(COUNTIF(W$2:W799, $A587) &gt; 0,TRUE,IFERROR(0/0,""))</f>
        <v/>
      </c>
      <c r="T587" s="261" t="str">
        <f t="shared" si="1181"/>
        <v/>
      </c>
      <c r="U587" s="257" t="str">
        <f t="array" ref="U587">IF(ISBLANK($R587), INDEX('Run Reconcile'!A$2:A799, MATCH($B587, 'Run Reconcile'!B$2:B799, 0)+Z587, 1), IFERROR(0/0,""))
</f>
        <v>RUN-BEND_2022-03-01_RFR-043</v>
      </c>
      <c r="V587" s="258" t="str">
        <f t="shared" si="480"/>
        <v>RUN-BEND_2022-03-01_RFR-043</v>
      </c>
      <c r="Y587" s="130" t="str">
        <f t="shared" si="487"/>
        <v/>
      </c>
      <c r="Z587" s="49" t="str">
        <f t="shared" si="7"/>
        <v/>
      </c>
      <c r="AA587" s="49" t="str">
        <f t="shared" si="8"/>
        <v/>
      </c>
      <c r="AB587" s="49" t="str">
        <f t="shared" si="9"/>
        <v/>
      </c>
      <c r="AC587" s="20" t="str">
        <f t="shared" ref="AC587:AD587" si="1182">IF(_xlfn.ISFORMULA(S587),IFERROR(0/0,""),TRUE)</f>
        <v/>
      </c>
      <c r="AD587" s="20" t="str">
        <f t="shared" si="1182"/>
        <v/>
      </c>
      <c r="AE587" s="43"/>
      <c r="AF587" s="62" t="s">
        <v>64</v>
      </c>
      <c r="AG587" s="57" t="str">
        <f t="shared" si="11"/>
        <v/>
      </c>
    </row>
    <row r="588">
      <c r="A588" s="6" t="str">
        <f>IFERROR(__xludf.DUMMYFUNCTION("""COMPUTED_VALUE"""),"FM343")</f>
        <v>FM343</v>
      </c>
      <c r="B588" s="204">
        <f>IFERROR(__xludf.DUMMYFUNCTION("""COMPUTED_VALUE"""),44621.0)</f>
        <v>44621</v>
      </c>
      <c r="C588" s="250">
        <f>IFERROR(__xludf.DUMMYFUNCTION("""COMPUTED_VALUE"""),0.3262962962962963)</f>
        <v>0.3262962963</v>
      </c>
      <c r="D588" s="6" t="str">
        <f>IFERROR(__xludf.DUMMYFUNCTION("""COMPUTED_VALUE"""),"SpBEND331858")</f>
        <v>SpBEND331858</v>
      </c>
      <c r="E588" s="251"/>
      <c r="F588" s="251"/>
      <c r="G588" s="251" t="str">
        <f>IFERROR(__xludf.DUMMYFUNCTION("""COMPUTED_VALUE"""),"Negative")</f>
        <v>Negative</v>
      </c>
      <c r="H588" s="262" t="str">
        <f>IFERROR(__xludf.DUMMYFUNCTION("""COMPUTED_VALUE"""),"Negative")</f>
        <v>Negative</v>
      </c>
      <c r="I588" s="204">
        <f>IFERROR(__xludf.DUMMYFUNCTION("""COMPUTED_VALUE"""),44627.0)</f>
        <v>44627</v>
      </c>
      <c r="J588" s="252">
        <f>IFERROR(__xludf.DUMMYFUNCTION("""COMPUTED_VALUE"""),0.47791666666666666)</f>
        <v>0.4779166667</v>
      </c>
      <c r="K588" s="56"/>
      <c r="L588" s="6"/>
      <c r="M588" s="61"/>
      <c r="N588" s="61">
        <f>IFERROR(__xludf.DUMMYFUNCTION("""COMPUTED_VALUE"""),1.0)</f>
        <v>1</v>
      </c>
      <c r="O588" s="61" t="str">
        <f t="shared" si="3"/>
        <v/>
      </c>
      <c r="P588" s="253">
        <f>IFERROR(__xludf.DUMMYFUNCTION("""COMPUTED_VALUE"""),6.0)</f>
        <v>6</v>
      </c>
      <c r="Q588" s="254" t="str">
        <f>VLOOKUP($B588,'Run Reconcile'!B$2:O799,14,FALSE)</f>
        <v/>
      </c>
      <c r="R588" s="255" t="str">
        <f t="array" ref="R588">IF($Q588, INDEX('Run Reconcile'!A$2:A799,MATCH(B588,'Run Reconcile'!B$2:B799,0),1),IFERROR(0/0,""))</f>
        <v/>
      </c>
      <c r="S588" s="261" t="str">
        <f t="shared" ref="S588:T588" si="1183">IF(COUNTIF(W$2:W799, $A588) &gt; 0,TRUE,IFERROR(0/0,""))</f>
        <v/>
      </c>
      <c r="T588" s="261" t="str">
        <f t="shared" si="1183"/>
        <v/>
      </c>
      <c r="U588" s="257" t="str">
        <f t="array" ref="U588">IF(ISBLANK($R588), INDEX('Run Reconcile'!A$2:A799, MATCH($B588, 'Run Reconcile'!B$2:B799, 0)+Z588, 1), IFERROR(0/0,""))
</f>
        <v>RUN-BEND_2022-03-01_RFR-043</v>
      </c>
      <c r="V588" s="258" t="str">
        <f t="shared" si="480"/>
        <v>RUN-BEND_2022-03-01_RFR-043</v>
      </c>
      <c r="Y588" s="130" t="str">
        <f t="shared" si="487"/>
        <v/>
      </c>
      <c r="Z588" s="49" t="str">
        <f t="shared" si="7"/>
        <v/>
      </c>
      <c r="AA588" s="49" t="str">
        <f t="shared" si="8"/>
        <v/>
      </c>
      <c r="AB588" s="49" t="str">
        <f t="shared" si="9"/>
        <v/>
      </c>
      <c r="AC588" s="20" t="str">
        <f t="shared" ref="AC588:AD588" si="1184">IF(_xlfn.ISFORMULA(S588),IFERROR(0/0,""),TRUE)</f>
        <v/>
      </c>
      <c r="AD588" s="20" t="str">
        <f t="shared" si="1184"/>
        <v/>
      </c>
      <c r="AE588" s="43"/>
      <c r="AF588" s="62" t="s">
        <v>64</v>
      </c>
      <c r="AG588" s="57" t="str">
        <f t="shared" si="11"/>
        <v/>
      </c>
    </row>
    <row r="589">
      <c r="A589" s="6" t="str">
        <f>IFERROR(__xludf.DUMMYFUNCTION("""COMPUTED_VALUE"""),"FM2057")</f>
        <v>FM2057</v>
      </c>
      <c r="B589" s="204">
        <f>IFERROR(__xludf.DUMMYFUNCTION("""COMPUTED_VALUE"""),44621.0)</f>
        <v>44621</v>
      </c>
      <c r="C589" s="250">
        <f>IFERROR(__xludf.DUMMYFUNCTION("""COMPUTED_VALUE"""),0.3267013888888889)</f>
        <v>0.3267013889</v>
      </c>
      <c r="D589" s="6" t="str">
        <f>IFERROR(__xludf.DUMMYFUNCTION("""COMPUTED_VALUE"""),"SpBEND862115")</f>
        <v>SpBEND862115</v>
      </c>
      <c r="E589" s="251"/>
      <c r="F589" s="251"/>
      <c r="G589" s="251" t="str">
        <f>IFERROR(__xludf.DUMMYFUNCTION("""COMPUTED_VALUE"""),"Negative")</f>
        <v>Negative</v>
      </c>
      <c r="H589" s="262" t="str">
        <f>IFERROR(__xludf.DUMMYFUNCTION("""COMPUTED_VALUE"""),"Negative")</f>
        <v>Negative</v>
      </c>
      <c r="I589" s="204">
        <f>IFERROR(__xludf.DUMMYFUNCTION("""COMPUTED_VALUE"""),44627.0)</f>
        <v>44627</v>
      </c>
      <c r="J589" s="252">
        <f>IFERROR(__xludf.DUMMYFUNCTION("""COMPUTED_VALUE"""),0.47791666666666666)</f>
        <v>0.4779166667</v>
      </c>
      <c r="K589" s="56"/>
      <c r="L589" s="6"/>
      <c r="M589" s="61"/>
      <c r="N589" s="61">
        <f>IFERROR(__xludf.DUMMYFUNCTION("""COMPUTED_VALUE"""),1.0)</f>
        <v>1</v>
      </c>
      <c r="O589" s="61" t="str">
        <f t="shared" si="3"/>
        <v/>
      </c>
      <c r="P589" s="253">
        <f>IFERROR(__xludf.DUMMYFUNCTION("""COMPUTED_VALUE"""),6.0)</f>
        <v>6</v>
      </c>
      <c r="Q589" s="254" t="str">
        <f>VLOOKUP($B589,'Run Reconcile'!B$2:O799,14,FALSE)</f>
        <v/>
      </c>
      <c r="R589" s="255" t="str">
        <f t="array" ref="R589">IF($Q589, INDEX('Run Reconcile'!A$2:A799,MATCH(B589,'Run Reconcile'!B$2:B799,0),1),IFERROR(0/0,""))</f>
        <v/>
      </c>
      <c r="S589" s="261" t="str">
        <f t="shared" ref="S589:T589" si="1185">IF(COUNTIF(W$2:W799, $A589) &gt; 0,TRUE,IFERROR(0/0,""))</f>
        <v/>
      </c>
      <c r="T589" s="261" t="str">
        <f t="shared" si="1185"/>
        <v/>
      </c>
      <c r="U589" s="257" t="str">
        <f t="array" ref="U589">IF(ISBLANK($R589), INDEX('Run Reconcile'!A$2:A799, MATCH($B589, 'Run Reconcile'!B$2:B799, 0)+Z589, 1), IFERROR(0/0,""))
</f>
        <v>RUN-BEND_2022-03-01_RFR-043</v>
      </c>
      <c r="V589" s="258" t="str">
        <f t="shared" si="480"/>
        <v>RUN-BEND_2022-03-01_RFR-043</v>
      </c>
      <c r="Y589" s="130" t="str">
        <f t="shared" si="487"/>
        <v/>
      </c>
      <c r="Z589" s="49" t="str">
        <f t="shared" si="7"/>
        <v/>
      </c>
      <c r="AA589" s="49" t="str">
        <f t="shared" si="8"/>
        <v/>
      </c>
      <c r="AB589" s="49" t="str">
        <f t="shared" si="9"/>
        <v/>
      </c>
      <c r="AC589" s="20" t="str">
        <f t="shared" ref="AC589:AD589" si="1186">IF(_xlfn.ISFORMULA(S589),IFERROR(0/0,""),TRUE)</f>
        <v/>
      </c>
      <c r="AD589" s="20" t="str">
        <f t="shared" si="1186"/>
        <v/>
      </c>
      <c r="AE589" s="43"/>
      <c r="AF589" s="62" t="s">
        <v>64</v>
      </c>
      <c r="AG589" s="57" t="str">
        <f t="shared" si="11"/>
        <v/>
      </c>
    </row>
    <row r="590">
      <c r="A590" s="6" t="str">
        <f>IFERROR(__xludf.DUMMYFUNCTION("""COMPUTED_VALUE"""),"FM433")</f>
        <v>FM433</v>
      </c>
      <c r="B590" s="204">
        <f>IFERROR(__xludf.DUMMYFUNCTION("""COMPUTED_VALUE"""),44621.0)</f>
        <v>44621</v>
      </c>
      <c r="C590" s="250">
        <f>IFERROR(__xludf.DUMMYFUNCTION("""COMPUTED_VALUE"""),0.3271527777777778)</f>
        <v>0.3271527778</v>
      </c>
      <c r="D590" s="6" t="str">
        <f>IFERROR(__xludf.DUMMYFUNCTION("""COMPUTED_VALUE"""),"SpBEND982195")</f>
        <v>SpBEND982195</v>
      </c>
      <c r="E590" s="251"/>
      <c r="F590" s="251"/>
      <c r="G590" s="251" t="str">
        <f>IFERROR(__xludf.DUMMYFUNCTION("""COMPUTED_VALUE"""),"Negative")</f>
        <v>Negative</v>
      </c>
      <c r="H590" s="262" t="str">
        <f>IFERROR(__xludf.DUMMYFUNCTION("""COMPUTED_VALUE"""),"Negative")</f>
        <v>Negative</v>
      </c>
      <c r="I590" s="204">
        <f>IFERROR(__xludf.DUMMYFUNCTION("""COMPUTED_VALUE"""),44627.0)</f>
        <v>44627</v>
      </c>
      <c r="J590" s="252">
        <f>IFERROR(__xludf.DUMMYFUNCTION("""COMPUTED_VALUE"""),0.47791666666666666)</f>
        <v>0.4779166667</v>
      </c>
      <c r="K590" s="56"/>
      <c r="L590" s="6"/>
      <c r="M590" s="61"/>
      <c r="N590" s="61">
        <f>IFERROR(__xludf.DUMMYFUNCTION("""COMPUTED_VALUE"""),1.0)</f>
        <v>1</v>
      </c>
      <c r="O590" s="61" t="str">
        <f t="shared" si="3"/>
        <v/>
      </c>
      <c r="P590" s="253">
        <f>IFERROR(__xludf.DUMMYFUNCTION("""COMPUTED_VALUE"""),6.0)</f>
        <v>6</v>
      </c>
      <c r="Q590" s="254" t="str">
        <f>VLOOKUP($B590,'Run Reconcile'!B$2:O799,14,FALSE)</f>
        <v/>
      </c>
      <c r="R590" s="255" t="str">
        <f t="array" ref="R590">IF($Q590, INDEX('Run Reconcile'!A$2:A799,MATCH(B590,'Run Reconcile'!B$2:B799,0),1),IFERROR(0/0,""))</f>
        <v/>
      </c>
      <c r="S590" s="261" t="str">
        <f t="shared" ref="S590:T590" si="1187">IF(COUNTIF(W$2:W799, $A590) &gt; 0,TRUE,IFERROR(0/0,""))</f>
        <v/>
      </c>
      <c r="T590" s="261" t="str">
        <f t="shared" si="1187"/>
        <v/>
      </c>
      <c r="U590" s="257" t="str">
        <f t="array" ref="U590">IF(ISBLANK($R590), INDEX('Run Reconcile'!A$2:A799, MATCH($B590, 'Run Reconcile'!B$2:B799, 0)+Z590, 1), IFERROR(0/0,""))
</f>
        <v>RUN-BEND_2022-03-01_RFR-043</v>
      </c>
      <c r="V590" s="258" t="str">
        <f t="shared" si="480"/>
        <v>RUN-BEND_2022-03-01_RFR-043</v>
      </c>
      <c r="Y590" s="130" t="str">
        <f t="shared" si="487"/>
        <v/>
      </c>
      <c r="Z590" s="49" t="str">
        <f t="shared" si="7"/>
        <v/>
      </c>
      <c r="AA590" s="49" t="str">
        <f t="shared" si="8"/>
        <v/>
      </c>
      <c r="AB590" s="49" t="str">
        <f t="shared" si="9"/>
        <v/>
      </c>
      <c r="AC590" s="20" t="str">
        <f t="shared" ref="AC590:AD590" si="1188">IF(_xlfn.ISFORMULA(S590),IFERROR(0/0,""),TRUE)</f>
        <v/>
      </c>
      <c r="AD590" s="20" t="str">
        <f t="shared" si="1188"/>
        <v/>
      </c>
      <c r="AE590" s="43"/>
      <c r="AF590" s="62" t="s">
        <v>64</v>
      </c>
      <c r="AG590" s="57" t="str">
        <f t="shared" si="11"/>
        <v/>
      </c>
    </row>
    <row r="591">
      <c r="A591" s="6" t="str">
        <f>IFERROR(__xludf.DUMMYFUNCTION("""COMPUTED_VALUE"""),"FM390")</f>
        <v>FM390</v>
      </c>
      <c r="B591" s="204">
        <f>IFERROR(__xludf.DUMMYFUNCTION("""COMPUTED_VALUE"""),44621.0)</f>
        <v>44621</v>
      </c>
      <c r="C591" s="250">
        <f>IFERROR(__xludf.DUMMYFUNCTION("""COMPUTED_VALUE"""),0.32849537037037035)</f>
        <v>0.3284953704</v>
      </c>
      <c r="D591" s="6" t="str">
        <f>IFERROR(__xludf.DUMMYFUNCTION("""COMPUTED_VALUE"""),"SpBEND363177")</f>
        <v>SpBEND363177</v>
      </c>
      <c r="E591" s="251"/>
      <c r="F591" s="251"/>
      <c r="G591" s="251" t="str">
        <f>IFERROR(__xludf.DUMMYFUNCTION("""COMPUTED_VALUE"""),"Negative")</f>
        <v>Negative</v>
      </c>
      <c r="H591" s="262" t="str">
        <f>IFERROR(__xludf.DUMMYFUNCTION("""COMPUTED_VALUE"""),"Negative")</f>
        <v>Negative</v>
      </c>
      <c r="I591" s="204">
        <f>IFERROR(__xludf.DUMMYFUNCTION("""COMPUTED_VALUE"""),44627.0)</f>
        <v>44627</v>
      </c>
      <c r="J591" s="252">
        <f>IFERROR(__xludf.DUMMYFUNCTION("""COMPUTED_VALUE"""),0.47791666666666666)</f>
        <v>0.4779166667</v>
      </c>
      <c r="K591" s="56"/>
      <c r="L591" s="6"/>
      <c r="M591" s="61"/>
      <c r="N591" s="61">
        <f>IFERROR(__xludf.DUMMYFUNCTION("""COMPUTED_VALUE"""),1.0)</f>
        <v>1</v>
      </c>
      <c r="O591" s="61" t="str">
        <f t="shared" si="3"/>
        <v/>
      </c>
      <c r="P591" s="253">
        <f>IFERROR(__xludf.DUMMYFUNCTION("""COMPUTED_VALUE"""),6.0)</f>
        <v>6</v>
      </c>
      <c r="Q591" s="254" t="str">
        <f>VLOOKUP($B591,'Run Reconcile'!B$2:O799,14,FALSE)</f>
        <v/>
      </c>
      <c r="R591" s="255" t="str">
        <f t="array" ref="R591">IF($Q591, INDEX('Run Reconcile'!A$2:A799,MATCH(B591,'Run Reconcile'!B$2:B799,0),1),IFERROR(0/0,""))</f>
        <v/>
      </c>
      <c r="S591" s="261" t="str">
        <f t="shared" ref="S591:T591" si="1189">IF(COUNTIF(W$2:W799, $A591) &gt; 0,TRUE,IFERROR(0/0,""))</f>
        <v/>
      </c>
      <c r="T591" s="261" t="str">
        <f t="shared" si="1189"/>
        <v/>
      </c>
      <c r="U591" s="257" t="str">
        <f t="array" ref="U591">IF(ISBLANK($R591), INDEX('Run Reconcile'!A$2:A799, MATCH($B591, 'Run Reconcile'!B$2:B799, 0)+Z591, 1), IFERROR(0/0,""))
</f>
        <v>RUN-BEND_2022-03-01_RFR-043</v>
      </c>
      <c r="V591" s="258" t="str">
        <f t="shared" si="480"/>
        <v>RUN-BEND_2022-03-01_RFR-043</v>
      </c>
      <c r="Y591" s="130" t="str">
        <f t="shared" si="487"/>
        <v/>
      </c>
      <c r="Z591" s="49" t="str">
        <f t="shared" si="7"/>
        <v/>
      </c>
      <c r="AA591" s="49" t="str">
        <f t="shared" si="8"/>
        <v/>
      </c>
      <c r="AB591" s="49" t="str">
        <f t="shared" si="9"/>
        <v/>
      </c>
      <c r="AC591" s="20" t="str">
        <f t="shared" ref="AC591:AD591" si="1190">IF(_xlfn.ISFORMULA(S591),IFERROR(0/0,""),TRUE)</f>
        <v/>
      </c>
      <c r="AD591" s="20" t="str">
        <f t="shared" si="1190"/>
        <v/>
      </c>
      <c r="AE591" s="43"/>
      <c r="AF591" s="62" t="s">
        <v>64</v>
      </c>
      <c r="AG591" s="57" t="str">
        <f t="shared" si="11"/>
        <v/>
      </c>
    </row>
    <row r="592">
      <c r="A592" s="6" t="str">
        <f>IFERROR(__xludf.DUMMYFUNCTION("""COMPUTED_VALUE"""),"FM106")</f>
        <v>FM106</v>
      </c>
      <c r="B592" s="204">
        <f>IFERROR(__xludf.DUMMYFUNCTION("""COMPUTED_VALUE"""),44621.0)</f>
        <v>44621</v>
      </c>
      <c r="C592" s="250">
        <f>IFERROR(__xludf.DUMMYFUNCTION("""COMPUTED_VALUE"""),0.3285648148148148)</f>
        <v>0.3285648148</v>
      </c>
      <c r="D592" s="6" t="str">
        <f>IFERROR(__xludf.DUMMYFUNCTION("""COMPUTED_VALUE"""),"SpBEND349435")</f>
        <v>SpBEND349435</v>
      </c>
      <c r="E592" s="251"/>
      <c r="F592" s="251"/>
      <c r="G592" s="251" t="str">
        <f>IFERROR(__xludf.DUMMYFUNCTION("""COMPUTED_VALUE"""),"Negative")</f>
        <v>Negative</v>
      </c>
      <c r="H592" s="262" t="str">
        <f>IFERROR(__xludf.DUMMYFUNCTION("""COMPUTED_VALUE"""),"Negative")</f>
        <v>Negative</v>
      </c>
      <c r="I592" s="204">
        <f>IFERROR(__xludf.DUMMYFUNCTION("""COMPUTED_VALUE"""),44627.0)</f>
        <v>44627</v>
      </c>
      <c r="J592" s="252">
        <f>IFERROR(__xludf.DUMMYFUNCTION("""COMPUTED_VALUE"""),0.47792824074074075)</f>
        <v>0.4779282407</v>
      </c>
      <c r="K592" s="56"/>
      <c r="L592" s="6"/>
      <c r="M592" s="61"/>
      <c r="N592" s="61">
        <f>IFERROR(__xludf.DUMMYFUNCTION("""COMPUTED_VALUE"""),1.0)</f>
        <v>1</v>
      </c>
      <c r="O592" s="61" t="str">
        <f t="shared" si="3"/>
        <v/>
      </c>
      <c r="P592" s="253">
        <f>IFERROR(__xludf.DUMMYFUNCTION("""COMPUTED_VALUE"""),6.0)</f>
        <v>6</v>
      </c>
      <c r="Q592" s="254" t="str">
        <f>VLOOKUP($B592,'Run Reconcile'!B$2:O799,14,FALSE)</f>
        <v/>
      </c>
      <c r="R592" s="255" t="str">
        <f t="array" ref="R592">IF($Q592, INDEX('Run Reconcile'!A$2:A799,MATCH(B592,'Run Reconcile'!B$2:B799,0),1),IFERROR(0/0,""))</f>
        <v/>
      </c>
      <c r="S592" s="261" t="str">
        <f t="shared" ref="S592:T592" si="1191">IF(COUNTIF(W$2:W799, $A592) &gt; 0,TRUE,IFERROR(0/0,""))</f>
        <v/>
      </c>
      <c r="T592" s="261" t="str">
        <f t="shared" si="1191"/>
        <v/>
      </c>
      <c r="U592" s="257" t="str">
        <f t="array" ref="U592">IF(ISBLANK($R592), INDEX('Run Reconcile'!A$2:A799, MATCH($B592, 'Run Reconcile'!B$2:B799, 0)+Z592, 1), IFERROR(0/0,""))
</f>
        <v>RUN-BEND_2022-03-01_RFR-043</v>
      </c>
      <c r="V592" s="258" t="str">
        <f t="shared" si="480"/>
        <v>RUN-BEND_2022-03-01_RFR-043</v>
      </c>
      <c r="Y592" s="130" t="str">
        <f t="shared" si="487"/>
        <v/>
      </c>
      <c r="Z592" s="49" t="str">
        <f t="shared" si="7"/>
        <v/>
      </c>
      <c r="AA592" s="49" t="str">
        <f t="shared" si="8"/>
        <v/>
      </c>
      <c r="AB592" s="49" t="str">
        <f t="shared" si="9"/>
        <v/>
      </c>
      <c r="AC592" s="20" t="str">
        <f t="shared" ref="AC592:AD592" si="1192">IF(_xlfn.ISFORMULA(S592),IFERROR(0/0,""),TRUE)</f>
        <v/>
      </c>
      <c r="AD592" s="20" t="str">
        <f t="shared" si="1192"/>
        <v/>
      </c>
      <c r="AE592" s="43"/>
      <c r="AF592" s="62" t="s">
        <v>64</v>
      </c>
      <c r="AG592" s="57" t="str">
        <f t="shared" si="11"/>
        <v/>
      </c>
    </row>
    <row r="593">
      <c r="A593" s="6" t="str">
        <f>IFERROR(__xludf.DUMMYFUNCTION("""COMPUTED_VALUE"""),"FM374")</f>
        <v>FM374</v>
      </c>
      <c r="B593" s="204">
        <f>IFERROR(__xludf.DUMMYFUNCTION("""COMPUTED_VALUE"""),44621.0)</f>
        <v>44621</v>
      </c>
      <c r="C593" s="250">
        <f>IFERROR(__xludf.DUMMYFUNCTION("""COMPUTED_VALUE"""),0.329224537037037)</f>
        <v>0.329224537</v>
      </c>
      <c r="D593" s="6" t="str">
        <f>IFERROR(__xludf.DUMMYFUNCTION("""COMPUTED_VALUE"""),"SpBEND652059")</f>
        <v>SpBEND652059</v>
      </c>
      <c r="E593" s="251"/>
      <c r="F593" s="251"/>
      <c r="G593" s="251" t="str">
        <f>IFERROR(__xludf.DUMMYFUNCTION("""COMPUTED_VALUE"""),"Negative")</f>
        <v>Negative</v>
      </c>
      <c r="H593" s="262" t="str">
        <f>IFERROR(__xludf.DUMMYFUNCTION("""COMPUTED_VALUE"""),"Negative")</f>
        <v>Negative</v>
      </c>
      <c r="I593" s="204">
        <f>IFERROR(__xludf.DUMMYFUNCTION("""COMPUTED_VALUE"""),44627.0)</f>
        <v>44627</v>
      </c>
      <c r="J593" s="252">
        <f>IFERROR(__xludf.DUMMYFUNCTION("""COMPUTED_VALUE"""),0.47792824074074075)</f>
        <v>0.4779282407</v>
      </c>
      <c r="K593" s="56"/>
      <c r="L593" s="6"/>
      <c r="M593" s="61"/>
      <c r="N593" s="61">
        <f>IFERROR(__xludf.DUMMYFUNCTION("""COMPUTED_VALUE"""),1.0)</f>
        <v>1</v>
      </c>
      <c r="O593" s="61" t="str">
        <f t="shared" si="3"/>
        <v/>
      </c>
      <c r="P593" s="253">
        <f>IFERROR(__xludf.DUMMYFUNCTION("""COMPUTED_VALUE"""),6.0)</f>
        <v>6</v>
      </c>
      <c r="Q593" s="254" t="str">
        <f>VLOOKUP($B593,'Run Reconcile'!B$2:O799,14,FALSE)</f>
        <v/>
      </c>
      <c r="R593" s="255" t="str">
        <f t="array" ref="R593">IF($Q593, INDEX('Run Reconcile'!A$2:A799,MATCH(B593,'Run Reconcile'!B$2:B799,0),1),IFERROR(0/0,""))</f>
        <v/>
      </c>
      <c r="S593" s="261" t="str">
        <f t="shared" ref="S593:T593" si="1193">IF(COUNTIF(W$2:W799, $A593) &gt; 0,TRUE,IFERROR(0/0,""))</f>
        <v/>
      </c>
      <c r="T593" s="261" t="str">
        <f t="shared" si="1193"/>
        <v/>
      </c>
      <c r="U593" s="257" t="str">
        <f t="array" ref="U593">IF(ISBLANK($R593), INDEX('Run Reconcile'!A$2:A799, MATCH($B593, 'Run Reconcile'!B$2:B799, 0)+Z593, 1), IFERROR(0/0,""))
</f>
        <v>RUN-BEND_2022-03-01_RFR-043</v>
      </c>
      <c r="V593" s="258" t="str">
        <f t="shared" si="480"/>
        <v>RUN-BEND_2022-03-01_RFR-043</v>
      </c>
      <c r="Y593" s="130" t="str">
        <f t="shared" si="487"/>
        <v/>
      </c>
      <c r="Z593" s="49" t="str">
        <f t="shared" si="7"/>
        <v/>
      </c>
      <c r="AA593" s="49" t="str">
        <f t="shared" si="8"/>
        <v/>
      </c>
      <c r="AB593" s="49" t="str">
        <f t="shared" si="9"/>
        <v/>
      </c>
      <c r="AC593" s="20" t="str">
        <f t="shared" ref="AC593:AD593" si="1194">IF(_xlfn.ISFORMULA(S593),IFERROR(0/0,""),TRUE)</f>
        <v/>
      </c>
      <c r="AD593" s="20" t="str">
        <f t="shared" si="1194"/>
        <v/>
      </c>
      <c r="AE593" s="43"/>
      <c r="AF593" s="62" t="s">
        <v>64</v>
      </c>
      <c r="AG593" s="57" t="str">
        <f t="shared" si="11"/>
        <v/>
      </c>
    </row>
    <row r="594">
      <c r="A594" s="6" t="str">
        <f>IFERROR(__xludf.DUMMYFUNCTION("""COMPUTED_VALUE"""),"FM821")</f>
        <v>FM821</v>
      </c>
      <c r="B594" s="204">
        <f>IFERROR(__xludf.DUMMYFUNCTION("""COMPUTED_VALUE"""),44621.0)</f>
        <v>44621</v>
      </c>
      <c r="C594" s="250">
        <f>IFERROR(__xludf.DUMMYFUNCTION("""COMPUTED_VALUE"""),0.329525462962963)</f>
        <v>0.329525463</v>
      </c>
      <c r="D594" s="6" t="str">
        <f>IFERROR(__xludf.DUMMYFUNCTION("""COMPUTED_VALUE"""),"SpBEND914710")</f>
        <v>SpBEND914710</v>
      </c>
      <c r="E594" s="251"/>
      <c r="F594" s="251"/>
      <c r="G594" s="251" t="str">
        <f>IFERROR(__xludf.DUMMYFUNCTION("""COMPUTED_VALUE"""),"Negative")</f>
        <v>Negative</v>
      </c>
      <c r="H594" s="262" t="str">
        <f>IFERROR(__xludf.DUMMYFUNCTION("""COMPUTED_VALUE"""),"Negative")</f>
        <v>Negative</v>
      </c>
      <c r="I594" s="204">
        <f>IFERROR(__xludf.DUMMYFUNCTION("""COMPUTED_VALUE"""),44627.0)</f>
        <v>44627</v>
      </c>
      <c r="J594" s="252">
        <f>IFERROR(__xludf.DUMMYFUNCTION("""COMPUTED_VALUE"""),0.47792824074074075)</f>
        <v>0.4779282407</v>
      </c>
      <c r="K594" s="56"/>
      <c r="L594" s="6"/>
      <c r="M594" s="61"/>
      <c r="N594" s="61">
        <f>IFERROR(__xludf.DUMMYFUNCTION("""COMPUTED_VALUE"""),1.0)</f>
        <v>1</v>
      </c>
      <c r="O594" s="61" t="str">
        <f t="shared" si="3"/>
        <v/>
      </c>
      <c r="P594" s="253">
        <f>IFERROR(__xludf.DUMMYFUNCTION("""COMPUTED_VALUE"""),6.0)</f>
        <v>6</v>
      </c>
      <c r="Q594" s="254" t="str">
        <f>VLOOKUP($B594,'Run Reconcile'!B$2:O799,14,FALSE)</f>
        <v/>
      </c>
      <c r="R594" s="255" t="str">
        <f t="array" ref="R594">IF($Q594, INDEX('Run Reconcile'!A$2:A799,MATCH(B594,'Run Reconcile'!B$2:B799,0),1),IFERROR(0/0,""))</f>
        <v/>
      </c>
      <c r="S594" s="261" t="str">
        <f t="shared" ref="S594:T594" si="1195">IF(COUNTIF(W$2:W799, $A594) &gt; 0,TRUE,IFERROR(0/0,""))</f>
        <v/>
      </c>
      <c r="T594" s="261" t="str">
        <f t="shared" si="1195"/>
        <v/>
      </c>
      <c r="U594" s="257" t="str">
        <f t="array" ref="U594">IF(ISBLANK($R594), INDEX('Run Reconcile'!A$2:A799, MATCH($B594, 'Run Reconcile'!B$2:B799, 0)+Z594, 1), IFERROR(0/0,""))
</f>
        <v>RUN-BEND_2022-03-01_RFR-043</v>
      </c>
      <c r="V594" s="258" t="str">
        <f t="shared" si="480"/>
        <v>RUN-BEND_2022-03-01_RFR-043</v>
      </c>
      <c r="Y594" s="130" t="str">
        <f t="shared" si="487"/>
        <v/>
      </c>
      <c r="Z594" s="49" t="str">
        <f t="shared" si="7"/>
        <v/>
      </c>
      <c r="AA594" s="49" t="str">
        <f t="shared" si="8"/>
        <v/>
      </c>
      <c r="AB594" s="49" t="str">
        <f t="shared" si="9"/>
        <v/>
      </c>
      <c r="AC594" s="20" t="str">
        <f t="shared" ref="AC594:AD594" si="1196">IF(_xlfn.ISFORMULA(S594),IFERROR(0/0,""),TRUE)</f>
        <v/>
      </c>
      <c r="AD594" s="20" t="str">
        <f t="shared" si="1196"/>
        <v/>
      </c>
      <c r="AE594" s="43"/>
      <c r="AF594" s="62" t="s">
        <v>64</v>
      </c>
      <c r="AG594" s="57" t="str">
        <f t="shared" si="11"/>
        <v/>
      </c>
    </row>
    <row r="595">
      <c r="A595" s="6" t="str">
        <f>IFERROR(__xludf.DUMMYFUNCTION("""COMPUTED_VALUE"""),"FM41")</f>
        <v>FM41</v>
      </c>
      <c r="B595" s="204">
        <f>IFERROR(__xludf.DUMMYFUNCTION("""COMPUTED_VALUE"""),44621.0)</f>
        <v>44621</v>
      </c>
      <c r="C595" s="250">
        <f>IFERROR(__xludf.DUMMYFUNCTION("""COMPUTED_VALUE"""),0.33123842592592595)</f>
        <v>0.3312384259</v>
      </c>
      <c r="D595" s="6" t="str">
        <f>IFERROR(__xludf.DUMMYFUNCTION("""COMPUTED_VALUE"""),"SpBEND610784")</f>
        <v>SpBEND610784</v>
      </c>
      <c r="E595" s="251"/>
      <c r="F595" s="251"/>
      <c r="G595" s="251" t="str">
        <f>IFERROR(__xludf.DUMMYFUNCTION("""COMPUTED_VALUE"""),"Negative")</f>
        <v>Negative</v>
      </c>
      <c r="H595" s="262" t="str">
        <f>IFERROR(__xludf.DUMMYFUNCTION("""COMPUTED_VALUE"""),"Negative")</f>
        <v>Negative</v>
      </c>
      <c r="I595" s="204">
        <f>IFERROR(__xludf.DUMMYFUNCTION("""COMPUTED_VALUE"""),44627.0)</f>
        <v>44627</v>
      </c>
      <c r="J595" s="252">
        <f>IFERROR(__xludf.DUMMYFUNCTION("""COMPUTED_VALUE"""),0.47792824074074075)</f>
        <v>0.4779282407</v>
      </c>
      <c r="K595" s="56"/>
      <c r="L595" s="6"/>
      <c r="M595" s="61"/>
      <c r="N595" s="61">
        <f>IFERROR(__xludf.DUMMYFUNCTION("""COMPUTED_VALUE"""),1.0)</f>
        <v>1</v>
      </c>
      <c r="O595" s="61" t="str">
        <f t="shared" si="3"/>
        <v/>
      </c>
      <c r="P595" s="253">
        <f>IFERROR(__xludf.DUMMYFUNCTION("""COMPUTED_VALUE"""),6.0)</f>
        <v>6</v>
      </c>
      <c r="Q595" s="254" t="str">
        <f>VLOOKUP($B595,'Run Reconcile'!B$2:O799,14,FALSE)</f>
        <v/>
      </c>
      <c r="R595" s="255" t="str">
        <f t="array" ref="R595">IF($Q595, INDEX('Run Reconcile'!A$2:A799,MATCH(B595,'Run Reconcile'!B$2:B799,0),1),IFERROR(0/0,""))</f>
        <v/>
      </c>
      <c r="S595" s="261" t="str">
        <f t="shared" ref="S595:T595" si="1197">IF(COUNTIF(W$2:W799, $A595) &gt; 0,TRUE,IFERROR(0/0,""))</f>
        <v/>
      </c>
      <c r="T595" s="261" t="str">
        <f t="shared" si="1197"/>
        <v/>
      </c>
      <c r="U595" s="257" t="str">
        <f t="array" ref="U595">IF(ISBLANK($R595), INDEX('Run Reconcile'!A$2:A799, MATCH($B595, 'Run Reconcile'!B$2:B799, 0)+Z595, 1), IFERROR(0/0,""))
</f>
        <v>RUN-BEND_2022-03-01_RFR-043</v>
      </c>
      <c r="V595" s="258" t="str">
        <f t="shared" si="480"/>
        <v>RUN-BEND_2022-03-01_RFR-043</v>
      </c>
      <c r="Y595" s="130" t="str">
        <f t="shared" si="487"/>
        <v/>
      </c>
      <c r="Z595" s="49" t="str">
        <f t="shared" si="7"/>
        <v/>
      </c>
      <c r="AA595" s="49" t="str">
        <f t="shared" si="8"/>
        <v/>
      </c>
      <c r="AB595" s="49" t="str">
        <f t="shared" si="9"/>
        <v/>
      </c>
      <c r="AC595" s="20" t="str">
        <f t="shared" ref="AC595:AD595" si="1198">IF(_xlfn.ISFORMULA(S595),IFERROR(0/0,""),TRUE)</f>
        <v/>
      </c>
      <c r="AD595" s="20" t="str">
        <f t="shared" si="1198"/>
        <v/>
      </c>
      <c r="AE595" s="43"/>
      <c r="AF595" s="62" t="s">
        <v>64</v>
      </c>
      <c r="AG595" s="57" t="str">
        <f t="shared" si="11"/>
        <v/>
      </c>
    </row>
    <row r="596">
      <c r="A596" s="6" t="str">
        <f>IFERROR(__xludf.DUMMYFUNCTION("""COMPUTED_VALUE"""),"FM46")</f>
        <v>FM46</v>
      </c>
      <c r="B596" s="204">
        <f>IFERROR(__xludf.DUMMYFUNCTION("""COMPUTED_VALUE"""),44621.0)</f>
        <v>44621</v>
      </c>
      <c r="C596" s="250">
        <f>IFERROR(__xludf.DUMMYFUNCTION("""COMPUTED_VALUE"""),0.33143518518518517)</f>
        <v>0.3314351852</v>
      </c>
      <c r="D596" s="6" t="str">
        <f>IFERROR(__xludf.DUMMYFUNCTION("""COMPUTED_VALUE"""),"SpBEND643855")</f>
        <v>SpBEND643855</v>
      </c>
      <c r="E596" s="251"/>
      <c r="F596" s="251"/>
      <c r="G596" s="251" t="str">
        <f>IFERROR(__xludf.DUMMYFUNCTION("""COMPUTED_VALUE"""),"Negative")</f>
        <v>Negative</v>
      </c>
      <c r="H596" s="262" t="str">
        <f>IFERROR(__xludf.DUMMYFUNCTION("""COMPUTED_VALUE"""),"Negative")</f>
        <v>Negative</v>
      </c>
      <c r="I596" s="204">
        <f>IFERROR(__xludf.DUMMYFUNCTION("""COMPUTED_VALUE"""),44627.0)</f>
        <v>44627</v>
      </c>
      <c r="J596" s="252">
        <f>IFERROR(__xludf.DUMMYFUNCTION("""COMPUTED_VALUE"""),0.47792824074074075)</f>
        <v>0.4779282407</v>
      </c>
      <c r="K596" s="56"/>
      <c r="L596" s="6"/>
      <c r="M596" s="61"/>
      <c r="N596" s="61">
        <f>IFERROR(__xludf.DUMMYFUNCTION("""COMPUTED_VALUE"""),1.0)</f>
        <v>1</v>
      </c>
      <c r="O596" s="61" t="str">
        <f t="shared" si="3"/>
        <v/>
      </c>
      <c r="P596" s="253">
        <f>IFERROR(__xludf.DUMMYFUNCTION("""COMPUTED_VALUE"""),6.0)</f>
        <v>6</v>
      </c>
      <c r="Q596" s="254" t="str">
        <f>VLOOKUP($B596,'Run Reconcile'!B$2:O799,14,FALSE)</f>
        <v/>
      </c>
      <c r="R596" s="255" t="str">
        <f t="array" ref="R596">IF($Q596, INDEX('Run Reconcile'!A$2:A799,MATCH(B596,'Run Reconcile'!B$2:B799,0),1),IFERROR(0/0,""))</f>
        <v/>
      </c>
      <c r="S596" s="261" t="str">
        <f t="shared" ref="S596:T596" si="1199">IF(COUNTIF(W$2:W799, $A596) &gt; 0,TRUE,IFERROR(0/0,""))</f>
        <v/>
      </c>
      <c r="T596" s="261" t="str">
        <f t="shared" si="1199"/>
        <v/>
      </c>
      <c r="U596" s="257" t="str">
        <f t="array" ref="U596">IF(ISBLANK($R596), INDEX('Run Reconcile'!A$2:A799, MATCH($B596, 'Run Reconcile'!B$2:B799, 0)+Z596, 1), IFERROR(0/0,""))
</f>
        <v>RUN-BEND_2022-03-01_RFR-043</v>
      </c>
      <c r="V596" s="258" t="str">
        <f t="shared" si="480"/>
        <v>RUN-BEND_2022-03-01_RFR-043</v>
      </c>
      <c r="Y596" s="130" t="str">
        <f t="shared" si="487"/>
        <v/>
      </c>
      <c r="Z596" s="49" t="str">
        <f t="shared" si="7"/>
        <v/>
      </c>
      <c r="AA596" s="49" t="str">
        <f t="shared" si="8"/>
        <v/>
      </c>
      <c r="AB596" s="49" t="str">
        <f t="shared" si="9"/>
        <v/>
      </c>
      <c r="AC596" s="20" t="str">
        <f t="shared" ref="AC596:AD596" si="1200">IF(_xlfn.ISFORMULA(S596),IFERROR(0/0,""),TRUE)</f>
        <v/>
      </c>
      <c r="AD596" s="20" t="str">
        <f t="shared" si="1200"/>
        <v/>
      </c>
      <c r="AE596" s="43"/>
      <c r="AF596" s="62" t="s">
        <v>64</v>
      </c>
      <c r="AG596" s="57" t="str">
        <f t="shared" si="11"/>
        <v/>
      </c>
    </row>
    <row r="597">
      <c r="A597" s="6" t="str">
        <f>IFERROR(__xludf.DUMMYFUNCTION("""COMPUTED_VALUE"""),"FM82")</f>
        <v>FM82</v>
      </c>
      <c r="B597" s="204">
        <f>IFERROR(__xludf.DUMMYFUNCTION("""COMPUTED_VALUE"""),44621.0)</f>
        <v>44621</v>
      </c>
      <c r="C597" s="250">
        <f>IFERROR(__xludf.DUMMYFUNCTION("""COMPUTED_VALUE"""),0.3319328703703704)</f>
        <v>0.3319328704</v>
      </c>
      <c r="D597" s="6" t="str">
        <f>IFERROR(__xludf.DUMMYFUNCTION("""COMPUTED_VALUE"""),"SpBEND292554")</f>
        <v>SpBEND292554</v>
      </c>
      <c r="E597" s="251"/>
      <c r="F597" s="251"/>
      <c r="G597" s="251" t="str">
        <f>IFERROR(__xludf.DUMMYFUNCTION("""COMPUTED_VALUE"""),"Negative")</f>
        <v>Negative</v>
      </c>
      <c r="H597" s="262" t="str">
        <f>IFERROR(__xludf.DUMMYFUNCTION("""COMPUTED_VALUE"""),"Negative")</f>
        <v>Negative</v>
      </c>
      <c r="I597" s="204">
        <f>IFERROR(__xludf.DUMMYFUNCTION("""COMPUTED_VALUE"""),44627.0)</f>
        <v>44627</v>
      </c>
      <c r="J597" s="252">
        <f>IFERROR(__xludf.DUMMYFUNCTION("""COMPUTED_VALUE"""),0.47792824074074075)</f>
        <v>0.4779282407</v>
      </c>
      <c r="K597" s="56"/>
      <c r="L597" s="6"/>
      <c r="M597" s="61"/>
      <c r="N597" s="61">
        <f>IFERROR(__xludf.DUMMYFUNCTION("""COMPUTED_VALUE"""),1.0)</f>
        <v>1</v>
      </c>
      <c r="O597" s="61" t="str">
        <f t="shared" si="3"/>
        <v/>
      </c>
      <c r="P597" s="253">
        <f>IFERROR(__xludf.DUMMYFUNCTION("""COMPUTED_VALUE"""),6.0)</f>
        <v>6</v>
      </c>
      <c r="Q597" s="254" t="str">
        <f>VLOOKUP($B597,'Run Reconcile'!B$2:O799,14,FALSE)</f>
        <v/>
      </c>
      <c r="R597" s="255" t="str">
        <f t="array" ref="R597">IF($Q597, INDEX('Run Reconcile'!A$2:A799,MATCH(B597,'Run Reconcile'!B$2:B799,0),1),IFERROR(0/0,""))</f>
        <v/>
      </c>
      <c r="S597" s="261" t="str">
        <f t="shared" ref="S597:T597" si="1201">IF(COUNTIF(W$2:W799, $A597) &gt; 0,TRUE,IFERROR(0/0,""))</f>
        <v/>
      </c>
      <c r="T597" s="261" t="str">
        <f t="shared" si="1201"/>
        <v/>
      </c>
      <c r="U597" s="257" t="str">
        <f t="array" ref="U597">IF(ISBLANK($R597), INDEX('Run Reconcile'!A$2:A799, MATCH($B597, 'Run Reconcile'!B$2:B799, 0)+Z597, 1), IFERROR(0/0,""))
</f>
        <v>RUN-BEND_2022-03-01_RFR-043</v>
      </c>
      <c r="V597" s="258" t="str">
        <f t="shared" si="480"/>
        <v>RUN-BEND_2022-03-01_RFR-043</v>
      </c>
      <c r="Y597" s="130" t="str">
        <f t="shared" si="487"/>
        <v/>
      </c>
      <c r="Z597" s="49" t="str">
        <f t="shared" si="7"/>
        <v/>
      </c>
      <c r="AA597" s="49" t="str">
        <f t="shared" si="8"/>
        <v/>
      </c>
      <c r="AB597" s="49" t="str">
        <f t="shared" si="9"/>
        <v/>
      </c>
      <c r="AC597" s="20" t="str">
        <f t="shared" ref="AC597:AD597" si="1202">IF(_xlfn.ISFORMULA(S597),IFERROR(0/0,""),TRUE)</f>
        <v/>
      </c>
      <c r="AD597" s="20" t="str">
        <f t="shared" si="1202"/>
        <v/>
      </c>
      <c r="AE597" s="43"/>
      <c r="AF597" s="62" t="s">
        <v>64</v>
      </c>
      <c r="AG597" s="57" t="str">
        <f t="shared" si="11"/>
        <v/>
      </c>
    </row>
    <row r="598">
      <c r="A598" s="6" t="str">
        <f>IFERROR(__xludf.DUMMYFUNCTION("""COMPUTED_VALUE"""),"FM792")</f>
        <v>FM792</v>
      </c>
      <c r="B598" s="204">
        <f>IFERROR(__xludf.DUMMYFUNCTION("""COMPUTED_VALUE"""),44621.0)</f>
        <v>44621</v>
      </c>
      <c r="C598" s="250">
        <f>IFERROR(__xludf.DUMMYFUNCTION("""COMPUTED_VALUE"""),0.3345949074074074)</f>
        <v>0.3345949074</v>
      </c>
      <c r="D598" s="6" t="str">
        <f>IFERROR(__xludf.DUMMYFUNCTION("""COMPUTED_VALUE"""),"SpBEND982485")</f>
        <v>SpBEND982485</v>
      </c>
      <c r="E598" s="251"/>
      <c r="F598" s="251"/>
      <c r="G598" s="251" t="str">
        <f>IFERROR(__xludf.DUMMYFUNCTION("""COMPUTED_VALUE"""),"Negative")</f>
        <v>Negative</v>
      </c>
      <c r="H598" s="262" t="str">
        <f>IFERROR(__xludf.DUMMYFUNCTION("""COMPUTED_VALUE"""),"Negative")</f>
        <v>Negative</v>
      </c>
      <c r="I598" s="204">
        <f>IFERROR(__xludf.DUMMYFUNCTION("""COMPUTED_VALUE"""),44627.0)</f>
        <v>44627</v>
      </c>
      <c r="J598" s="252">
        <f>IFERROR(__xludf.DUMMYFUNCTION("""COMPUTED_VALUE"""),0.47792824074074075)</f>
        <v>0.4779282407</v>
      </c>
      <c r="K598" s="56"/>
      <c r="L598" s="6"/>
      <c r="M598" s="61"/>
      <c r="N598" s="61">
        <f>IFERROR(__xludf.DUMMYFUNCTION("""COMPUTED_VALUE"""),1.0)</f>
        <v>1</v>
      </c>
      <c r="O598" s="61" t="str">
        <f t="shared" si="3"/>
        <v/>
      </c>
      <c r="P598" s="253">
        <f>IFERROR(__xludf.DUMMYFUNCTION("""COMPUTED_VALUE"""),6.0)</f>
        <v>6</v>
      </c>
      <c r="Q598" s="254" t="str">
        <f>VLOOKUP($B598,'Run Reconcile'!B$2:O799,14,FALSE)</f>
        <v/>
      </c>
      <c r="R598" s="255" t="str">
        <f t="array" ref="R598">IF($Q598, INDEX('Run Reconcile'!A$2:A799,MATCH(B598,'Run Reconcile'!B$2:B799,0),1),IFERROR(0/0,""))</f>
        <v/>
      </c>
      <c r="S598" s="261" t="str">
        <f t="shared" ref="S598:T598" si="1203">IF(COUNTIF(W$2:W799, $A598) &gt; 0,TRUE,IFERROR(0/0,""))</f>
        <v/>
      </c>
      <c r="T598" s="261" t="str">
        <f t="shared" si="1203"/>
        <v/>
      </c>
      <c r="U598" s="257" t="str">
        <f t="array" ref="U598">IF(ISBLANK($R598), INDEX('Run Reconcile'!A$2:A799, MATCH($B598, 'Run Reconcile'!B$2:B799, 0)+Z598, 1), IFERROR(0/0,""))
</f>
        <v>RUN-BEND_2022-03-01_RFR-043</v>
      </c>
      <c r="V598" s="258" t="str">
        <f t="shared" si="480"/>
        <v>RUN-BEND_2022-03-01_RFR-043</v>
      </c>
      <c r="Y598" s="130" t="str">
        <f t="shared" si="487"/>
        <v/>
      </c>
      <c r="Z598" s="49" t="str">
        <f t="shared" si="7"/>
        <v/>
      </c>
      <c r="AA598" s="49" t="str">
        <f t="shared" si="8"/>
        <v/>
      </c>
      <c r="AB598" s="49" t="str">
        <f t="shared" si="9"/>
        <v/>
      </c>
      <c r="AC598" s="20" t="str">
        <f t="shared" ref="AC598:AD598" si="1204">IF(_xlfn.ISFORMULA(S598),IFERROR(0/0,""),TRUE)</f>
        <v/>
      </c>
      <c r="AD598" s="20" t="str">
        <f t="shared" si="1204"/>
        <v/>
      </c>
      <c r="AE598" s="43"/>
      <c r="AF598" s="62" t="s">
        <v>64</v>
      </c>
      <c r="AG598" s="57" t="str">
        <f t="shared" si="11"/>
        <v/>
      </c>
    </row>
    <row r="599">
      <c r="A599" s="6" t="str">
        <f>IFERROR(__xludf.DUMMYFUNCTION("""COMPUTED_VALUE"""),"FM372")</f>
        <v>FM372</v>
      </c>
      <c r="B599" s="204">
        <f>IFERROR(__xludf.DUMMYFUNCTION("""COMPUTED_VALUE"""),44621.0)</f>
        <v>44621</v>
      </c>
      <c r="C599" s="250">
        <f>IFERROR(__xludf.DUMMYFUNCTION("""COMPUTED_VALUE"""),0.3350925925925926)</f>
        <v>0.3350925926</v>
      </c>
      <c r="D599" s="6" t="str">
        <f>IFERROR(__xludf.DUMMYFUNCTION("""COMPUTED_VALUE"""),"SpBEND214692")</f>
        <v>SpBEND214692</v>
      </c>
      <c r="E599" s="251"/>
      <c r="F599" s="251"/>
      <c r="G599" s="251" t="str">
        <f>IFERROR(__xludf.DUMMYFUNCTION("""COMPUTED_VALUE"""),"Negative")</f>
        <v>Negative</v>
      </c>
      <c r="H599" s="262" t="str">
        <f>IFERROR(__xludf.DUMMYFUNCTION("""COMPUTED_VALUE"""),"Negative")</f>
        <v>Negative</v>
      </c>
      <c r="I599" s="204">
        <f>IFERROR(__xludf.DUMMYFUNCTION("""COMPUTED_VALUE"""),44627.0)</f>
        <v>44627</v>
      </c>
      <c r="J599" s="252">
        <f>IFERROR(__xludf.DUMMYFUNCTION("""COMPUTED_VALUE"""),0.47792824074074075)</f>
        <v>0.4779282407</v>
      </c>
      <c r="K599" s="56"/>
      <c r="L599" s="6"/>
      <c r="M599" s="61"/>
      <c r="N599" s="61">
        <f>IFERROR(__xludf.DUMMYFUNCTION("""COMPUTED_VALUE"""),1.0)</f>
        <v>1</v>
      </c>
      <c r="O599" s="61" t="str">
        <f t="shared" si="3"/>
        <v/>
      </c>
      <c r="P599" s="253">
        <f>IFERROR(__xludf.DUMMYFUNCTION("""COMPUTED_VALUE"""),6.0)</f>
        <v>6</v>
      </c>
      <c r="Q599" s="254" t="str">
        <f>VLOOKUP($B599,'Run Reconcile'!B$2:O799,14,FALSE)</f>
        <v/>
      </c>
      <c r="R599" s="255" t="str">
        <f t="array" ref="R599">IF($Q599, INDEX('Run Reconcile'!A$2:A799,MATCH(B599,'Run Reconcile'!B$2:B799,0),1),IFERROR(0/0,""))</f>
        <v/>
      </c>
      <c r="S599" s="261" t="str">
        <f t="shared" ref="S599:T599" si="1205">IF(COUNTIF(W$2:W799, $A599) &gt; 0,TRUE,IFERROR(0/0,""))</f>
        <v/>
      </c>
      <c r="T599" s="261" t="str">
        <f t="shared" si="1205"/>
        <v/>
      </c>
      <c r="U599" s="257" t="str">
        <f t="array" ref="U599">IF(ISBLANK($R599), INDEX('Run Reconcile'!A$2:A799, MATCH($B599, 'Run Reconcile'!B$2:B799, 0)+Z599, 1), IFERROR(0/0,""))
</f>
        <v>RUN-BEND_2022-03-01_RFR-043</v>
      </c>
      <c r="V599" s="258" t="str">
        <f t="shared" si="480"/>
        <v>RUN-BEND_2022-03-01_RFR-043</v>
      </c>
      <c r="Y599" s="130" t="str">
        <f t="shared" si="487"/>
        <v/>
      </c>
      <c r="Z599" s="49" t="str">
        <f t="shared" si="7"/>
        <v/>
      </c>
      <c r="AA599" s="49" t="str">
        <f t="shared" si="8"/>
        <v/>
      </c>
      <c r="AB599" s="49" t="str">
        <f t="shared" si="9"/>
        <v/>
      </c>
      <c r="AC599" s="20" t="str">
        <f t="shared" ref="AC599:AD599" si="1206">IF(_xlfn.ISFORMULA(S599),IFERROR(0/0,""),TRUE)</f>
        <v/>
      </c>
      <c r="AD599" s="20" t="str">
        <f t="shared" si="1206"/>
        <v/>
      </c>
      <c r="AE599" s="43"/>
      <c r="AF599" s="62" t="s">
        <v>64</v>
      </c>
      <c r="AG599" s="57" t="str">
        <f t="shared" si="11"/>
        <v/>
      </c>
    </row>
    <row r="600">
      <c r="A600" s="6" t="str">
        <f>IFERROR(__xludf.DUMMYFUNCTION("""COMPUTED_VALUE"""),"FM529")</f>
        <v>FM529</v>
      </c>
      <c r="B600" s="204">
        <f>IFERROR(__xludf.DUMMYFUNCTION("""COMPUTED_VALUE"""),44621.0)</f>
        <v>44621</v>
      </c>
      <c r="C600" s="250">
        <f>IFERROR(__xludf.DUMMYFUNCTION("""COMPUTED_VALUE"""),0.3414351851851852)</f>
        <v>0.3414351852</v>
      </c>
      <c r="D600" s="6" t="str">
        <f>IFERROR(__xludf.DUMMYFUNCTION("""COMPUTED_VALUE"""),"SpBEND541174")</f>
        <v>SpBEND541174</v>
      </c>
      <c r="E600" s="251"/>
      <c r="F600" s="251"/>
      <c r="G600" s="251" t="str">
        <f>IFERROR(__xludf.DUMMYFUNCTION("""COMPUTED_VALUE"""),"Negative")</f>
        <v>Negative</v>
      </c>
      <c r="H600" s="262" t="str">
        <f>IFERROR(__xludf.DUMMYFUNCTION("""COMPUTED_VALUE"""),"Negative")</f>
        <v>Negative</v>
      </c>
      <c r="I600" s="204">
        <f>IFERROR(__xludf.DUMMYFUNCTION("""COMPUTED_VALUE"""),44627.0)</f>
        <v>44627</v>
      </c>
      <c r="J600" s="252">
        <f>IFERROR(__xludf.DUMMYFUNCTION("""COMPUTED_VALUE"""),0.47792824074074075)</f>
        <v>0.4779282407</v>
      </c>
      <c r="K600" s="56"/>
      <c r="L600" s="6"/>
      <c r="M600" s="61"/>
      <c r="N600" s="61">
        <f>IFERROR(__xludf.DUMMYFUNCTION("""COMPUTED_VALUE"""),1.0)</f>
        <v>1</v>
      </c>
      <c r="O600" s="61" t="str">
        <f t="shared" si="3"/>
        <v/>
      </c>
      <c r="P600" s="253">
        <f>IFERROR(__xludf.DUMMYFUNCTION("""COMPUTED_VALUE"""),6.0)</f>
        <v>6</v>
      </c>
      <c r="Q600" s="254" t="str">
        <f>VLOOKUP($B600,'Run Reconcile'!B$2:O799,14,FALSE)</f>
        <v/>
      </c>
      <c r="R600" s="255" t="str">
        <f t="array" ref="R600">IF($Q600, INDEX('Run Reconcile'!A$2:A799,MATCH(B600,'Run Reconcile'!B$2:B799,0),1),IFERROR(0/0,""))</f>
        <v/>
      </c>
      <c r="S600" s="261" t="str">
        <f t="shared" ref="S600:T600" si="1207">IF(COUNTIF(W$2:W799, $A600) &gt; 0,TRUE,IFERROR(0/0,""))</f>
        <v/>
      </c>
      <c r="T600" s="261" t="str">
        <f t="shared" si="1207"/>
        <v/>
      </c>
      <c r="U600" s="257" t="str">
        <f t="array" ref="U600">IF(ISBLANK($R600), INDEX('Run Reconcile'!A$2:A799, MATCH($B600, 'Run Reconcile'!B$2:B799, 0)+Z600, 1), IFERROR(0/0,""))
</f>
        <v>RUN-BEND_2022-03-01_RFR-043</v>
      </c>
      <c r="V600" s="258" t="str">
        <f t="shared" si="480"/>
        <v>RUN-BEND_2022-03-01_RFR-043</v>
      </c>
      <c r="Y600" s="130" t="str">
        <f t="shared" si="487"/>
        <v/>
      </c>
      <c r="Z600" s="49" t="str">
        <f t="shared" si="7"/>
        <v/>
      </c>
      <c r="AA600" s="49" t="str">
        <f t="shared" si="8"/>
        <v/>
      </c>
      <c r="AB600" s="49" t="str">
        <f t="shared" si="9"/>
        <v/>
      </c>
      <c r="AC600" s="20" t="str">
        <f t="shared" ref="AC600:AD600" si="1208">IF(_xlfn.ISFORMULA(S600),IFERROR(0/0,""),TRUE)</f>
        <v/>
      </c>
      <c r="AD600" s="20" t="str">
        <f t="shared" si="1208"/>
        <v/>
      </c>
      <c r="AE600" s="43"/>
      <c r="AF600" s="62" t="s">
        <v>64</v>
      </c>
      <c r="AG600" s="57" t="str">
        <f t="shared" si="11"/>
        <v/>
      </c>
    </row>
    <row r="601">
      <c r="A601" s="6" t="str">
        <f>IFERROR(__xludf.DUMMYFUNCTION("""COMPUTED_VALUE"""),"MA1304")</f>
        <v>MA1304</v>
      </c>
      <c r="B601" s="204">
        <f>IFERROR(__xludf.DUMMYFUNCTION("""COMPUTED_VALUE"""),44621.0)</f>
        <v>44621</v>
      </c>
      <c r="C601" s="250">
        <f>IFERROR(__xludf.DUMMYFUNCTION("""COMPUTED_VALUE"""),0.3439699074074074)</f>
        <v>0.3439699074</v>
      </c>
      <c r="D601" s="6" t="str">
        <f>IFERROR(__xludf.DUMMYFUNCTION("""COMPUTED_VALUE"""),"SpBEND977859")</f>
        <v>SpBEND977859</v>
      </c>
      <c r="E601" s="251"/>
      <c r="F601" s="251"/>
      <c r="G601" s="251" t="str">
        <f>IFERROR(__xludf.DUMMYFUNCTION("""COMPUTED_VALUE"""),"Negative")</f>
        <v>Negative</v>
      </c>
      <c r="H601" s="262" t="str">
        <f>IFERROR(__xludf.DUMMYFUNCTION("""COMPUTED_VALUE"""),"Negative")</f>
        <v>Negative</v>
      </c>
      <c r="I601" s="204">
        <f>IFERROR(__xludf.DUMMYFUNCTION("""COMPUTED_VALUE"""),44627.0)</f>
        <v>44627</v>
      </c>
      <c r="J601" s="252">
        <f>IFERROR(__xludf.DUMMYFUNCTION("""COMPUTED_VALUE"""),0.47792824074074075)</f>
        <v>0.4779282407</v>
      </c>
      <c r="K601" s="56"/>
      <c r="L601" s="6"/>
      <c r="M601" s="61"/>
      <c r="N601" s="61">
        <f>IFERROR(__xludf.DUMMYFUNCTION("""COMPUTED_VALUE"""),1.0)</f>
        <v>1</v>
      </c>
      <c r="O601" s="61" t="str">
        <f t="shared" si="3"/>
        <v/>
      </c>
      <c r="P601" s="253">
        <f>IFERROR(__xludf.DUMMYFUNCTION("""COMPUTED_VALUE"""),6.0)</f>
        <v>6</v>
      </c>
      <c r="Q601" s="254" t="str">
        <f>VLOOKUP($B601,'Run Reconcile'!B$2:O799,14,FALSE)</f>
        <v/>
      </c>
      <c r="R601" s="255" t="str">
        <f t="array" ref="R601">IF($Q601, INDEX('Run Reconcile'!A$2:A799,MATCH(B601,'Run Reconcile'!B$2:B799,0),1),IFERROR(0/0,""))</f>
        <v/>
      </c>
      <c r="S601" s="261" t="str">
        <f t="shared" ref="S601:T601" si="1209">IF(COUNTIF(W$2:W799, $A601) &gt; 0,TRUE,IFERROR(0/0,""))</f>
        <v/>
      </c>
      <c r="T601" s="261" t="str">
        <f t="shared" si="1209"/>
        <v/>
      </c>
      <c r="U601" s="257" t="str">
        <f t="array" ref="U601">IF(ISBLANK($R601), INDEX('Run Reconcile'!A$2:A799, MATCH($B601, 'Run Reconcile'!B$2:B799, 0)+Z601, 1), IFERROR(0/0,""))
</f>
        <v>RUN-BEND_2022-03-01_RFR-043</v>
      </c>
      <c r="V601" s="258" t="str">
        <f t="shared" si="480"/>
        <v>RUN-BEND_2022-03-01_RFR-043</v>
      </c>
      <c r="Y601" s="130" t="str">
        <f t="shared" si="487"/>
        <v/>
      </c>
      <c r="Z601" s="49" t="str">
        <f t="shared" si="7"/>
        <v/>
      </c>
      <c r="AA601" s="49" t="str">
        <f t="shared" si="8"/>
        <v/>
      </c>
      <c r="AB601" s="49" t="str">
        <f t="shared" si="9"/>
        <v/>
      </c>
      <c r="AC601" s="20" t="str">
        <f t="shared" ref="AC601:AD601" si="1210">IF(_xlfn.ISFORMULA(S601),IFERROR(0/0,""),TRUE)</f>
        <v/>
      </c>
      <c r="AD601" s="20" t="str">
        <f t="shared" si="1210"/>
        <v/>
      </c>
      <c r="AE601" s="43"/>
      <c r="AF601" s="62" t="s">
        <v>64</v>
      </c>
      <c r="AG601" s="57" t="str">
        <f t="shared" si="11"/>
        <v/>
      </c>
    </row>
    <row r="602">
      <c r="A602" s="6" t="str">
        <f>IFERROR(__xludf.DUMMYFUNCTION("""COMPUTED_VALUE"""),"MA1269")</f>
        <v>MA1269</v>
      </c>
      <c r="B602" s="204">
        <f>IFERROR(__xludf.DUMMYFUNCTION("""COMPUTED_VALUE"""),44621.0)</f>
        <v>44621</v>
      </c>
      <c r="C602" s="250">
        <f>IFERROR(__xludf.DUMMYFUNCTION("""COMPUTED_VALUE"""),0.34618055555555555)</f>
        <v>0.3461805556</v>
      </c>
      <c r="D602" s="6" t="str">
        <f>IFERROR(__xludf.DUMMYFUNCTION("""COMPUTED_VALUE"""),"SpBEND305944")</f>
        <v>SpBEND305944</v>
      </c>
      <c r="E602" s="251"/>
      <c r="F602" s="251"/>
      <c r="G602" s="251" t="str">
        <f>IFERROR(__xludf.DUMMYFUNCTION("""COMPUTED_VALUE"""),"Negative")</f>
        <v>Negative</v>
      </c>
      <c r="H602" s="262" t="str">
        <f>IFERROR(__xludf.DUMMYFUNCTION("""COMPUTED_VALUE"""),"Negative")</f>
        <v>Negative</v>
      </c>
      <c r="I602" s="204">
        <f>IFERROR(__xludf.DUMMYFUNCTION("""COMPUTED_VALUE"""),44627.0)</f>
        <v>44627</v>
      </c>
      <c r="J602" s="252">
        <f>IFERROR(__xludf.DUMMYFUNCTION("""COMPUTED_VALUE"""),0.47792824074074075)</f>
        <v>0.4779282407</v>
      </c>
      <c r="K602" s="56"/>
      <c r="L602" s="6"/>
      <c r="M602" s="61"/>
      <c r="N602" s="61">
        <f>IFERROR(__xludf.DUMMYFUNCTION("""COMPUTED_VALUE"""),1.0)</f>
        <v>1</v>
      </c>
      <c r="O602" s="61" t="str">
        <f t="shared" si="3"/>
        <v/>
      </c>
      <c r="P602" s="253">
        <f>IFERROR(__xludf.DUMMYFUNCTION("""COMPUTED_VALUE"""),6.0)</f>
        <v>6</v>
      </c>
      <c r="Q602" s="254" t="str">
        <f>VLOOKUP($B602,'Run Reconcile'!B$2:O799,14,FALSE)</f>
        <v/>
      </c>
      <c r="R602" s="255" t="str">
        <f t="array" ref="R602">IF($Q602, INDEX('Run Reconcile'!A$2:A799,MATCH(B602,'Run Reconcile'!B$2:B799,0),1),IFERROR(0/0,""))</f>
        <v/>
      </c>
      <c r="S602" s="261" t="str">
        <f t="shared" ref="S602:T602" si="1211">IF(COUNTIF(W$2:W799, $A602) &gt; 0,TRUE,IFERROR(0/0,""))</f>
        <v/>
      </c>
      <c r="T602" s="261" t="str">
        <f t="shared" si="1211"/>
        <v/>
      </c>
      <c r="U602" s="257" t="str">
        <f t="array" ref="U602">IF(ISBLANK($R602), INDEX('Run Reconcile'!A$2:A799, MATCH($B602, 'Run Reconcile'!B$2:B799, 0)+Z602, 1), IFERROR(0/0,""))
</f>
        <v>RUN-BEND_2022-03-01_RFR-043</v>
      </c>
      <c r="V602" s="258" t="str">
        <f t="shared" si="480"/>
        <v>RUN-BEND_2022-03-01_RFR-043</v>
      </c>
      <c r="Y602" s="130" t="str">
        <f t="shared" si="487"/>
        <v/>
      </c>
      <c r="Z602" s="49" t="str">
        <f t="shared" si="7"/>
        <v/>
      </c>
      <c r="AA602" s="49" t="str">
        <f t="shared" si="8"/>
        <v/>
      </c>
      <c r="AB602" s="49" t="str">
        <f t="shared" si="9"/>
        <v/>
      </c>
      <c r="AC602" s="20" t="str">
        <f t="shared" ref="AC602:AD602" si="1212">IF(_xlfn.ISFORMULA(S602),IFERROR(0/0,""),TRUE)</f>
        <v/>
      </c>
      <c r="AD602" s="20" t="str">
        <f t="shared" si="1212"/>
        <v/>
      </c>
      <c r="AE602" s="43"/>
      <c r="AF602" s="62" t="s">
        <v>64</v>
      </c>
      <c r="AG602" s="57" t="str">
        <f t="shared" si="11"/>
        <v/>
      </c>
    </row>
    <row r="603">
      <c r="A603" s="6" t="str">
        <f>IFERROR(__xludf.DUMMYFUNCTION("""COMPUTED_VALUE"""),"FM799")</f>
        <v>FM799</v>
      </c>
      <c r="B603" s="204">
        <f>IFERROR(__xludf.DUMMYFUNCTION("""COMPUTED_VALUE"""),44621.0)</f>
        <v>44621</v>
      </c>
      <c r="C603" s="250">
        <f>IFERROR(__xludf.DUMMYFUNCTION("""COMPUTED_VALUE"""),0.44513888888888886)</f>
        <v>0.4451388889</v>
      </c>
      <c r="D603" s="6" t="str">
        <f>IFERROR(__xludf.DUMMYFUNCTION("""COMPUTED_VALUE"""),"SpBEND914710")</f>
        <v>SpBEND914710</v>
      </c>
      <c r="E603" s="251"/>
      <c r="F603" s="251"/>
      <c r="G603" s="251" t="str">
        <f>IFERROR(__xludf.DUMMYFUNCTION("""COMPUTED_VALUE"""),"Negative")</f>
        <v>Negative</v>
      </c>
      <c r="H603" s="262" t="str">
        <f>IFERROR(__xludf.DUMMYFUNCTION("""COMPUTED_VALUE"""),"Negative")</f>
        <v>Negative</v>
      </c>
      <c r="I603" s="204">
        <f>IFERROR(__xludf.DUMMYFUNCTION("""COMPUTED_VALUE"""),44623.0)</f>
        <v>44623</v>
      </c>
      <c r="J603" s="252">
        <f>IFERROR(__xludf.DUMMYFUNCTION("""COMPUTED_VALUE"""),0.4605787037037037)</f>
        <v>0.4605787037</v>
      </c>
      <c r="K603" s="56"/>
      <c r="L603" s="6"/>
      <c r="M603" s="61"/>
      <c r="N603" s="61">
        <f>IFERROR(__xludf.DUMMYFUNCTION("""COMPUTED_VALUE"""),1.0)</f>
        <v>1</v>
      </c>
      <c r="O603" s="61" t="str">
        <f t="shared" si="3"/>
        <v/>
      </c>
      <c r="P603" s="253">
        <f>IFERROR(__xludf.DUMMYFUNCTION("""COMPUTED_VALUE"""),2.0)</f>
        <v>2</v>
      </c>
      <c r="Q603" s="254" t="str">
        <f>VLOOKUP($B603,'Run Reconcile'!B$2:O799,14,FALSE)</f>
        <v/>
      </c>
      <c r="R603" s="255" t="str">
        <f t="array" ref="R603">IF($Q603, INDEX('Run Reconcile'!A$2:A799,MATCH(B603,'Run Reconcile'!B$2:B799,0),1),IFERROR(0/0,""))</f>
        <v/>
      </c>
      <c r="S603" s="261" t="str">
        <f t="shared" ref="S603:T603" si="1213">IF(COUNTIF(W$2:W799, $A603) &gt; 0,TRUE,IFERROR(0/0,""))</f>
        <v/>
      </c>
      <c r="T603" s="261" t="str">
        <f t="shared" si="1213"/>
        <v/>
      </c>
      <c r="U603" s="257" t="str">
        <f t="array" ref="U603">IF(ISBLANK($R603), INDEX('Run Reconcile'!A$2:A799, MATCH($B603, 'Run Reconcile'!B$2:B799, 0)+Z603, 1), IFERROR(0/0,""))
</f>
        <v>RUN-BEND_2022-03-01_RFR-043</v>
      </c>
      <c r="V603" s="258" t="str">
        <f t="shared" si="480"/>
        <v>RUN-BEND_2022-03-01_RFR-043</v>
      </c>
      <c r="Y603" s="130" t="str">
        <f t="shared" si="487"/>
        <v/>
      </c>
      <c r="Z603" s="49" t="str">
        <f t="shared" si="7"/>
        <v/>
      </c>
      <c r="AA603" s="49" t="str">
        <f t="shared" si="8"/>
        <v/>
      </c>
      <c r="AB603" s="49" t="str">
        <f t="shared" si="9"/>
        <v/>
      </c>
      <c r="AC603" s="20" t="str">
        <f t="shared" ref="AC603:AD603" si="1214">IF(_xlfn.ISFORMULA(S603),IFERROR(0/0,""),TRUE)</f>
        <v/>
      </c>
      <c r="AD603" s="20" t="str">
        <f t="shared" si="1214"/>
        <v/>
      </c>
      <c r="AE603" s="43"/>
      <c r="AF603" s="62" t="s">
        <v>64</v>
      </c>
      <c r="AG603" s="57" t="str">
        <f t="shared" si="11"/>
        <v/>
      </c>
    </row>
    <row r="604">
      <c r="A604" s="6" t="str">
        <f>IFERROR(__xludf.DUMMYFUNCTION("""COMPUTED_VALUE"""),"FM2090")</f>
        <v>FM2090</v>
      </c>
      <c r="B604" s="204">
        <f>IFERROR(__xludf.DUMMYFUNCTION("""COMPUTED_VALUE"""),44621.0)</f>
        <v>44621</v>
      </c>
      <c r="C604" s="250">
        <f>IFERROR(__xludf.DUMMYFUNCTION("""COMPUTED_VALUE"""),0.4674652777777778)</f>
        <v>0.4674652778</v>
      </c>
      <c r="D604" s="6" t="str">
        <f>IFERROR(__xludf.DUMMYFUNCTION("""COMPUTED_VALUE"""),"SpBEND110967")</f>
        <v>SpBEND110967</v>
      </c>
      <c r="E604" s="251"/>
      <c r="F604" s="251"/>
      <c r="G604" s="251" t="str">
        <f>IFERROR(__xludf.DUMMYFUNCTION("""COMPUTED_VALUE"""),"Negative")</f>
        <v>Negative</v>
      </c>
      <c r="H604" s="262" t="str">
        <f>IFERROR(__xludf.DUMMYFUNCTION("""COMPUTED_VALUE"""),"Negative")</f>
        <v>Negative</v>
      </c>
      <c r="I604" s="204">
        <f>IFERROR(__xludf.DUMMYFUNCTION("""COMPUTED_VALUE"""),44627.0)</f>
        <v>44627</v>
      </c>
      <c r="J604" s="252">
        <f>IFERROR(__xludf.DUMMYFUNCTION("""COMPUTED_VALUE"""),0.47792824074074075)</f>
        <v>0.4779282407</v>
      </c>
      <c r="K604" s="56"/>
      <c r="L604" s="6"/>
      <c r="M604" s="61"/>
      <c r="N604" s="61">
        <f>IFERROR(__xludf.DUMMYFUNCTION("""COMPUTED_VALUE"""),1.0)</f>
        <v>1</v>
      </c>
      <c r="O604" s="61" t="str">
        <f t="shared" si="3"/>
        <v/>
      </c>
      <c r="P604" s="253">
        <f>IFERROR(__xludf.DUMMYFUNCTION("""COMPUTED_VALUE"""),6.0)</f>
        <v>6</v>
      </c>
      <c r="Q604" s="254" t="str">
        <f>VLOOKUP($B604,'Run Reconcile'!B$2:O799,14,FALSE)</f>
        <v/>
      </c>
      <c r="R604" s="255" t="str">
        <f t="array" ref="R604">IF($Q604, INDEX('Run Reconcile'!A$2:A799,MATCH(B604,'Run Reconcile'!B$2:B799,0),1),IFERROR(0/0,""))</f>
        <v/>
      </c>
      <c r="S604" s="261" t="str">
        <f t="shared" ref="S604:T604" si="1215">IF(COUNTIF(W$2:W799, $A604) &gt; 0,TRUE,IFERROR(0/0,""))</f>
        <v/>
      </c>
      <c r="T604" s="261" t="str">
        <f t="shared" si="1215"/>
        <v/>
      </c>
      <c r="U604" s="257" t="str">
        <f t="array" ref="U604">IF(ISBLANK($R604), INDEX('Run Reconcile'!A$2:A799, MATCH($B604, 'Run Reconcile'!B$2:B799, 0)+Z604, 1), IFERROR(0/0,""))
</f>
        <v>RUN-BEND_2022-03-01_RFR-043</v>
      </c>
      <c r="V604" s="258" t="str">
        <f t="shared" si="480"/>
        <v>RUN-BEND_2022-03-01_RFR-043</v>
      </c>
      <c r="Y604" s="130" t="str">
        <f t="shared" si="487"/>
        <v/>
      </c>
      <c r="Z604" s="49" t="str">
        <f t="shared" si="7"/>
        <v/>
      </c>
      <c r="AA604" s="49" t="str">
        <f t="shared" si="8"/>
        <v/>
      </c>
      <c r="AB604" s="49" t="str">
        <f t="shared" si="9"/>
        <v/>
      </c>
      <c r="AC604" s="20" t="str">
        <f t="shared" ref="AC604:AD604" si="1216">IF(_xlfn.ISFORMULA(S604),IFERROR(0/0,""),TRUE)</f>
        <v/>
      </c>
      <c r="AD604" s="20" t="str">
        <f t="shared" si="1216"/>
        <v/>
      </c>
      <c r="AE604" s="43"/>
      <c r="AF604" s="62" t="s">
        <v>64</v>
      </c>
      <c r="AG604" s="57" t="str">
        <f t="shared" si="11"/>
        <v/>
      </c>
    </row>
    <row r="605">
      <c r="A605" s="6" t="str">
        <f>IFERROR(__xludf.DUMMYFUNCTION("""COMPUTED_VALUE"""),"MA1251")</f>
        <v>MA1251</v>
      </c>
      <c r="B605" s="204">
        <f>IFERROR(__xludf.DUMMYFUNCTION("""COMPUTED_VALUE"""),44621.0)</f>
        <v>44621</v>
      </c>
      <c r="C605" s="250">
        <f>IFERROR(__xludf.DUMMYFUNCTION("""COMPUTED_VALUE"""),0.46792824074074074)</f>
        <v>0.4679282407</v>
      </c>
      <c r="D605" s="6" t="str">
        <f>IFERROR(__xludf.DUMMYFUNCTION("""COMPUTED_VALUE"""),"SpBEND110967")</f>
        <v>SpBEND110967</v>
      </c>
      <c r="E605" s="251"/>
      <c r="F605" s="251"/>
      <c r="G605" s="251" t="str">
        <f>IFERROR(__xludf.DUMMYFUNCTION("""COMPUTED_VALUE"""),"Negative")</f>
        <v>Negative</v>
      </c>
      <c r="H605" s="262" t="str">
        <f>IFERROR(__xludf.DUMMYFUNCTION("""COMPUTED_VALUE"""),"Negative")</f>
        <v>Negative</v>
      </c>
      <c r="I605" s="204">
        <f>IFERROR(__xludf.DUMMYFUNCTION("""COMPUTED_VALUE"""),44627.0)</f>
        <v>44627</v>
      </c>
      <c r="J605" s="252">
        <f>IFERROR(__xludf.DUMMYFUNCTION("""COMPUTED_VALUE"""),0.4779398148148148)</f>
        <v>0.4779398148</v>
      </c>
      <c r="K605" s="56"/>
      <c r="L605" s="6"/>
      <c r="M605" s="61"/>
      <c r="N605" s="61">
        <f>IFERROR(__xludf.DUMMYFUNCTION("""COMPUTED_VALUE"""),1.0)</f>
        <v>1</v>
      </c>
      <c r="O605" s="61" t="str">
        <f t="shared" si="3"/>
        <v/>
      </c>
      <c r="P605" s="253">
        <f>IFERROR(__xludf.DUMMYFUNCTION("""COMPUTED_VALUE"""),6.0)</f>
        <v>6</v>
      </c>
      <c r="Q605" s="254" t="str">
        <f>VLOOKUP($B605,'Run Reconcile'!B$2:O799,14,FALSE)</f>
        <v/>
      </c>
      <c r="R605" s="255" t="str">
        <f t="array" ref="R605">IF($Q605, INDEX('Run Reconcile'!A$2:A799,MATCH(B605,'Run Reconcile'!B$2:B799,0),1),IFERROR(0/0,""))</f>
        <v/>
      </c>
      <c r="S605" s="261" t="str">
        <f t="shared" ref="S605:T605" si="1217">IF(COUNTIF(W$2:W799, $A605) &gt; 0,TRUE,IFERROR(0/0,""))</f>
        <v/>
      </c>
      <c r="T605" s="261" t="str">
        <f t="shared" si="1217"/>
        <v/>
      </c>
      <c r="U605" s="257" t="str">
        <f t="array" ref="U605">IF(ISBLANK($R605), INDEX('Run Reconcile'!A$2:A799, MATCH($B605, 'Run Reconcile'!B$2:B799, 0)+Z605, 1), IFERROR(0/0,""))
</f>
        <v>RUN-BEND_2022-03-01_RFR-043</v>
      </c>
      <c r="V605" s="258" t="str">
        <f t="shared" si="480"/>
        <v>RUN-BEND_2022-03-01_RFR-043</v>
      </c>
      <c r="Y605" s="130" t="str">
        <f t="shared" si="487"/>
        <v/>
      </c>
      <c r="Z605" s="49" t="str">
        <f t="shared" si="7"/>
        <v/>
      </c>
      <c r="AA605" s="49" t="str">
        <f t="shared" si="8"/>
        <v/>
      </c>
      <c r="AB605" s="49" t="str">
        <f t="shared" si="9"/>
        <v/>
      </c>
      <c r="AC605" s="20" t="str">
        <f t="shared" ref="AC605:AD605" si="1218">IF(_xlfn.ISFORMULA(S605),IFERROR(0/0,""),TRUE)</f>
        <v/>
      </c>
      <c r="AD605" s="20" t="str">
        <f t="shared" si="1218"/>
        <v/>
      </c>
      <c r="AE605" s="43"/>
      <c r="AF605" s="62" t="s">
        <v>64</v>
      </c>
      <c r="AG605" s="57" t="str">
        <f t="shared" si="11"/>
        <v/>
      </c>
    </row>
    <row r="606">
      <c r="A606" s="6" t="str">
        <f>IFERROR(__xludf.DUMMYFUNCTION("""COMPUTED_VALUE"""),"MA1293")</f>
        <v>MA1293</v>
      </c>
      <c r="B606" s="204">
        <f>IFERROR(__xludf.DUMMYFUNCTION("""COMPUTED_VALUE"""),44621.0)</f>
        <v>44621</v>
      </c>
      <c r="C606" s="250">
        <f>IFERROR(__xludf.DUMMYFUNCTION("""COMPUTED_VALUE"""),0.46814814814814815)</f>
        <v>0.4681481481</v>
      </c>
      <c r="D606" s="6" t="str">
        <f>IFERROR(__xludf.DUMMYFUNCTION("""COMPUTED_VALUE"""),"SpBEND110967")</f>
        <v>SpBEND110967</v>
      </c>
      <c r="E606" s="251"/>
      <c r="F606" s="251"/>
      <c r="G606" s="251" t="str">
        <f>IFERROR(__xludf.DUMMYFUNCTION("""COMPUTED_VALUE"""),"Negative")</f>
        <v>Negative</v>
      </c>
      <c r="H606" s="264" t="str">
        <f>IFERROR(__xludf.DUMMYFUNCTION("""COMPUTED_VALUE"""),"Negative")</f>
        <v>Negative</v>
      </c>
      <c r="I606" s="263">
        <f>IFERROR(__xludf.DUMMYFUNCTION("""COMPUTED_VALUE"""),44627.0)</f>
        <v>44627</v>
      </c>
      <c r="J606" s="252">
        <f>IFERROR(__xludf.DUMMYFUNCTION("""COMPUTED_VALUE"""),0.4779398148148148)</f>
        <v>0.4779398148</v>
      </c>
      <c r="K606" s="56"/>
      <c r="L606" s="6"/>
      <c r="M606" s="61"/>
      <c r="N606" s="61">
        <f>IFERROR(__xludf.DUMMYFUNCTION("""COMPUTED_VALUE"""),1.0)</f>
        <v>1</v>
      </c>
      <c r="O606" s="61" t="str">
        <f t="shared" si="3"/>
        <v/>
      </c>
      <c r="P606" s="253">
        <f>IFERROR(__xludf.DUMMYFUNCTION("""COMPUTED_VALUE"""),6.0)</f>
        <v>6</v>
      </c>
      <c r="Q606" s="254" t="str">
        <f>VLOOKUP($B606,'Run Reconcile'!B$2:O799,14,FALSE)</f>
        <v/>
      </c>
      <c r="R606" s="255" t="str">
        <f t="array" ref="R606">IF($Q606, INDEX('Run Reconcile'!A$2:A799,MATCH(B606,'Run Reconcile'!B$2:B799,0),1),IFERROR(0/0,""))</f>
        <v/>
      </c>
      <c r="S606" s="261" t="str">
        <f t="shared" ref="S606:T606" si="1219">IF(COUNTIF(W$2:W799, $A606) &gt; 0,TRUE,IFERROR(0/0,""))</f>
        <v/>
      </c>
      <c r="T606" s="261" t="str">
        <f t="shared" si="1219"/>
        <v/>
      </c>
      <c r="U606" s="257" t="str">
        <f t="array" ref="U606">IF(ISBLANK($R606), INDEX('Run Reconcile'!A$2:A799, MATCH($B606, 'Run Reconcile'!B$2:B799, 0)+Z606, 1), IFERROR(0/0,""))
</f>
        <v>RUN-BEND_2022-03-01_RFR-043</v>
      </c>
      <c r="V606" s="258" t="str">
        <f t="shared" si="480"/>
        <v>RUN-BEND_2022-03-01_RFR-043</v>
      </c>
      <c r="Y606" s="130" t="str">
        <f t="shared" si="487"/>
        <v/>
      </c>
      <c r="Z606" s="49" t="str">
        <f t="shared" si="7"/>
        <v/>
      </c>
      <c r="AA606" s="49" t="str">
        <f t="shared" si="8"/>
        <v/>
      </c>
      <c r="AB606" s="49" t="str">
        <f t="shared" si="9"/>
        <v/>
      </c>
      <c r="AC606" s="20" t="str">
        <f t="shared" ref="AC606:AD606" si="1220">IF(_xlfn.ISFORMULA(S606),IFERROR(0/0,""),TRUE)</f>
        <v/>
      </c>
      <c r="AD606" s="20" t="str">
        <f t="shared" si="1220"/>
        <v/>
      </c>
      <c r="AE606" s="43"/>
      <c r="AF606" s="62" t="s">
        <v>64</v>
      </c>
      <c r="AG606" s="57" t="str">
        <f t="shared" si="11"/>
        <v/>
      </c>
    </row>
    <row r="607">
      <c r="A607" s="6" t="str">
        <f>IFERROR(__xludf.DUMMYFUNCTION("""COMPUTED_VALUE"""),"FM2083")</f>
        <v>FM2083</v>
      </c>
      <c r="B607" s="204">
        <f>IFERROR(__xludf.DUMMYFUNCTION("""COMPUTED_VALUE"""),44623.0)</f>
        <v>44623</v>
      </c>
      <c r="C607" s="250">
        <f>IFERROR(__xludf.DUMMYFUNCTION("""COMPUTED_VALUE"""),0.29432870370370373)</f>
        <v>0.2943287037</v>
      </c>
      <c r="D607" s="6" t="str">
        <f>IFERROR(__xludf.DUMMYFUNCTION("""COMPUTED_VALUE"""),"SpBEND996809")</f>
        <v>SpBEND996809</v>
      </c>
      <c r="E607" s="251"/>
      <c r="F607" s="251"/>
      <c r="G607" s="251" t="str">
        <f>IFERROR(__xludf.DUMMYFUNCTION("""COMPUTED_VALUE"""),"Negative")</f>
        <v>Negative</v>
      </c>
      <c r="H607" s="262" t="str">
        <f>IFERROR(__xludf.DUMMYFUNCTION("""COMPUTED_VALUE"""),"Negative")</f>
        <v>Negative</v>
      </c>
      <c r="I607" s="204">
        <f>IFERROR(__xludf.DUMMYFUNCTION("""COMPUTED_VALUE"""),44623.0)</f>
        <v>44623</v>
      </c>
      <c r="J607" s="252">
        <f>IFERROR(__xludf.DUMMYFUNCTION("""COMPUTED_VALUE"""),0.4605902777777778)</f>
        <v>0.4605902778</v>
      </c>
      <c r="K607" s="56"/>
      <c r="L607" s="6"/>
      <c r="M607" s="61"/>
      <c r="N607" s="61">
        <f>IFERROR(__xludf.DUMMYFUNCTION("""COMPUTED_VALUE"""),1.0)</f>
        <v>1</v>
      </c>
      <c r="O607" s="61" t="b">
        <f t="shared" si="3"/>
        <v>1</v>
      </c>
      <c r="P607" s="253">
        <f>IFERROR(__xludf.DUMMYFUNCTION("""COMPUTED_VALUE"""),0.0)</f>
        <v>0</v>
      </c>
      <c r="Q607" s="254" t="b">
        <f>VLOOKUP($B607,'Run Reconcile'!B$2:O799,14,FALSE)</f>
        <v>1</v>
      </c>
      <c r="R607" s="255" t="str">
        <f t="array" ref="R607">IF($Q607, INDEX('Run Reconcile'!A$2:A799,MATCH(B607,'Run Reconcile'!B$2:B799,0),1),IFERROR(0/0,""))</f>
        <v>RUN-BEND_2022-03-03_RFR-044</v>
      </c>
      <c r="S607" s="261" t="str">
        <f t="shared" ref="S607:T607" si="1221">IF(COUNTIF(W$2:W799, $A607) &gt; 0,TRUE,IFERROR(0/0,""))</f>
        <v/>
      </c>
      <c r="T607" s="261" t="str">
        <f t="shared" si="1221"/>
        <v/>
      </c>
      <c r="U607" s="257" t="str">
        <f t="array" ref="U607">IF(ISBLANK($R607), INDEX('Run Reconcile'!A$2:A799, MATCH($B607, 'Run Reconcile'!B$2:B799, 0)+Z607, 1), IFERROR(0/0,""))
</f>
        <v/>
      </c>
      <c r="V607" s="258" t="str">
        <f t="shared" si="480"/>
        <v>RUN-BEND_2022-03-03_RFR-044</v>
      </c>
      <c r="Y607" s="130" t="str">
        <f t="shared" si="487"/>
        <v/>
      </c>
      <c r="Z607" s="49" t="str">
        <f t="shared" si="7"/>
        <v/>
      </c>
      <c r="AA607" s="49" t="str">
        <f t="shared" si="8"/>
        <v/>
      </c>
      <c r="AB607" s="49" t="str">
        <f t="shared" si="9"/>
        <v/>
      </c>
      <c r="AC607" s="20" t="str">
        <f t="shared" ref="AC607:AD607" si="1222">IF(_xlfn.ISFORMULA(S607),IFERROR(0/0,""),TRUE)</f>
        <v/>
      </c>
      <c r="AD607" s="20" t="str">
        <f t="shared" si="1222"/>
        <v/>
      </c>
      <c r="AE607" s="43"/>
      <c r="AF607" s="62" t="s">
        <v>65</v>
      </c>
      <c r="AG607" s="57" t="str">
        <f t="shared" si="11"/>
        <v/>
      </c>
    </row>
    <row r="608">
      <c r="A608" s="6" t="str">
        <f>IFERROR(__xludf.DUMMYFUNCTION("""COMPUTED_VALUE"""),"FM1917")</f>
        <v>FM1917</v>
      </c>
      <c r="B608" s="204">
        <f>IFERROR(__xludf.DUMMYFUNCTION("""COMPUTED_VALUE"""),44623.0)</f>
        <v>44623</v>
      </c>
      <c r="C608" s="250">
        <f>IFERROR(__xludf.DUMMYFUNCTION("""COMPUTED_VALUE"""),0.2961574074074074)</f>
        <v>0.2961574074</v>
      </c>
      <c r="D608" s="6" t="str">
        <f>IFERROR(__xludf.DUMMYFUNCTION("""COMPUTED_VALUE"""),"SpBEND757435")</f>
        <v>SpBEND757435</v>
      </c>
      <c r="E608" s="251"/>
      <c r="F608" s="251"/>
      <c r="G608" s="251" t="str">
        <f>IFERROR(__xludf.DUMMYFUNCTION("""COMPUTED_VALUE"""),"Negative")</f>
        <v>Negative</v>
      </c>
      <c r="H608" s="262" t="str">
        <f>IFERROR(__xludf.DUMMYFUNCTION("""COMPUTED_VALUE"""),"Negative")</f>
        <v>Negative</v>
      </c>
      <c r="I608" s="204">
        <f>IFERROR(__xludf.DUMMYFUNCTION("""COMPUTED_VALUE"""),44623.0)</f>
        <v>44623</v>
      </c>
      <c r="J608" s="252">
        <f>IFERROR(__xludf.DUMMYFUNCTION("""COMPUTED_VALUE"""),0.4605902777777778)</f>
        <v>0.4605902778</v>
      </c>
      <c r="K608" s="56"/>
      <c r="L608" s="6"/>
      <c r="M608" s="61"/>
      <c r="N608" s="61">
        <f>IFERROR(__xludf.DUMMYFUNCTION("""COMPUTED_VALUE"""),1.0)</f>
        <v>1</v>
      </c>
      <c r="O608" s="61" t="str">
        <f t="shared" si="3"/>
        <v/>
      </c>
      <c r="P608" s="253">
        <f>IFERROR(__xludf.DUMMYFUNCTION("""COMPUTED_VALUE"""),0.0)</f>
        <v>0</v>
      </c>
      <c r="Q608" s="254" t="b">
        <f>VLOOKUP($B608,'Run Reconcile'!B$2:O799,14,FALSE)</f>
        <v>1</v>
      </c>
      <c r="R608" s="255" t="str">
        <f t="array" ref="R608">IF($Q608, INDEX('Run Reconcile'!A$2:A799,MATCH(B608,'Run Reconcile'!B$2:B799,0),1),IFERROR(0/0,""))</f>
        <v>RUN-BEND_2022-03-03_RFR-044</v>
      </c>
      <c r="S608" s="261" t="str">
        <f t="shared" ref="S608:T608" si="1223">IF(COUNTIF(W$2:W799, $A608) &gt; 0,TRUE,IFERROR(0/0,""))</f>
        <v/>
      </c>
      <c r="T608" s="261" t="str">
        <f t="shared" si="1223"/>
        <v/>
      </c>
      <c r="U608" s="257" t="str">
        <f t="array" ref="U608">IF(ISBLANK($R608), INDEX('Run Reconcile'!A$2:A799, MATCH($B608, 'Run Reconcile'!B$2:B799, 0)+Z608, 1), IFERROR(0/0,""))
</f>
        <v/>
      </c>
      <c r="V608" s="258" t="str">
        <f t="shared" si="480"/>
        <v>RUN-BEND_2022-03-03_RFR-044</v>
      </c>
      <c r="Y608" s="130" t="str">
        <f t="shared" si="487"/>
        <v/>
      </c>
      <c r="Z608" s="49" t="str">
        <f t="shared" si="7"/>
        <v/>
      </c>
      <c r="AA608" s="49" t="str">
        <f t="shared" si="8"/>
        <v/>
      </c>
      <c r="AB608" s="49" t="str">
        <f t="shared" si="9"/>
        <v/>
      </c>
      <c r="AC608" s="20" t="str">
        <f t="shared" ref="AC608:AD608" si="1224">IF(_xlfn.ISFORMULA(S608),IFERROR(0/0,""),TRUE)</f>
        <v/>
      </c>
      <c r="AD608" s="20" t="str">
        <f t="shared" si="1224"/>
        <v/>
      </c>
      <c r="AE608" s="43"/>
      <c r="AF608" s="62" t="s">
        <v>65</v>
      </c>
      <c r="AG608" s="57" t="str">
        <f t="shared" si="11"/>
        <v/>
      </c>
    </row>
    <row r="609">
      <c r="A609" s="6" t="str">
        <f>IFERROR(__xludf.DUMMYFUNCTION("""COMPUTED_VALUE"""),"FM114")</f>
        <v>FM114</v>
      </c>
      <c r="B609" s="204">
        <f>IFERROR(__xludf.DUMMYFUNCTION("""COMPUTED_VALUE"""),44623.0)</f>
        <v>44623</v>
      </c>
      <c r="C609" s="250">
        <f>IFERROR(__xludf.DUMMYFUNCTION("""COMPUTED_VALUE"""),0.30385416666666665)</f>
        <v>0.3038541667</v>
      </c>
      <c r="D609" s="6" t="str">
        <f>IFERROR(__xludf.DUMMYFUNCTION("""COMPUTED_VALUE"""),"SpBEND139600")</f>
        <v>SpBEND139600</v>
      </c>
      <c r="E609" s="251"/>
      <c r="F609" s="251"/>
      <c r="G609" s="251" t="str">
        <f>IFERROR(__xludf.DUMMYFUNCTION("""COMPUTED_VALUE"""),"Negative")</f>
        <v>Negative</v>
      </c>
      <c r="H609" s="262" t="str">
        <f>IFERROR(__xludf.DUMMYFUNCTION("""COMPUTED_VALUE"""),"Negative")</f>
        <v>Negative</v>
      </c>
      <c r="I609" s="204">
        <f>IFERROR(__xludf.DUMMYFUNCTION("""COMPUTED_VALUE"""),44623.0)</f>
        <v>44623</v>
      </c>
      <c r="J609" s="252">
        <f>IFERROR(__xludf.DUMMYFUNCTION("""COMPUTED_VALUE"""),0.4605902777777778)</f>
        <v>0.4605902778</v>
      </c>
      <c r="K609" s="56"/>
      <c r="L609" s="6"/>
      <c r="M609" s="61"/>
      <c r="N609" s="61">
        <f>IFERROR(__xludf.DUMMYFUNCTION("""COMPUTED_VALUE"""),1.0)</f>
        <v>1</v>
      </c>
      <c r="O609" s="61" t="str">
        <f t="shared" si="3"/>
        <v/>
      </c>
      <c r="P609" s="253">
        <f>IFERROR(__xludf.DUMMYFUNCTION("""COMPUTED_VALUE"""),0.0)</f>
        <v>0</v>
      </c>
      <c r="Q609" s="254" t="b">
        <f>VLOOKUP($B609,'Run Reconcile'!B$2:O799,14,FALSE)</f>
        <v>1</v>
      </c>
      <c r="R609" s="255" t="str">
        <f t="array" ref="R609">IF($Q609, INDEX('Run Reconcile'!A$2:A799,MATCH(B609,'Run Reconcile'!B$2:B799,0),1),IFERROR(0/0,""))</f>
        <v>RUN-BEND_2022-03-03_RFR-044</v>
      </c>
      <c r="S609" s="261" t="str">
        <f t="shared" ref="S609:T609" si="1225">IF(COUNTIF(W$2:W799, $A609) &gt; 0,TRUE,IFERROR(0/0,""))</f>
        <v/>
      </c>
      <c r="T609" s="261" t="str">
        <f t="shared" si="1225"/>
        <v/>
      </c>
      <c r="U609" s="257" t="str">
        <f t="array" ref="U609">IF(ISBLANK($R609), INDEX('Run Reconcile'!A$2:A799, MATCH($B609, 'Run Reconcile'!B$2:B799, 0)+Z609, 1), IFERROR(0/0,""))
</f>
        <v/>
      </c>
      <c r="V609" s="258" t="str">
        <f t="shared" si="480"/>
        <v>RUN-BEND_2022-03-03_RFR-044</v>
      </c>
      <c r="Y609" s="130" t="str">
        <f t="shared" si="487"/>
        <v/>
      </c>
      <c r="Z609" s="49" t="str">
        <f t="shared" si="7"/>
        <v/>
      </c>
      <c r="AA609" s="49" t="str">
        <f t="shared" si="8"/>
        <v/>
      </c>
      <c r="AB609" s="49" t="str">
        <f t="shared" si="9"/>
        <v/>
      </c>
      <c r="AC609" s="20" t="str">
        <f t="shared" ref="AC609:AD609" si="1226">IF(_xlfn.ISFORMULA(S609),IFERROR(0/0,""),TRUE)</f>
        <v/>
      </c>
      <c r="AD609" s="20" t="str">
        <f t="shared" si="1226"/>
        <v/>
      </c>
      <c r="AE609" s="43"/>
      <c r="AF609" s="62" t="s">
        <v>65</v>
      </c>
      <c r="AG609" s="57" t="str">
        <f t="shared" si="11"/>
        <v/>
      </c>
    </row>
    <row r="610">
      <c r="A610" s="6" t="str">
        <f>IFERROR(__xludf.DUMMYFUNCTION("""COMPUTED_VALUE"""),"FM13")</f>
        <v>FM13</v>
      </c>
      <c r="B610" s="204">
        <f>IFERROR(__xludf.DUMMYFUNCTION("""COMPUTED_VALUE"""),44623.0)</f>
        <v>44623</v>
      </c>
      <c r="C610" s="250">
        <f>IFERROR(__xludf.DUMMYFUNCTION("""COMPUTED_VALUE"""),0.3044791666666667)</f>
        <v>0.3044791667</v>
      </c>
      <c r="D610" s="6" t="str">
        <f>IFERROR(__xludf.DUMMYFUNCTION("""COMPUTED_VALUE"""),"SpBEND524085")</f>
        <v>SpBEND524085</v>
      </c>
      <c r="E610" s="251"/>
      <c r="F610" s="251"/>
      <c r="G610" s="251" t="str">
        <f>IFERROR(__xludf.DUMMYFUNCTION("""COMPUTED_VALUE"""),"Negative")</f>
        <v>Negative</v>
      </c>
      <c r="H610" s="262" t="str">
        <f>IFERROR(__xludf.DUMMYFUNCTION("""COMPUTED_VALUE"""),"Negative")</f>
        <v>Negative</v>
      </c>
      <c r="I610" s="204">
        <f>IFERROR(__xludf.DUMMYFUNCTION("""COMPUTED_VALUE"""),44623.0)</f>
        <v>44623</v>
      </c>
      <c r="J610" s="252">
        <f>IFERROR(__xludf.DUMMYFUNCTION("""COMPUTED_VALUE"""),0.4605902777777778)</f>
        <v>0.4605902778</v>
      </c>
      <c r="K610" s="56"/>
      <c r="L610" s="6"/>
      <c r="M610" s="61"/>
      <c r="N610" s="61">
        <f>IFERROR(__xludf.DUMMYFUNCTION("""COMPUTED_VALUE"""),1.0)</f>
        <v>1</v>
      </c>
      <c r="O610" s="61" t="str">
        <f t="shared" si="3"/>
        <v/>
      </c>
      <c r="P610" s="253">
        <f>IFERROR(__xludf.DUMMYFUNCTION("""COMPUTED_VALUE"""),0.0)</f>
        <v>0</v>
      </c>
      <c r="Q610" s="254" t="b">
        <f>VLOOKUP($B610,'Run Reconcile'!B$2:O799,14,FALSE)</f>
        <v>1</v>
      </c>
      <c r="R610" s="255" t="str">
        <f t="array" ref="R610">IF($Q610, INDEX('Run Reconcile'!A$2:A799,MATCH(B610,'Run Reconcile'!B$2:B799,0),1),IFERROR(0/0,""))</f>
        <v>RUN-BEND_2022-03-03_RFR-044</v>
      </c>
      <c r="S610" s="261" t="str">
        <f t="shared" ref="S610:T610" si="1227">IF(COUNTIF(W$2:W799, $A610) &gt; 0,TRUE,IFERROR(0/0,""))</f>
        <v/>
      </c>
      <c r="T610" s="261" t="str">
        <f t="shared" si="1227"/>
        <v/>
      </c>
      <c r="U610" s="257" t="str">
        <f t="array" ref="U610">IF(ISBLANK($R610), INDEX('Run Reconcile'!A$2:A799, MATCH($B610, 'Run Reconcile'!B$2:B799, 0)+Z610, 1), IFERROR(0/0,""))
</f>
        <v/>
      </c>
      <c r="V610" s="258" t="str">
        <f t="shared" si="480"/>
        <v>RUN-BEND_2022-03-03_RFR-044</v>
      </c>
      <c r="Y610" s="130" t="str">
        <f t="shared" si="487"/>
        <v/>
      </c>
      <c r="Z610" s="49" t="str">
        <f t="shared" si="7"/>
        <v/>
      </c>
      <c r="AA610" s="49" t="str">
        <f t="shared" si="8"/>
        <v/>
      </c>
      <c r="AB610" s="49" t="str">
        <f t="shared" si="9"/>
        <v/>
      </c>
      <c r="AC610" s="20" t="str">
        <f t="shared" ref="AC610:AD610" si="1228">IF(_xlfn.ISFORMULA(S610),IFERROR(0/0,""),TRUE)</f>
        <v/>
      </c>
      <c r="AD610" s="20" t="str">
        <f t="shared" si="1228"/>
        <v/>
      </c>
      <c r="AE610" s="43"/>
      <c r="AF610" s="62" t="s">
        <v>65</v>
      </c>
      <c r="AG610" s="57" t="str">
        <f t="shared" si="11"/>
        <v/>
      </c>
    </row>
    <row r="611">
      <c r="A611" s="6" t="str">
        <f>IFERROR(__xludf.DUMMYFUNCTION("""COMPUTED_VALUE"""),"FM436")</f>
        <v>FM436</v>
      </c>
      <c r="B611" s="204">
        <f>IFERROR(__xludf.DUMMYFUNCTION("""COMPUTED_VALUE"""),44623.0)</f>
        <v>44623</v>
      </c>
      <c r="C611" s="250">
        <f>IFERROR(__xludf.DUMMYFUNCTION("""COMPUTED_VALUE"""),0.3051388888888889)</f>
        <v>0.3051388889</v>
      </c>
      <c r="D611" s="6" t="str">
        <f>IFERROR(__xludf.DUMMYFUNCTION("""COMPUTED_VALUE"""),"SpBEND474338")</f>
        <v>SpBEND474338</v>
      </c>
      <c r="E611" s="251"/>
      <c r="F611" s="251"/>
      <c r="G611" s="251" t="str">
        <f>IFERROR(__xludf.DUMMYFUNCTION("""COMPUTED_VALUE"""),"Negative")</f>
        <v>Negative</v>
      </c>
      <c r="H611" s="262" t="str">
        <f>IFERROR(__xludf.DUMMYFUNCTION("""COMPUTED_VALUE"""),"Negative")</f>
        <v>Negative</v>
      </c>
      <c r="I611" s="204">
        <f>IFERROR(__xludf.DUMMYFUNCTION("""COMPUTED_VALUE"""),44623.0)</f>
        <v>44623</v>
      </c>
      <c r="J611" s="252">
        <f>IFERROR(__xludf.DUMMYFUNCTION("""COMPUTED_VALUE"""),0.4605902777777778)</f>
        <v>0.4605902778</v>
      </c>
      <c r="K611" s="56"/>
      <c r="L611" s="6"/>
      <c r="M611" s="61"/>
      <c r="N611" s="61">
        <f>IFERROR(__xludf.DUMMYFUNCTION("""COMPUTED_VALUE"""),1.0)</f>
        <v>1</v>
      </c>
      <c r="O611" s="61" t="str">
        <f t="shared" si="3"/>
        <v/>
      </c>
      <c r="P611" s="253">
        <f>IFERROR(__xludf.DUMMYFUNCTION("""COMPUTED_VALUE"""),0.0)</f>
        <v>0</v>
      </c>
      <c r="Q611" s="254" t="b">
        <f>VLOOKUP($B611,'Run Reconcile'!B$2:O799,14,FALSE)</f>
        <v>1</v>
      </c>
      <c r="R611" s="255" t="str">
        <f t="array" ref="R611">IF($Q611, INDEX('Run Reconcile'!A$2:A799,MATCH(B611,'Run Reconcile'!B$2:B799,0),1),IFERROR(0/0,""))</f>
        <v>RUN-BEND_2022-03-03_RFR-044</v>
      </c>
      <c r="S611" s="261" t="str">
        <f t="shared" ref="S611:T611" si="1229">IF(COUNTIF(W$2:W799, $A611) &gt; 0,TRUE,IFERROR(0/0,""))</f>
        <v/>
      </c>
      <c r="T611" s="261" t="str">
        <f t="shared" si="1229"/>
        <v/>
      </c>
      <c r="U611" s="257" t="str">
        <f t="array" ref="U611">IF(ISBLANK($R611), INDEX('Run Reconcile'!A$2:A799, MATCH($B611, 'Run Reconcile'!B$2:B799, 0)+Z611, 1), IFERROR(0/0,""))
</f>
        <v/>
      </c>
      <c r="V611" s="258" t="str">
        <f t="shared" si="480"/>
        <v>RUN-BEND_2022-03-03_RFR-044</v>
      </c>
      <c r="Y611" s="130" t="str">
        <f t="shared" si="487"/>
        <v/>
      </c>
      <c r="Z611" s="49" t="str">
        <f t="shared" si="7"/>
        <v/>
      </c>
      <c r="AA611" s="49" t="str">
        <f t="shared" si="8"/>
        <v/>
      </c>
      <c r="AB611" s="49" t="str">
        <f t="shared" si="9"/>
        <v/>
      </c>
      <c r="AC611" s="20" t="str">
        <f t="shared" ref="AC611:AD611" si="1230">IF(_xlfn.ISFORMULA(S611),IFERROR(0/0,""),TRUE)</f>
        <v/>
      </c>
      <c r="AD611" s="20" t="str">
        <f t="shared" si="1230"/>
        <v/>
      </c>
      <c r="AE611" s="43"/>
      <c r="AF611" s="62" t="s">
        <v>65</v>
      </c>
      <c r="AG611" s="57" t="str">
        <f t="shared" si="11"/>
        <v/>
      </c>
    </row>
    <row r="612">
      <c r="A612" s="6" t="str">
        <f>IFERROR(__xludf.DUMMYFUNCTION("""COMPUTED_VALUE"""),"FM2061")</f>
        <v>FM2061</v>
      </c>
      <c r="B612" s="204">
        <f>IFERROR(__xludf.DUMMYFUNCTION("""COMPUTED_VALUE"""),44623.0)</f>
        <v>44623</v>
      </c>
      <c r="C612" s="250">
        <f>IFERROR(__xludf.DUMMYFUNCTION("""COMPUTED_VALUE"""),0.3095717592592593)</f>
        <v>0.3095717593</v>
      </c>
      <c r="D612" s="6" t="str">
        <f>IFERROR(__xludf.DUMMYFUNCTION("""COMPUTED_VALUE"""),"SpBEND637657")</f>
        <v>SpBEND637657</v>
      </c>
      <c r="E612" s="251"/>
      <c r="F612" s="251"/>
      <c r="G612" s="251" t="str">
        <f>IFERROR(__xludf.DUMMYFUNCTION("""COMPUTED_VALUE"""),"Negative")</f>
        <v>Negative</v>
      </c>
      <c r="H612" s="262" t="str">
        <f>IFERROR(__xludf.DUMMYFUNCTION("""COMPUTED_VALUE"""),"Negative")</f>
        <v>Negative</v>
      </c>
      <c r="I612" s="204">
        <f>IFERROR(__xludf.DUMMYFUNCTION("""COMPUTED_VALUE"""),44623.0)</f>
        <v>44623</v>
      </c>
      <c r="J612" s="252">
        <f>IFERROR(__xludf.DUMMYFUNCTION("""COMPUTED_VALUE"""),0.4605902777777778)</f>
        <v>0.4605902778</v>
      </c>
      <c r="K612" s="56"/>
      <c r="L612" s="6"/>
      <c r="M612" s="61"/>
      <c r="N612" s="61">
        <f>IFERROR(__xludf.DUMMYFUNCTION("""COMPUTED_VALUE"""),1.0)</f>
        <v>1</v>
      </c>
      <c r="O612" s="61" t="str">
        <f t="shared" si="3"/>
        <v/>
      </c>
      <c r="P612" s="253">
        <f>IFERROR(__xludf.DUMMYFUNCTION("""COMPUTED_VALUE"""),0.0)</f>
        <v>0</v>
      </c>
      <c r="Q612" s="254" t="b">
        <f>VLOOKUP($B612,'Run Reconcile'!B$2:O799,14,FALSE)</f>
        <v>1</v>
      </c>
      <c r="R612" s="255" t="str">
        <f t="array" ref="R612">IF($Q612, INDEX('Run Reconcile'!A$2:A799,MATCH(B612,'Run Reconcile'!B$2:B799,0),1),IFERROR(0/0,""))</f>
        <v>RUN-BEND_2022-03-03_RFR-044</v>
      </c>
      <c r="S612" s="261" t="str">
        <f t="shared" ref="S612:T612" si="1231">IF(COUNTIF(W$2:W799, $A612) &gt; 0,TRUE,IFERROR(0/0,""))</f>
        <v/>
      </c>
      <c r="T612" s="261" t="str">
        <f t="shared" si="1231"/>
        <v/>
      </c>
      <c r="U612" s="257" t="str">
        <f t="array" ref="U612">IF(ISBLANK($R612), INDEX('Run Reconcile'!A$2:A799, MATCH($B612, 'Run Reconcile'!B$2:B799, 0)+Z612, 1), IFERROR(0/0,""))
</f>
        <v/>
      </c>
      <c r="V612" s="258" t="str">
        <f t="shared" si="480"/>
        <v>RUN-BEND_2022-03-03_RFR-044</v>
      </c>
      <c r="Y612" s="130" t="str">
        <f t="shared" si="487"/>
        <v/>
      </c>
      <c r="Z612" s="49" t="str">
        <f t="shared" si="7"/>
        <v/>
      </c>
      <c r="AA612" s="49" t="str">
        <f t="shared" si="8"/>
        <v/>
      </c>
      <c r="AB612" s="49" t="str">
        <f t="shared" si="9"/>
        <v/>
      </c>
      <c r="AC612" s="20" t="str">
        <f t="shared" ref="AC612:AD612" si="1232">IF(_xlfn.ISFORMULA(S612),IFERROR(0/0,""),TRUE)</f>
        <v/>
      </c>
      <c r="AD612" s="20" t="str">
        <f t="shared" si="1232"/>
        <v/>
      </c>
      <c r="AE612" s="43"/>
      <c r="AF612" s="62" t="s">
        <v>65</v>
      </c>
      <c r="AG612" s="57" t="str">
        <f t="shared" si="11"/>
        <v/>
      </c>
    </row>
    <row r="613">
      <c r="A613" s="6" t="str">
        <f>IFERROR(__xludf.DUMMYFUNCTION("""COMPUTED_VALUE"""),"FM813")</f>
        <v>FM813</v>
      </c>
      <c r="B613" s="204">
        <f>IFERROR(__xludf.DUMMYFUNCTION("""COMPUTED_VALUE"""),44623.0)</f>
        <v>44623</v>
      </c>
      <c r="C613" s="250">
        <f>IFERROR(__xludf.DUMMYFUNCTION("""COMPUTED_VALUE"""),0.3102662037037037)</f>
        <v>0.3102662037</v>
      </c>
      <c r="D613" s="6" t="str">
        <f>IFERROR(__xludf.DUMMYFUNCTION("""COMPUTED_VALUE"""),"SpBEND845509")</f>
        <v>SpBEND845509</v>
      </c>
      <c r="E613" s="251"/>
      <c r="F613" s="251"/>
      <c r="G613" s="251" t="str">
        <f>IFERROR(__xludf.DUMMYFUNCTION("""COMPUTED_VALUE"""),"Negative")</f>
        <v>Negative</v>
      </c>
      <c r="H613" s="262" t="str">
        <f>IFERROR(__xludf.DUMMYFUNCTION("""COMPUTED_VALUE"""),"Negative")</f>
        <v>Negative</v>
      </c>
      <c r="I613" s="204">
        <f>IFERROR(__xludf.DUMMYFUNCTION("""COMPUTED_VALUE"""),44623.0)</f>
        <v>44623</v>
      </c>
      <c r="J613" s="252">
        <f>IFERROR(__xludf.DUMMYFUNCTION("""COMPUTED_VALUE"""),0.4605902777777778)</f>
        <v>0.4605902778</v>
      </c>
      <c r="K613" s="56"/>
      <c r="L613" s="6"/>
      <c r="M613" s="61"/>
      <c r="N613" s="61">
        <f>IFERROR(__xludf.DUMMYFUNCTION("""COMPUTED_VALUE"""),1.0)</f>
        <v>1</v>
      </c>
      <c r="O613" s="61" t="str">
        <f t="shared" si="3"/>
        <v/>
      </c>
      <c r="P613" s="253">
        <f>IFERROR(__xludf.DUMMYFUNCTION("""COMPUTED_VALUE"""),0.0)</f>
        <v>0</v>
      </c>
      <c r="Q613" s="254" t="b">
        <f>VLOOKUP($B613,'Run Reconcile'!B$2:O799,14,FALSE)</f>
        <v>1</v>
      </c>
      <c r="R613" s="255" t="str">
        <f t="array" ref="R613">IF($Q613, INDEX('Run Reconcile'!A$2:A799,MATCH(B613,'Run Reconcile'!B$2:B799,0),1),IFERROR(0/0,""))</f>
        <v>RUN-BEND_2022-03-03_RFR-044</v>
      </c>
      <c r="S613" s="261" t="str">
        <f t="shared" ref="S613:T613" si="1233">IF(COUNTIF(W$2:W799, $A613) &gt; 0,TRUE,IFERROR(0/0,""))</f>
        <v/>
      </c>
      <c r="T613" s="261" t="str">
        <f t="shared" si="1233"/>
        <v/>
      </c>
      <c r="U613" s="257" t="str">
        <f t="array" ref="U613">IF(ISBLANK($R613), INDEX('Run Reconcile'!A$2:A799, MATCH($B613, 'Run Reconcile'!B$2:B799, 0)+Z613, 1), IFERROR(0/0,""))
</f>
        <v/>
      </c>
      <c r="V613" s="258" t="str">
        <f t="shared" si="480"/>
        <v>RUN-BEND_2022-03-03_RFR-044</v>
      </c>
      <c r="Y613" s="130" t="str">
        <f t="shared" si="487"/>
        <v/>
      </c>
      <c r="Z613" s="49" t="str">
        <f t="shared" si="7"/>
        <v/>
      </c>
      <c r="AA613" s="49" t="str">
        <f t="shared" si="8"/>
        <v/>
      </c>
      <c r="AB613" s="49" t="str">
        <f t="shared" si="9"/>
        <v/>
      </c>
      <c r="AC613" s="20" t="str">
        <f t="shared" ref="AC613:AD613" si="1234">IF(_xlfn.ISFORMULA(S613),IFERROR(0/0,""),TRUE)</f>
        <v/>
      </c>
      <c r="AD613" s="20" t="str">
        <f t="shared" si="1234"/>
        <v/>
      </c>
      <c r="AE613" s="43"/>
      <c r="AF613" s="62" t="s">
        <v>65</v>
      </c>
      <c r="AG613" s="57" t="str">
        <f t="shared" si="11"/>
        <v/>
      </c>
    </row>
    <row r="614">
      <c r="A614" s="6" t="str">
        <f>IFERROR(__xludf.DUMMYFUNCTION("""COMPUTED_VALUE"""),"FM2081")</f>
        <v>FM2081</v>
      </c>
      <c r="B614" s="204">
        <f>IFERROR(__xludf.DUMMYFUNCTION("""COMPUTED_VALUE"""),44623.0)</f>
        <v>44623</v>
      </c>
      <c r="C614" s="250">
        <f>IFERROR(__xludf.DUMMYFUNCTION("""COMPUTED_VALUE"""),0.3108680555555556)</f>
        <v>0.3108680556</v>
      </c>
      <c r="D614" s="6" t="str">
        <f>IFERROR(__xludf.DUMMYFUNCTION("""COMPUTED_VALUE"""),"SpBEND944634")</f>
        <v>SpBEND944634</v>
      </c>
      <c r="E614" s="251"/>
      <c r="F614" s="251"/>
      <c r="G614" s="251" t="str">
        <f>IFERROR(__xludf.DUMMYFUNCTION("""COMPUTED_VALUE"""),"Negative")</f>
        <v>Negative</v>
      </c>
      <c r="H614" s="262" t="str">
        <f>IFERROR(__xludf.DUMMYFUNCTION("""COMPUTED_VALUE"""),"Negative")</f>
        <v>Negative</v>
      </c>
      <c r="I614" s="204">
        <f>IFERROR(__xludf.DUMMYFUNCTION("""COMPUTED_VALUE"""),44623.0)</f>
        <v>44623</v>
      </c>
      <c r="J614" s="252">
        <f>IFERROR(__xludf.DUMMYFUNCTION("""COMPUTED_VALUE"""),0.4605902777777778)</f>
        <v>0.4605902778</v>
      </c>
      <c r="K614" s="56"/>
      <c r="L614" s="6"/>
      <c r="M614" s="61"/>
      <c r="N614" s="61">
        <f>IFERROR(__xludf.DUMMYFUNCTION("""COMPUTED_VALUE"""),1.0)</f>
        <v>1</v>
      </c>
      <c r="O614" s="61" t="str">
        <f t="shared" si="3"/>
        <v/>
      </c>
      <c r="P614" s="253">
        <f>IFERROR(__xludf.DUMMYFUNCTION("""COMPUTED_VALUE"""),0.0)</f>
        <v>0</v>
      </c>
      <c r="Q614" s="254" t="b">
        <f>VLOOKUP($B614,'Run Reconcile'!B$2:O799,14,FALSE)</f>
        <v>1</v>
      </c>
      <c r="R614" s="255" t="str">
        <f t="array" ref="R614">IF($Q614, INDEX('Run Reconcile'!A$2:A799,MATCH(B614,'Run Reconcile'!B$2:B799,0),1),IFERROR(0/0,""))</f>
        <v>RUN-BEND_2022-03-03_RFR-044</v>
      </c>
      <c r="S614" s="261" t="str">
        <f t="shared" ref="S614:T614" si="1235">IF(COUNTIF(W$2:W799, $A614) &gt; 0,TRUE,IFERROR(0/0,""))</f>
        <v/>
      </c>
      <c r="T614" s="261" t="str">
        <f t="shared" si="1235"/>
        <v/>
      </c>
      <c r="U614" s="257" t="str">
        <f t="array" ref="U614">IF(ISBLANK($R614), INDEX('Run Reconcile'!A$2:A799, MATCH($B614, 'Run Reconcile'!B$2:B799, 0)+Z614, 1), IFERROR(0/0,""))
</f>
        <v/>
      </c>
      <c r="V614" s="258" t="str">
        <f t="shared" si="480"/>
        <v>RUN-BEND_2022-03-03_RFR-044</v>
      </c>
      <c r="Y614" s="130" t="str">
        <f t="shared" si="487"/>
        <v/>
      </c>
      <c r="Z614" s="49" t="str">
        <f t="shared" si="7"/>
        <v/>
      </c>
      <c r="AA614" s="49" t="str">
        <f t="shared" si="8"/>
        <v/>
      </c>
      <c r="AB614" s="49" t="str">
        <f t="shared" si="9"/>
        <v/>
      </c>
      <c r="AC614" s="20" t="str">
        <f t="shared" ref="AC614:AD614" si="1236">IF(_xlfn.ISFORMULA(S614),IFERROR(0/0,""),TRUE)</f>
        <v/>
      </c>
      <c r="AD614" s="20" t="str">
        <f t="shared" si="1236"/>
        <v/>
      </c>
      <c r="AE614" s="43"/>
      <c r="AF614" s="62" t="s">
        <v>65</v>
      </c>
      <c r="AG614" s="57" t="str">
        <f t="shared" si="11"/>
        <v/>
      </c>
    </row>
    <row r="615">
      <c r="A615" s="6" t="str">
        <f>IFERROR(__xludf.DUMMYFUNCTION("""COMPUTED_VALUE"""),"FM2089")</f>
        <v>FM2089</v>
      </c>
      <c r="B615" s="204">
        <f>IFERROR(__xludf.DUMMYFUNCTION("""COMPUTED_VALUE"""),44623.0)</f>
        <v>44623</v>
      </c>
      <c r="C615" s="250">
        <f>IFERROR(__xludf.DUMMYFUNCTION("""COMPUTED_VALUE"""),0.31104166666666666)</f>
        <v>0.3110416667</v>
      </c>
      <c r="D615" s="6" t="str">
        <f>IFERROR(__xludf.DUMMYFUNCTION("""COMPUTED_VALUE"""),"SpBEND985296")</f>
        <v>SpBEND985296</v>
      </c>
      <c r="E615" s="251"/>
      <c r="F615" s="251"/>
      <c r="G615" s="251" t="str">
        <f>IFERROR(__xludf.DUMMYFUNCTION("""COMPUTED_VALUE"""),"Negative")</f>
        <v>Negative</v>
      </c>
      <c r="H615" s="262" t="str">
        <f>IFERROR(__xludf.DUMMYFUNCTION("""COMPUTED_VALUE"""),"Negative")</f>
        <v>Negative</v>
      </c>
      <c r="I615" s="204">
        <f>IFERROR(__xludf.DUMMYFUNCTION("""COMPUTED_VALUE"""),44623.0)</f>
        <v>44623</v>
      </c>
      <c r="J615" s="252">
        <f>IFERROR(__xludf.DUMMYFUNCTION("""COMPUTED_VALUE"""),0.4605902777777778)</f>
        <v>0.4605902778</v>
      </c>
      <c r="K615" s="56"/>
      <c r="L615" s="6"/>
      <c r="M615" s="61"/>
      <c r="N615" s="61">
        <f>IFERROR(__xludf.DUMMYFUNCTION("""COMPUTED_VALUE"""),1.0)</f>
        <v>1</v>
      </c>
      <c r="O615" s="61" t="str">
        <f t="shared" si="3"/>
        <v/>
      </c>
      <c r="P615" s="253">
        <f>IFERROR(__xludf.DUMMYFUNCTION("""COMPUTED_VALUE"""),0.0)</f>
        <v>0</v>
      </c>
      <c r="Q615" s="254" t="b">
        <f>VLOOKUP($B615,'Run Reconcile'!B$2:O799,14,FALSE)</f>
        <v>1</v>
      </c>
      <c r="R615" s="255" t="str">
        <f t="array" ref="R615">IF($Q615, INDEX('Run Reconcile'!A$2:A799,MATCH(B615,'Run Reconcile'!B$2:B799,0),1),IFERROR(0/0,""))</f>
        <v>RUN-BEND_2022-03-03_RFR-044</v>
      </c>
      <c r="S615" s="261" t="str">
        <f t="shared" ref="S615:T615" si="1237">IF(COUNTIF(W$2:W799, $A615) &gt; 0,TRUE,IFERROR(0/0,""))</f>
        <v/>
      </c>
      <c r="T615" s="261" t="str">
        <f t="shared" si="1237"/>
        <v/>
      </c>
      <c r="U615" s="257" t="str">
        <f t="array" ref="U615">IF(ISBLANK($R615), INDEX('Run Reconcile'!A$2:A799, MATCH($B615, 'Run Reconcile'!B$2:B799, 0)+Z615, 1), IFERROR(0/0,""))
</f>
        <v/>
      </c>
      <c r="V615" s="258" t="str">
        <f t="shared" si="480"/>
        <v>RUN-BEND_2022-03-03_RFR-044</v>
      </c>
      <c r="Y615" s="130" t="str">
        <f t="shared" si="487"/>
        <v/>
      </c>
      <c r="Z615" s="49" t="str">
        <f t="shared" si="7"/>
        <v/>
      </c>
      <c r="AA615" s="49" t="str">
        <f t="shared" si="8"/>
        <v/>
      </c>
      <c r="AB615" s="49" t="str">
        <f t="shared" si="9"/>
        <v/>
      </c>
      <c r="AC615" s="20" t="str">
        <f t="shared" ref="AC615:AD615" si="1238">IF(_xlfn.ISFORMULA(S615),IFERROR(0/0,""),TRUE)</f>
        <v/>
      </c>
      <c r="AD615" s="20" t="str">
        <f t="shared" si="1238"/>
        <v/>
      </c>
      <c r="AE615" s="43"/>
      <c r="AF615" s="62" t="s">
        <v>65</v>
      </c>
      <c r="AG615" s="57" t="str">
        <f t="shared" si="11"/>
        <v/>
      </c>
    </row>
    <row r="616">
      <c r="A616" s="6" t="str">
        <f>IFERROR(__xludf.DUMMYFUNCTION("""COMPUTED_VALUE"""),"FM968")</f>
        <v>FM968</v>
      </c>
      <c r="B616" s="204">
        <f>IFERROR(__xludf.DUMMYFUNCTION("""COMPUTED_VALUE"""),44623.0)</f>
        <v>44623</v>
      </c>
      <c r="C616" s="250">
        <f>IFERROR(__xludf.DUMMYFUNCTION("""COMPUTED_VALUE"""),0.3132523148148148)</f>
        <v>0.3132523148</v>
      </c>
      <c r="D616" s="6" t="str">
        <f>IFERROR(__xludf.DUMMYFUNCTION("""COMPUTED_VALUE"""),"SpBEND816435")</f>
        <v>SpBEND816435</v>
      </c>
      <c r="E616" s="251"/>
      <c r="F616" s="251"/>
      <c r="G616" s="251" t="str">
        <f>IFERROR(__xludf.DUMMYFUNCTION("""COMPUTED_VALUE"""),"Negative")</f>
        <v>Negative</v>
      </c>
      <c r="H616" s="262" t="str">
        <f>IFERROR(__xludf.DUMMYFUNCTION("""COMPUTED_VALUE"""),"Negative")</f>
        <v>Negative</v>
      </c>
      <c r="I616" s="204">
        <f>IFERROR(__xludf.DUMMYFUNCTION("""COMPUTED_VALUE"""),44623.0)</f>
        <v>44623</v>
      </c>
      <c r="J616" s="252">
        <f>IFERROR(__xludf.DUMMYFUNCTION("""COMPUTED_VALUE"""),0.4605902777777778)</f>
        <v>0.4605902778</v>
      </c>
      <c r="K616" s="56"/>
      <c r="L616" s="6"/>
      <c r="M616" s="61"/>
      <c r="N616" s="61">
        <f>IFERROR(__xludf.DUMMYFUNCTION("""COMPUTED_VALUE"""),1.0)</f>
        <v>1</v>
      </c>
      <c r="O616" s="61" t="str">
        <f t="shared" si="3"/>
        <v/>
      </c>
      <c r="P616" s="253">
        <f>IFERROR(__xludf.DUMMYFUNCTION("""COMPUTED_VALUE"""),0.0)</f>
        <v>0</v>
      </c>
      <c r="Q616" s="254" t="b">
        <f>VLOOKUP($B616,'Run Reconcile'!B$2:O799,14,FALSE)</f>
        <v>1</v>
      </c>
      <c r="R616" s="255" t="str">
        <f t="array" ref="R616">IF($Q616, INDEX('Run Reconcile'!A$2:A799,MATCH(B616,'Run Reconcile'!B$2:B799,0),1),IFERROR(0/0,""))</f>
        <v>RUN-BEND_2022-03-03_RFR-044</v>
      </c>
      <c r="S616" s="261" t="str">
        <f t="shared" ref="S616:T616" si="1239">IF(COUNTIF(W$2:W799, $A616) &gt; 0,TRUE,IFERROR(0/0,""))</f>
        <v/>
      </c>
      <c r="T616" s="261" t="str">
        <f t="shared" si="1239"/>
        <v/>
      </c>
      <c r="U616" s="257" t="str">
        <f t="array" ref="U616">IF(ISBLANK($R616), INDEX('Run Reconcile'!A$2:A799, MATCH($B616, 'Run Reconcile'!B$2:B799, 0)+Z616, 1), IFERROR(0/0,""))
</f>
        <v/>
      </c>
      <c r="V616" s="258" t="str">
        <f t="shared" si="480"/>
        <v>RUN-BEND_2022-03-03_RFR-044</v>
      </c>
      <c r="Y616" s="130" t="str">
        <f t="shared" si="487"/>
        <v/>
      </c>
      <c r="Z616" s="49" t="str">
        <f t="shared" si="7"/>
        <v/>
      </c>
      <c r="AA616" s="49" t="str">
        <f t="shared" si="8"/>
        <v/>
      </c>
      <c r="AB616" s="49" t="str">
        <f t="shared" si="9"/>
        <v/>
      </c>
      <c r="AC616" s="20" t="str">
        <f t="shared" ref="AC616:AD616" si="1240">IF(_xlfn.ISFORMULA(S616),IFERROR(0/0,""),TRUE)</f>
        <v/>
      </c>
      <c r="AD616" s="20" t="str">
        <f t="shared" si="1240"/>
        <v/>
      </c>
      <c r="AE616" s="43"/>
      <c r="AF616" s="62" t="s">
        <v>65</v>
      </c>
      <c r="AG616" s="57" t="str">
        <f t="shared" si="11"/>
        <v/>
      </c>
    </row>
    <row r="617">
      <c r="A617" s="6" t="str">
        <f>IFERROR(__xludf.DUMMYFUNCTION("""COMPUTED_VALUE"""),"FM2078")</f>
        <v>FM2078</v>
      </c>
      <c r="B617" s="204">
        <f>IFERROR(__xludf.DUMMYFUNCTION("""COMPUTED_VALUE"""),44623.0)</f>
        <v>44623</v>
      </c>
      <c r="C617" s="250">
        <f>IFERROR(__xludf.DUMMYFUNCTION("""COMPUTED_VALUE"""),0.3156481481481481)</f>
        <v>0.3156481481</v>
      </c>
      <c r="D617" s="6" t="str">
        <f>IFERROR(__xludf.DUMMYFUNCTION("""COMPUTED_VALUE"""),"SpBEND406814")</f>
        <v>SpBEND406814</v>
      </c>
      <c r="E617" s="251"/>
      <c r="F617" s="251"/>
      <c r="G617" s="251" t="str">
        <f>IFERROR(__xludf.DUMMYFUNCTION("""COMPUTED_VALUE"""),"Negative")</f>
        <v>Negative</v>
      </c>
      <c r="H617" s="262" t="str">
        <f>IFERROR(__xludf.DUMMYFUNCTION("""COMPUTED_VALUE"""),"Negative")</f>
        <v>Negative</v>
      </c>
      <c r="I617" s="204">
        <f>IFERROR(__xludf.DUMMYFUNCTION("""COMPUTED_VALUE"""),44623.0)</f>
        <v>44623</v>
      </c>
      <c r="J617" s="252">
        <f>IFERROR(__xludf.DUMMYFUNCTION("""COMPUTED_VALUE"""),0.4605902777777778)</f>
        <v>0.4605902778</v>
      </c>
      <c r="K617" s="56"/>
      <c r="L617" s="6"/>
      <c r="M617" s="61"/>
      <c r="N617" s="61">
        <f>IFERROR(__xludf.DUMMYFUNCTION("""COMPUTED_VALUE"""),1.0)</f>
        <v>1</v>
      </c>
      <c r="O617" s="61" t="str">
        <f t="shared" si="3"/>
        <v/>
      </c>
      <c r="P617" s="253">
        <f>IFERROR(__xludf.DUMMYFUNCTION("""COMPUTED_VALUE"""),0.0)</f>
        <v>0</v>
      </c>
      <c r="Q617" s="254" t="b">
        <f>VLOOKUP($B617,'Run Reconcile'!B$2:O799,14,FALSE)</f>
        <v>1</v>
      </c>
      <c r="R617" s="255" t="str">
        <f t="array" ref="R617">IF($Q617, INDEX('Run Reconcile'!A$2:A799,MATCH(B617,'Run Reconcile'!B$2:B799,0),1),IFERROR(0/0,""))</f>
        <v>RUN-BEND_2022-03-03_RFR-044</v>
      </c>
      <c r="S617" s="261" t="str">
        <f t="shared" ref="S617:T617" si="1241">IF(COUNTIF(W$2:W799, $A617) &gt; 0,TRUE,IFERROR(0/0,""))</f>
        <v/>
      </c>
      <c r="T617" s="261" t="str">
        <f t="shared" si="1241"/>
        <v/>
      </c>
      <c r="U617" s="257" t="str">
        <f t="array" ref="U617">IF(ISBLANK($R617), INDEX('Run Reconcile'!A$2:A799, MATCH($B617, 'Run Reconcile'!B$2:B799, 0)+Z617, 1), IFERROR(0/0,""))
</f>
        <v/>
      </c>
      <c r="V617" s="258" t="str">
        <f t="shared" si="480"/>
        <v>RUN-BEND_2022-03-03_RFR-044</v>
      </c>
      <c r="Y617" s="130" t="str">
        <f t="shared" si="487"/>
        <v/>
      </c>
      <c r="Z617" s="49" t="str">
        <f t="shared" si="7"/>
        <v/>
      </c>
      <c r="AA617" s="49" t="str">
        <f t="shared" si="8"/>
        <v/>
      </c>
      <c r="AB617" s="49" t="str">
        <f t="shared" si="9"/>
        <v/>
      </c>
      <c r="AC617" s="20" t="str">
        <f t="shared" ref="AC617:AD617" si="1242">IF(_xlfn.ISFORMULA(S617),IFERROR(0/0,""),TRUE)</f>
        <v/>
      </c>
      <c r="AD617" s="20" t="str">
        <f t="shared" si="1242"/>
        <v/>
      </c>
      <c r="AE617" s="43"/>
      <c r="AF617" s="62" t="s">
        <v>65</v>
      </c>
      <c r="AG617" s="57" t="str">
        <f t="shared" si="11"/>
        <v/>
      </c>
    </row>
    <row r="618">
      <c r="A618" s="6" t="str">
        <f>IFERROR(__xludf.DUMMYFUNCTION("""COMPUTED_VALUE"""),"FM525")</f>
        <v>FM525</v>
      </c>
      <c r="B618" s="204">
        <f>IFERROR(__xludf.DUMMYFUNCTION("""COMPUTED_VALUE"""),44623.0)</f>
        <v>44623</v>
      </c>
      <c r="C618" s="250">
        <f>IFERROR(__xludf.DUMMYFUNCTION("""COMPUTED_VALUE"""),0.3174074074074074)</f>
        <v>0.3174074074</v>
      </c>
      <c r="D618" s="6" t="str">
        <f>IFERROR(__xludf.DUMMYFUNCTION("""COMPUTED_VALUE"""),"SpBEND436062")</f>
        <v>SpBEND436062</v>
      </c>
      <c r="E618" s="251"/>
      <c r="F618" s="251"/>
      <c r="G618" s="251" t="str">
        <f>IFERROR(__xludf.DUMMYFUNCTION("""COMPUTED_VALUE"""),"Negative")</f>
        <v>Negative</v>
      </c>
      <c r="H618" s="262" t="str">
        <f>IFERROR(__xludf.DUMMYFUNCTION("""COMPUTED_VALUE"""),"Negative")</f>
        <v>Negative</v>
      </c>
      <c r="I618" s="204">
        <f>IFERROR(__xludf.DUMMYFUNCTION("""COMPUTED_VALUE"""),44623.0)</f>
        <v>44623</v>
      </c>
      <c r="J618" s="252">
        <f>IFERROR(__xludf.DUMMYFUNCTION("""COMPUTED_VALUE"""),0.4605902777777778)</f>
        <v>0.4605902778</v>
      </c>
      <c r="K618" s="56"/>
      <c r="L618" s="6"/>
      <c r="M618" s="61"/>
      <c r="N618" s="61">
        <f>IFERROR(__xludf.DUMMYFUNCTION("""COMPUTED_VALUE"""),1.0)</f>
        <v>1</v>
      </c>
      <c r="O618" s="61" t="str">
        <f t="shared" si="3"/>
        <v/>
      </c>
      <c r="P618" s="253">
        <f>IFERROR(__xludf.DUMMYFUNCTION("""COMPUTED_VALUE"""),0.0)</f>
        <v>0</v>
      </c>
      <c r="Q618" s="254" t="b">
        <f>VLOOKUP($B618,'Run Reconcile'!B$2:O799,14,FALSE)</f>
        <v>1</v>
      </c>
      <c r="R618" s="255" t="str">
        <f t="array" ref="R618">IF($Q618, INDEX('Run Reconcile'!A$2:A799,MATCH(B618,'Run Reconcile'!B$2:B799,0),1),IFERROR(0/0,""))</f>
        <v>RUN-BEND_2022-03-03_RFR-044</v>
      </c>
      <c r="S618" s="261" t="str">
        <f t="shared" ref="S618:T618" si="1243">IF(COUNTIF(W$2:W799, $A618) &gt; 0,TRUE,IFERROR(0/0,""))</f>
        <v/>
      </c>
      <c r="T618" s="261" t="str">
        <f t="shared" si="1243"/>
        <v/>
      </c>
      <c r="U618" s="257" t="str">
        <f t="array" ref="U618">IF(ISBLANK($R618), INDEX('Run Reconcile'!A$2:A799, MATCH($B618, 'Run Reconcile'!B$2:B799, 0)+Z618, 1), IFERROR(0/0,""))
</f>
        <v/>
      </c>
      <c r="V618" s="258" t="str">
        <f t="shared" si="480"/>
        <v>RUN-BEND_2022-03-03_RFR-044</v>
      </c>
      <c r="Y618" s="130" t="str">
        <f t="shared" si="487"/>
        <v/>
      </c>
      <c r="Z618" s="49" t="str">
        <f t="shared" si="7"/>
        <v/>
      </c>
      <c r="AA618" s="49" t="str">
        <f t="shared" si="8"/>
        <v/>
      </c>
      <c r="AB618" s="49" t="str">
        <f t="shared" si="9"/>
        <v/>
      </c>
      <c r="AC618" s="20" t="str">
        <f t="shared" ref="AC618:AD618" si="1244">IF(_xlfn.ISFORMULA(S618),IFERROR(0/0,""),TRUE)</f>
        <v/>
      </c>
      <c r="AD618" s="20" t="str">
        <f t="shared" si="1244"/>
        <v/>
      </c>
      <c r="AE618" s="43"/>
      <c r="AF618" s="62" t="s">
        <v>65</v>
      </c>
      <c r="AG618" s="57" t="str">
        <f t="shared" si="11"/>
        <v/>
      </c>
    </row>
    <row r="619">
      <c r="A619" s="6" t="str">
        <f>IFERROR(__xludf.DUMMYFUNCTION("""COMPUTED_VALUE"""),"FM2085")</f>
        <v>FM2085</v>
      </c>
      <c r="B619" s="204">
        <f>IFERROR(__xludf.DUMMYFUNCTION("""COMPUTED_VALUE"""),44623.0)</f>
        <v>44623</v>
      </c>
      <c r="C619" s="250">
        <f>IFERROR(__xludf.DUMMYFUNCTION("""COMPUTED_VALUE"""),0.31928240740740743)</f>
        <v>0.3192824074</v>
      </c>
      <c r="D619" s="6" t="str">
        <f>IFERROR(__xludf.DUMMYFUNCTION("""COMPUTED_VALUE"""),"SpBEND319298")</f>
        <v>SpBEND319298</v>
      </c>
      <c r="E619" s="251"/>
      <c r="F619" s="251"/>
      <c r="G619" s="251" t="str">
        <f>IFERROR(__xludf.DUMMYFUNCTION("""COMPUTED_VALUE"""),"Negative")</f>
        <v>Negative</v>
      </c>
      <c r="H619" s="262" t="str">
        <f>IFERROR(__xludf.DUMMYFUNCTION("""COMPUTED_VALUE"""),"Negative")</f>
        <v>Negative</v>
      </c>
      <c r="I619" s="204">
        <f>IFERROR(__xludf.DUMMYFUNCTION("""COMPUTED_VALUE"""),44623.0)</f>
        <v>44623</v>
      </c>
      <c r="J619" s="252">
        <f>IFERROR(__xludf.DUMMYFUNCTION("""COMPUTED_VALUE"""),0.4605902777777778)</f>
        <v>0.4605902778</v>
      </c>
      <c r="K619" s="56"/>
      <c r="L619" s="6"/>
      <c r="M619" s="61"/>
      <c r="N619" s="61">
        <f>IFERROR(__xludf.DUMMYFUNCTION("""COMPUTED_VALUE"""),1.0)</f>
        <v>1</v>
      </c>
      <c r="O619" s="61" t="str">
        <f t="shared" si="3"/>
        <v/>
      </c>
      <c r="P619" s="253">
        <f>IFERROR(__xludf.DUMMYFUNCTION("""COMPUTED_VALUE"""),0.0)</f>
        <v>0</v>
      </c>
      <c r="Q619" s="254" t="b">
        <f>VLOOKUP($B619,'Run Reconcile'!B$2:O799,14,FALSE)</f>
        <v>1</v>
      </c>
      <c r="R619" s="255" t="str">
        <f t="array" ref="R619">IF($Q619, INDEX('Run Reconcile'!A$2:A799,MATCH(B619,'Run Reconcile'!B$2:B799,0),1),IFERROR(0/0,""))</f>
        <v>RUN-BEND_2022-03-03_RFR-044</v>
      </c>
      <c r="S619" s="261" t="str">
        <f t="shared" ref="S619:T619" si="1245">IF(COUNTIF(W$2:W799, $A619) &gt; 0,TRUE,IFERROR(0/0,""))</f>
        <v/>
      </c>
      <c r="T619" s="261" t="str">
        <f t="shared" si="1245"/>
        <v/>
      </c>
      <c r="U619" s="257" t="str">
        <f t="array" ref="U619">IF(ISBLANK($R619), INDEX('Run Reconcile'!A$2:A799, MATCH($B619, 'Run Reconcile'!B$2:B799, 0)+Z619, 1), IFERROR(0/0,""))
</f>
        <v/>
      </c>
      <c r="V619" s="258" t="str">
        <f t="shared" si="480"/>
        <v>RUN-BEND_2022-03-03_RFR-044</v>
      </c>
      <c r="Y619" s="130" t="str">
        <f t="shared" si="487"/>
        <v/>
      </c>
      <c r="Z619" s="49" t="str">
        <f t="shared" si="7"/>
        <v/>
      </c>
      <c r="AA619" s="49" t="str">
        <f t="shared" si="8"/>
        <v/>
      </c>
      <c r="AB619" s="49" t="str">
        <f t="shared" si="9"/>
        <v/>
      </c>
      <c r="AC619" s="20" t="str">
        <f t="shared" ref="AC619:AD619" si="1246">IF(_xlfn.ISFORMULA(S619),IFERROR(0/0,""),TRUE)</f>
        <v/>
      </c>
      <c r="AD619" s="20" t="str">
        <f t="shared" si="1246"/>
        <v/>
      </c>
      <c r="AE619" s="43"/>
      <c r="AF619" s="62" t="s">
        <v>65</v>
      </c>
      <c r="AG619" s="57" t="str">
        <f t="shared" si="11"/>
        <v/>
      </c>
    </row>
    <row r="620">
      <c r="A620" s="6" t="str">
        <f>IFERROR(__xludf.DUMMYFUNCTION("""COMPUTED_VALUE"""),"FM802")</f>
        <v>FM802</v>
      </c>
      <c r="B620" s="204">
        <f>IFERROR(__xludf.DUMMYFUNCTION("""COMPUTED_VALUE"""),44623.0)</f>
        <v>44623</v>
      </c>
      <c r="C620" s="250">
        <f>IFERROR(__xludf.DUMMYFUNCTION("""COMPUTED_VALUE"""),0.32112268518518516)</f>
        <v>0.3211226852</v>
      </c>
      <c r="D620" s="6" t="str">
        <f>IFERROR(__xludf.DUMMYFUNCTION("""COMPUTED_VALUE"""),"SpBEND672680")</f>
        <v>SpBEND672680</v>
      </c>
      <c r="E620" s="251"/>
      <c r="F620" s="251"/>
      <c r="G620" s="251" t="str">
        <f>IFERROR(__xludf.DUMMYFUNCTION("""COMPUTED_VALUE"""),"Negative")</f>
        <v>Negative</v>
      </c>
      <c r="H620" s="262" t="str">
        <f>IFERROR(__xludf.DUMMYFUNCTION("""COMPUTED_VALUE"""),"Negative")</f>
        <v>Negative</v>
      </c>
      <c r="I620" s="204">
        <f>IFERROR(__xludf.DUMMYFUNCTION("""COMPUTED_VALUE"""),44623.0)</f>
        <v>44623</v>
      </c>
      <c r="J620" s="252">
        <f>IFERROR(__xludf.DUMMYFUNCTION("""COMPUTED_VALUE"""),0.4605902777777778)</f>
        <v>0.4605902778</v>
      </c>
      <c r="K620" s="56"/>
      <c r="L620" s="6"/>
      <c r="M620" s="61"/>
      <c r="N620" s="61">
        <f>IFERROR(__xludf.DUMMYFUNCTION("""COMPUTED_VALUE"""),1.0)</f>
        <v>1</v>
      </c>
      <c r="O620" s="61" t="str">
        <f t="shared" si="3"/>
        <v/>
      </c>
      <c r="P620" s="253">
        <f>IFERROR(__xludf.DUMMYFUNCTION("""COMPUTED_VALUE"""),0.0)</f>
        <v>0</v>
      </c>
      <c r="Q620" s="254" t="b">
        <f>VLOOKUP($B620,'Run Reconcile'!B$2:O799,14,FALSE)</f>
        <v>1</v>
      </c>
      <c r="R620" s="255" t="str">
        <f t="array" ref="R620">IF($Q620, INDEX('Run Reconcile'!A$2:A799,MATCH(B620,'Run Reconcile'!B$2:B799,0),1),IFERROR(0/0,""))</f>
        <v>RUN-BEND_2022-03-03_RFR-044</v>
      </c>
      <c r="S620" s="261" t="str">
        <f t="shared" ref="S620:T620" si="1247">IF(COUNTIF(W$2:W799, $A620) &gt; 0,TRUE,IFERROR(0/0,""))</f>
        <v/>
      </c>
      <c r="T620" s="261" t="str">
        <f t="shared" si="1247"/>
        <v/>
      </c>
      <c r="U620" s="257" t="str">
        <f t="array" ref="U620">IF(ISBLANK($R620), INDEX('Run Reconcile'!A$2:A799, MATCH($B620, 'Run Reconcile'!B$2:B799, 0)+Z620, 1), IFERROR(0/0,""))
</f>
        <v/>
      </c>
      <c r="V620" s="258" t="str">
        <f t="shared" si="480"/>
        <v>RUN-BEND_2022-03-03_RFR-044</v>
      </c>
      <c r="Y620" s="130" t="str">
        <f t="shared" si="487"/>
        <v/>
      </c>
      <c r="Z620" s="49" t="str">
        <f t="shared" si="7"/>
        <v/>
      </c>
      <c r="AA620" s="49" t="str">
        <f t="shared" si="8"/>
        <v/>
      </c>
      <c r="AB620" s="49" t="str">
        <f t="shared" si="9"/>
        <v/>
      </c>
      <c r="AC620" s="20" t="str">
        <f t="shared" ref="AC620:AD620" si="1248">IF(_xlfn.ISFORMULA(S620),IFERROR(0/0,""),TRUE)</f>
        <v/>
      </c>
      <c r="AD620" s="20" t="str">
        <f t="shared" si="1248"/>
        <v/>
      </c>
      <c r="AE620" s="43"/>
      <c r="AF620" s="62" t="s">
        <v>65</v>
      </c>
      <c r="AG620" s="57" t="str">
        <f t="shared" si="11"/>
        <v/>
      </c>
    </row>
    <row r="621">
      <c r="A621" s="6" t="str">
        <f>IFERROR(__xludf.DUMMYFUNCTION("""COMPUTED_VALUE"""),"MA1319")</f>
        <v>MA1319</v>
      </c>
      <c r="B621" s="204">
        <f>IFERROR(__xludf.DUMMYFUNCTION("""COMPUTED_VALUE"""),44623.0)</f>
        <v>44623</v>
      </c>
      <c r="C621" s="250">
        <f>IFERROR(__xludf.DUMMYFUNCTION("""COMPUTED_VALUE"""),0.32178240740740743)</f>
        <v>0.3217824074</v>
      </c>
      <c r="D621" s="6" t="str">
        <f>IFERROR(__xludf.DUMMYFUNCTION("""COMPUTED_VALUE"""),"SpBEND183210")</f>
        <v>SpBEND183210</v>
      </c>
      <c r="E621" s="251"/>
      <c r="F621" s="251"/>
      <c r="G621" s="251" t="str">
        <f>IFERROR(__xludf.DUMMYFUNCTION("""COMPUTED_VALUE"""),"Negative")</f>
        <v>Negative</v>
      </c>
      <c r="H621" s="262" t="str">
        <f>IFERROR(__xludf.DUMMYFUNCTION("""COMPUTED_VALUE"""),"Negative")</f>
        <v>Negative</v>
      </c>
      <c r="I621" s="204">
        <f>IFERROR(__xludf.DUMMYFUNCTION("""COMPUTED_VALUE"""),44623.0)</f>
        <v>44623</v>
      </c>
      <c r="J621" s="252">
        <f>IFERROR(__xludf.DUMMYFUNCTION("""COMPUTED_VALUE"""),0.4605902777777778)</f>
        <v>0.4605902778</v>
      </c>
      <c r="K621" s="56"/>
      <c r="L621" s="6"/>
      <c r="M621" s="61"/>
      <c r="N621" s="61">
        <f>IFERROR(__xludf.DUMMYFUNCTION("""COMPUTED_VALUE"""),1.0)</f>
        <v>1</v>
      </c>
      <c r="O621" s="61" t="str">
        <f t="shared" si="3"/>
        <v/>
      </c>
      <c r="P621" s="253">
        <f>IFERROR(__xludf.DUMMYFUNCTION("""COMPUTED_VALUE"""),0.0)</f>
        <v>0</v>
      </c>
      <c r="Q621" s="254" t="b">
        <f>VLOOKUP($B621,'Run Reconcile'!B$2:O799,14,FALSE)</f>
        <v>1</v>
      </c>
      <c r="R621" s="255" t="str">
        <f t="array" ref="R621">IF($Q621, INDEX('Run Reconcile'!A$2:A799,MATCH(B621,'Run Reconcile'!B$2:B799,0),1),IFERROR(0/0,""))</f>
        <v>RUN-BEND_2022-03-03_RFR-044</v>
      </c>
      <c r="S621" s="261" t="str">
        <f t="shared" ref="S621:T621" si="1249">IF(COUNTIF(W$2:W799, $A621) &gt; 0,TRUE,IFERROR(0/0,""))</f>
        <v/>
      </c>
      <c r="T621" s="261" t="str">
        <f t="shared" si="1249"/>
        <v/>
      </c>
      <c r="U621" s="257" t="str">
        <f t="array" ref="U621">IF(ISBLANK($R621), INDEX('Run Reconcile'!A$2:A799, MATCH($B621, 'Run Reconcile'!B$2:B799, 0)+Z621, 1), IFERROR(0/0,""))
</f>
        <v/>
      </c>
      <c r="V621" s="258" t="str">
        <f t="shared" si="480"/>
        <v>RUN-BEND_2022-03-03_RFR-044</v>
      </c>
      <c r="Y621" s="130" t="str">
        <f t="shared" si="487"/>
        <v/>
      </c>
      <c r="Z621" s="49" t="str">
        <f t="shared" si="7"/>
        <v/>
      </c>
      <c r="AA621" s="49" t="str">
        <f t="shared" si="8"/>
        <v/>
      </c>
      <c r="AB621" s="49" t="str">
        <f t="shared" si="9"/>
        <v/>
      </c>
      <c r="AC621" s="20" t="str">
        <f t="shared" ref="AC621:AD621" si="1250">IF(_xlfn.ISFORMULA(S621),IFERROR(0/0,""),TRUE)</f>
        <v/>
      </c>
      <c r="AD621" s="20" t="str">
        <f t="shared" si="1250"/>
        <v/>
      </c>
      <c r="AE621" s="43"/>
      <c r="AF621" s="62" t="s">
        <v>65</v>
      </c>
      <c r="AG621" s="57" t="str">
        <f t="shared" si="11"/>
        <v/>
      </c>
    </row>
    <row r="622">
      <c r="A622" s="6" t="str">
        <f>IFERROR(__xludf.DUMMYFUNCTION("""COMPUTED_VALUE"""),"FM312")</f>
        <v>FM312</v>
      </c>
      <c r="B622" s="204">
        <f>IFERROR(__xludf.DUMMYFUNCTION("""COMPUTED_VALUE"""),44623.0)</f>
        <v>44623</v>
      </c>
      <c r="C622" s="250">
        <f>IFERROR(__xludf.DUMMYFUNCTION("""COMPUTED_VALUE"""),0.32197916666666665)</f>
        <v>0.3219791667</v>
      </c>
      <c r="D622" s="6" t="str">
        <f>IFERROR(__xludf.DUMMYFUNCTION("""COMPUTED_VALUE"""),"SpBEND296258")</f>
        <v>SpBEND296258</v>
      </c>
      <c r="E622" s="251"/>
      <c r="F622" s="251"/>
      <c r="G622" s="251" t="str">
        <f>IFERROR(__xludf.DUMMYFUNCTION("""COMPUTED_VALUE"""),"Negative")</f>
        <v>Negative</v>
      </c>
      <c r="H622" s="262" t="str">
        <f>IFERROR(__xludf.DUMMYFUNCTION("""COMPUTED_VALUE"""),"Negative")</f>
        <v>Negative</v>
      </c>
      <c r="I622" s="204">
        <f>IFERROR(__xludf.DUMMYFUNCTION("""COMPUTED_VALUE"""),44623.0)</f>
        <v>44623</v>
      </c>
      <c r="J622" s="252">
        <f>IFERROR(__xludf.DUMMYFUNCTION("""COMPUTED_VALUE"""),0.4605902777777778)</f>
        <v>0.4605902778</v>
      </c>
      <c r="K622" s="56"/>
      <c r="L622" s="6"/>
      <c r="M622" s="61"/>
      <c r="N622" s="61">
        <f>IFERROR(__xludf.DUMMYFUNCTION("""COMPUTED_VALUE"""),1.0)</f>
        <v>1</v>
      </c>
      <c r="O622" s="61" t="str">
        <f t="shared" si="3"/>
        <v/>
      </c>
      <c r="P622" s="253">
        <f>IFERROR(__xludf.DUMMYFUNCTION("""COMPUTED_VALUE"""),0.0)</f>
        <v>0</v>
      </c>
      <c r="Q622" s="254" t="b">
        <f>VLOOKUP($B622,'Run Reconcile'!B$2:O799,14,FALSE)</f>
        <v>1</v>
      </c>
      <c r="R622" s="255" t="str">
        <f t="array" ref="R622">IF($Q622, INDEX('Run Reconcile'!A$2:A799,MATCH(B622,'Run Reconcile'!B$2:B799,0),1),IFERROR(0/0,""))</f>
        <v>RUN-BEND_2022-03-03_RFR-044</v>
      </c>
      <c r="S622" s="261" t="str">
        <f t="shared" ref="S622:T622" si="1251">IF(COUNTIF(W$2:W799, $A622) &gt; 0,TRUE,IFERROR(0/0,""))</f>
        <v/>
      </c>
      <c r="T622" s="261" t="str">
        <f t="shared" si="1251"/>
        <v/>
      </c>
      <c r="U622" s="257" t="str">
        <f t="array" ref="U622">IF(ISBLANK($R622), INDEX('Run Reconcile'!A$2:A799, MATCH($B622, 'Run Reconcile'!B$2:B799, 0)+Z622, 1), IFERROR(0/0,""))
</f>
        <v/>
      </c>
      <c r="V622" s="258" t="str">
        <f t="shared" si="480"/>
        <v>RUN-BEND_2022-03-03_RFR-044</v>
      </c>
      <c r="Y622" s="130" t="str">
        <f t="shared" si="487"/>
        <v/>
      </c>
      <c r="Z622" s="49" t="str">
        <f t="shared" si="7"/>
        <v/>
      </c>
      <c r="AA622" s="49" t="str">
        <f t="shared" si="8"/>
        <v/>
      </c>
      <c r="AB622" s="49" t="str">
        <f t="shared" si="9"/>
        <v/>
      </c>
      <c r="AC622" s="20" t="str">
        <f t="shared" ref="AC622:AD622" si="1252">IF(_xlfn.ISFORMULA(S622),IFERROR(0/0,""),TRUE)</f>
        <v/>
      </c>
      <c r="AD622" s="20" t="str">
        <f t="shared" si="1252"/>
        <v/>
      </c>
      <c r="AE622" s="43"/>
      <c r="AF622" s="62" t="s">
        <v>65</v>
      </c>
      <c r="AG622" s="57" t="str">
        <f t="shared" si="11"/>
        <v/>
      </c>
    </row>
    <row r="623">
      <c r="A623" s="6" t="str">
        <f>IFERROR(__xludf.DUMMYFUNCTION("""COMPUTED_VALUE"""),"FM315")</f>
        <v>FM315</v>
      </c>
      <c r="B623" s="204">
        <f>IFERROR(__xludf.DUMMYFUNCTION("""COMPUTED_VALUE"""),44623.0)</f>
        <v>44623</v>
      </c>
      <c r="C623" s="250">
        <f>IFERROR(__xludf.DUMMYFUNCTION("""COMPUTED_VALUE"""),0.32256944444444446)</f>
        <v>0.3225694444</v>
      </c>
      <c r="D623" s="6" t="str">
        <f>IFERROR(__xludf.DUMMYFUNCTION("""COMPUTED_VALUE"""),"SpBEND548976")</f>
        <v>SpBEND548976</v>
      </c>
      <c r="E623" s="251"/>
      <c r="F623" s="251"/>
      <c r="G623" s="251" t="str">
        <f>IFERROR(__xludf.DUMMYFUNCTION("""COMPUTED_VALUE"""),"Negative")</f>
        <v>Negative</v>
      </c>
      <c r="H623" s="262" t="str">
        <f>IFERROR(__xludf.DUMMYFUNCTION("""COMPUTED_VALUE"""),"Negative")</f>
        <v>Negative</v>
      </c>
      <c r="I623" s="204">
        <f>IFERROR(__xludf.DUMMYFUNCTION("""COMPUTED_VALUE"""),44623.0)</f>
        <v>44623</v>
      </c>
      <c r="J623" s="252">
        <f>IFERROR(__xludf.DUMMYFUNCTION("""COMPUTED_VALUE"""),0.4605902777777778)</f>
        <v>0.4605902778</v>
      </c>
      <c r="K623" s="56"/>
      <c r="L623" s="6"/>
      <c r="M623" s="61"/>
      <c r="N623" s="61">
        <f>IFERROR(__xludf.DUMMYFUNCTION("""COMPUTED_VALUE"""),1.0)</f>
        <v>1</v>
      </c>
      <c r="O623" s="61" t="str">
        <f t="shared" si="3"/>
        <v/>
      </c>
      <c r="P623" s="253">
        <f>IFERROR(__xludf.DUMMYFUNCTION("""COMPUTED_VALUE"""),0.0)</f>
        <v>0</v>
      </c>
      <c r="Q623" s="254" t="b">
        <f>VLOOKUP($B623,'Run Reconcile'!B$2:O799,14,FALSE)</f>
        <v>1</v>
      </c>
      <c r="R623" s="255" t="str">
        <f t="array" ref="R623">IF($Q623, INDEX('Run Reconcile'!A$2:A799,MATCH(B623,'Run Reconcile'!B$2:B799,0),1),IFERROR(0/0,""))</f>
        <v>RUN-BEND_2022-03-03_RFR-044</v>
      </c>
      <c r="S623" s="261" t="str">
        <f t="shared" ref="S623:T623" si="1253">IF(COUNTIF(W$2:W799, $A623) &gt; 0,TRUE,IFERROR(0/0,""))</f>
        <v/>
      </c>
      <c r="T623" s="261" t="str">
        <f t="shared" si="1253"/>
        <v/>
      </c>
      <c r="U623" s="257" t="str">
        <f t="array" ref="U623">IF(ISBLANK($R623), INDEX('Run Reconcile'!A$2:A799, MATCH($B623, 'Run Reconcile'!B$2:B799, 0)+Z623, 1), IFERROR(0/0,""))
</f>
        <v/>
      </c>
      <c r="V623" s="258" t="str">
        <f t="shared" si="480"/>
        <v>RUN-BEND_2022-03-03_RFR-044</v>
      </c>
      <c r="Y623" s="130" t="str">
        <f t="shared" si="487"/>
        <v/>
      </c>
      <c r="Z623" s="49" t="str">
        <f t="shared" si="7"/>
        <v/>
      </c>
      <c r="AA623" s="49" t="str">
        <f t="shared" si="8"/>
        <v/>
      </c>
      <c r="AB623" s="49" t="str">
        <f t="shared" si="9"/>
        <v/>
      </c>
      <c r="AC623" s="20" t="str">
        <f t="shared" ref="AC623:AD623" si="1254">IF(_xlfn.ISFORMULA(S623),IFERROR(0/0,""),TRUE)</f>
        <v/>
      </c>
      <c r="AD623" s="20" t="str">
        <f t="shared" si="1254"/>
        <v/>
      </c>
      <c r="AE623" s="43"/>
      <c r="AF623" s="62" t="s">
        <v>65</v>
      </c>
      <c r="AG623" s="57" t="str">
        <f t="shared" si="11"/>
        <v/>
      </c>
    </row>
    <row r="624">
      <c r="A624" s="6" t="str">
        <f>IFERROR(__xludf.DUMMYFUNCTION("""COMPUTED_VALUE"""),"FM402")</f>
        <v>FM402</v>
      </c>
      <c r="B624" s="204">
        <f>IFERROR(__xludf.DUMMYFUNCTION("""COMPUTED_VALUE"""),44623.0)</f>
        <v>44623</v>
      </c>
      <c r="C624" s="250">
        <f>IFERROR(__xludf.DUMMYFUNCTION("""COMPUTED_VALUE"""),0.3226041666666667)</f>
        <v>0.3226041667</v>
      </c>
      <c r="D624" s="6" t="str">
        <f>IFERROR(__xludf.DUMMYFUNCTION("""COMPUTED_VALUE"""),"SpBEND198321")</f>
        <v>SpBEND198321</v>
      </c>
      <c r="E624" s="251"/>
      <c r="F624" s="251"/>
      <c r="G624" s="251" t="str">
        <f>IFERROR(__xludf.DUMMYFUNCTION("""COMPUTED_VALUE"""),"Negative")</f>
        <v>Negative</v>
      </c>
      <c r="H624" s="262" t="str">
        <f>IFERROR(__xludf.DUMMYFUNCTION("""COMPUTED_VALUE"""),"Negative")</f>
        <v>Negative</v>
      </c>
      <c r="I624" s="204">
        <f>IFERROR(__xludf.DUMMYFUNCTION("""COMPUTED_VALUE"""),44623.0)</f>
        <v>44623</v>
      </c>
      <c r="J624" s="252">
        <f>IFERROR(__xludf.DUMMYFUNCTION("""COMPUTED_VALUE"""),0.4605902777777778)</f>
        <v>0.4605902778</v>
      </c>
      <c r="K624" s="56"/>
      <c r="L624" s="6"/>
      <c r="M624" s="61"/>
      <c r="N624" s="61">
        <f>IFERROR(__xludf.DUMMYFUNCTION("""COMPUTED_VALUE"""),1.0)</f>
        <v>1</v>
      </c>
      <c r="O624" s="61" t="str">
        <f t="shared" si="3"/>
        <v/>
      </c>
      <c r="P624" s="253">
        <f>IFERROR(__xludf.DUMMYFUNCTION("""COMPUTED_VALUE"""),0.0)</f>
        <v>0</v>
      </c>
      <c r="Q624" s="254" t="b">
        <f>VLOOKUP($B624,'Run Reconcile'!B$2:O799,14,FALSE)</f>
        <v>1</v>
      </c>
      <c r="R624" s="255" t="str">
        <f t="array" ref="R624">IF($Q624, INDEX('Run Reconcile'!A$2:A799,MATCH(B624,'Run Reconcile'!B$2:B799,0),1),IFERROR(0/0,""))</f>
        <v>RUN-BEND_2022-03-03_RFR-044</v>
      </c>
      <c r="S624" s="261" t="str">
        <f t="shared" ref="S624:T624" si="1255">IF(COUNTIF(W$2:W799, $A624) &gt; 0,TRUE,IFERROR(0/0,""))</f>
        <v/>
      </c>
      <c r="T624" s="261" t="str">
        <f t="shared" si="1255"/>
        <v/>
      </c>
      <c r="U624" s="257" t="str">
        <f t="array" ref="U624">IF(ISBLANK($R624), INDEX('Run Reconcile'!A$2:A799, MATCH($B624, 'Run Reconcile'!B$2:B799, 0)+Z624, 1), IFERROR(0/0,""))
</f>
        <v/>
      </c>
      <c r="V624" s="258" t="str">
        <f t="shared" si="480"/>
        <v>RUN-BEND_2022-03-03_RFR-044</v>
      </c>
      <c r="Y624" s="130" t="str">
        <f t="shared" si="487"/>
        <v/>
      </c>
      <c r="Z624" s="49" t="str">
        <f t="shared" si="7"/>
        <v/>
      </c>
      <c r="AA624" s="49" t="str">
        <f t="shared" si="8"/>
        <v/>
      </c>
      <c r="AB624" s="49" t="str">
        <f t="shared" si="9"/>
        <v/>
      </c>
      <c r="AC624" s="20" t="str">
        <f t="shared" ref="AC624:AD624" si="1256">IF(_xlfn.ISFORMULA(S624),IFERROR(0/0,""),TRUE)</f>
        <v/>
      </c>
      <c r="AD624" s="20" t="str">
        <f t="shared" si="1256"/>
        <v/>
      </c>
      <c r="AE624" s="43"/>
      <c r="AF624" s="62" t="s">
        <v>65</v>
      </c>
      <c r="AG624" s="57" t="str">
        <f t="shared" si="11"/>
        <v/>
      </c>
    </row>
    <row r="625">
      <c r="A625" s="6" t="str">
        <f>IFERROR(__xludf.DUMMYFUNCTION("""COMPUTED_VALUE"""),"FM396")</f>
        <v>FM396</v>
      </c>
      <c r="B625" s="204">
        <f>IFERROR(__xludf.DUMMYFUNCTION("""COMPUTED_VALUE"""),44623.0)</f>
        <v>44623</v>
      </c>
      <c r="C625" s="250">
        <f>IFERROR(__xludf.DUMMYFUNCTION("""COMPUTED_VALUE"""),0.32363425925925926)</f>
        <v>0.3236342593</v>
      </c>
      <c r="D625" s="6" t="str">
        <f>IFERROR(__xludf.DUMMYFUNCTION("""COMPUTED_VALUE"""),"SpBEND551372")</f>
        <v>SpBEND551372</v>
      </c>
      <c r="E625" s="251"/>
      <c r="F625" s="251"/>
      <c r="G625" s="251" t="str">
        <f>IFERROR(__xludf.DUMMYFUNCTION("""COMPUTED_VALUE"""),"Negative")</f>
        <v>Negative</v>
      </c>
      <c r="H625" s="262" t="str">
        <f>IFERROR(__xludf.DUMMYFUNCTION("""COMPUTED_VALUE"""),"Negative")</f>
        <v>Negative</v>
      </c>
      <c r="I625" s="204">
        <f>IFERROR(__xludf.DUMMYFUNCTION("""COMPUTED_VALUE"""),44623.0)</f>
        <v>44623</v>
      </c>
      <c r="J625" s="252">
        <f>IFERROR(__xludf.DUMMYFUNCTION("""COMPUTED_VALUE"""),0.4605902777777778)</f>
        <v>0.4605902778</v>
      </c>
      <c r="K625" s="56"/>
      <c r="L625" s="6"/>
      <c r="M625" s="61"/>
      <c r="N625" s="61">
        <f>IFERROR(__xludf.DUMMYFUNCTION("""COMPUTED_VALUE"""),1.0)</f>
        <v>1</v>
      </c>
      <c r="O625" s="61" t="str">
        <f t="shared" si="3"/>
        <v/>
      </c>
      <c r="P625" s="253">
        <f>IFERROR(__xludf.DUMMYFUNCTION("""COMPUTED_VALUE"""),0.0)</f>
        <v>0</v>
      </c>
      <c r="Q625" s="254" t="b">
        <f>VLOOKUP($B625,'Run Reconcile'!B$2:O799,14,FALSE)</f>
        <v>1</v>
      </c>
      <c r="R625" s="255" t="str">
        <f t="array" ref="R625">IF($Q625, INDEX('Run Reconcile'!A$2:A799,MATCH(B625,'Run Reconcile'!B$2:B799,0),1),IFERROR(0/0,""))</f>
        <v>RUN-BEND_2022-03-03_RFR-044</v>
      </c>
      <c r="S625" s="261" t="str">
        <f t="shared" ref="S625:T625" si="1257">IF(COUNTIF(W$2:W799, $A625) &gt; 0,TRUE,IFERROR(0/0,""))</f>
        <v/>
      </c>
      <c r="T625" s="261" t="str">
        <f t="shared" si="1257"/>
        <v/>
      </c>
      <c r="U625" s="257" t="str">
        <f t="array" ref="U625">IF(ISBLANK($R625), INDEX('Run Reconcile'!A$2:A799, MATCH($B625, 'Run Reconcile'!B$2:B799, 0)+Z625, 1), IFERROR(0/0,""))
</f>
        <v/>
      </c>
      <c r="V625" s="258" t="str">
        <f t="shared" si="480"/>
        <v>RUN-BEND_2022-03-03_RFR-044</v>
      </c>
      <c r="Y625" s="130" t="str">
        <f t="shared" si="487"/>
        <v/>
      </c>
      <c r="Z625" s="49" t="str">
        <f t="shared" si="7"/>
        <v/>
      </c>
      <c r="AA625" s="49" t="str">
        <f t="shared" si="8"/>
        <v/>
      </c>
      <c r="AB625" s="49" t="str">
        <f t="shared" si="9"/>
        <v/>
      </c>
      <c r="AC625" s="20" t="str">
        <f t="shared" ref="AC625:AD625" si="1258">IF(_xlfn.ISFORMULA(S625),IFERROR(0/0,""),TRUE)</f>
        <v/>
      </c>
      <c r="AD625" s="20" t="str">
        <f t="shared" si="1258"/>
        <v/>
      </c>
      <c r="AE625" s="43"/>
      <c r="AF625" s="62" t="s">
        <v>65</v>
      </c>
      <c r="AG625" s="57" t="str">
        <f t="shared" si="11"/>
        <v/>
      </c>
    </row>
    <row r="626">
      <c r="A626" s="6" t="str">
        <f>IFERROR(__xludf.DUMMYFUNCTION("""COMPUTED_VALUE"""),"MA1258")</f>
        <v>MA1258</v>
      </c>
      <c r="B626" s="204">
        <f>IFERROR(__xludf.DUMMYFUNCTION("""COMPUTED_VALUE"""),44623.0)</f>
        <v>44623</v>
      </c>
      <c r="C626" s="250">
        <f>IFERROR(__xludf.DUMMYFUNCTION("""COMPUTED_VALUE"""),0.32719907407407406)</f>
        <v>0.3271990741</v>
      </c>
      <c r="D626" s="6" t="str">
        <f>IFERROR(__xludf.DUMMYFUNCTION("""COMPUTED_VALUE"""),"SpBEND587584")</f>
        <v>SpBEND587584</v>
      </c>
      <c r="E626" s="251"/>
      <c r="F626" s="251"/>
      <c r="G626" s="251" t="str">
        <f>IFERROR(__xludf.DUMMYFUNCTION("""COMPUTED_VALUE"""),"Negative")</f>
        <v>Negative</v>
      </c>
      <c r="H626" s="262" t="str">
        <f>IFERROR(__xludf.DUMMYFUNCTION("""COMPUTED_VALUE"""),"Negative")</f>
        <v>Negative</v>
      </c>
      <c r="I626" s="204">
        <f>IFERROR(__xludf.DUMMYFUNCTION("""COMPUTED_VALUE"""),44623.0)</f>
        <v>44623</v>
      </c>
      <c r="J626" s="252">
        <f>IFERROR(__xludf.DUMMYFUNCTION("""COMPUTED_VALUE"""),0.4605902777777778)</f>
        <v>0.4605902778</v>
      </c>
      <c r="K626" s="56"/>
      <c r="L626" s="6"/>
      <c r="M626" s="61"/>
      <c r="N626" s="61">
        <f>IFERROR(__xludf.DUMMYFUNCTION("""COMPUTED_VALUE"""),1.0)</f>
        <v>1</v>
      </c>
      <c r="O626" s="61" t="str">
        <f t="shared" si="3"/>
        <v/>
      </c>
      <c r="P626" s="253">
        <f>IFERROR(__xludf.DUMMYFUNCTION("""COMPUTED_VALUE"""),0.0)</f>
        <v>0</v>
      </c>
      <c r="Q626" s="254" t="b">
        <f>VLOOKUP($B626,'Run Reconcile'!B$2:O799,14,FALSE)</f>
        <v>1</v>
      </c>
      <c r="R626" s="255" t="str">
        <f t="array" ref="R626">IF($Q626, INDEX('Run Reconcile'!A$2:A799,MATCH(B626,'Run Reconcile'!B$2:B799,0),1),IFERROR(0/0,""))</f>
        <v>RUN-BEND_2022-03-03_RFR-044</v>
      </c>
      <c r="S626" s="261" t="str">
        <f t="shared" ref="S626:T626" si="1259">IF(COUNTIF(W$2:W799, $A626) &gt; 0,TRUE,IFERROR(0/0,""))</f>
        <v/>
      </c>
      <c r="T626" s="261" t="str">
        <f t="shared" si="1259"/>
        <v/>
      </c>
      <c r="U626" s="257" t="str">
        <f t="array" ref="U626">IF(ISBLANK($R626), INDEX('Run Reconcile'!A$2:A799, MATCH($B626, 'Run Reconcile'!B$2:B799, 0)+Z626, 1), IFERROR(0/0,""))
</f>
        <v/>
      </c>
      <c r="V626" s="258" t="str">
        <f t="shared" si="480"/>
        <v>RUN-BEND_2022-03-03_RFR-044</v>
      </c>
      <c r="Y626" s="130" t="str">
        <f t="shared" si="487"/>
        <v/>
      </c>
      <c r="Z626" s="49" t="str">
        <f t="shared" si="7"/>
        <v/>
      </c>
      <c r="AA626" s="49" t="str">
        <f t="shared" si="8"/>
        <v/>
      </c>
      <c r="AB626" s="49" t="str">
        <f t="shared" si="9"/>
        <v/>
      </c>
      <c r="AC626" s="20" t="str">
        <f t="shared" ref="AC626:AD626" si="1260">IF(_xlfn.ISFORMULA(S626),IFERROR(0/0,""),TRUE)</f>
        <v/>
      </c>
      <c r="AD626" s="20" t="str">
        <f t="shared" si="1260"/>
        <v/>
      </c>
      <c r="AE626" s="43"/>
      <c r="AF626" s="62" t="s">
        <v>65</v>
      </c>
      <c r="AG626" s="57" t="str">
        <f t="shared" si="11"/>
        <v/>
      </c>
    </row>
    <row r="627">
      <c r="A627" s="6" t="str">
        <f>IFERROR(__xludf.DUMMYFUNCTION("""COMPUTED_VALUE"""),"FM97")</f>
        <v>FM97</v>
      </c>
      <c r="B627" s="204">
        <f>IFERROR(__xludf.DUMMYFUNCTION("""COMPUTED_VALUE"""),44623.0)</f>
        <v>44623</v>
      </c>
      <c r="C627" s="250">
        <f>IFERROR(__xludf.DUMMYFUNCTION("""COMPUTED_VALUE"""),0.3344212962962963)</f>
        <v>0.3344212963</v>
      </c>
      <c r="D627" s="6" t="str">
        <f>IFERROR(__xludf.DUMMYFUNCTION("""COMPUTED_VALUE"""),"SpBEND643855")</f>
        <v>SpBEND643855</v>
      </c>
      <c r="E627" s="251"/>
      <c r="F627" s="251"/>
      <c r="G627" s="251" t="str">
        <f>IFERROR(__xludf.DUMMYFUNCTION("""COMPUTED_VALUE"""),"Negative")</f>
        <v>Negative</v>
      </c>
      <c r="H627" s="262" t="str">
        <f>IFERROR(__xludf.DUMMYFUNCTION("""COMPUTED_VALUE"""),"Negative")</f>
        <v>Negative</v>
      </c>
      <c r="I627" s="204">
        <f>IFERROR(__xludf.DUMMYFUNCTION("""COMPUTED_VALUE"""),44623.0)</f>
        <v>44623</v>
      </c>
      <c r="J627" s="252">
        <f>IFERROR(__xludf.DUMMYFUNCTION("""COMPUTED_VALUE"""),0.4606018518518519)</f>
        <v>0.4606018519</v>
      </c>
      <c r="K627" s="56"/>
      <c r="L627" s="6"/>
      <c r="M627" s="61"/>
      <c r="N627" s="61">
        <f>IFERROR(__xludf.DUMMYFUNCTION("""COMPUTED_VALUE"""),1.0)</f>
        <v>1</v>
      </c>
      <c r="O627" s="61" t="str">
        <f t="shared" si="3"/>
        <v/>
      </c>
      <c r="P627" s="253">
        <f>IFERROR(__xludf.DUMMYFUNCTION("""COMPUTED_VALUE"""),0.0)</f>
        <v>0</v>
      </c>
      <c r="Q627" s="254" t="b">
        <f>VLOOKUP($B627,'Run Reconcile'!B$2:O799,14,FALSE)</f>
        <v>1</v>
      </c>
      <c r="R627" s="255" t="str">
        <f t="array" ref="R627">IF($Q627, INDEX('Run Reconcile'!A$2:A799,MATCH(B627,'Run Reconcile'!B$2:B799,0),1),IFERROR(0/0,""))</f>
        <v>RUN-BEND_2022-03-03_RFR-044</v>
      </c>
      <c r="S627" s="261" t="str">
        <f t="shared" ref="S627:T627" si="1261">IF(COUNTIF(W$2:W799, $A627) &gt; 0,TRUE,IFERROR(0/0,""))</f>
        <v/>
      </c>
      <c r="T627" s="261" t="str">
        <f t="shared" si="1261"/>
        <v/>
      </c>
      <c r="U627" s="257" t="str">
        <f t="array" ref="U627">IF(ISBLANK($R627), INDEX('Run Reconcile'!A$2:A799, MATCH($B627, 'Run Reconcile'!B$2:B799, 0)+Z627, 1), IFERROR(0/0,""))
</f>
        <v/>
      </c>
      <c r="V627" s="258" t="str">
        <f t="shared" si="480"/>
        <v>RUN-BEND_2022-03-03_RFR-044</v>
      </c>
      <c r="Y627" s="130" t="str">
        <f t="shared" si="487"/>
        <v/>
      </c>
      <c r="Z627" s="49" t="str">
        <f t="shared" si="7"/>
        <v/>
      </c>
      <c r="AA627" s="49" t="str">
        <f t="shared" si="8"/>
        <v/>
      </c>
      <c r="AB627" s="49" t="str">
        <f t="shared" si="9"/>
        <v/>
      </c>
      <c r="AC627" s="20" t="str">
        <f t="shared" ref="AC627:AD627" si="1262">IF(_xlfn.ISFORMULA(S627),IFERROR(0/0,""),TRUE)</f>
        <v/>
      </c>
      <c r="AD627" s="20" t="str">
        <f t="shared" si="1262"/>
        <v/>
      </c>
      <c r="AE627" s="43"/>
      <c r="AF627" s="62" t="s">
        <v>65</v>
      </c>
      <c r="AG627" s="57" t="str">
        <f t="shared" si="11"/>
        <v/>
      </c>
    </row>
    <row r="628">
      <c r="A628" s="6" t="str">
        <f>IFERROR(__xludf.DUMMYFUNCTION("""COMPUTED_VALUE"""),"FM29")</f>
        <v>FM29</v>
      </c>
      <c r="B628" s="204">
        <f>IFERROR(__xludf.DUMMYFUNCTION("""COMPUTED_VALUE"""),44623.0)</f>
        <v>44623</v>
      </c>
      <c r="C628" s="250">
        <f>IFERROR(__xludf.DUMMYFUNCTION("""COMPUTED_VALUE"""),0.3357291666666667)</f>
        <v>0.3357291667</v>
      </c>
      <c r="D628" s="6" t="str">
        <f>IFERROR(__xludf.DUMMYFUNCTION("""COMPUTED_VALUE"""),"SpBEND385421")</f>
        <v>SpBEND385421</v>
      </c>
      <c r="E628" s="251"/>
      <c r="F628" s="251"/>
      <c r="G628" s="251" t="str">
        <f>IFERROR(__xludf.DUMMYFUNCTION("""COMPUTED_VALUE"""),"Negative")</f>
        <v>Negative</v>
      </c>
      <c r="H628" s="262" t="str">
        <f>IFERROR(__xludf.DUMMYFUNCTION("""COMPUTED_VALUE"""),"Negative")</f>
        <v>Negative</v>
      </c>
      <c r="I628" s="204">
        <f>IFERROR(__xludf.DUMMYFUNCTION("""COMPUTED_VALUE"""),44623.0)</f>
        <v>44623</v>
      </c>
      <c r="J628" s="252">
        <f>IFERROR(__xludf.DUMMYFUNCTION("""COMPUTED_VALUE"""),0.4606018518518519)</f>
        <v>0.4606018519</v>
      </c>
      <c r="K628" s="56"/>
      <c r="L628" s="6"/>
      <c r="M628" s="61"/>
      <c r="N628" s="61">
        <f>IFERROR(__xludf.DUMMYFUNCTION("""COMPUTED_VALUE"""),1.0)</f>
        <v>1</v>
      </c>
      <c r="O628" s="61" t="str">
        <f t="shared" si="3"/>
        <v/>
      </c>
      <c r="P628" s="253">
        <f>IFERROR(__xludf.DUMMYFUNCTION("""COMPUTED_VALUE"""),0.0)</f>
        <v>0</v>
      </c>
      <c r="Q628" s="254" t="b">
        <f>VLOOKUP($B628,'Run Reconcile'!B$2:O799,14,FALSE)</f>
        <v>1</v>
      </c>
      <c r="R628" s="255" t="str">
        <f t="array" ref="R628">IF($Q628, INDEX('Run Reconcile'!A$2:A799,MATCH(B628,'Run Reconcile'!B$2:B799,0),1),IFERROR(0/0,""))</f>
        <v>RUN-BEND_2022-03-03_RFR-044</v>
      </c>
      <c r="S628" s="261" t="str">
        <f t="shared" ref="S628:T628" si="1263">IF(COUNTIF(W$2:W799, $A628) &gt; 0,TRUE,IFERROR(0/0,""))</f>
        <v/>
      </c>
      <c r="T628" s="261" t="str">
        <f t="shared" si="1263"/>
        <v/>
      </c>
      <c r="U628" s="257" t="str">
        <f t="array" ref="U628">IF(ISBLANK($R628), INDEX('Run Reconcile'!A$2:A799, MATCH($B628, 'Run Reconcile'!B$2:B799, 0)+Z628, 1), IFERROR(0/0,""))
</f>
        <v/>
      </c>
      <c r="V628" s="258" t="str">
        <f t="shared" si="480"/>
        <v>RUN-BEND_2022-03-03_RFR-044</v>
      </c>
      <c r="Y628" s="130" t="str">
        <f t="shared" si="487"/>
        <v/>
      </c>
      <c r="Z628" s="49" t="str">
        <f t="shared" si="7"/>
        <v/>
      </c>
      <c r="AA628" s="49" t="str">
        <f t="shared" si="8"/>
        <v/>
      </c>
      <c r="AB628" s="49" t="str">
        <f t="shared" si="9"/>
        <v/>
      </c>
      <c r="AC628" s="20" t="str">
        <f t="shared" ref="AC628:AD628" si="1264">IF(_xlfn.ISFORMULA(S628),IFERROR(0/0,""),TRUE)</f>
        <v/>
      </c>
      <c r="AD628" s="20" t="str">
        <f t="shared" si="1264"/>
        <v/>
      </c>
      <c r="AE628" s="43"/>
      <c r="AF628" s="62" t="s">
        <v>65</v>
      </c>
      <c r="AG628" s="57" t="str">
        <f t="shared" si="11"/>
        <v/>
      </c>
    </row>
    <row r="629">
      <c r="A629" s="6" t="str">
        <f>IFERROR(__xludf.DUMMYFUNCTION("""COMPUTED_VALUE"""),"FM40")</f>
        <v>FM40</v>
      </c>
      <c r="B629" s="204">
        <f>IFERROR(__xludf.DUMMYFUNCTION("""COMPUTED_VALUE"""),44623.0)</f>
        <v>44623</v>
      </c>
      <c r="C629" s="250">
        <f>IFERROR(__xludf.DUMMYFUNCTION("""COMPUTED_VALUE"""),0.33640046296296294)</f>
        <v>0.336400463</v>
      </c>
      <c r="D629" s="6" t="str">
        <f>IFERROR(__xludf.DUMMYFUNCTION("""COMPUTED_VALUE"""),"SpBEND292554")</f>
        <v>SpBEND292554</v>
      </c>
      <c r="E629" s="251"/>
      <c r="F629" s="251"/>
      <c r="G629" s="251" t="str">
        <f>IFERROR(__xludf.DUMMYFUNCTION("""COMPUTED_VALUE"""),"Negative")</f>
        <v>Negative</v>
      </c>
      <c r="H629" s="262" t="str">
        <f>IFERROR(__xludf.DUMMYFUNCTION("""COMPUTED_VALUE"""),"Negative")</f>
        <v>Negative</v>
      </c>
      <c r="I629" s="204">
        <f>IFERROR(__xludf.DUMMYFUNCTION("""COMPUTED_VALUE"""),44623.0)</f>
        <v>44623</v>
      </c>
      <c r="J629" s="252">
        <f>IFERROR(__xludf.DUMMYFUNCTION("""COMPUTED_VALUE"""),0.4606018518518519)</f>
        <v>0.4606018519</v>
      </c>
      <c r="K629" s="56"/>
      <c r="L629" s="6"/>
      <c r="M629" s="61"/>
      <c r="N629" s="61">
        <f>IFERROR(__xludf.DUMMYFUNCTION("""COMPUTED_VALUE"""),1.0)</f>
        <v>1</v>
      </c>
      <c r="O629" s="61" t="str">
        <f t="shared" si="3"/>
        <v/>
      </c>
      <c r="P629" s="253">
        <f>IFERROR(__xludf.DUMMYFUNCTION("""COMPUTED_VALUE"""),0.0)</f>
        <v>0</v>
      </c>
      <c r="Q629" s="254" t="b">
        <f>VLOOKUP($B629,'Run Reconcile'!B$2:O799,14,FALSE)</f>
        <v>1</v>
      </c>
      <c r="R629" s="255" t="str">
        <f t="array" ref="R629">IF($Q629, INDEX('Run Reconcile'!A$2:A799,MATCH(B629,'Run Reconcile'!B$2:B799,0),1),IFERROR(0/0,""))</f>
        <v>RUN-BEND_2022-03-03_RFR-044</v>
      </c>
      <c r="S629" s="261" t="str">
        <f t="shared" ref="S629:T629" si="1265">IF(COUNTIF(W$2:W799, $A629) &gt; 0,TRUE,IFERROR(0/0,""))</f>
        <v/>
      </c>
      <c r="T629" s="261" t="str">
        <f t="shared" si="1265"/>
        <v/>
      </c>
      <c r="U629" s="257" t="str">
        <f t="array" ref="U629">IF(ISBLANK($R629), INDEX('Run Reconcile'!A$2:A799, MATCH($B629, 'Run Reconcile'!B$2:B799, 0)+Z629, 1), IFERROR(0/0,""))
</f>
        <v/>
      </c>
      <c r="V629" s="258" t="str">
        <f t="shared" si="480"/>
        <v>RUN-BEND_2022-03-03_RFR-044</v>
      </c>
      <c r="Y629" s="130" t="str">
        <f t="shared" si="487"/>
        <v/>
      </c>
      <c r="Z629" s="49" t="str">
        <f t="shared" si="7"/>
        <v/>
      </c>
      <c r="AA629" s="49" t="str">
        <f t="shared" si="8"/>
        <v/>
      </c>
      <c r="AB629" s="49" t="str">
        <f t="shared" si="9"/>
        <v/>
      </c>
      <c r="AC629" s="20" t="str">
        <f t="shared" ref="AC629:AD629" si="1266">IF(_xlfn.ISFORMULA(S629),IFERROR(0/0,""),TRUE)</f>
        <v/>
      </c>
      <c r="AD629" s="20" t="str">
        <f t="shared" si="1266"/>
        <v/>
      </c>
      <c r="AE629" s="43"/>
      <c r="AF629" s="62" t="s">
        <v>65</v>
      </c>
      <c r="AG629" s="57" t="str">
        <f t="shared" si="11"/>
        <v/>
      </c>
    </row>
    <row r="630">
      <c r="A630" s="6" t="str">
        <f>IFERROR(__xludf.DUMMYFUNCTION("""COMPUTED_VALUE"""),"FM58")</f>
        <v>FM58</v>
      </c>
      <c r="B630" s="204">
        <f>IFERROR(__xludf.DUMMYFUNCTION("""COMPUTED_VALUE"""),44623.0)</f>
        <v>44623</v>
      </c>
      <c r="C630" s="250">
        <f>IFERROR(__xludf.DUMMYFUNCTION("""COMPUTED_VALUE"""),0.3459143518518519)</f>
        <v>0.3459143519</v>
      </c>
      <c r="D630" s="6" t="str">
        <f>IFERROR(__xludf.DUMMYFUNCTION("""COMPUTED_VALUE"""),"SpBEND721986")</f>
        <v>SpBEND721986</v>
      </c>
      <c r="E630" s="251"/>
      <c r="F630" s="251"/>
      <c r="G630" s="251" t="str">
        <f>IFERROR(__xludf.DUMMYFUNCTION("""COMPUTED_VALUE"""),"Negative")</f>
        <v>Negative</v>
      </c>
      <c r="H630" s="262" t="str">
        <f>IFERROR(__xludf.DUMMYFUNCTION("""COMPUTED_VALUE"""),"Negative")</f>
        <v>Negative</v>
      </c>
      <c r="I630" s="204">
        <f>IFERROR(__xludf.DUMMYFUNCTION("""COMPUTED_VALUE"""),44623.0)</f>
        <v>44623</v>
      </c>
      <c r="J630" s="252">
        <f>IFERROR(__xludf.DUMMYFUNCTION("""COMPUTED_VALUE"""),0.4606018518518519)</f>
        <v>0.4606018519</v>
      </c>
      <c r="K630" s="56"/>
      <c r="L630" s="6"/>
      <c r="M630" s="61"/>
      <c r="N630" s="61">
        <f>IFERROR(__xludf.DUMMYFUNCTION("""COMPUTED_VALUE"""),1.0)</f>
        <v>1</v>
      </c>
      <c r="O630" s="61" t="str">
        <f t="shared" si="3"/>
        <v/>
      </c>
      <c r="P630" s="253">
        <f>IFERROR(__xludf.DUMMYFUNCTION("""COMPUTED_VALUE"""),0.0)</f>
        <v>0</v>
      </c>
      <c r="Q630" s="254" t="b">
        <f>VLOOKUP($B630,'Run Reconcile'!B$2:O799,14,FALSE)</f>
        <v>1</v>
      </c>
      <c r="R630" s="255" t="str">
        <f t="array" ref="R630">IF($Q630, INDEX('Run Reconcile'!A$2:A799,MATCH(B630,'Run Reconcile'!B$2:B799,0),1),IFERROR(0/0,""))</f>
        <v>RUN-BEND_2022-03-03_RFR-044</v>
      </c>
      <c r="S630" s="261" t="str">
        <f t="shared" ref="S630:T630" si="1267">IF(COUNTIF(W$2:W799, $A630) &gt; 0,TRUE,IFERROR(0/0,""))</f>
        <v/>
      </c>
      <c r="T630" s="261" t="str">
        <f t="shared" si="1267"/>
        <v/>
      </c>
      <c r="U630" s="257" t="str">
        <f t="array" ref="U630">IF(ISBLANK($R630), INDEX('Run Reconcile'!A$2:A799, MATCH($B630, 'Run Reconcile'!B$2:B799, 0)+Z630, 1), IFERROR(0/0,""))
</f>
        <v/>
      </c>
      <c r="V630" s="258" t="str">
        <f t="shared" si="480"/>
        <v>RUN-BEND_2022-03-03_RFR-044</v>
      </c>
      <c r="Y630" s="130" t="str">
        <f t="shared" si="487"/>
        <v/>
      </c>
      <c r="Z630" s="49" t="str">
        <f t="shared" si="7"/>
        <v/>
      </c>
      <c r="AA630" s="49" t="str">
        <f t="shared" si="8"/>
        <v/>
      </c>
      <c r="AB630" s="49" t="str">
        <f t="shared" si="9"/>
        <v/>
      </c>
      <c r="AC630" s="20" t="str">
        <f t="shared" ref="AC630:AD630" si="1268">IF(_xlfn.ISFORMULA(S630),IFERROR(0/0,""),TRUE)</f>
        <v/>
      </c>
      <c r="AD630" s="20" t="str">
        <f t="shared" si="1268"/>
        <v/>
      </c>
      <c r="AE630" s="43"/>
      <c r="AF630" s="62" t="s">
        <v>65</v>
      </c>
      <c r="AG630" s="57" t="str">
        <f t="shared" si="11"/>
        <v/>
      </c>
    </row>
    <row r="631">
      <c r="A631" s="6" t="str">
        <f>IFERROR(__xludf.DUMMYFUNCTION("""COMPUTED_VALUE"""),"FM24")</f>
        <v>FM24</v>
      </c>
      <c r="B631" s="204">
        <f>IFERROR(__xludf.DUMMYFUNCTION("""COMPUTED_VALUE"""),44623.0)</f>
        <v>44623</v>
      </c>
      <c r="C631" s="250">
        <f>IFERROR(__xludf.DUMMYFUNCTION("""COMPUTED_VALUE"""),0.35480324074074077)</f>
        <v>0.3548032407</v>
      </c>
      <c r="D631" s="6" t="str">
        <f>IFERROR(__xludf.DUMMYFUNCTION("""COMPUTED_VALUE"""),"SpBEND425753")</f>
        <v>SpBEND425753</v>
      </c>
      <c r="E631" s="251"/>
      <c r="F631" s="251"/>
      <c r="G631" s="251" t="str">
        <f>IFERROR(__xludf.DUMMYFUNCTION("""COMPUTED_VALUE"""),"Negative")</f>
        <v>Negative</v>
      </c>
      <c r="H631" s="262" t="str">
        <f>IFERROR(__xludf.DUMMYFUNCTION("""COMPUTED_VALUE"""),"Negative")</f>
        <v>Negative</v>
      </c>
      <c r="I631" s="204">
        <f>IFERROR(__xludf.DUMMYFUNCTION("""COMPUTED_VALUE"""),44623.0)</f>
        <v>44623</v>
      </c>
      <c r="J631" s="252">
        <f>IFERROR(__xludf.DUMMYFUNCTION("""COMPUTED_VALUE"""),0.4606018518518519)</f>
        <v>0.4606018519</v>
      </c>
      <c r="K631" s="56"/>
      <c r="L631" s="6"/>
      <c r="M631" s="61"/>
      <c r="N631" s="61">
        <f>IFERROR(__xludf.DUMMYFUNCTION("""COMPUTED_VALUE"""),1.0)</f>
        <v>1</v>
      </c>
      <c r="O631" s="61" t="str">
        <f t="shared" si="3"/>
        <v/>
      </c>
      <c r="P631" s="253">
        <f>IFERROR(__xludf.DUMMYFUNCTION("""COMPUTED_VALUE"""),0.0)</f>
        <v>0</v>
      </c>
      <c r="Q631" s="254" t="b">
        <f>VLOOKUP($B631,'Run Reconcile'!B$2:O799,14,FALSE)</f>
        <v>1</v>
      </c>
      <c r="R631" s="255" t="str">
        <f t="array" ref="R631">IF($Q631, INDEX('Run Reconcile'!A$2:A799,MATCH(B631,'Run Reconcile'!B$2:B799,0),1),IFERROR(0/0,""))</f>
        <v>RUN-BEND_2022-03-03_RFR-044</v>
      </c>
      <c r="S631" s="261" t="str">
        <f t="shared" ref="S631:T631" si="1269">IF(COUNTIF(W$2:W799, $A631) &gt; 0,TRUE,IFERROR(0/0,""))</f>
        <v/>
      </c>
      <c r="T631" s="261" t="str">
        <f t="shared" si="1269"/>
        <v/>
      </c>
      <c r="U631" s="257" t="str">
        <f t="array" ref="U631">IF(ISBLANK($R631), INDEX('Run Reconcile'!A$2:A799, MATCH($B631, 'Run Reconcile'!B$2:B799, 0)+Z631, 1), IFERROR(0/0,""))
</f>
        <v/>
      </c>
      <c r="V631" s="258" t="str">
        <f t="shared" si="480"/>
        <v>RUN-BEND_2022-03-03_RFR-044</v>
      </c>
      <c r="Y631" s="130" t="str">
        <f t="shared" si="487"/>
        <v/>
      </c>
      <c r="Z631" s="49" t="str">
        <f t="shared" si="7"/>
        <v/>
      </c>
      <c r="AA631" s="49" t="str">
        <f t="shared" si="8"/>
        <v/>
      </c>
      <c r="AB631" s="49" t="str">
        <f t="shared" si="9"/>
        <v/>
      </c>
      <c r="AC631" s="20" t="str">
        <f t="shared" ref="AC631:AD631" si="1270">IF(_xlfn.ISFORMULA(S631),IFERROR(0/0,""),TRUE)</f>
        <v/>
      </c>
      <c r="AD631" s="20" t="str">
        <f t="shared" si="1270"/>
        <v/>
      </c>
      <c r="AE631" s="43"/>
      <c r="AF631" s="62" t="s">
        <v>65</v>
      </c>
      <c r="AG631" s="57" t="str">
        <f t="shared" si="11"/>
        <v/>
      </c>
    </row>
    <row r="632">
      <c r="A632" s="6" t="str">
        <f>IFERROR(__xludf.DUMMYFUNCTION("""COMPUTED_VALUE"""),"FM646")</f>
        <v>FM646</v>
      </c>
      <c r="B632" s="204">
        <f>IFERROR(__xludf.DUMMYFUNCTION("""COMPUTED_VALUE"""),44623.0)</f>
        <v>44623</v>
      </c>
      <c r="C632" s="250">
        <f>IFERROR(__xludf.DUMMYFUNCTION("""COMPUTED_VALUE"""),0.3894097222222222)</f>
        <v>0.3894097222</v>
      </c>
      <c r="D632" s="6" t="str">
        <f>IFERROR(__xludf.DUMMYFUNCTION("""COMPUTED_VALUE"""),"SpBEND110967")</f>
        <v>SpBEND110967</v>
      </c>
      <c r="E632" s="251"/>
      <c r="F632" s="251"/>
      <c r="G632" s="251" t="str">
        <f>IFERROR(__xludf.DUMMYFUNCTION("""COMPUTED_VALUE"""),"Negative")</f>
        <v>Negative</v>
      </c>
      <c r="H632" s="262" t="str">
        <f>IFERROR(__xludf.DUMMYFUNCTION("""COMPUTED_VALUE"""),"Negative")</f>
        <v>Negative</v>
      </c>
      <c r="I632" s="204">
        <f>IFERROR(__xludf.DUMMYFUNCTION("""COMPUTED_VALUE"""),44623.0)</f>
        <v>44623</v>
      </c>
      <c r="J632" s="252">
        <f>IFERROR(__xludf.DUMMYFUNCTION("""COMPUTED_VALUE"""),0.4606018518518519)</f>
        <v>0.4606018519</v>
      </c>
      <c r="K632" s="56"/>
      <c r="L632" s="6"/>
      <c r="M632" s="61"/>
      <c r="N632" s="61">
        <f>IFERROR(__xludf.DUMMYFUNCTION("""COMPUTED_VALUE"""),1.0)</f>
        <v>1</v>
      </c>
      <c r="O632" s="61" t="str">
        <f t="shared" si="3"/>
        <v/>
      </c>
      <c r="P632" s="253">
        <f>IFERROR(__xludf.DUMMYFUNCTION("""COMPUTED_VALUE"""),0.0)</f>
        <v>0</v>
      </c>
      <c r="Q632" s="254" t="b">
        <f>VLOOKUP($B632,'Run Reconcile'!B$2:O799,14,FALSE)</f>
        <v>1</v>
      </c>
      <c r="R632" s="255" t="str">
        <f t="array" ref="R632">IF($Q632, INDEX('Run Reconcile'!A$2:A799,MATCH(B632,'Run Reconcile'!B$2:B799,0),1),IFERROR(0/0,""))</f>
        <v>RUN-BEND_2022-03-03_RFR-044</v>
      </c>
      <c r="S632" s="261" t="str">
        <f t="shared" ref="S632:T632" si="1271">IF(COUNTIF(W$2:W799, $A632) &gt; 0,TRUE,IFERROR(0/0,""))</f>
        <v/>
      </c>
      <c r="T632" s="261" t="str">
        <f t="shared" si="1271"/>
        <v/>
      </c>
      <c r="U632" s="257" t="str">
        <f t="array" ref="U632">IF(ISBLANK($R632), INDEX('Run Reconcile'!A$2:A799, MATCH($B632, 'Run Reconcile'!B$2:B799, 0)+Z632, 1), IFERROR(0/0,""))
</f>
        <v/>
      </c>
      <c r="V632" s="258" t="str">
        <f t="shared" si="480"/>
        <v>RUN-BEND_2022-03-03_RFR-044</v>
      </c>
      <c r="Y632" s="130" t="str">
        <f t="shared" si="487"/>
        <v/>
      </c>
      <c r="Z632" s="49" t="str">
        <f t="shared" si="7"/>
        <v/>
      </c>
      <c r="AA632" s="49" t="str">
        <f t="shared" si="8"/>
        <v/>
      </c>
      <c r="AB632" s="49" t="str">
        <f t="shared" si="9"/>
        <v/>
      </c>
      <c r="AC632" s="20" t="str">
        <f t="shared" ref="AC632:AD632" si="1272">IF(_xlfn.ISFORMULA(S632),IFERROR(0/0,""),TRUE)</f>
        <v/>
      </c>
      <c r="AD632" s="20" t="str">
        <f t="shared" si="1272"/>
        <v/>
      </c>
      <c r="AE632" s="43"/>
      <c r="AF632" s="62" t="s">
        <v>65</v>
      </c>
      <c r="AG632" s="57" t="str">
        <f t="shared" si="11"/>
        <v/>
      </c>
    </row>
    <row r="633">
      <c r="A633" s="6" t="str">
        <f>IFERROR(__xludf.DUMMYFUNCTION("""COMPUTED_VALUE"""),"MA1307")</f>
        <v>MA1307</v>
      </c>
      <c r="B633" s="204">
        <f>IFERROR(__xludf.DUMMYFUNCTION("""COMPUTED_VALUE"""),44623.0)</f>
        <v>44623</v>
      </c>
      <c r="C633" s="250">
        <f>IFERROR(__xludf.DUMMYFUNCTION("""COMPUTED_VALUE"""),0.3907638888888889)</f>
        <v>0.3907638889</v>
      </c>
      <c r="D633" s="6" t="str">
        <f>IFERROR(__xludf.DUMMYFUNCTION("""COMPUTED_VALUE"""),"SpBEND110967")</f>
        <v>SpBEND110967</v>
      </c>
      <c r="E633" s="251"/>
      <c r="F633" s="251"/>
      <c r="G633" s="251" t="str">
        <f>IFERROR(__xludf.DUMMYFUNCTION("""COMPUTED_VALUE"""),"Negative")</f>
        <v>Negative</v>
      </c>
      <c r="H633" s="262" t="str">
        <f>IFERROR(__xludf.DUMMYFUNCTION("""COMPUTED_VALUE"""),"Negative")</f>
        <v>Negative</v>
      </c>
      <c r="I633" s="204">
        <f>IFERROR(__xludf.DUMMYFUNCTION("""COMPUTED_VALUE"""),44623.0)</f>
        <v>44623</v>
      </c>
      <c r="J633" s="252">
        <f>IFERROR(__xludf.DUMMYFUNCTION("""COMPUTED_VALUE"""),0.4606018518518519)</f>
        <v>0.4606018519</v>
      </c>
      <c r="K633" s="56"/>
      <c r="L633" s="6"/>
      <c r="M633" s="61"/>
      <c r="N633" s="61">
        <f>IFERROR(__xludf.DUMMYFUNCTION("""COMPUTED_VALUE"""),1.0)</f>
        <v>1</v>
      </c>
      <c r="O633" s="61" t="str">
        <f t="shared" si="3"/>
        <v/>
      </c>
      <c r="P633" s="253">
        <f>IFERROR(__xludf.DUMMYFUNCTION("""COMPUTED_VALUE"""),0.0)</f>
        <v>0</v>
      </c>
      <c r="Q633" s="254" t="b">
        <f>VLOOKUP($B633,'Run Reconcile'!B$2:O799,14,FALSE)</f>
        <v>1</v>
      </c>
      <c r="R633" s="255" t="str">
        <f t="array" ref="R633">IF($Q633, INDEX('Run Reconcile'!A$2:A799,MATCH(B633,'Run Reconcile'!B$2:B799,0),1),IFERROR(0/0,""))</f>
        <v>RUN-BEND_2022-03-03_RFR-044</v>
      </c>
      <c r="S633" s="261" t="str">
        <f t="shared" ref="S633:T633" si="1273">IF(COUNTIF(W$2:W799, $A633) &gt; 0,TRUE,IFERROR(0/0,""))</f>
        <v/>
      </c>
      <c r="T633" s="261" t="str">
        <f t="shared" si="1273"/>
        <v/>
      </c>
      <c r="U633" s="257" t="str">
        <f t="array" ref="U633">IF(ISBLANK($R633), INDEX('Run Reconcile'!A$2:A799, MATCH($B633, 'Run Reconcile'!B$2:B799, 0)+Z633, 1), IFERROR(0/0,""))
</f>
        <v/>
      </c>
      <c r="V633" s="258" t="str">
        <f t="shared" si="480"/>
        <v>RUN-BEND_2022-03-03_RFR-044</v>
      </c>
      <c r="Y633" s="130" t="str">
        <f t="shared" si="487"/>
        <v/>
      </c>
      <c r="Z633" s="49" t="str">
        <f t="shared" si="7"/>
        <v/>
      </c>
      <c r="AA633" s="49" t="str">
        <f t="shared" si="8"/>
        <v/>
      </c>
      <c r="AB633" s="49" t="str">
        <f t="shared" si="9"/>
        <v/>
      </c>
      <c r="AC633" s="20" t="str">
        <f t="shared" ref="AC633:AD633" si="1274">IF(_xlfn.ISFORMULA(S633),IFERROR(0/0,""),TRUE)</f>
        <v/>
      </c>
      <c r="AD633" s="20" t="str">
        <f t="shared" si="1274"/>
        <v/>
      </c>
      <c r="AE633" s="43"/>
      <c r="AF633" s="62" t="s">
        <v>65</v>
      </c>
      <c r="AG633" s="57" t="str">
        <f t="shared" si="11"/>
        <v/>
      </c>
    </row>
    <row r="634">
      <c r="A634" s="6" t="str">
        <f>IFERROR(__xludf.DUMMYFUNCTION("""COMPUTED_VALUE"""),"MA1305")</f>
        <v>MA1305</v>
      </c>
      <c r="B634" s="204">
        <f>IFERROR(__xludf.DUMMYFUNCTION("""COMPUTED_VALUE"""),44623.0)</f>
        <v>44623</v>
      </c>
      <c r="C634" s="250">
        <f>IFERROR(__xludf.DUMMYFUNCTION("""COMPUTED_VALUE"""),0.3910416666666667)</f>
        <v>0.3910416667</v>
      </c>
      <c r="D634" s="6" t="str">
        <f>IFERROR(__xludf.DUMMYFUNCTION("""COMPUTED_VALUE"""),"SpBEND110967")</f>
        <v>SpBEND110967</v>
      </c>
      <c r="E634" s="251"/>
      <c r="F634" s="251"/>
      <c r="G634" s="251" t="str">
        <f>IFERROR(__xludf.DUMMYFUNCTION("""COMPUTED_VALUE"""),"Positive")</f>
        <v>Positive</v>
      </c>
      <c r="H634" s="262" t="str">
        <f>IFERROR(__xludf.DUMMYFUNCTION("""COMPUTED_VALUE"""),"Positive")</f>
        <v>Positive</v>
      </c>
      <c r="I634" s="204">
        <f>IFERROR(__xludf.DUMMYFUNCTION("""COMPUTED_VALUE"""),44623.0)</f>
        <v>44623</v>
      </c>
      <c r="J634" s="252">
        <f>IFERROR(__xludf.DUMMYFUNCTION("""COMPUTED_VALUE"""),0.46038194444444447)</f>
        <v>0.4603819444</v>
      </c>
      <c r="K634" s="56"/>
      <c r="L634" s="6"/>
      <c r="M634" s="61"/>
      <c r="N634" s="61">
        <f>IFERROR(__xludf.DUMMYFUNCTION("""COMPUTED_VALUE"""),1.0)</f>
        <v>1</v>
      </c>
      <c r="O634" s="61" t="str">
        <f t="shared" si="3"/>
        <v/>
      </c>
      <c r="P634" s="253">
        <f>IFERROR(__xludf.DUMMYFUNCTION("""COMPUTED_VALUE"""),0.0)</f>
        <v>0</v>
      </c>
      <c r="Q634" s="254" t="b">
        <f>VLOOKUP($B634,'Run Reconcile'!B$2:O799,14,FALSE)</f>
        <v>1</v>
      </c>
      <c r="R634" s="255" t="str">
        <f t="array" ref="R634">IF($Q634, INDEX('Run Reconcile'!A$2:A799,MATCH(B634,'Run Reconcile'!B$2:B799,0),1),IFERROR(0/0,""))</f>
        <v>RUN-BEND_2022-03-03_RFR-044</v>
      </c>
      <c r="S634" s="261" t="str">
        <f t="shared" ref="S634:T634" si="1275">IF(COUNTIF(W$2:W799, $A634) &gt; 0,TRUE,IFERROR(0/0,""))</f>
        <v/>
      </c>
      <c r="T634" s="261" t="str">
        <f t="shared" si="1275"/>
        <v/>
      </c>
      <c r="U634" s="257" t="str">
        <f t="array" ref="U634">IF(ISBLANK($R634), INDEX('Run Reconcile'!A$2:A799, MATCH($B634, 'Run Reconcile'!B$2:B799, 0)+Z634, 1), IFERROR(0/0,""))
</f>
        <v/>
      </c>
      <c r="V634" s="258" t="str">
        <f t="shared" si="480"/>
        <v>RUN-BEND_2022-03-03_RFR-044</v>
      </c>
      <c r="Y634" s="130" t="str">
        <f t="shared" si="487"/>
        <v/>
      </c>
      <c r="Z634" s="49" t="str">
        <f t="shared" si="7"/>
        <v/>
      </c>
      <c r="AA634" s="49" t="str">
        <f t="shared" si="8"/>
        <v/>
      </c>
      <c r="AB634" s="49" t="str">
        <f t="shared" si="9"/>
        <v/>
      </c>
      <c r="AC634" s="20" t="str">
        <f t="shared" ref="AC634:AD634" si="1276">IF(_xlfn.ISFORMULA(S634),IFERROR(0/0,""),TRUE)</f>
        <v/>
      </c>
      <c r="AD634" s="20" t="str">
        <f t="shared" si="1276"/>
        <v/>
      </c>
      <c r="AE634" s="43"/>
      <c r="AF634" s="62" t="s">
        <v>65</v>
      </c>
      <c r="AG634" s="57" t="str">
        <f t="shared" si="11"/>
        <v/>
      </c>
    </row>
    <row r="635">
      <c r="A635" s="6" t="str">
        <f>IFERROR(__xludf.DUMMYFUNCTION("""COMPUTED_VALUE"""),"MA1316")</f>
        <v>MA1316</v>
      </c>
      <c r="B635" s="204">
        <f>IFERROR(__xludf.DUMMYFUNCTION("""COMPUTED_VALUE"""),44623.0)</f>
        <v>44623</v>
      </c>
      <c r="C635" s="250">
        <f>IFERROR(__xludf.DUMMYFUNCTION("""COMPUTED_VALUE"""),0.3912731481481482)</f>
        <v>0.3912731481</v>
      </c>
      <c r="D635" s="6" t="str">
        <f>IFERROR(__xludf.DUMMYFUNCTION("""COMPUTED_VALUE"""),"SpBEND110967")</f>
        <v>SpBEND110967</v>
      </c>
      <c r="E635" s="251"/>
      <c r="F635" s="251"/>
      <c r="G635" s="251" t="str">
        <f>IFERROR(__xludf.DUMMYFUNCTION("""COMPUTED_VALUE"""),"Negative")</f>
        <v>Negative</v>
      </c>
      <c r="H635" s="262" t="str">
        <f>IFERROR(__xludf.DUMMYFUNCTION("""COMPUTED_VALUE"""),"Negative")</f>
        <v>Negative</v>
      </c>
      <c r="I635" s="204">
        <f>IFERROR(__xludf.DUMMYFUNCTION("""COMPUTED_VALUE"""),44623.0)</f>
        <v>44623</v>
      </c>
      <c r="J635" s="252">
        <f>IFERROR(__xludf.DUMMYFUNCTION("""COMPUTED_VALUE"""),0.4606018518518519)</f>
        <v>0.4606018519</v>
      </c>
      <c r="K635" s="56"/>
      <c r="L635" s="6"/>
      <c r="M635" s="61"/>
      <c r="N635" s="61">
        <f>IFERROR(__xludf.DUMMYFUNCTION("""COMPUTED_VALUE"""),1.0)</f>
        <v>1</v>
      </c>
      <c r="O635" s="61" t="str">
        <f t="shared" si="3"/>
        <v/>
      </c>
      <c r="P635" s="253">
        <f>IFERROR(__xludf.DUMMYFUNCTION("""COMPUTED_VALUE"""),0.0)</f>
        <v>0</v>
      </c>
      <c r="Q635" s="254" t="b">
        <f>VLOOKUP($B635,'Run Reconcile'!B$2:O799,14,FALSE)</f>
        <v>1</v>
      </c>
      <c r="R635" s="255" t="str">
        <f t="array" ref="R635">IF($Q635, INDEX('Run Reconcile'!A$2:A799,MATCH(B635,'Run Reconcile'!B$2:B799,0),1),IFERROR(0/0,""))</f>
        <v>RUN-BEND_2022-03-03_RFR-044</v>
      </c>
      <c r="S635" s="261" t="str">
        <f t="shared" ref="S635:T635" si="1277">IF(COUNTIF(W$2:W799, $A635) &gt; 0,TRUE,IFERROR(0/0,""))</f>
        <v/>
      </c>
      <c r="T635" s="261" t="str">
        <f t="shared" si="1277"/>
        <v/>
      </c>
      <c r="U635" s="257" t="str">
        <f t="array" ref="U635">IF(ISBLANK($R635), INDEX('Run Reconcile'!A$2:A799, MATCH($B635, 'Run Reconcile'!B$2:B799, 0)+Z635, 1), IFERROR(0/0,""))
</f>
        <v/>
      </c>
      <c r="V635" s="258" t="str">
        <f t="shared" si="480"/>
        <v>RUN-BEND_2022-03-03_RFR-044</v>
      </c>
      <c r="Y635" s="130" t="str">
        <f t="shared" si="487"/>
        <v/>
      </c>
      <c r="Z635" s="49" t="str">
        <f t="shared" si="7"/>
        <v/>
      </c>
      <c r="AA635" s="49" t="str">
        <f t="shared" si="8"/>
        <v/>
      </c>
      <c r="AB635" s="49" t="str">
        <f t="shared" si="9"/>
        <v/>
      </c>
      <c r="AC635" s="20" t="str">
        <f t="shared" ref="AC635:AD635" si="1278">IF(_xlfn.ISFORMULA(S635),IFERROR(0/0,""),TRUE)</f>
        <v/>
      </c>
      <c r="AD635" s="20" t="str">
        <f t="shared" si="1278"/>
        <v/>
      </c>
      <c r="AE635" s="43"/>
      <c r="AF635" s="62" t="s">
        <v>65</v>
      </c>
      <c r="AG635" s="57" t="str">
        <f t="shared" si="11"/>
        <v/>
      </c>
    </row>
    <row r="636">
      <c r="A636" s="6" t="str">
        <f>IFERROR(__xludf.DUMMYFUNCTION("""COMPUTED_VALUE"""),"MA1202")</f>
        <v>MA1202</v>
      </c>
      <c r="B636" s="204">
        <f>IFERROR(__xludf.DUMMYFUNCTION("""COMPUTED_VALUE"""),44623.0)</f>
        <v>44623</v>
      </c>
      <c r="C636" s="250">
        <f>IFERROR(__xludf.DUMMYFUNCTION("""COMPUTED_VALUE"""),0.3914930555555556)</f>
        <v>0.3914930556</v>
      </c>
      <c r="D636" s="6" t="str">
        <f>IFERROR(__xludf.DUMMYFUNCTION("""COMPUTED_VALUE"""),"SpBEND110967")</f>
        <v>SpBEND110967</v>
      </c>
      <c r="E636" s="251"/>
      <c r="F636" s="251"/>
      <c r="G636" s="251" t="str">
        <f>IFERROR(__xludf.DUMMYFUNCTION("""COMPUTED_VALUE"""),"Positive")</f>
        <v>Positive</v>
      </c>
      <c r="H636" s="262" t="str">
        <f>IFERROR(__xludf.DUMMYFUNCTION("""COMPUTED_VALUE"""),"Positive")</f>
        <v>Positive</v>
      </c>
      <c r="I636" s="204">
        <f>IFERROR(__xludf.DUMMYFUNCTION("""COMPUTED_VALUE"""),44623.0)</f>
        <v>44623</v>
      </c>
      <c r="J636" s="252">
        <f>IFERROR(__xludf.DUMMYFUNCTION("""COMPUTED_VALUE"""),0.46038194444444447)</f>
        <v>0.4603819444</v>
      </c>
      <c r="K636" s="56"/>
      <c r="L636" s="6"/>
      <c r="M636" s="61"/>
      <c r="N636" s="61">
        <f>IFERROR(__xludf.DUMMYFUNCTION("""COMPUTED_VALUE"""),1.0)</f>
        <v>1</v>
      </c>
      <c r="O636" s="61" t="str">
        <f t="shared" si="3"/>
        <v/>
      </c>
      <c r="P636" s="253">
        <f>IFERROR(__xludf.DUMMYFUNCTION("""COMPUTED_VALUE"""),0.0)</f>
        <v>0</v>
      </c>
      <c r="Q636" s="254" t="b">
        <f>VLOOKUP($B636,'Run Reconcile'!B$2:O799,14,FALSE)</f>
        <v>1</v>
      </c>
      <c r="R636" s="255" t="str">
        <f t="array" ref="R636">IF($Q636, INDEX('Run Reconcile'!A$2:A799,MATCH(B636,'Run Reconcile'!B$2:B799,0),1),IFERROR(0/0,""))</f>
        <v>RUN-BEND_2022-03-03_RFR-044</v>
      </c>
      <c r="S636" s="261" t="str">
        <f t="shared" ref="S636:T636" si="1279">IF(COUNTIF(W$2:W799, $A636) &gt; 0,TRUE,IFERROR(0/0,""))</f>
        <v/>
      </c>
      <c r="T636" s="261" t="str">
        <f t="shared" si="1279"/>
        <v/>
      </c>
      <c r="U636" s="257" t="str">
        <f t="array" ref="U636">IF(ISBLANK($R636), INDEX('Run Reconcile'!A$2:A799, MATCH($B636, 'Run Reconcile'!B$2:B799, 0)+Z636, 1), IFERROR(0/0,""))
</f>
        <v/>
      </c>
      <c r="V636" s="258" t="str">
        <f t="shared" si="480"/>
        <v>RUN-BEND_2022-03-03_RFR-044</v>
      </c>
      <c r="Y636" s="130" t="str">
        <f t="shared" si="487"/>
        <v/>
      </c>
      <c r="Z636" s="49" t="str">
        <f t="shared" si="7"/>
        <v/>
      </c>
      <c r="AA636" s="49" t="str">
        <f t="shared" si="8"/>
        <v/>
      </c>
      <c r="AB636" s="49" t="str">
        <f t="shared" si="9"/>
        <v/>
      </c>
      <c r="AC636" s="20" t="str">
        <f t="shared" ref="AC636:AD636" si="1280">IF(_xlfn.ISFORMULA(S636),IFERROR(0/0,""),TRUE)</f>
        <v/>
      </c>
      <c r="AD636" s="20" t="str">
        <f t="shared" si="1280"/>
        <v/>
      </c>
      <c r="AE636" s="43"/>
      <c r="AF636" s="62" t="s">
        <v>65</v>
      </c>
      <c r="AG636" s="57" t="str">
        <f t="shared" si="11"/>
        <v/>
      </c>
    </row>
    <row r="637">
      <c r="A637" s="6" t="str">
        <f>IFERROR(__xludf.DUMMYFUNCTION("""COMPUTED_VALUE"""),"FM440")</f>
        <v>FM440</v>
      </c>
      <c r="B637" s="204">
        <f>IFERROR(__xludf.DUMMYFUNCTION("""COMPUTED_VALUE"""),44623.0)</f>
        <v>44623</v>
      </c>
      <c r="C637" s="250">
        <f>IFERROR(__xludf.DUMMYFUNCTION("""COMPUTED_VALUE"""),0.4114699074074074)</f>
        <v>0.4114699074</v>
      </c>
      <c r="D637" s="6" t="str">
        <f>IFERROR(__xludf.DUMMYFUNCTION("""COMPUTED_VALUE"""),"SpBEND110967")</f>
        <v>SpBEND110967</v>
      </c>
      <c r="E637" s="251"/>
      <c r="F637" s="251"/>
      <c r="G637" s="251" t="str">
        <f>IFERROR(__xludf.DUMMYFUNCTION("""COMPUTED_VALUE"""),"Negative")</f>
        <v>Negative</v>
      </c>
      <c r="H637" s="262" t="str">
        <f>IFERROR(__xludf.DUMMYFUNCTION("""COMPUTED_VALUE"""),"Negative")</f>
        <v>Negative</v>
      </c>
      <c r="I637" s="204">
        <f>IFERROR(__xludf.DUMMYFUNCTION("""COMPUTED_VALUE"""),44623.0)</f>
        <v>44623</v>
      </c>
      <c r="J637" s="252">
        <f>IFERROR(__xludf.DUMMYFUNCTION("""COMPUTED_VALUE"""),0.4606018518518519)</f>
        <v>0.4606018519</v>
      </c>
      <c r="K637" s="56"/>
      <c r="L637" s="6"/>
      <c r="M637" s="61"/>
      <c r="N637" s="61">
        <f>IFERROR(__xludf.DUMMYFUNCTION("""COMPUTED_VALUE"""),1.0)</f>
        <v>1</v>
      </c>
      <c r="O637" s="61" t="str">
        <f t="shared" si="3"/>
        <v/>
      </c>
      <c r="P637" s="253">
        <f>IFERROR(__xludf.DUMMYFUNCTION("""COMPUTED_VALUE"""),0.0)</f>
        <v>0</v>
      </c>
      <c r="Q637" s="254" t="b">
        <f>VLOOKUP($B637,'Run Reconcile'!B$2:O799,14,FALSE)</f>
        <v>1</v>
      </c>
      <c r="R637" s="255" t="str">
        <f t="array" ref="R637">IF($Q637, INDEX('Run Reconcile'!A$2:A799,MATCH(B637,'Run Reconcile'!B$2:B799,0),1),IFERROR(0/0,""))</f>
        <v>RUN-BEND_2022-03-03_RFR-044</v>
      </c>
      <c r="S637" s="261" t="str">
        <f t="shared" ref="S637:T637" si="1281">IF(COUNTIF(W$2:W799, $A637) &gt; 0,TRUE,IFERROR(0/0,""))</f>
        <v/>
      </c>
      <c r="T637" s="261" t="str">
        <f t="shared" si="1281"/>
        <v/>
      </c>
      <c r="U637" s="257" t="str">
        <f t="array" ref="U637">IF(ISBLANK($R637), INDEX('Run Reconcile'!A$2:A799, MATCH($B637, 'Run Reconcile'!B$2:B799, 0)+Z637, 1), IFERROR(0/0,""))
</f>
        <v/>
      </c>
      <c r="V637" s="258" t="str">
        <f t="shared" si="480"/>
        <v>RUN-BEND_2022-03-03_RFR-044</v>
      </c>
      <c r="Y637" s="130" t="str">
        <f t="shared" si="487"/>
        <v/>
      </c>
      <c r="Z637" s="49" t="str">
        <f t="shared" si="7"/>
        <v/>
      </c>
      <c r="AA637" s="49" t="str">
        <f t="shared" si="8"/>
        <v/>
      </c>
      <c r="AB637" s="49" t="str">
        <f t="shared" si="9"/>
        <v/>
      </c>
      <c r="AC637" s="20" t="str">
        <f t="shared" ref="AC637:AD637" si="1282">IF(_xlfn.ISFORMULA(S637),IFERROR(0/0,""),TRUE)</f>
        <v/>
      </c>
      <c r="AD637" s="20" t="str">
        <f t="shared" si="1282"/>
        <v/>
      </c>
      <c r="AE637" s="43"/>
      <c r="AF637" s="62" t="s">
        <v>65</v>
      </c>
      <c r="AG637" s="57" t="str">
        <f t="shared" si="11"/>
        <v/>
      </c>
    </row>
    <row r="638">
      <c r="A638" s="6" t="str">
        <f>IFERROR(__xludf.DUMMYFUNCTION("""COMPUTED_VALUE"""),"MA363")</f>
        <v>MA363</v>
      </c>
      <c r="B638" s="204">
        <f>IFERROR(__xludf.DUMMYFUNCTION("""COMPUTED_VALUE"""),44623.0)</f>
        <v>44623</v>
      </c>
      <c r="C638" s="250">
        <f>IFERROR(__xludf.DUMMYFUNCTION("""COMPUTED_VALUE"""),0.4583564814814815)</f>
        <v>0.4583564815</v>
      </c>
      <c r="D638" s="6" t="str">
        <f>IFERROR(__xludf.DUMMYFUNCTION("""COMPUTED_VALUE"""),"SpBEND110967")</f>
        <v>SpBEND110967</v>
      </c>
      <c r="E638" s="251"/>
      <c r="F638" s="251"/>
      <c r="G638" s="251" t="str">
        <f>IFERROR(__xludf.DUMMYFUNCTION("""COMPUTED_VALUE"""),"Negative")</f>
        <v>Negative</v>
      </c>
      <c r="H638" s="262" t="str">
        <f>IFERROR(__xludf.DUMMYFUNCTION("""COMPUTED_VALUE"""),"Negative")</f>
        <v>Negative</v>
      </c>
      <c r="I638" s="204">
        <f>IFERROR(__xludf.DUMMYFUNCTION("""COMPUTED_VALUE"""),44623.0)</f>
        <v>44623</v>
      </c>
      <c r="J638" s="252">
        <f>IFERROR(__xludf.DUMMYFUNCTION("""COMPUTED_VALUE"""),0.4606018518518519)</f>
        <v>0.4606018519</v>
      </c>
      <c r="K638" s="56"/>
      <c r="L638" s="6"/>
      <c r="M638" s="61"/>
      <c r="N638" s="61">
        <f>IFERROR(__xludf.DUMMYFUNCTION("""COMPUTED_VALUE"""),1.0)</f>
        <v>1</v>
      </c>
      <c r="O638" s="61" t="str">
        <f t="shared" si="3"/>
        <v/>
      </c>
      <c r="P638" s="253">
        <f>IFERROR(__xludf.DUMMYFUNCTION("""COMPUTED_VALUE"""),0.0)</f>
        <v>0</v>
      </c>
      <c r="Q638" s="254" t="b">
        <f>VLOOKUP($B638,'Run Reconcile'!B$2:O799,14,FALSE)</f>
        <v>1</v>
      </c>
      <c r="R638" s="255" t="str">
        <f t="array" ref="R638">IF($Q638, INDEX('Run Reconcile'!A$2:A799,MATCH(B638,'Run Reconcile'!B$2:B799,0),1),IFERROR(0/0,""))</f>
        <v>RUN-BEND_2022-03-03_RFR-044</v>
      </c>
      <c r="S638" s="261" t="str">
        <f t="shared" ref="S638:T638" si="1283">IF(COUNTIF(W$2:W799, $A638) &gt; 0,TRUE,IFERROR(0/0,""))</f>
        <v/>
      </c>
      <c r="T638" s="261" t="str">
        <f t="shared" si="1283"/>
        <v/>
      </c>
      <c r="U638" s="257" t="str">
        <f t="array" ref="U638">IF(ISBLANK($R638), INDEX('Run Reconcile'!A$2:A799, MATCH($B638, 'Run Reconcile'!B$2:B799, 0)+Z638, 1), IFERROR(0/0,""))
</f>
        <v/>
      </c>
      <c r="V638" s="258" t="str">
        <f t="shared" si="480"/>
        <v>RUN-BEND_2022-03-03_RFR-044</v>
      </c>
      <c r="Y638" s="130" t="str">
        <f t="shared" si="487"/>
        <v/>
      </c>
      <c r="Z638" s="49" t="str">
        <f t="shared" si="7"/>
        <v/>
      </c>
      <c r="AA638" s="49" t="str">
        <f t="shared" si="8"/>
        <v/>
      </c>
      <c r="AB638" s="49" t="str">
        <f t="shared" si="9"/>
        <v/>
      </c>
      <c r="AC638" s="20" t="str">
        <f t="shared" ref="AC638:AD638" si="1284">IF(_xlfn.ISFORMULA(S638),IFERROR(0/0,""),TRUE)</f>
        <v/>
      </c>
      <c r="AD638" s="20" t="str">
        <f t="shared" si="1284"/>
        <v/>
      </c>
      <c r="AE638" s="43"/>
      <c r="AF638" s="62" t="s">
        <v>65</v>
      </c>
      <c r="AG638" s="57" t="str">
        <f t="shared" si="11"/>
        <v/>
      </c>
    </row>
    <row r="639">
      <c r="A639" s="6" t="str">
        <f>IFERROR(__xludf.DUMMYFUNCTION("""COMPUTED_VALUE"""),"FM1202")</f>
        <v>FM1202</v>
      </c>
      <c r="B639" s="204">
        <f>IFERROR(__xludf.DUMMYFUNCTION("""COMPUTED_VALUE"""),44623.0)</f>
        <v>44623</v>
      </c>
      <c r="C639" s="250">
        <f>IFERROR(__xludf.DUMMYFUNCTION("""COMPUTED_VALUE"""),0.4691666666666667)</f>
        <v>0.4691666667</v>
      </c>
      <c r="D639" s="6" t="str">
        <f>IFERROR(__xludf.DUMMYFUNCTION("""COMPUTED_VALUE"""),"SpBEND110967")</f>
        <v>SpBEND110967</v>
      </c>
      <c r="E639" s="251"/>
      <c r="F639" s="251"/>
      <c r="G639" s="251" t="str">
        <f>IFERROR(__xludf.DUMMYFUNCTION("""COMPUTED_VALUE"""),"Null")</f>
        <v>Null</v>
      </c>
      <c r="H639" s="262" t="str">
        <f>IFERROR(__xludf.DUMMYFUNCTION("""COMPUTED_VALUE"""),"Negative")</f>
        <v>Negative</v>
      </c>
      <c r="I639" s="262"/>
      <c r="J639" s="56"/>
      <c r="K639" s="56">
        <f>IFERROR(__xludf.DUMMYFUNCTION("""COMPUTED_VALUE"""),2.0)</f>
        <v>2</v>
      </c>
      <c r="L639" s="6"/>
      <c r="M639" s="61"/>
      <c r="N639" s="61">
        <f>IFERROR(__xludf.DUMMYFUNCTION("""COMPUTED_VALUE"""),1.0)</f>
        <v>1</v>
      </c>
      <c r="O639" s="61" t="str">
        <f t="shared" si="3"/>
        <v/>
      </c>
      <c r="P639" s="253">
        <f>IFERROR(__xludf.DUMMYFUNCTION("""COMPUTED_VALUE"""),-1.0)</f>
        <v>-1</v>
      </c>
      <c r="Q639" s="254" t="b">
        <f>VLOOKUP($B639,'Run Reconcile'!B$2:O799,14,FALSE)</f>
        <v>1</v>
      </c>
      <c r="R639" s="255" t="str">
        <f t="array" ref="R639">IF($Q639, INDEX('Run Reconcile'!A$2:A799,MATCH(B639,'Run Reconcile'!B$2:B799,0),1),IFERROR(0/0,""))</f>
        <v>RUN-BEND_2022-03-03_RFR-044</v>
      </c>
      <c r="S639" s="261" t="str">
        <f t="shared" ref="S639:T639" si="1285">IF(COUNTIF(W$2:W799, $A639) &gt; 0,TRUE,IFERROR(0/0,""))</f>
        <v/>
      </c>
      <c r="T639" s="261" t="str">
        <f t="shared" si="1285"/>
        <v/>
      </c>
      <c r="U639" s="257" t="str">
        <f t="array" ref="U639">IF(ISBLANK($R639), INDEX('Run Reconcile'!A$2:A799, MATCH($B639, 'Run Reconcile'!B$2:B799, 0)+Z639, 1), IFERROR(0/0,""))
</f>
        <v/>
      </c>
      <c r="V639" s="258" t="str">
        <f t="shared" si="480"/>
        <v>RUN-BEND_2022-03-03_RFR-044</v>
      </c>
      <c r="Y639" s="130" t="str">
        <f t="shared" si="487"/>
        <v/>
      </c>
      <c r="Z639" s="49" t="str">
        <f t="shared" si="7"/>
        <v/>
      </c>
      <c r="AA639" s="49" t="str">
        <f t="shared" si="8"/>
        <v/>
      </c>
      <c r="AB639" s="49" t="str">
        <f t="shared" si="9"/>
        <v/>
      </c>
      <c r="AC639" s="20" t="str">
        <f t="shared" ref="AC639:AD639" si="1286">IF(_xlfn.ISFORMULA(S639),IFERROR(0/0,""),TRUE)</f>
        <v/>
      </c>
      <c r="AD639" s="20" t="str">
        <f t="shared" si="1286"/>
        <v/>
      </c>
      <c r="AE639" s="43"/>
      <c r="AF639" s="62" t="s">
        <v>65</v>
      </c>
      <c r="AG639" s="57" t="str">
        <f t="shared" si="11"/>
        <v/>
      </c>
    </row>
    <row r="640">
      <c r="A640" s="269" t="str">
        <f>IFERROR(__xludf.DUMMYFUNCTION("""COMPUTED_VALUE"""),"MA319")</f>
        <v>MA319</v>
      </c>
      <c r="B640" s="270">
        <f>IFERROR(__xludf.DUMMYFUNCTION("""COMPUTED_VALUE"""),44625.0)</f>
        <v>44625</v>
      </c>
      <c r="C640" s="271">
        <f>IFERROR(__xludf.DUMMYFUNCTION("""COMPUTED_VALUE"""),0.2652893518518519)</f>
        <v>0.2652893519</v>
      </c>
      <c r="D640" s="269" t="str">
        <f>IFERROR(__xludf.DUMMYFUNCTION("""COMPUTED_VALUE"""),"SpBEND670368")</f>
        <v>SpBEND670368</v>
      </c>
      <c r="E640" s="272"/>
      <c r="F640" s="272"/>
      <c r="G640" s="272" t="str">
        <f>IFERROR(__xludf.DUMMYFUNCTION("""COMPUTED_VALUE"""),"Negative")</f>
        <v>Negative</v>
      </c>
      <c r="H640" s="273" t="str">
        <f>IFERROR(__xludf.DUMMYFUNCTION("""COMPUTED_VALUE"""),"Negative")</f>
        <v>Negative</v>
      </c>
      <c r="I640" s="270">
        <f>IFERROR(__xludf.DUMMYFUNCTION("""COMPUTED_VALUE"""),44625.0)</f>
        <v>44625</v>
      </c>
      <c r="J640" s="274">
        <f>IFERROR(__xludf.DUMMYFUNCTION("""COMPUTED_VALUE"""),0.48974537037037036)</f>
        <v>0.4897453704</v>
      </c>
      <c r="K640" s="275"/>
      <c r="L640" s="269"/>
      <c r="M640" s="276"/>
      <c r="N640" s="276">
        <f>IFERROR(__xludf.DUMMYFUNCTION("""COMPUTED_VALUE"""),1.0)</f>
        <v>1</v>
      </c>
      <c r="O640" s="276" t="b">
        <f t="shared" si="3"/>
        <v>1</v>
      </c>
      <c r="P640" s="277">
        <f>IFERROR(__xludf.DUMMYFUNCTION("""COMPUTED_VALUE"""),0.0)</f>
        <v>0</v>
      </c>
      <c r="Q640" s="278" t="str">
        <f>VLOOKUP($B640,'Run Reconcile'!B$2:O799,14,FALSE)</f>
        <v/>
      </c>
      <c r="R640" s="279" t="str">
        <f t="array" ref="R640">IF($Q640, INDEX('Run Reconcile'!A$2:A799,MATCH(B640,'Run Reconcile'!B$2:B799,0),1),IFERROR(0/0,""))</f>
        <v/>
      </c>
      <c r="S640" s="280" t="str">
        <f t="shared" ref="S640:T640" si="1287">IF(COUNTIF(W$2:W799, $A640) &gt; 0,TRUE,IFERROR(0/0,""))</f>
        <v/>
      </c>
      <c r="T640" s="280" t="str">
        <f t="shared" si="1287"/>
        <v/>
      </c>
      <c r="U640" s="281" t="str">
        <f t="array" ref="U640">IF(ISBLANK($R640), INDEX('Run Reconcile'!A$2:A799, MATCH($B640, 'Run Reconcile'!B$2:B799, 0)+Z640, 1), IFERROR(0/0,""))
</f>
        <v>RUN-BEND_2022-03-05_RFR-045</v>
      </c>
      <c r="V640" s="282" t="str">
        <f t="shared" si="480"/>
        <v>RUN-BEND_2022-03-05_RFR-045</v>
      </c>
      <c r="W640" s="269"/>
      <c r="X640" s="269"/>
      <c r="Y640" s="283" t="str">
        <f t="shared" si="487"/>
        <v/>
      </c>
      <c r="Z640" s="284" t="str">
        <f t="shared" si="7"/>
        <v/>
      </c>
      <c r="AA640" s="284" t="str">
        <f t="shared" si="8"/>
        <v/>
      </c>
      <c r="AB640" s="284" t="str">
        <f t="shared" si="9"/>
        <v/>
      </c>
      <c r="AC640" s="285" t="str">
        <f t="shared" ref="AC640:AD640" si="1288">IF(_xlfn.ISFORMULA(S640),IFERROR(0/0,""),TRUE)</f>
        <v/>
      </c>
      <c r="AD640" s="285" t="str">
        <f t="shared" si="1288"/>
        <v/>
      </c>
      <c r="AE640" s="286"/>
      <c r="AF640" s="287" t="s">
        <v>66</v>
      </c>
      <c r="AG640" s="57" t="str">
        <f t="shared" si="11"/>
        <v/>
      </c>
      <c r="AH640" s="269"/>
      <c r="AI640" s="269"/>
      <c r="AJ640" s="269"/>
      <c r="AK640" s="269"/>
    </row>
    <row r="641">
      <c r="A641" s="6" t="str">
        <f>IFERROR(__xludf.DUMMYFUNCTION("""COMPUTED_VALUE"""),"MA328")</f>
        <v>MA328</v>
      </c>
      <c r="B641" s="204">
        <f>IFERROR(__xludf.DUMMYFUNCTION("""COMPUTED_VALUE"""),44625.0)</f>
        <v>44625</v>
      </c>
      <c r="C641" s="250">
        <f>IFERROR(__xludf.DUMMYFUNCTION("""COMPUTED_VALUE"""),0.2703587962962963)</f>
        <v>0.2703587963</v>
      </c>
      <c r="D641" s="6" t="str">
        <f>IFERROR(__xludf.DUMMYFUNCTION("""COMPUTED_VALUE"""),"SpBEND947055")</f>
        <v>SpBEND947055</v>
      </c>
      <c r="E641" s="251"/>
      <c r="F641" s="251"/>
      <c r="G641" s="251" t="str">
        <f>IFERROR(__xludf.DUMMYFUNCTION("""COMPUTED_VALUE"""),"Negative")</f>
        <v>Negative</v>
      </c>
      <c r="H641" s="262" t="str">
        <f>IFERROR(__xludf.DUMMYFUNCTION("""COMPUTED_VALUE"""),"Negative")</f>
        <v>Negative</v>
      </c>
      <c r="I641" s="204">
        <f>IFERROR(__xludf.DUMMYFUNCTION("""COMPUTED_VALUE"""),44625.0)</f>
        <v>44625</v>
      </c>
      <c r="J641" s="252">
        <f>IFERROR(__xludf.DUMMYFUNCTION("""COMPUTED_VALUE"""),0.48974537037037036)</f>
        <v>0.4897453704</v>
      </c>
      <c r="K641" s="56"/>
      <c r="L641" s="6"/>
      <c r="M641" s="61"/>
      <c r="N641" s="61">
        <f>IFERROR(__xludf.DUMMYFUNCTION("""COMPUTED_VALUE"""),1.0)</f>
        <v>1</v>
      </c>
      <c r="O641" s="61" t="str">
        <f t="shared" si="3"/>
        <v/>
      </c>
      <c r="P641" s="253">
        <f>IFERROR(__xludf.DUMMYFUNCTION("""COMPUTED_VALUE"""),0.0)</f>
        <v>0</v>
      </c>
      <c r="Q641" s="254" t="str">
        <f>VLOOKUP($B641,'Run Reconcile'!B$2:O799,14,FALSE)</f>
        <v/>
      </c>
      <c r="R641" s="255" t="str">
        <f t="array" ref="R641">IF($Q641, INDEX('Run Reconcile'!A$2:A799,MATCH(B641,'Run Reconcile'!B$2:B799,0),1),IFERROR(0/0,""))</f>
        <v/>
      </c>
      <c r="S641" s="261" t="str">
        <f t="shared" ref="S641:T641" si="1289">IF(COUNTIF(W$2:W799, $A641) &gt; 0,TRUE,IFERROR(0/0,""))</f>
        <v/>
      </c>
      <c r="T641" s="261" t="str">
        <f t="shared" si="1289"/>
        <v/>
      </c>
      <c r="U641" s="257" t="str">
        <f t="array" ref="U641">IF(ISBLANK($R641), INDEX('Run Reconcile'!A$2:A799, MATCH($B641, 'Run Reconcile'!B$2:B799, 0)+Z641, 1), IFERROR(0/0,""))
</f>
        <v>RUN-BEND_2022-03-05_RFR-045</v>
      </c>
      <c r="V641" s="258" t="str">
        <f t="shared" si="480"/>
        <v>RUN-BEND_2022-03-05_RFR-045</v>
      </c>
      <c r="Y641" s="130" t="str">
        <f t="shared" si="487"/>
        <v/>
      </c>
      <c r="Z641" s="49" t="str">
        <f t="shared" si="7"/>
        <v/>
      </c>
      <c r="AA641" s="49" t="str">
        <f t="shared" si="8"/>
        <v/>
      </c>
      <c r="AB641" s="49" t="str">
        <f t="shared" si="9"/>
        <v/>
      </c>
      <c r="AC641" s="20" t="str">
        <f t="shared" ref="AC641:AD641" si="1290">IF(_xlfn.ISFORMULA(S641),IFERROR(0/0,""),TRUE)</f>
        <v/>
      </c>
      <c r="AD641" s="20" t="str">
        <f t="shared" si="1290"/>
        <v/>
      </c>
      <c r="AE641" s="43"/>
      <c r="AF641" s="62" t="s">
        <v>66</v>
      </c>
      <c r="AG641" s="57" t="str">
        <f t="shared" si="11"/>
        <v/>
      </c>
    </row>
    <row r="642">
      <c r="A642" s="6" t="str">
        <f>IFERROR(__xludf.DUMMYFUNCTION("""COMPUTED_VALUE"""),"FM480")</f>
        <v>FM480</v>
      </c>
      <c r="B642" s="204">
        <f>IFERROR(__xludf.DUMMYFUNCTION("""COMPUTED_VALUE"""),44625.0)</f>
        <v>44625</v>
      </c>
      <c r="C642" s="250">
        <f>IFERROR(__xludf.DUMMYFUNCTION("""COMPUTED_VALUE"""),0.2726851851851852)</f>
        <v>0.2726851852</v>
      </c>
      <c r="D642" s="6" t="str">
        <f>IFERROR(__xludf.DUMMYFUNCTION("""COMPUTED_VALUE"""),"SpBEND734943")</f>
        <v>SpBEND734943</v>
      </c>
      <c r="E642" s="251"/>
      <c r="F642" s="251"/>
      <c r="G642" s="251" t="str">
        <f>IFERROR(__xludf.DUMMYFUNCTION("""COMPUTED_VALUE"""),"Negative")</f>
        <v>Negative</v>
      </c>
      <c r="H642" s="262" t="str">
        <f>IFERROR(__xludf.DUMMYFUNCTION("""COMPUTED_VALUE"""),"Negative")</f>
        <v>Negative</v>
      </c>
      <c r="I642" s="204">
        <f>IFERROR(__xludf.DUMMYFUNCTION("""COMPUTED_VALUE"""),44625.0)</f>
        <v>44625</v>
      </c>
      <c r="J642" s="252">
        <f>IFERROR(__xludf.DUMMYFUNCTION("""COMPUTED_VALUE"""),0.48974537037037036)</f>
        <v>0.4897453704</v>
      </c>
      <c r="K642" s="56"/>
      <c r="L642" s="6"/>
      <c r="M642" s="61"/>
      <c r="N642" s="61">
        <f>IFERROR(__xludf.DUMMYFUNCTION("""COMPUTED_VALUE"""),1.0)</f>
        <v>1</v>
      </c>
      <c r="O642" s="61"/>
      <c r="P642" s="253">
        <f>IFERROR(__xludf.DUMMYFUNCTION("""COMPUTED_VALUE"""),0.0)</f>
        <v>0</v>
      </c>
      <c r="Q642" s="254" t="str">
        <f>VLOOKUP($B642,'Run Reconcile'!B$2:O799,14,FALSE)</f>
        <v/>
      </c>
      <c r="R642" s="255" t="str">
        <f t="array" ref="R642">IF($Q642, INDEX('Run Reconcile'!A$2:A799,MATCH(B642,'Run Reconcile'!B$2:B799,0),1),IFERROR(0/0,""))</f>
        <v/>
      </c>
      <c r="S642" s="261" t="str">
        <f t="shared" ref="S642:T642" si="1291">IF(COUNTIF(W$2:W799, $A642) &gt; 0,TRUE,IFERROR(0/0,""))</f>
        <v/>
      </c>
      <c r="T642" s="261" t="str">
        <f t="shared" si="1291"/>
        <v/>
      </c>
      <c r="U642" s="257" t="str">
        <f t="array" ref="U642">IF(ISBLANK($R642), INDEX('Run Reconcile'!A$2:A799, MATCH($B642, 'Run Reconcile'!B$2:B799, 0)+Z642, 1), IFERROR(0/0,""))
</f>
        <v>RUN-BEND_2022-03-05_RFR-045</v>
      </c>
      <c r="V642" s="258" t="str">
        <f t="shared" si="480"/>
        <v>RUN-BEND_2022-03-05_RFR-045</v>
      </c>
      <c r="Y642" s="130" t="str">
        <f t="shared" si="487"/>
        <v/>
      </c>
      <c r="Z642" s="49" t="str">
        <f t="shared" si="7"/>
        <v/>
      </c>
      <c r="AA642" s="49" t="str">
        <f t="shared" si="8"/>
        <v/>
      </c>
      <c r="AB642" s="49" t="str">
        <f t="shared" si="9"/>
        <v/>
      </c>
      <c r="AC642" s="20" t="str">
        <f t="shared" ref="AC642:AD642" si="1292">IF(_xlfn.ISFORMULA(S642),IFERROR(0/0,""),TRUE)</f>
        <v/>
      </c>
      <c r="AD642" s="20" t="str">
        <f t="shared" si="1292"/>
        <v/>
      </c>
      <c r="AE642" s="43"/>
      <c r="AF642" s="62" t="s">
        <v>66</v>
      </c>
      <c r="AG642" s="57" t="str">
        <f t="shared" si="11"/>
        <v/>
      </c>
    </row>
    <row r="643">
      <c r="A643" s="6" t="str">
        <f>IFERROR(__xludf.DUMMYFUNCTION("""COMPUTED_VALUE"""),"FM423")</f>
        <v>FM423</v>
      </c>
      <c r="B643" s="204">
        <f>IFERROR(__xludf.DUMMYFUNCTION("""COMPUTED_VALUE"""),44625.0)</f>
        <v>44625</v>
      </c>
      <c r="C643" s="250">
        <f>IFERROR(__xludf.DUMMYFUNCTION("""COMPUTED_VALUE"""),0.28769675925925925)</f>
        <v>0.2876967593</v>
      </c>
      <c r="D643" s="6" t="str">
        <f>IFERROR(__xludf.DUMMYFUNCTION("""COMPUTED_VALUE"""),"SpBEND737678")</f>
        <v>SpBEND737678</v>
      </c>
      <c r="E643" s="251"/>
      <c r="F643" s="251"/>
      <c r="G643" s="251" t="str">
        <f>IFERROR(__xludf.DUMMYFUNCTION("""COMPUTED_VALUE"""),"Negative")</f>
        <v>Negative</v>
      </c>
      <c r="H643" s="262" t="str">
        <f>IFERROR(__xludf.DUMMYFUNCTION("""COMPUTED_VALUE"""),"Negative")</f>
        <v>Negative</v>
      </c>
      <c r="I643" s="204">
        <f>IFERROR(__xludf.DUMMYFUNCTION("""COMPUTED_VALUE"""),44625.0)</f>
        <v>44625</v>
      </c>
      <c r="J643" s="252">
        <f>IFERROR(__xludf.DUMMYFUNCTION("""COMPUTED_VALUE"""),0.48974537037037036)</f>
        <v>0.4897453704</v>
      </c>
      <c r="K643" s="56"/>
      <c r="L643" s="6"/>
      <c r="M643" s="61"/>
      <c r="N643" s="61">
        <f>IFERROR(__xludf.DUMMYFUNCTION("""COMPUTED_VALUE"""),1.0)</f>
        <v>1</v>
      </c>
      <c r="O643" s="61"/>
      <c r="P643" s="253">
        <f>IFERROR(__xludf.DUMMYFUNCTION("""COMPUTED_VALUE"""),0.0)</f>
        <v>0</v>
      </c>
      <c r="Q643" s="254" t="str">
        <f>VLOOKUP($B643,'Run Reconcile'!B$2:O799,14,FALSE)</f>
        <v/>
      </c>
      <c r="R643" s="255" t="str">
        <f t="array" ref="R643">IF($Q643, INDEX('Run Reconcile'!A$2:A799,MATCH(B643,'Run Reconcile'!B$2:B799,0),1),IFERROR(0/0,""))</f>
        <v/>
      </c>
      <c r="S643" s="261" t="str">
        <f t="shared" ref="S643:T643" si="1293">IF(COUNTIF(W$2:W799, $A643) &gt; 0,TRUE,IFERROR(0/0,""))</f>
        <v/>
      </c>
      <c r="T643" s="261" t="str">
        <f t="shared" si="1293"/>
        <v/>
      </c>
      <c r="U643" s="257" t="str">
        <f t="array" ref="U643">IF(ISBLANK($R643), INDEX('Run Reconcile'!A$2:A799, MATCH($B643, 'Run Reconcile'!B$2:B799, 0)+Z643, 1), IFERROR(0/0,""))
</f>
        <v>RUN-BEND_2022-03-05_RFR-045</v>
      </c>
      <c r="V643" s="258" t="str">
        <f t="shared" si="480"/>
        <v>RUN-BEND_2022-03-05_RFR-045</v>
      </c>
      <c r="Y643" s="130" t="str">
        <f t="shared" si="487"/>
        <v/>
      </c>
      <c r="Z643" s="49" t="str">
        <f t="shared" si="7"/>
        <v/>
      </c>
      <c r="AA643" s="49" t="str">
        <f t="shared" si="8"/>
        <v/>
      </c>
      <c r="AB643" s="49" t="str">
        <f t="shared" si="9"/>
        <v/>
      </c>
      <c r="AC643" s="20" t="str">
        <f t="shared" ref="AC643:AD643" si="1294">IF(_xlfn.ISFORMULA(S643),IFERROR(0/0,""),TRUE)</f>
        <v/>
      </c>
      <c r="AD643" s="20" t="str">
        <f t="shared" si="1294"/>
        <v/>
      </c>
      <c r="AE643" s="43"/>
      <c r="AF643" s="62" t="s">
        <v>66</v>
      </c>
      <c r="AG643" s="57" t="str">
        <f t="shared" si="11"/>
        <v/>
      </c>
    </row>
    <row r="644">
      <c r="A644" s="6" t="str">
        <f>IFERROR(__xludf.DUMMYFUNCTION("""COMPUTED_VALUE"""),"FM2041")</f>
        <v>FM2041</v>
      </c>
      <c r="B644" s="204">
        <f>IFERROR(__xludf.DUMMYFUNCTION("""COMPUTED_VALUE"""),44625.0)</f>
        <v>44625</v>
      </c>
      <c r="C644" s="250">
        <f>IFERROR(__xludf.DUMMYFUNCTION("""COMPUTED_VALUE"""),0.29268518518518516)</f>
        <v>0.2926851852</v>
      </c>
      <c r="D644" s="6" t="str">
        <f>IFERROR(__xludf.DUMMYFUNCTION("""COMPUTED_VALUE"""),"SpBEND321883")</f>
        <v>SpBEND321883</v>
      </c>
      <c r="E644" s="251"/>
      <c r="F644" s="251"/>
      <c r="G644" s="251" t="str">
        <f>IFERROR(__xludf.DUMMYFUNCTION("""COMPUTED_VALUE"""),"Negative")</f>
        <v>Negative</v>
      </c>
      <c r="H644" s="262" t="str">
        <f>IFERROR(__xludf.DUMMYFUNCTION("""COMPUTED_VALUE"""),"Negative")</f>
        <v>Negative</v>
      </c>
      <c r="I644" s="204">
        <f>IFERROR(__xludf.DUMMYFUNCTION("""COMPUTED_VALUE"""),44625.0)</f>
        <v>44625</v>
      </c>
      <c r="J644" s="252">
        <f>IFERROR(__xludf.DUMMYFUNCTION("""COMPUTED_VALUE"""),0.48998842592592595)</f>
        <v>0.4899884259</v>
      </c>
      <c r="K644" s="56"/>
      <c r="L644" s="6"/>
      <c r="M644" s="61"/>
      <c r="N644" s="61">
        <f>IFERROR(__xludf.DUMMYFUNCTION("""COMPUTED_VALUE"""),1.0)</f>
        <v>1</v>
      </c>
      <c r="O644" s="61"/>
      <c r="P644" s="253">
        <f>IFERROR(__xludf.DUMMYFUNCTION("""COMPUTED_VALUE"""),0.0)</f>
        <v>0</v>
      </c>
      <c r="Q644" s="254" t="str">
        <f>VLOOKUP($B644,'Run Reconcile'!B$2:O799,14,FALSE)</f>
        <v/>
      </c>
      <c r="R644" s="255" t="str">
        <f t="array" ref="R644">IF($Q644, INDEX('Run Reconcile'!A$2:A799,MATCH(B644,'Run Reconcile'!B$2:B799,0),1),IFERROR(0/0,""))</f>
        <v/>
      </c>
      <c r="S644" s="261" t="str">
        <f t="shared" ref="S644:T644" si="1295">IF(COUNTIF(W$2:W799, $A644) &gt; 0,TRUE,IFERROR(0/0,""))</f>
        <v/>
      </c>
      <c r="T644" s="261" t="str">
        <f t="shared" si="1295"/>
        <v/>
      </c>
      <c r="U644" s="257" t="str">
        <f t="array" ref="U644">IF(ISBLANK($R644), INDEX('Run Reconcile'!A$2:A799, MATCH($B644, 'Run Reconcile'!B$2:B799, 0)+Z644, 1), IFERROR(0/0,""))
</f>
        <v>RUN-BEND_2022-03-05_RFR-045</v>
      </c>
      <c r="V644" s="258" t="str">
        <f t="shared" si="480"/>
        <v>RUN-BEND_2022-03-05_RFR-045</v>
      </c>
      <c r="Y644" s="130" t="str">
        <f t="shared" si="487"/>
        <v/>
      </c>
      <c r="Z644" s="49" t="str">
        <f t="shared" si="7"/>
        <v/>
      </c>
      <c r="AA644" s="49" t="str">
        <f t="shared" si="8"/>
        <v/>
      </c>
      <c r="AB644" s="49" t="str">
        <f t="shared" si="9"/>
        <v/>
      </c>
      <c r="AC644" s="20" t="str">
        <f t="shared" ref="AC644:AD644" si="1296">IF(_xlfn.ISFORMULA(S644),IFERROR(0/0,""),TRUE)</f>
        <v/>
      </c>
      <c r="AD644" s="20" t="str">
        <f t="shared" si="1296"/>
        <v/>
      </c>
      <c r="AE644" s="43"/>
      <c r="AF644" s="62" t="s">
        <v>66</v>
      </c>
      <c r="AG644" s="57" t="str">
        <f t="shared" si="11"/>
        <v/>
      </c>
    </row>
    <row r="645">
      <c r="A645" s="6" t="str">
        <f>IFERROR(__xludf.DUMMYFUNCTION("""COMPUTED_VALUE"""),"FM95")</f>
        <v>FM95</v>
      </c>
      <c r="B645" s="204">
        <f>IFERROR(__xludf.DUMMYFUNCTION("""COMPUTED_VALUE"""),44625.0)</f>
        <v>44625</v>
      </c>
      <c r="C645" s="250">
        <f>IFERROR(__xludf.DUMMYFUNCTION("""COMPUTED_VALUE"""),0.29443287037037036)</f>
        <v>0.2944328704</v>
      </c>
      <c r="D645" s="6" t="str">
        <f>IFERROR(__xludf.DUMMYFUNCTION("""COMPUTED_VALUE"""),"SpBEND610784")</f>
        <v>SpBEND610784</v>
      </c>
      <c r="E645" s="251"/>
      <c r="F645" s="251"/>
      <c r="G645" s="251" t="str">
        <f>IFERROR(__xludf.DUMMYFUNCTION("""COMPUTED_VALUE"""),"Negative")</f>
        <v>Negative</v>
      </c>
      <c r="H645" s="262" t="str">
        <f>IFERROR(__xludf.DUMMYFUNCTION("""COMPUTED_VALUE"""),"Negative")</f>
        <v>Negative</v>
      </c>
      <c r="I645" s="204">
        <f>IFERROR(__xludf.DUMMYFUNCTION("""COMPUTED_VALUE"""),44625.0)</f>
        <v>44625</v>
      </c>
      <c r="J645" s="252">
        <f>IFERROR(__xludf.DUMMYFUNCTION("""COMPUTED_VALUE"""),0.48974537037037036)</f>
        <v>0.4897453704</v>
      </c>
      <c r="K645" s="56"/>
      <c r="L645" s="6"/>
      <c r="M645" s="61"/>
      <c r="N645" s="61">
        <f>IFERROR(__xludf.DUMMYFUNCTION("""COMPUTED_VALUE"""),1.0)</f>
        <v>1</v>
      </c>
      <c r="O645" s="61"/>
      <c r="P645" s="253">
        <f>IFERROR(__xludf.DUMMYFUNCTION("""COMPUTED_VALUE"""),0.0)</f>
        <v>0</v>
      </c>
      <c r="Q645" s="254" t="str">
        <f>VLOOKUP($B645,'Run Reconcile'!B$2:O799,14,FALSE)</f>
        <v/>
      </c>
      <c r="R645" s="255" t="str">
        <f t="array" ref="R645">IF($Q645, INDEX('Run Reconcile'!A$2:A799,MATCH(B645,'Run Reconcile'!B$2:B799,0),1),IFERROR(0/0,""))</f>
        <v/>
      </c>
      <c r="S645" s="261" t="str">
        <f t="shared" ref="S645:T645" si="1297">IF(COUNTIF(W$2:W799, $A645) &gt; 0,TRUE,IFERROR(0/0,""))</f>
        <v/>
      </c>
      <c r="T645" s="261" t="str">
        <f t="shared" si="1297"/>
        <v/>
      </c>
      <c r="U645" s="257" t="str">
        <f t="array" ref="U645">IF(ISBLANK($R645), INDEX('Run Reconcile'!A$2:A799, MATCH($B645, 'Run Reconcile'!B$2:B799, 0)+Z645, 1), IFERROR(0/0,""))
</f>
        <v>RUN-BEND_2022-03-05_RFR-045</v>
      </c>
      <c r="V645" s="258" t="str">
        <f t="shared" si="480"/>
        <v>RUN-BEND_2022-03-05_RFR-045</v>
      </c>
      <c r="Y645" s="130" t="str">
        <f t="shared" si="487"/>
        <v/>
      </c>
      <c r="Z645" s="49" t="str">
        <f t="shared" si="7"/>
        <v/>
      </c>
      <c r="AA645" s="49" t="str">
        <f t="shared" si="8"/>
        <v/>
      </c>
      <c r="AB645" s="49" t="str">
        <f t="shared" si="9"/>
        <v/>
      </c>
      <c r="AC645" s="20" t="str">
        <f t="shared" ref="AC645:AD645" si="1298">IF(_xlfn.ISFORMULA(S645),IFERROR(0/0,""),TRUE)</f>
        <v/>
      </c>
      <c r="AD645" s="20" t="str">
        <f t="shared" si="1298"/>
        <v/>
      </c>
      <c r="AE645" s="43"/>
      <c r="AF645" s="62" t="s">
        <v>66</v>
      </c>
      <c r="AG645" s="57" t="str">
        <f t="shared" si="11"/>
        <v/>
      </c>
    </row>
    <row r="646">
      <c r="A646" s="6" t="str">
        <f>IFERROR(__xludf.DUMMYFUNCTION("""COMPUTED_VALUE"""),"FM370")</f>
        <v>FM370</v>
      </c>
      <c r="B646" s="204">
        <f>IFERROR(__xludf.DUMMYFUNCTION("""COMPUTED_VALUE"""),44625.0)</f>
        <v>44625</v>
      </c>
      <c r="C646" s="250">
        <f>IFERROR(__xludf.DUMMYFUNCTION("""COMPUTED_VALUE"""),0.30115740740740743)</f>
        <v>0.3011574074</v>
      </c>
      <c r="D646" s="6" t="str">
        <f>IFERROR(__xludf.DUMMYFUNCTION("""COMPUTED_VALUE"""),"SpBEND691307")</f>
        <v>SpBEND691307</v>
      </c>
      <c r="E646" s="251"/>
      <c r="F646" s="251"/>
      <c r="G646" s="251" t="str">
        <f>IFERROR(__xludf.DUMMYFUNCTION("""COMPUTED_VALUE"""),"Negative")</f>
        <v>Negative</v>
      </c>
      <c r="H646" s="262" t="str">
        <f>IFERROR(__xludf.DUMMYFUNCTION("""COMPUTED_VALUE"""),"Negative")</f>
        <v>Negative</v>
      </c>
      <c r="I646" s="204">
        <f>IFERROR(__xludf.DUMMYFUNCTION("""COMPUTED_VALUE"""),44625.0)</f>
        <v>44625</v>
      </c>
      <c r="J646" s="252">
        <f>IFERROR(__xludf.DUMMYFUNCTION("""COMPUTED_VALUE"""),0.48974537037037036)</f>
        <v>0.4897453704</v>
      </c>
      <c r="K646" s="56"/>
      <c r="L646" s="6"/>
      <c r="M646" s="61"/>
      <c r="N646" s="61">
        <f>IFERROR(__xludf.DUMMYFUNCTION("""COMPUTED_VALUE"""),1.0)</f>
        <v>1</v>
      </c>
      <c r="O646" s="61"/>
      <c r="P646" s="253">
        <f>IFERROR(__xludf.DUMMYFUNCTION("""COMPUTED_VALUE"""),0.0)</f>
        <v>0</v>
      </c>
      <c r="Q646" s="254" t="str">
        <f>VLOOKUP($B646,'Run Reconcile'!B$2:O799,14,FALSE)</f>
        <v/>
      </c>
      <c r="R646" s="255" t="str">
        <f t="array" ref="R646">IF($Q646, INDEX('Run Reconcile'!A$2:A799,MATCH(B646,'Run Reconcile'!B$2:B799,0),1),IFERROR(0/0,""))</f>
        <v/>
      </c>
      <c r="S646" s="261" t="str">
        <f t="shared" ref="S646:T646" si="1299">IF(COUNTIF(W$2:W799, $A646) &gt; 0,TRUE,IFERROR(0/0,""))</f>
        <v/>
      </c>
      <c r="T646" s="261" t="str">
        <f t="shared" si="1299"/>
        <v/>
      </c>
      <c r="U646" s="257" t="str">
        <f t="array" ref="U646">IF(ISBLANK($R646), INDEX('Run Reconcile'!A$2:A799, MATCH($B646, 'Run Reconcile'!B$2:B799, 0)+Z646, 1), IFERROR(0/0,""))
</f>
        <v>RUN-BEND_2022-03-05_RFR-045</v>
      </c>
      <c r="V646" s="258" t="str">
        <f t="shared" si="480"/>
        <v>RUN-BEND_2022-03-05_RFR-045</v>
      </c>
      <c r="Y646" s="130" t="str">
        <f t="shared" si="487"/>
        <v/>
      </c>
      <c r="Z646" s="49" t="str">
        <f t="shared" si="7"/>
        <v/>
      </c>
      <c r="AA646" s="49" t="str">
        <f t="shared" si="8"/>
        <v/>
      </c>
      <c r="AB646" s="49" t="str">
        <f t="shared" si="9"/>
        <v/>
      </c>
      <c r="AC646" s="20" t="str">
        <f t="shared" ref="AC646:AD646" si="1300">IF(_xlfn.ISFORMULA(S646),IFERROR(0/0,""),TRUE)</f>
        <v/>
      </c>
      <c r="AD646" s="20" t="str">
        <f t="shared" si="1300"/>
        <v/>
      </c>
      <c r="AE646" s="43"/>
      <c r="AF646" s="62" t="s">
        <v>66</v>
      </c>
      <c r="AG646" s="57" t="str">
        <f t="shared" si="11"/>
        <v/>
      </c>
    </row>
    <row r="647">
      <c r="A647" s="6" t="str">
        <f>IFERROR(__xludf.DUMMYFUNCTION("""COMPUTED_VALUE"""),"FM329")</f>
        <v>FM329</v>
      </c>
      <c r="B647" s="204">
        <f>IFERROR(__xludf.DUMMYFUNCTION("""COMPUTED_VALUE"""),44625.0)</f>
        <v>44625</v>
      </c>
      <c r="C647" s="250">
        <f>IFERROR(__xludf.DUMMYFUNCTION("""COMPUTED_VALUE"""),0.30530092592592595)</f>
        <v>0.3053009259</v>
      </c>
      <c r="D647" s="6" t="str">
        <f>IFERROR(__xludf.DUMMYFUNCTION("""COMPUTED_VALUE"""),"SpBEND490402")</f>
        <v>SpBEND490402</v>
      </c>
      <c r="E647" s="251"/>
      <c r="F647" s="251"/>
      <c r="G647" s="251" t="str">
        <f>IFERROR(__xludf.DUMMYFUNCTION("""COMPUTED_VALUE"""),"Negative")</f>
        <v>Negative</v>
      </c>
      <c r="H647" s="262" t="str">
        <f>IFERROR(__xludf.DUMMYFUNCTION("""COMPUTED_VALUE"""),"Negative")</f>
        <v>Negative</v>
      </c>
      <c r="I647" s="204">
        <f>IFERROR(__xludf.DUMMYFUNCTION("""COMPUTED_VALUE"""),44625.0)</f>
        <v>44625</v>
      </c>
      <c r="J647" s="252">
        <f>IFERROR(__xludf.DUMMYFUNCTION("""COMPUTED_VALUE"""),0.48974537037037036)</f>
        <v>0.4897453704</v>
      </c>
      <c r="K647" s="56"/>
      <c r="L647" s="6"/>
      <c r="M647" s="61"/>
      <c r="N647" s="61">
        <f>IFERROR(__xludf.DUMMYFUNCTION("""COMPUTED_VALUE"""),1.0)</f>
        <v>1</v>
      </c>
      <c r="O647" s="61"/>
      <c r="P647" s="253">
        <f>IFERROR(__xludf.DUMMYFUNCTION("""COMPUTED_VALUE"""),0.0)</f>
        <v>0</v>
      </c>
      <c r="Q647" s="254" t="str">
        <f>VLOOKUP($B647,'Run Reconcile'!B$2:O799,14,FALSE)</f>
        <v/>
      </c>
      <c r="R647" s="255" t="str">
        <f t="array" ref="R647">IF($Q647, INDEX('Run Reconcile'!A$2:A799,MATCH(B647,'Run Reconcile'!B$2:B799,0),1),IFERROR(0/0,""))</f>
        <v/>
      </c>
      <c r="S647" s="261" t="str">
        <f t="shared" ref="S647:T647" si="1301">IF(COUNTIF(W$2:W799, $A647) &gt; 0,TRUE,IFERROR(0/0,""))</f>
        <v/>
      </c>
      <c r="T647" s="261" t="str">
        <f t="shared" si="1301"/>
        <v/>
      </c>
      <c r="U647" s="257" t="str">
        <f t="array" ref="U647">IF(ISBLANK($R647), INDEX('Run Reconcile'!A$2:A799, MATCH($B647, 'Run Reconcile'!B$2:B799, 0)+Z647, 1), IFERROR(0/0,""))
</f>
        <v>RUN-BEND_2022-03-05_RFR-045</v>
      </c>
      <c r="V647" s="258" t="str">
        <f t="shared" si="480"/>
        <v>RUN-BEND_2022-03-05_RFR-045</v>
      </c>
      <c r="Y647" s="130" t="str">
        <f t="shared" si="487"/>
        <v/>
      </c>
      <c r="Z647" s="49" t="str">
        <f t="shared" si="7"/>
        <v/>
      </c>
      <c r="AA647" s="49" t="str">
        <f t="shared" si="8"/>
        <v/>
      </c>
      <c r="AB647" s="49" t="str">
        <f t="shared" si="9"/>
        <v/>
      </c>
      <c r="AC647" s="20" t="str">
        <f t="shared" ref="AC647:AD647" si="1302">IF(_xlfn.ISFORMULA(S647),IFERROR(0/0,""),TRUE)</f>
        <v/>
      </c>
      <c r="AD647" s="20" t="str">
        <f t="shared" si="1302"/>
        <v/>
      </c>
      <c r="AE647" s="43"/>
      <c r="AF647" s="62" t="s">
        <v>66</v>
      </c>
      <c r="AG647" s="57" t="str">
        <f t="shared" si="11"/>
        <v/>
      </c>
    </row>
    <row r="648">
      <c r="A648" s="6" t="str">
        <f>IFERROR(__xludf.DUMMYFUNCTION("""COMPUTED_VALUE"""),"FM2055")</f>
        <v>FM2055</v>
      </c>
      <c r="B648" s="204">
        <f>IFERROR(__xludf.DUMMYFUNCTION("""COMPUTED_VALUE"""),44625.0)</f>
        <v>44625</v>
      </c>
      <c r="C648" s="250">
        <f>IFERROR(__xludf.DUMMYFUNCTION("""COMPUTED_VALUE"""),0.30789351851851854)</f>
        <v>0.3078935185</v>
      </c>
      <c r="D648" s="6" t="str">
        <f>IFERROR(__xludf.DUMMYFUNCTION("""COMPUTED_VALUE"""),"SpBEND611299")</f>
        <v>SpBEND611299</v>
      </c>
      <c r="E648" s="251"/>
      <c r="F648" s="251"/>
      <c r="G648" s="251" t="str">
        <f>IFERROR(__xludf.DUMMYFUNCTION("""COMPUTED_VALUE"""),"Negative")</f>
        <v>Negative</v>
      </c>
      <c r="H648" s="262" t="str">
        <f>IFERROR(__xludf.DUMMYFUNCTION("""COMPUTED_VALUE"""),"Negative")</f>
        <v>Negative</v>
      </c>
      <c r="I648" s="204">
        <f>IFERROR(__xludf.DUMMYFUNCTION("""COMPUTED_VALUE"""),44625.0)</f>
        <v>44625</v>
      </c>
      <c r="J648" s="252">
        <f>IFERROR(__xludf.DUMMYFUNCTION("""COMPUTED_VALUE"""),0.48974537037037036)</f>
        <v>0.4897453704</v>
      </c>
      <c r="K648" s="56"/>
      <c r="L648" s="6"/>
      <c r="M648" s="61"/>
      <c r="N648" s="61">
        <f>IFERROR(__xludf.DUMMYFUNCTION("""COMPUTED_VALUE"""),1.0)</f>
        <v>1</v>
      </c>
      <c r="O648" s="61"/>
      <c r="P648" s="253">
        <f>IFERROR(__xludf.DUMMYFUNCTION("""COMPUTED_VALUE"""),0.0)</f>
        <v>0</v>
      </c>
      <c r="Q648" s="254" t="str">
        <f>VLOOKUP($B648,'Run Reconcile'!B$2:O799,14,FALSE)</f>
        <v/>
      </c>
      <c r="R648" s="255" t="str">
        <f t="array" ref="R648">IF($Q648, INDEX('Run Reconcile'!A$2:A799,MATCH(B648,'Run Reconcile'!B$2:B799,0),1),IFERROR(0/0,""))</f>
        <v/>
      </c>
      <c r="S648" s="261" t="str">
        <f t="shared" ref="S648:T648" si="1303">IF(COUNTIF(W$2:W799, $A648) &gt; 0,TRUE,IFERROR(0/0,""))</f>
        <v/>
      </c>
      <c r="T648" s="261" t="str">
        <f t="shared" si="1303"/>
        <v/>
      </c>
      <c r="U648" s="257" t="str">
        <f t="array" ref="U648">IF(ISBLANK($R648), INDEX('Run Reconcile'!A$2:A799, MATCH($B648, 'Run Reconcile'!B$2:B799, 0)+Z648, 1), IFERROR(0/0,""))
</f>
        <v>RUN-BEND_2022-03-05_RFR-045</v>
      </c>
      <c r="V648" s="258" t="str">
        <f t="shared" si="480"/>
        <v>RUN-BEND_2022-03-05_RFR-045</v>
      </c>
      <c r="Y648" s="130" t="str">
        <f t="shared" si="487"/>
        <v/>
      </c>
      <c r="Z648" s="49" t="str">
        <f t="shared" si="7"/>
        <v/>
      </c>
      <c r="AA648" s="49" t="str">
        <f t="shared" si="8"/>
        <v/>
      </c>
      <c r="AB648" s="49" t="str">
        <f t="shared" si="9"/>
        <v/>
      </c>
      <c r="AC648" s="20" t="str">
        <f t="shared" ref="AC648:AD648" si="1304">IF(_xlfn.ISFORMULA(S648),IFERROR(0/0,""),TRUE)</f>
        <v/>
      </c>
      <c r="AD648" s="20" t="str">
        <f t="shared" si="1304"/>
        <v/>
      </c>
      <c r="AE648" s="43"/>
      <c r="AF648" s="62" t="s">
        <v>66</v>
      </c>
      <c r="AG648" s="57" t="str">
        <f t="shared" si="11"/>
        <v/>
      </c>
    </row>
    <row r="649">
      <c r="A649" s="6" t="str">
        <f>IFERROR(__xludf.DUMMYFUNCTION("""COMPUTED_VALUE"""),"FM458")</f>
        <v>FM458</v>
      </c>
      <c r="B649" s="204">
        <f>IFERROR(__xludf.DUMMYFUNCTION("""COMPUTED_VALUE"""),44625.0)</f>
        <v>44625</v>
      </c>
      <c r="C649" s="250">
        <f>IFERROR(__xludf.DUMMYFUNCTION("""COMPUTED_VALUE"""),0.3079861111111111)</f>
        <v>0.3079861111</v>
      </c>
      <c r="D649" s="6" t="str">
        <f>IFERROR(__xludf.DUMMYFUNCTION("""COMPUTED_VALUE"""),"SpBEND672680")</f>
        <v>SpBEND672680</v>
      </c>
      <c r="E649" s="251"/>
      <c r="F649" s="251"/>
      <c r="G649" s="251" t="str">
        <f>IFERROR(__xludf.DUMMYFUNCTION("""COMPUTED_VALUE"""),"Negative")</f>
        <v>Negative</v>
      </c>
      <c r="H649" s="262" t="str">
        <f>IFERROR(__xludf.DUMMYFUNCTION("""COMPUTED_VALUE"""),"Negative")</f>
        <v>Negative</v>
      </c>
      <c r="I649" s="204">
        <f>IFERROR(__xludf.DUMMYFUNCTION("""COMPUTED_VALUE"""),44625.0)</f>
        <v>44625</v>
      </c>
      <c r="J649" s="252">
        <f>IFERROR(__xludf.DUMMYFUNCTION("""COMPUTED_VALUE"""),0.48974537037037036)</f>
        <v>0.4897453704</v>
      </c>
      <c r="K649" s="56"/>
      <c r="L649" s="6"/>
      <c r="M649" s="61"/>
      <c r="N649" s="61">
        <f>IFERROR(__xludf.DUMMYFUNCTION("""COMPUTED_VALUE"""),1.0)</f>
        <v>1</v>
      </c>
      <c r="O649" s="61"/>
      <c r="P649" s="253">
        <f>IFERROR(__xludf.DUMMYFUNCTION("""COMPUTED_VALUE"""),0.0)</f>
        <v>0</v>
      </c>
      <c r="Q649" s="254" t="str">
        <f>VLOOKUP($B649,'Run Reconcile'!B$2:O799,14,FALSE)</f>
        <v/>
      </c>
      <c r="R649" s="255" t="str">
        <f t="array" ref="R649">IF($Q649, INDEX('Run Reconcile'!A$2:A799,MATCH(B649,'Run Reconcile'!B$2:B799,0),1),IFERROR(0/0,""))</f>
        <v/>
      </c>
      <c r="S649" s="261" t="str">
        <f t="shared" ref="S649:T649" si="1305">IF(COUNTIF(W$2:W799, $A649) &gt; 0,TRUE,IFERROR(0/0,""))</f>
        <v/>
      </c>
      <c r="T649" s="261" t="str">
        <f t="shared" si="1305"/>
        <v/>
      </c>
      <c r="U649" s="257" t="str">
        <f t="array" ref="U649">IF(ISBLANK($R649), INDEX('Run Reconcile'!A$2:A799, MATCH($B649, 'Run Reconcile'!B$2:B799, 0)+Z649, 1), IFERROR(0/0,""))
</f>
        <v>RUN-BEND_2022-03-05_RFR-045</v>
      </c>
      <c r="V649" s="258" t="str">
        <f t="shared" si="480"/>
        <v>RUN-BEND_2022-03-05_RFR-045</v>
      </c>
      <c r="Y649" s="130" t="str">
        <f t="shared" si="487"/>
        <v/>
      </c>
      <c r="Z649" s="49" t="str">
        <f t="shared" si="7"/>
        <v/>
      </c>
      <c r="AA649" s="49" t="str">
        <f t="shared" si="8"/>
        <v/>
      </c>
      <c r="AB649" s="49" t="str">
        <f t="shared" si="9"/>
        <v/>
      </c>
      <c r="AC649" s="20" t="str">
        <f t="shared" ref="AC649:AD649" si="1306">IF(_xlfn.ISFORMULA(S649),IFERROR(0/0,""),TRUE)</f>
        <v/>
      </c>
      <c r="AD649" s="20" t="str">
        <f t="shared" si="1306"/>
        <v/>
      </c>
      <c r="AE649" s="43"/>
      <c r="AF649" s="62" t="s">
        <v>66</v>
      </c>
      <c r="AG649" s="57" t="str">
        <f t="shared" si="11"/>
        <v/>
      </c>
    </row>
    <row r="650">
      <c r="A650" s="6" t="str">
        <f>IFERROR(__xludf.DUMMYFUNCTION("""COMPUTED_VALUE"""),"FM2048")</f>
        <v>FM2048</v>
      </c>
      <c r="B650" s="204">
        <f>IFERROR(__xludf.DUMMYFUNCTION("""COMPUTED_VALUE"""),44625.0)</f>
        <v>44625</v>
      </c>
      <c r="C650" s="250">
        <f>IFERROR(__xludf.DUMMYFUNCTION("""COMPUTED_VALUE"""),0.308599537037037)</f>
        <v>0.308599537</v>
      </c>
      <c r="D650" s="6" t="str">
        <f>IFERROR(__xludf.DUMMYFUNCTION("""COMPUTED_VALUE"""),"SpBEND591184")</f>
        <v>SpBEND591184</v>
      </c>
      <c r="E650" s="251"/>
      <c r="F650" s="251"/>
      <c r="G650" s="251" t="str">
        <f>IFERROR(__xludf.DUMMYFUNCTION("""COMPUTED_VALUE"""),"Negative")</f>
        <v>Negative</v>
      </c>
      <c r="H650" s="262" t="str">
        <f>IFERROR(__xludf.DUMMYFUNCTION("""COMPUTED_VALUE"""),"Negative")</f>
        <v>Negative</v>
      </c>
      <c r="I650" s="204">
        <f>IFERROR(__xludf.DUMMYFUNCTION("""COMPUTED_VALUE"""),44625.0)</f>
        <v>44625</v>
      </c>
      <c r="J650" s="252">
        <f>IFERROR(__xludf.DUMMYFUNCTION("""COMPUTED_VALUE"""),0.48974537037037036)</f>
        <v>0.4897453704</v>
      </c>
      <c r="K650" s="56"/>
      <c r="L650" s="6"/>
      <c r="M650" s="61"/>
      <c r="N650" s="61">
        <f>IFERROR(__xludf.DUMMYFUNCTION("""COMPUTED_VALUE"""),1.0)</f>
        <v>1</v>
      </c>
      <c r="O650" s="61"/>
      <c r="P650" s="253">
        <f>IFERROR(__xludf.DUMMYFUNCTION("""COMPUTED_VALUE"""),0.0)</f>
        <v>0</v>
      </c>
      <c r="Q650" s="254" t="str">
        <f>VLOOKUP($B650,'Run Reconcile'!B$2:O799,14,FALSE)</f>
        <v/>
      </c>
      <c r="R650" s="255" t="str">
        <f t="array" ref="R650">IF($Q650, INDEX('Run Reconcile'!A$2:A799,MATCH(B650,'Run Reconcile'!B$2:B799,0),1),IFERROR(0/0,""))</f>
        <v/>
      </c>
      <c r="S650" s="261" t="str">
        <f t="shared" ref="S650:T650" si="1307">IF(COUNTIF(W$2:W799, $A650) &gt; 0,TRUE,IFERROR(0/0,""))</f>
        <v/>
      </c>
      <c r="T650" s="261" t="str">
        <f t="shared" si="1307"/>
        <v/>
      </c>
      <c r="U650" s="257" t="str">
        <f t="array" ref="U650">IF(ISBLANK($R650), INDEX('Run Reconcile'!A$2:A799, MATCH($B650, 'Run Reconcile'!B$2:B799, 0)+Z650, 1), IFERROR(0/0,""))
</f>
        <v>RUN-BEND_2022-03-05_RFR-045</v>
      </c>
      <c r="V650" s="258" t="str">
        <f t="shared" si="480"/>
        <v>RUN-BEND_2022-03-05_RFR-045</v>
      </c>
      <c r="Y650" s="130" t="str">
        <f t="shared" si="487"/>
        <v/>
      </c>
      <c r="Z650" s="49" t="str">
        <f t="shared" si="7"/>
        <v/>
      </c>
      <c r="AA650" s="49" t="str">
        <f t="shared" si="8"/>
        <v/>
      </c>
      <c r="AB650" s="49" t="str">
        <f t="shared" si="9"/>
        <v/>
      </c>
      <c r="AC650" s="20" t="str">
        <f t="shared" ref="AC650:AD650" si="1308">IF(_xlfn.ISFORMULA(S650),IFERROR(0/0,""),TRUE)</f>
        <v/>
      </c>
      <c r="AD650" s="20" t="str">
        <f t="shared" si="1308"/>
        <v/>
      </c>
      <c r="AE650" s="43"/>
      <c r="AF650" s="62" t="s">
        <v>66</v>
      </c>
      <c r="AG650" s="57" t="str">
        <f t="shared" si="11"/>
        <v/>
      </c>
    </row>
    <row r="651">
      <c r="A651" s="6" t="str">
        <f>IFERROR(__xludf.DUMMYFUNCTION("""COMPUTED_VALUE"""),"FM405")</f>
        <v>FM405</v>
      </c>
      <c r="B651" s="204">
        <f>IFERROR(__xludf.DUMMYFUNCTION("""COMPUTED_VALUE"""),44625.0)</f>
        <v>44625</v>
      </c>
      <c r="C651" s="250">
        <f>IFERROR(__xludf.DUMMYFUNCTION("""COMPUTED_VALUE"""),0.30886574074074075)</f>
        <v>0.3088657407</v>
      </c>
      <c r="D651" s="6" t="str">
        <f>IFERROR(__xludf.DUMMYFUNCTION("""COMPUTED_VALUE"""),"SpBEND634692")</f>
        <v>SpBEND634692</v>
      </c>
      <c r="E651" s="251"/>
      <c r="F651" s="251"/>
      <c r="G651" s="251" t="str">
        <f>IFERROR(__xludf.DUMMYFUNCTION("""COMPUTED_VALUE"""),"Negative")</f>
        <v>Negative</v>
      </c>
      <c r="H651" s="262" t="str">
        <f>IFERROR(__xludf.DUMMYFUNCTION("""COMPUTED_VALUE"""),"Negative")</f>
        <v>Negative</v>
      </c>
      <c r="I651" s="204">
        <f>IFERROR(__xludf.DUMMYFUNCTION("""COMPUTED_VALUE"""),44625.0)</f>
        <v>44625</v>
      </c>
      <c r="J651" s="252">
        <f>IFERROR(__xludf.DUMMYFUNCTION("""COMPUTED_VALUE"""),0.48974537037037036)</f>
        <v>0.4897453704</v>
      </c>
      <c r="K651" s="56"/>
      <c r="L651" s="6"/>
      <c r="M651" s="61"/>
      <c r="N651" s="61">
        <f>IFERROR(__xludf.DUMMYFUNCTION("""COMPUTED_VALUE"""),1.0)</f>
        <v>1</v>
      </c>
      <c r="O651" s="61"/>
      <c r="P651" s="253">
        <f>IFERROR(__xludf.DUMMYFUNCTION("""COMPUTED_VALUE"""),0.0)</f>
        <v>0</v>
      </c>
      <c r="Q651" s="254" t="str">
        <f>VLOOKUP($B651,'Run Reconcile'!B$2:O799,14,FALSE)</f>
        <v/>
      </c>
      <c r="R651" s="255" t="str">
        <f t="array" ref="R651">IF($Q651, INDEX('Run Reconcile'!A$2:A799,MATCH(B651,'Run Reconcile'!B$2:B799,0),1),IFERROR(0/0,""))</f>
        <v/>
      </c>
      <c r="S651" s="261" t="str">
        <f t="shared" ref="S651:T651" si="1309">IF(COUNTIF(W$2:W799, $A651) &gt; 0,TRUE,IFERROR(0/0,""))</f>
        <v/>
      </c>
      <c r="T651" s="261" t="str">
        <f t="shared" si="1309"/>
        <v/>
      </c>
      <c r="U651" s="257" t="str">
        <f t="array" ref="U651">IF(ISBLANK($R651), INDEX('Run Reconcile'!A$2:A799, MATCH($B651, 'Run Reconcile'!B$2:B799, 0)+Z651, 1), IFERROR(0/0,""))
</f>
        <v>RUN-BEND_2022-03-05_RFR-045</v>
      </c>
      <c r="V651" s="258" t="str">
        <f t="shared" si="480"/>
        <v>RUN-BEND_2022-03-05_RFR-045</v>
      </c>
      <c r="Y651" s="130" t="str">
        <f t="shared" si="487"/>
        <v/>
      </c>
      <c r="Z651" s="49" t="str">
        <f t="shared" si="7"/>
        <v/>
      </c>
      <c r="AA651" s="49" t="str">
        <f t="shared" si="8"/>
        <v/>
      </c>
      <c r="AB651" s="49" t="str">
        <f t="shared" si="9"/>
        <v/>
      </c>
      <c r="AC651" s="20" t="str">
        <f t="shared" ref="AC651:AD651" si="1310">IF(_xlfn.ISFORMULA(S651),IFERROR(0/0,""),TRUE)</f>
        <v/>
      </c>
      <c r="AD651" s="20" t="str">
        <f t="shared" si="1310"/>
        <v/>
      </c>
      <c r="AE651" s="43"/>
      <c r="AF651" s="62" t="s">
        <v>66</v>
      </c>
      <c r="AG651" s="57" t="str">
        <f t="shared" si="11"/>
        <v/>
      </c>
    </row>
    <row r="652">
      <c r="A652" s="6" t="str">
        <f>IFERROR(__xludf.DUMMYFUNCTION("""COMPUTED_VALUE"""),"MA213")</f>
        <v>MA213</v>
      </c>
      <c r="B652" s="204">
        <f>IFERROR(__xludf.DUMMYFUNCTION("""COMPUTED_VALUE"""),44625.0)</f>
        <v>44625</v>
      </c>
      <c r="C652" s="250">
        <f>IFERROR(__xludf.DUMMYFUNCTION("""COMPUTED_VALUE"""),0.3098148148148148)</f>
        <v>0.3098148148</v>
      </c>
      <c r="D652" s="6" t="str">
        <f>IFERROR(__xludf.DUMMYFUNCTION("""COMPUTED_VALUE"""),"SpBEND279112")</f>
        <v>SpBEND279112</v>
      </c>
      <c r="E652" s="251"/>
      <c r="F652" s="251"/>
      <c r="G652" s="251" t="str">
        <f>IFERROR(__xludf.DUMMYFUNCTION("""COMPUTED_VALUE"""),"Negative")</f>
        <v>Negative</v>
      </c>
      <c r="H652" s="262" t="str">
        <f>IFERROR(__xludf.DUMMYFUNCTION("""COMPUTED_VALUE"""),"Negative")</f>
        <v>Negative</v>
      </c>
      <c r="I652" s="204">
        <f>IFERROR(__xludf.DUMMYFUNCTION("""COMPUTED_VALUE"""),44625.0)</f>
        <v>44625</v>
      </c>
      <c r="J652" s="252">
        <f>IFERROR(__xludf.DUMMYFUNCTION("""COMPUTED_VALUE"""),0.48974537037037036)</f>
        <v>0.4897453704</v>
      </c>
      <c r="K652" s="56"/>
      <c r="L652" s="6"/>
      <c r="M652" s="61"/>
      <c r="N652" s="61">
        <f>IFERROR(__xludf.DUMMYFUNCTION("""COMPUTED_VALUE"""),1.0)</f>
        <v>1</v>
      </c>
      <c r="O652" s="61"/>
      <c r="P652" s="253">
        <f>IFERROR(__xludf.DUMMYFUNCTION("""COMPUTED_VALUE"""),0.0)</f>
        <v>0</v>
      </c>
      <c r="Q652" s="254" t="str">
        <f>VLOOKUP($B652,'Run Reconcile'!B$2:O799,14,FALSE)</f>
        <v/>
      </c>
      <c r="R652" s="255" t="str">
        <f t="array" ref="R652">IF($Q652, INDEX('Run Reconcile'!A$2:A799,MATCH(B652,'Run Reconcile'!B$2:B799,0),1),IFERROR(0/0,""))</f>
        <v/>
      </c>
      <c r="S652" s="261" t="str">
        <f t="shared" ref="S652:T652" si="1311">IF(COUNTIF(W$2:W799, $A652) &gt; 0,TRUE,IFERROR(0/0,""))</f>
        <v/>
      </c>
      <c r="T652" s="261" t="str">
        <f t="shared" si="1311"/>
        <v/>
      </c>
      <c r="U652" s="257" t="str">
        <f t="array" ref="U652">IF(ISBLANK($R652), INDEX('Run Reconcile'!A$2:A799, MATCH($B652, 'Run Reconcile'!B$2:B799, 0)+Z652, 1), IFERROR(0/0,""))
</f>
        <v>RUN-BEND_2022-03-05_RFR-045</v>
      </c>
      <c r="V652" s="258" t="str">
        <f t="shared" si="480"/>
        <v>RUN-BEND_2022-03-05_RFR-045</v>
      </c>
      <c r="Y652" s="130" t="str">
        <f t="shared" si="487"/>
        <v/>
      </c>
      <c r="Z652" s="49" t="str">
        <f t="shared" si="7"/>
        <v/>
      </c>
      <c r="AA652" s="49" t="str">
        <f t="shared" si="8"/>
        <v/>
      </c>
      <c r="AB652" s="49" t="str">
        <f t="shared" si="9"/>
        <v/>
      </c>
      <c r="AC652" s="20" t="str">
        <f t="shared" ref="AC652:AD652" si="1312">IF(_xlfn.ISFORMULA(S652),IFERROR(0/0,""),TRUE)</f>
        <v/>
      </c>
      <c r="AD652" s="20" t="str">
        <f t="shared" si="1312"/>
        <v/>
      </c>
      <c r="AE652" s="43"/>
      <c r="AF652" s="62" t="s">
        <v>66</v>
      </c>
      <c r="AG652" s="57" t="str">
        <f t="shared" si="11"/>
        <v/>
      </c>
    </row>
    <row r="653">
      <c r="A653" s="6" t="str">
        <f>IFERROR(__xludf.DUMMYFUNCTION("""COMPUTED_VALUE"""),"FM2076")</f>
        <v>FM2076</v>
      </c>
      <c r="B653" s="204">
        <f>IFERROR(__xludf.DUMMYFUNCTION("""COMPUTED_VALUE"""),44625.0)</f>
        <v>44625</v>
      </c>
      <c r="C653" s="250">
        <f>IFERROR(__xludf.DUMMYFUNCTION("""COMPUTED_VALUE"""),0.3107523148148148)</f>
        <v>0.3107523148</v>
      </c>
      <c r="D653" s="6" t="str">
        <f>IFERROR(__xludf.DUMMYFUNCTION("""COMPUTED_VALUE"""),"SpBEND815974")</f>
        <v>SpBEND815974</v>
      </c>
      <c r="E653" s="251"/>
      <c r="F653" s="251"/>
      <c r="G653" s="251" t="str">
        <f>IFERROR(__xludf.DUMMYFUNCTION("""COMPUTED_VALUE"""),"Negative")</f>
        <v>Negative</v>
      </c>
      <c r="H653" s="262" t="str">
        <f>IFERROR(__xludf.DUMMYFUNCTION("""COMPUTED_VALUE"""),"Negative")</f>
        <v>Negative</v>
      </c>
      <c r="I653" s="204">
        <f>IFERROR(__xludf.DUMMYFUNCTION("""COMPUTED_VALUE"""),44625.0)</f>
        <v>44625</v>
      </c>
      <c r="J653" s="252">
        <f>IFERROR(__xludf.DUMMYFUNCTION("""COMPUTED_VALUE"""),0.48974537037037036)</f>
        <v>0.4897453704</v>
      </c>
      <c r="K653" s="56"/>
      <c r="L653" s="6"/>
      <c r="M653" s="61"/>
      <c r="N653" s="61">
        <f>IFERROR(__xludf.DUMMYFUNCTION("""COMPUTED_VALUE"""),1.0)</f>
        <v>1</v>
      </c>
      <c r="O653" s="61"/>
      <c r="P653" s="253">
        <f>IFERROR(__xludf.DUMMYFUNCTION("""COMPUTED_VALUE"""),0.0)</f>
        <v>0</v>
      </c>
      <c r="Q653" s="254" t="str">
        <f>VLOOKUP($B653,'Run Reconcile'!B$2:O799,14,FALSE)</f>
        <v/>
      </c>
      <c r="R653" s="255" t="str">
        <f t="array" ref="R653">IF($Q653, INDEX('Run Reconcile'!A$2:A799,MATCH(B653,'Run Reconcile'!B$2:B799,0),1),IFERROR(0/0,""))</f>
        <v/>
      </c>
      <c r="S653" s="261" t="str">
        <f t="shared" ref="S653:T653" si="1313">IF(COUNTIF(W$2:W799, $A653) &gt; 0,TRUE,IFERROR(0/0,""))</f>
        <v/>
      </c>
      <c r="T653" s="261" t="str">
        <f t="shared" si="1313"/>
        <v/>
      </c>
      <c r="U653" s="257" t="str">
        <f t="array" ref="U653">IF(ISBLANK($R653), INDEX('Run Reconcile'!A$2:A799, MATCH($B653, 'Run Reconcile'!B$2:B799, 0)+Z653, 1), IFERROR(0/0,""))
</f>
        <v>RUN-BEND_2022-03-05_RFR-045</v>
      </c>
      <c r="V653" s="258" t="str">
        <f t="shared" si="480"/>
        <v>RUN-BEND_2022-03-05_RFR-045</v>
      </c>
      <c r="Y653" s="130" t="str">
        <f t="shared" si="487"/>
        <v/>
      </c>
      <c r="Z653" s="49" t="str">
        <f t="shared" si="7"/>
        <v/>
      </c>
      <c r="AA653" s="49" t="str">
        <f t="shared" si="8"/>
        <v/>
      </c>
      <c r="AB653" s="49" t="str">
        <f t="shared" si="9"/>
        <v/>
      </c>
      <c r="AC653" s="20" t="str">
        <f t="shared" ref="AC653:AD653" si="1314">IF(_xlfn.ISFORMULA(S653),IFERROR(0/0,""),TRUE)</f>
        <v/>
      </c>
      <c r="AD653" s="20" t="str">
        <f t="shared" si="1314"/>
        <v/>
      </c>
      <c r="AE653" s="43"/>
      <c r="AF653" s="62" t="s">
        <v>66</v>
      </c>
      <c r="AG653" s="57" t="str">
        <f t="shared" si="11"/>
        <v/>
      </c>
    </row>
    <row r="654">
      <c r="A654" s="6" t="str">
        <f>IFERROR(__xludf.DUMMYFUNCTION("""COMPUTED_VALUE"""),"MA1238")</f>
        <v>MA1238</v>
      </c>
      <c r="B654" s="204">
        <f>IFERROR(__xludf.DUMMYFUNCTION("""COMPUTED_VALUE"""),44625.0)</f>
        <v>44625</v>
      </c>
      <c r="C654" s="250">
        <f>IFERROR(__xludf.DUMMYFUNCTION("""COMPUTED_VALUE"""),0.3109953703703704)</f>
        <v>0.3109953704</v>
      </c>
      <c r="D654" s="6" t="str">
        <f>IFERROR(__xludf.DUMMYFUNCTION("""COMPUTED_VALUE"""),"SpBEND372845")</f>
        <v>SpBEND372845</v>
      </c>
      <c r="E654" s="251"/>
      <c r="F654" s="251"/>
      <c r="G654" s="251" t="str">
        <f>IFERROR(__xludf.DUMMYFUNCTION("""COMPUTED_VALUE"""),"Negative")</f>
        <v>Negative</v>
      </c>
      <c r="H654" s="262" t="str">
        <f>IFERROR(__xludf.DUMMYFUNCTION("""COMPUTED_VALUE"""),"Negative")</f>
        <v>Negative</v>
      </c>
      <c r="I654" s="204">
        <f>IFERROR(__xludf.DUMMYFUNCTION("""COMPUTED_VALUE"""),44625.0)</f>
        <v>44625</v>
      </c>
      <c r="J654" s="252">
        <f>IFERROR(__xludf.DUMMYFUNCTION("""COMPUTED_VALUE"""),0.48974537037037036)</f>
        <v>0.4897453704</v>
      </c>
      <c r="K654" s="56"/>
      <c r="L654" s="6"/>
      <c r="M654" s="61"/>
      <c r="N654" s="61">
        <f>IFERROR(__xludf.DUMMYFUNCTION("""COMPUTED_VALUE"""),1.0)</f>
        <v>1</v>
      </c>
      <c r="O654" s="61"/>
      <c r="P654" s="253">
        <f>IFERROR(__xludf.DUMMYFUNCTION("""COMPUTED_VALUE"""),0.0)</f>
        <v>0</v>
      </c>
      <c r="Q654" s="254" t="str">
        <f>VLOOKUP($B654,'Run Reconcile'!B$2:O799,14,FALSE)</f>
        <v/>
      </c>
      <c r="R654" s="255" t="str">
        <f t="array" ref="R654">IF($Q654, INDEX('Run Reconcile'!A$2:A799,MATCH(B654,'Run Reconcile'!B$2:B799,0),1),IFERROR(0/0,""))</f>
        <v/>
      </c>
      <c r="S654" s="261" t="str">
        <f t="shared" ref="S654:T654" si="1315">IF(COUNTIF(W$2:W799, $A654) &gt; 0,TRUE,IFERROR(0/0,""))</f>
        <v/>
      </c>
      <c r="T654" s="261" t="str">
        <f t="shared" si="1315"/>
        <v/>
      </c>
      <c r="U654" s="257" t="str">
        <f t="array" ref="U654">IF(ISBLANK($R654), INDEX('Run Reconcile'!A$2:A799, MATCH($B654, 'Run Reconcile'!B$2:B799, 0)+Z654, 1), IFERROR(0/0,""))
</f>
        <v>RUN-BEND_2022-03-05_RFR-045</v>
      </c>
      <c r="V654" s="258" t="str">
        <f t="shared" si="480"/>
        <v>RUN-BEND_2022-03-05_RFR-045</v>
      </c>
      <c r="Y654" s="130" t="str">
        <f t="shared" si="487"/>
        <v/>
      </c>
      <c r="Z654" s="49" t="str">
        <f t="shared" si="7"/>
        <v/>
      </c>
      <c r="AA654" s="49" t="str">
        <f t="shared" si="8"/>
        <v/>
      </c>
      <c r="AB654" s="49" t="str">
        <f t="shared" si="9"/>
        <v/>
      </c>
      <c r="AC654" s="20" t="str">
        <f t="shared" ref="AC654:AD654" si="1316">IF(_xlfn.ISFORMULA(S654),IFERROR(0/0,""),TRUE)</f>
        <v/>
      </c>
      <c r="AD654" s="20" t="str">
        <f t="shared" si="1316"/>
        <v/>
      </c>
      <c r="AE654" s="43"/>
      <c r="AF654" s="62" t="s">
        <v>66</v>
      </c>
      <c r="AG654" s="57" t="str">
        <f t="shared" si="11"/>
        <v/>
      </c>
    </row>
    <row r="655">
      <c r="A655" s="6" t="str">
        <f>IFERROR(__xludf.DUMMYFUNCTION("""COMPUTED_VALUE"""),"MA370")</f>
        <v>MA370</v>
      </c>
      <c r="B655" s="204">
        <f>IFERROR(__xludf.DUMMYFUNCTION("""COMPUTED_VALUE"""),44625.0)</f>
        <v>44625</v>
      </c>
      <c r="C655" s="250">
        <f>IFERROR(__xludf.DUMMYFUNCTION("""COMPUTED_VALUE"""),0.3150115740740741)</f>
        <v>0.3150115741</v>
      </c>
      <c r="D655" s="6" t="str">
        <f>IFERROR(__xludf.DUMMYFUNCTION("""COMPUTED_VALUE"""),"SpBEND824412")</f>
        <v>SpBEND824412</v>
      </c>
      <c r="E655" s="251"/>
      <c r="F655" s="251"/>
      <c r="G655" s="251" t="str">
        <f>IFERROR(__xludf.DUMMYFUNCTION("""COMPUTED_VALUE"""),"Negative")</f>
        <v>Negative</v>
      </c>
      <c r="H655" s="262" t="str">
        <f>IFERROR(__xludf.DUMMYFUNCTION("""COMPUTED_VALUE"""),"Negative")</f>
        <v>Negative</v>
      </c>
      <c r="I655" s="204">
        <f>IFERROR(__xludf.DUMMYFUNCTION("""COMPUTED_VALUE"""),44625.0)</f>
        <v>44625</v>
      </c>
      <c r="J655" s="252">
        <f>IFERROR(__xludf.DUMMYFUNCTION("""COMPUTED_VALUE"""),0.48974537037037036)</f>
        <v>0.4897453704</v>
      </c>
      <c r="K655" s="56"/>
      <c r="L655" s="6"/>
      <c r="M655" s="61"/>
      <c r="N655" s="61">
        <f>IFERROR(__xludf.DUMMYFUNCTION("""COMPUTED_VALUE"""),1.0)</f>
        <v>1</v>
      </c>
      <c r="O655" s="61"/>
      <c r="P655" s="253">
        <f>IFERROR(__xludf.DUMMYFUNCTION("""COMPUTED_VALUE"""),0.0)</f>
        <v>0</v>
      </c>
      <c r="Q655" s="254" t="str">
        <f>VLOOKUP($B655,'Run Reconcile'!B$2:O799,14,FALSE)</f>
        <v/>
      </c>
      <c r="R655" s="255" t="str">
        <f t="array" ref="R655">IF($Q655, INDEX('Run Reconcile'!A$2:A799,MATCH(B655,'Run Reconcile'!B$2:B799,0),1),IFERROR(0/0,""))</f>
        <v/>
      </c>
      <c r="S655" s="261" t="str">
        <f t="shared" ref="S655:T655" si="1317">IF(COUNTIF(W$2:W799, $A655) &gt; 0,TRUE,IFERROR(0/0,""))</f>
        <v/>
      </c>
      <c r="T655" s="261" t="str">
        <f t="shared" si="1317"/>
        <v/>
      </c>
      <c r="U655" s="257" t="str">
        <f t="array" ref="U655">IF(ISBLANK($R655), INDEX('Run Reconcile'!A$2:A799, MATCH($B655, 'Run Reconcile'!B$2:B799, 0)+Z655, 1), IFERROR(0/0,""))
</f>
        <v>RUN-BEND_2022-03-05_RFR-045</v>
      </c>
      <c r="V655" s="258" t="str">
        <f t="shared" si="480"/>
        <v>RUN-BEND_2022-03-05_RFR-045</v>
      </c>
      <c r="Y655" s="130" t="str">
        <f t="shared" si="487"/>
        <v/>
      </c>
      <c r="Z655" s="49" t="str">
        <f t="shared" si="7"/>
        <v/>
      </c>
      <c r="AA655" s="49" t="str">
        <f t="shared" si="8"/>
        <v/>
      </c>
      <c r="AB655" s="49" t="str">
        <f t="shared" si="9"/>
        <v/>
      </c>
      <c r="AC655" s="20" t="str">
        <f t="shared" ref="AC655:AD655" si="1318">IF(_xlfn.ISFORMULA(S655),IFERROR(0/0,""),TRUE)</f>
        <v/>
      </c>
      <c r="AD655" s="20" t="str">
        <f t="shared" si="1318"/>
        <v/>
      </c>
      <c r="AE655" s="43"/>
      <c r="AF655" s="62" t="s">
        <v>66</v>
      </c>
      <c r="AG655" s="57" t="str">
        <f t="shared" si="11"/>
        <v/>
      </c>
    </row>
    <row r="656">
      <c r="A656" s="6" t="str">
        <f>IFERROR(__xludf.DUMMYFUNCTION("""COMPUTED_VALUE"""),"FM477")</f>
        <v>FM477</v>
      </c>
      <c r="B656" s="204">
        <f>IFERROR(__xludf.DUMMYFUNCTION("""COMPUTED_VALUE"""),44625.0)</f>
        <v>44625</v>
      </c>
      <c r="C656" s="250">
        <f>IFERROR(__xludf.DUMMYFUNCTION("""COMPUTED_VALUE"""),0.3158564814814815)</f>
        <v>0.3158564815</v>
      </c>
      <c r="D656" s="6" t="str">
        <f>IFERROR(__xludf.DUMMYFUNCTION("""COMPUTED_VALUE"""),"SpBEND436062")</f>
        <v>SpBEND436062</v>
      </c>
      <c r="E656" s="251"/>
      <c r="F656" s="251"/>
      <c r="G656" s="251" t="str">
        <f>IFERROR(__xludf.DUMMYFUNCTION("""COMPUTED_VALUE"""),"Negative")</f>
        <v>Negative</v>
      </c>
      <c r="H656" s="262" t="str">
        <f>IFERROR(__xludf.DUMMYFUNCTION("""COMPUTED_VALUE"""),"Negative")</f>
        <v>Negative</v>
      </c>
      <c r="I656" s="204">
        <f>IFERROR(__xludf.DUMMYFUNCTION("""COMPUTED_VALUE"""),44625.0)</f>
        <v>44625</v>
      </c>
      <c r="J656" s="252">
        <f>IFERROR(__xludf.DUMMYFUNCTION("""COMPUTED_VALUE"""),0.48974537037037036)</f>
        <v>0.4897453704</v>
      </c>
      <c r="K656" s="56"/>
      <c r="L656" s="6"/>
      <c r="M656" s="61"/>
      <c r="N656" s="61">
        <f>IFERROR(__xludf.DUMMYFUNCTION("""COMPUTED_VALUE"""),1.0)</f>
        <v>1</v>
      </c>
      <c r="O656" s="61"/>
      <c r="P656" s="253">
        <f>IFERROR(__xludf.DUMMYFUNCTION("""COMPUTED_VALUE"""),0.0)</f>
        <v>0</v>
      </c>
      <c r="Q656" s="254" t="str">
        <f>VLOOKUP($B656,'Run Reconcile'!B$2:O799,14,FALSE)</f>
        <v/>
      </c>
      <c r="R656" s="255" t="str">
        <f t="array" ref="R656">IF($Q656, INDEX('Run Reconcile'!A$2:A799,MATCH(B656,'Run Reconcile'!B$2:B799,0),1),IFERROR(0/0,""))</f>
        <v/>
      </c>
      <c r="S656" s="261" t="str">
        <f t="shared" ref="S656:T656" si="1319">IF(COUNTIF(W$2:W799, $A656) &gt; 0,TRUE,IFERROR(0/0,""))</f>
        <v/>
      </c>
      <c r="T656" s="261" t="str">
        <f t="shared" si="1319"/>
        <v/>
      </c>
      <c r="U656" s="257" t="str">
        <f t="array" ref="U656">IF(ISBLANK($R656), INDEX('Run Reconcile'!A$2:A799, MATCH($B656, 'Run Reconcile'!B$2:B799, 0)+Z656, 1), IFERROR(0/0,""))
</f>
        <v>RUN-BEND_2022-03-05_RFR-045</v>
      </c>
      <c r="V656" s="258" t="str">
        <f t="shared" si="480"/>
        <v>RUN-BEND_2022-03-05_RFR-045</v>
      </c>
      <c r="Y656" s="130" t="str">
        <f t="shared" si="487"/>
        <v/>
      </c>
      <c r="Z656" s="49" t="str">
        <f t="shared" si="7"/>
        <v/>
      </c>
      <c r="AA656" s="49" t="str">
        <f t="shared" si="8"/>
        <v/>
      </c>
      <c r="AB656" s="49" t="str">
        <f t="shared" si="9"/>
        <v/>
      </c>
      <c r="AC656" s="20" t="str">
        <f t="shared" ref="AC656:AD656" si="1320">IF(_xlfn.ISFORMULA(S656),IFERROR(0/0,""),TRUE)</f>
        <v/>
      </c>
      <c r="AD656" s="20" t="str">
        <f t="shared" si="1320"/>
        <v/>
      </c>
      <c r="AE656" s="43"/>
      <c r="AF656" s="62" t="s">
        <v>66</v>
      </c>
      <c r="AG656" s="57" t="str">
        <f t="shared" si="11"/>
        <v/>
      </c>
    </row>
    <row r="657">
      <c r="A657" s="6" t="str">
        <f>IFERROR(__xludf.DUMMYFUNCTION("""COMPUTED_VALUE"""),"MA1272")</f>
        <v>MA1272</v>
      </c>
      <c r="B657" s="204">
        <f>IFERROR(__xludf.DUMMYFUNCTION("""COMPUTED_VALUE"""),44625.0)</f>
        <v>44625</v>
      </c>
      <c r="C657" s="250">
        <f>IFERROR(__xludf.DUMMYFUNCTION("""COMPUTED_VALUE"""),0.31592592592592594)</f>
        <v>0.3159259259</v>
      </c>
      <c r="D657" s="6" t="str">
        <f>IFERROR(__xludf.DUMMYFUNCTION("""COMPUTED_VALUE"""),"SpBEND302553")</f>
        <v>SpBEND302553</v>
      </c>
      <c r="E657" s="251"/>
      <c r="F657" s="251"/>
      <c r="G657" s="251" t="str">
        <f>IFERROR(__xludf.DUMMYFUNCTION("""COMPUTED_VALUE"""),"Negative")</f>
        <v>Negative</v>
      </c>
      <c r="H657" s="262" t="str">
        <f>IFERROR(__xludf.DUMMYFUNCTION("""COMPUTED_VALUE"""),"Negative")</f>
        <v>Negative</v>
      </c>
      <c r="I657" s="204">
        <f>IFERROR(__xludf.DUMMYFUNCTION("""COMPUTED_VALUE"""),44625.0)</f>
        <v>44625</v>
      </c>
      <c r="J657" s="252">
        <f>IFERROR(__xludf.DUMMYFUNCTION("""COMPUTED_VALUE"""),0.48975694444444445)</f>
        <v>0.4897569444</v>
      </c>
      <c r="K657" s="56"/>
      <c r="L657" s="6"/>
      <c r="M657" s="61"/>
      <c r="N657" s="61">
        <f>IFERROR(__xludf.DUMMYFUNCTION("""COMPUTED_VALUE"""),1.0)</f>
        <v>1</v>
      </c>
      <c r="O657" s="61"/>
      <c r="P657" s="253">
        <f>IFERROR(__xludf.DUMMYFUNCTION("""COMPUTED_VALUE"""),0.0)</f>
        <v>0</v>
      </c>
      <c r="Q657" s="254" t="str">
        <f>VLOOKUP($B657,'Run Reconcile'!B$2:O799,14,FALSE)</f>
        <v/>
      </c>
      <c r="R657" s="255" t="str">
        <f t="array" ref="R657">IF($Q657, INDEX('Run Reconcile'!A$2:A799,MATCH(B657,'Run Reconcile'!B$2:B799,0),1),IFERROR(0/0,""))</f>
        <v/>
      </c>
      <c r="S657" s="261" t="str">
        <f t="shared" ref="S657:T657" si="1321">IF(COUNTIF(W$2:W799, $A657) &gt; 0,TRUE,IFERROR(0/0,""))</f>
        <v/>
      </c>
      <c r="T657" s="261" t="str">
        <f t="shared" si="1321"/>
        <v/>
      </c>
      <c r="U657" s="257" t="str">
        <f t="array" ref="U657">IF(ISBLANK($R657), INDEX('Run Reconcile'!A$2:A799, MATCH($B657, 'Run Reconcile'!B$2:B799, 0)+Z657, 1), IFERROR(0/0,""))
</f>
        <v>RUN-BEND_2022-03-05_RFR-045</v>
      </c>
      <c r="V657" s="258" t="str">
        <f t="shared" si="480"/>
        <v>RUN-BEND_2022-03-05_RFR-045</v>
      </c>
      <c r="Y657" s="130" t="str">
        <f t="shared" si="487"/>
        <v/>
      </c>
      <c r="Z657" s="49" t="str">
        <f t="shared" si="7"/>
        <v/>
      </c>
      <c r="AA657" s="49" t="str">
        <f t="shared" si="8"/>
        <v/>
      </c>
      <c r="AB657" s="49" t="str">
        <f t="shared" si="9"/>
        <v/>
      </c>
      <c r="AC657" s="20" t="str">
        <f t="shared" ref="AC657:AD657" si="1322">IF(_xlfn.ISFORMULA(S657),IFERROR(0/0,""),TRUE)</f>
        <v/>
      </c>
      <c r="AD657" s="20" t="str">
        <f t="shared" si="1322"/>
        <v/>
      </c>
      <c r="AE657" s="43"/>
      <c r="AF657" s="62" t="s">
        <v>66</v>
      </c>
      <c r="AG657" s="57" t="str">
        <f t="shared" si="11"/>
        <v/>
      </c>
    </row>
    <row r="658">
      <c r="A658" s="288" t="str">
        <f>IFERROR(__xludf.DUMMYFUNCTION("""COMPUTED_VALUE"""),"FM991")</f>
        <v>FM991</v>
      </c>
      <c r="B658" s="263">
        <f>IFERROR(__xludf.DUMMYFUNCTION("""COMPUTED_VALUE"""),44625.0)</f>
        <v>44625</v>
      </c>
      <c r="C658" s="289">
        <f>IFERROR(__xludf.DUMMYFUNCTION("""COMPUTED_VALUE"""),0.3188888888888889)</f>
        <v>0.3188888889</v>
      </c>
      <c r="D658" s="288" t="str">
        <f>IFERROR(__xludf.DUMMYFUNCTION("""COMPUTED_VALUE"""),"SpBEND435789")</f>
        <v>SpBEND435789</v>
      </c>
      <c r="E658" s="290"/>
      <c r="F658" s="290"/>
      <c r="G658" s="290" t="str">
        <f>IFERROR(__xludf.DUMMYFUNCTION("""COMPUTED_VALUE"""),"Negative")</f>
        <v>Negative</v>
      </c>
      <c r="H658" s="264" t="str">
        <f>IFERROR(__xludf.DUMMYFUNCTION("""COMPUTED_VALUE"""),"Negative")</f>
        <v>Negative</v>
      </c>
      <c r="I658" s="263">
        <f>IFERROR(__xludf.DUMMYFUNCTION("""COMPUTED_VALUE"""),44627.0)</f>
        <v>44627</v>
      </c>
      <c r="J658" s="252">
        <f>IFERROR(__xludf.DUMMYFUNCTION("""COMPUTED_VALUE"""),0.47788194444444443)</f>
        <v>0.4778819444</v>
      </c>
      <c r="K658" s="56"/>
      <c r="L658" s="6"/>
      <c r="M658" s="61"/>
      <c r="N658" s="61">
        <f>IFERROR(__xludf.DUMMYFUNCTION("""COMPUTED_VALUE"""),1.0)</f>
        <v>1</v>
      </c>
      <c r="O658" s="61"/>
      <c r="P658" s="253">
        <f>IFERROR(__xludf.DUMMYFUNCTION("""COMPUTED_VALUE"""),2.0)</f>
        <v>2</v>
      </c>
      <c r="Q658" s="254" t="str">
        <f>VLOOKUP($B658,'Run Reconcile'!B$2:O799,14,FALSE)</f>
        <v/>
      </c>
      <c r="R658" s="255" t="str">
        <f t="array" ref="R658">IF($Q658, INDEX('Run Reconcile'!A$2:A799,MATCH(B658,'Run Reconcile'!B$2:B799,0),1),IFERROR(0/0,""))</f>
        <v/>
      </c>
      <c r="S658" s="261" t="b">
        <f t="shared" ref="S658:T658" si="1323">IF(COUNTIF(W$2:W799, $A658) &gt; 0,TRUE,IFERROR(0/0,""))</f>
        <v>1</v>
      </c>
      <c r="T658" s="261" t="str">
        <f t="shared" si="1323"/>
        <v/>
      </c>
      <c r="U658" s="291" t="str">
        <f t="array" ref="U658">IF(ISBLANK($R658), INDEX('Run Reconcile'!A$2:A799, MATCH($B658, 'Run Reconcile'!B$2:B799, 0)+Z658, 1), IFERROR(0/0,""))
</f>
        <v>RUN-BEND_2022-03-07_RFR-047</v>
      </c>
      <c r="V658" s="258" t="str">
        <f t="shared" si="480"/>
        <v>RUN-BEND_2022-03-07_RFR-047</v>
      </c>
      <c r="W658" s="6" t="s">
        <v>424</v>
      </c>
      <c r="Y658" s="130">
        <f t="shared" si="487"/>
        <v>1</v>
      </c>
      <c r="Z658" s="49">
        <f t="shared" si="7"/>
        <v>1</v>
      </c>
      <c r="AA658" s="49">
        <f t="shared" si="8"/>
        <v>1</v>
      </c>
      <c r="AB658" s="49" t="str">
        <f t="shared" si="9"/>
        <v/>
      </c>
      <c r="AC658" s="20" t="str">
        <f t="shared" ref="AC658:AD658" si="1324">IF(_xlfn.ISFORMULA(S658),IFERROR(0/0,""),TRUE)</f>
        <v/>
      </c>
      <c r="AD658" s="20" t="str">
        <f t="shared" si="1324"/>
        <v/>
      </c>
      <c r="AE658" s="43"/>
      <c r="AF658" s="62" t="s">
        <v>67</v>
      </c>
      <c r="AG658" s="57" t="str">
        <f t="shared" si="11"/>
        <v/>
      </c>
    </row>
    <row r="659">
      <c r="A659" s="6" t="str">
        <f>IFERROR(__xludf.DUMMYFUNCTION("""COMPUTED_VALUE"""),"FM446")</f>
        <v>FM446</v>
      </c>
      <c r="B659" s="204">
        <f>IFERROR(__xludf.DUMMYFUNCTION("""COMPUTED_VALUE"""),44625.0)</f>
        <v>44625</v>
      </c>
      <c r="C659" s="250">
        <f>IFERROR(__xludf.DUMMYFUNCTION("""COMPUTED_VALUE"""),0.3190277777777778)</f>
        <v>0.3190277778</v>
      </c>
      <c r="D659" s="6" t="str">
        <f>IFERROR(__xludf.DUMMYFUNCTION("""COMPUTED_VALUE"""),"SpBEND551372")</f>
        <v>SpBEND551372</v>
      </c>
      <c r="E659" s="251"/>
      <c r="F659" s="251"/>
      <c r="G659" s="251" t="str">
        <f>IFERROR(__xludf.DUMMYFUNCTION("""COMPUTED_VALUE"""),"Negative")</f>
        <v>Negative</v>
      </c>
      <c r="H659" s="262" t="str">
        <f>IFERROR(__xludf.DUMMYFUNCTION("""COMPUTED_VALUE"""),"Negative")</f>
        <v>Negative</v>
      </c>
      <c r="I659" s="204">
        <f>IFERROR(__xludf.DUMMYFUNCTION("""COMPUTED_VALUE"""),44625.0)</f>
        <v>44625</v>
      </c>
      <c r="J659" s="252">
        <f>IFERROR(__xludf.DUMMYFUNCTION("""COMPUTED_VALUE"""),0.48975694444444445)</f>
        <v>0.4897569444</v>
      </c>
      <c r="K659" s="56"/>
      <c r="L659" s="6"/>
      <c r="M659" s="61"/>
      <c r="N659" s="61">
        <f>IFERROR(__xludf.DUMMYFUNCTION("""COMPUTED_VALUE"""),1.0)</f>
        <v>1</v>
      </c>
      <c r="O659" s="61"/>
      <c r="P659" s="253">
        <f>IFERROR(__xludf.DUMMYFUNCTION("""COMPUTED_VALUE"""),0.0)</f>
        <v>0</v>
      </c>
      <c r="Q659" s="254" t="str">
        <f>VLOOKUP($B659,'Run Reconcile'!B$2:O799,14,FALSE)</f>
        <v/>
      </c>
      <c r="R659" s="255" t="str">
        <f t="array" ref="R659">IF($Q659, INDEX('Run Reconcile'!A$2:A799,MATCH(B659,'Run Reconcile'!B$2:B799,0),1),IFERROR(0/0,""))</f>
        <v/>
      </c>
      <c r="S659" s="261" t="str">
        <f t="shared" ref="S659:T659" si="1325">IF(COUNTIF(W$2:W799, $A659) &gt; 0,TRUE,IFERROR(0/0,""))</f>
        <v/>
      </c>
      <c r="T659" s="261" t="str">
        <f t="shared" si="1325"/>
        <v/>
      </c>
      <c r="U659" s="257" t="str">
        <f t="array" ref="U659">IF(ISBLANK($R659), INDEX('Run Reconcile'!A$2:A799, MATCH($B659, 'Run Reconcile'!B$2:B799, 0)+Z659, 1), IFERROR(0/0,""))
</f>
        <v>RUN-BEND_2022-03-05_RFR-045</v>
      </c>
      <c r="V659" s="258" t="str">
        <f t="shared" si="480"/>
        <v>RUN-BEND_2022-03-05_RFR-045</v>
      </c>
      <c r="Y659" s="130" t="str">
        <f t="shared" si="487"/>
        <v/>
      </c>
      <c r="Z659" s="49" t="str">
        <f t="shared" si="7"/>
        <v/>
      </c>
      <c r="AA659" s="49" t="str">
        <f t="shared" si="8"/>
        <v/>
      </c>
      <c r="AB659" s="49" t="str">
        <f t="shared" si="9"/>
        <v/>
      </c>
      <c r="AC659" s="20" t="str">
        <f t="shared" ref="AC659:AD659" si="1326">IF(_xlfn.ISFORMULA(S659),IFERROR(0/0,""),TRUE)</f>
        <v/>
      </c>
      <c r="AD659" s="20" t="str">
        <f t="shared" si="1326"/>
        <v/>
      </c>
      <c r="AE659" s="43"/>
      <c r="AF659" s="62" t="s">
        <v>66</v>
      </c>
      <c r="AG659" s="57" t="str">
        <f t="shared" si="11"/>
        <v/>
      </c>
    </row>
    <row r="660">
      <c r="A660" s="6" t="str">
        <f>IFERROR(__xludf.DUMMYFUNCTION("""COMPUTED_VALUE"""),"FM2045")</f>
        <v>FM2045</v>
      </c>
      <c r="B660" s="204">
        <f>IFERROR(__xludf.DUMMYFUNCTION("""COMPUTED_VALUE"""),44625.0)</f>
        <v>44625</v>
      </c>
      <c r="C660" s="250">
        <f>IFERROR(__xludf.DUMMYFUNCTION("""COMPUTED_VALUE"""),0.3232175925925926)</f>
        <v>0.3232175926</v>
      </c>
      <c r="D660" s="6" t="str">
        <f>IFERROR(__xludf.DUMMYFUNCTION("""COMPUTED_VALUE"""),"SpBEND904348")</f>
        <v>SpBEND904348</v>
      </c>
      <c r="E660" s="251"/>
      <c r="F660" s="251"/>
      <c r="G660" s="251" t="str">
        <f>IFERROR(__xludf.DUMMYFUNCTION("""COMPUTED_VALUE"""),"Negative")</f>
        <v>Negative</v>
      </c>
      <c r="H660" s="262" t="str">
        <f>IFERROR(__xludf.DUMMYFUNCTION("""COMPUTED_VALUE"""),"Negative")</f>
        <v>Negative</v>
      </c>
      <c r="I660" s="204">
        <f>IFERROR(__xludf.DUMMYFUNCTION("""COMPUTED_VALUE"""),44625.0)</f>
        <v>44625</v>
      </c>
      <c r="J660" s="252">
        <f>IFERROR(__xludf.DUMMYFUNCTION("""COMPUTED_VALUE"""),0.48997685185185186)</f>
        <v>0.4899768519</v>
      </c>
      <c r="K660" s="56"/>
      <c r="L660" s="6"/>
      <c r="M660" s="61"/>
      <c r="N660" s="61">
        <f>IFERROR(__xludf.DUMMYFUNCTION("""COMPUTED_VALUE"""),1.0)</f>
        <v>1</v>
      </c>
      <c r="O660" s="61"/>
      <c r="P660" s="253">
        <f>IFERROR(__xludf.DUMMYFUNCTION("""COMPUTED_VALUE"""),0.0)</f>
        <v>0</v>
      </c>
      <c r="Q660" s="254" t="str">
        <f>VLOOKUP($B660,'Run Reconcile'!B$2:O799,14,FALSE)</f>
        <v/>
      </c>
      <c r="R660" s="255" t="str">
        <f t="array" ref="R660">IF($Q660, INDEX('Run Reconcile'!A$2:A799,MATCH(B660,'Run Reconcile'!B$2:B799,0),1),IFERROR(0/0,""))</f>
        <v/>
      </c>
      <c r="S660" s="261" t="str">
        <f t="shared" ref="S660:T660" si="1327">IF(COUNTIF(W$2:W799, $A660) &gt; 0,TRUE,IFERROR(0/0,""))</f>
        <v/>
      </c>
      <c r="T660" s="261" t="str">
        <f t="shared" si="1327"/>
        <v/>
      </c>
      <c r="U660" s="257" t="str">
        <f t="array" ref="U660">IF(ISBLANK($R660), INDEX('Run Reconcile'!A$2:A799, MATCH($B660, 'Run Reconcile'!B$2:B799, 0)+Z660, 1), IFERROR(0/0,""))
</f>
        <v>RUN-BEND_2022-03-05_RFR-045</v>
      </c>
      <c r="V660" s="258" t="str">
        <f t="shared" si="480"/>
        <v>RUN-BEND_2022-03-05_RFR-045</v>
      </c>
      <c r="Y660" s="130" t="str">
        <f t="shared" si="487"/>
        <v/>
      </c>
      <c r="Z660" s="49" t="str">
        <f t="shared" si="7"/>
        <v/>
      </c>
      <c r="AA660" s="49" t="str">
        <f t="shared" si="8"/>
        <v/>
      </c>
      <c r="AB660" s="49" t="str">
        <f t="shared" si="9"/>
        <v/>
      </c>
      <c r="AC660" s="20" t="str">
        <f t="shared" ref="AC660:AD660" si="1328">IF(_xlfn.ISFORMULA(S660),IFERROR(0/0,""),TRUE)</f>
        <v/>
      </c>
      <c r="AD660" s="20" t="str">
        <f t="shared" si="1328"/>
        <v/>
      </c>
      <c r="AE660" s="43"/>
      <c r="AF660" s="62" t="s">
        <v>66</v>
      </c>
      <c r="AG660" s="57" t="str">
        <f t="shared" si="11"/>
        <v/>
      </c>
    </row>
    <row r="661">
      <c r="A661" s="6" t="str">
        <f>IFERROR(__xludf.DUMMYFUNCTION("""COMPUTED_VALUE"""),"MA403")</f>
        <v>MA403</v>
      </c>
      <c r="B661" s="204">
        <f>IFERROR(__xludf.DUMMYFUNCTION("""COMPUTED_VALUE"""),44625.0)</f>
        <v>44625</v>
      </c>
      <c r="C661" s="250">
        <f>IFERROR(__xludf.DUMMYFUNCTION("""COMPUTED_VALUE"""),0.33188657407407407)</f>
        <v>0.3318865741</v>
      </c>
      <c r="D661" s="6" t="str">
        <f>IFERROR(__xludf.DUMMYFUNCTION("""COMPUTED_VALUE"""),"SpBEND708976")</f>
        <v>SpBEND708976</v>
      </c>
      <c r="E661" s="251"/>
      <c r="F661" s="251"/>
      <c r="G661" s="251" t="str">
        <f>IFERROR(__xludf.DUMMYFUNCTION("""COMPUTED_VALUE"""),"Negative")</f>
        <v>Negative</v>
      </c>
      <c r="H661" s="262" t="str">
        <f>IFERROR(__xludf.DUMMYFUNCTION("""COMPUTED_VALUE"""),"Negative")</f>
        <v>Negative</v>
      </c>
      <c r="I661" s="204">
        <f>IFERROR(__xludf.DUMMYFUNCTION("""COMPUTED_VALUE"""),44625.0)</f>
        <v>44625</v>
      </c>
      <c r="J661" s="252">
        <f>IFERROR(__xludf.DUMMYFUNCTION("""COMPUTED_VALUE"""),0.48975694444444445)</f>
        <v>0.4897569444</v>
      </c>
      <c r="K661" s="56"/>
      <c r="L661" s="6"/>
      <c r="M661" s="61"/>
      <c r="N661" s="61">
        <f>IFERROR(__xludf.DUMMYFUNCTION("""COMPUTED_VALUE"""),1.0)</f>
        <v>1</v>
      </c>
      <c r="O661" s="61"/>
      <c r="P661" s="253">
        <f>IFERROR(__xludf.DUMMYFUNCTION("""COMPUTED_VALUE"""),0.0)</f>
        <v>0</v>
      </c>
      <c r="Q661" s="254" t="str">
        <f>VLOOKUP($B661,'Run Reconcile'!B$2:O799,14,FALSE)</f>
        <v/>
      </c>
      <c r="R661" s="255" t="str">
        <f t="array" ref="R661">IF($Q661, INDEX('Run Reconcile'!A$2:A799,MATCH(B661,'Run Reconcile'!B$2:B799,0),1),IFERROR(0/0,""))</f>
        <v/>
      </c>
      <c r="S661" s="261" t="str">
        <f t="shared" ref="S661:T661" si="1329">IF(COUNTIF(W$2:W799, $A661) &gt; 0,TRUE,IFERROR(0/0,""))</f>
        <v/>
      </c>
      <c r="T661" s="261" t="str">
        <f t="shared" si="1329"/>
        <v/>
      </c>
      <c r="U661" s="257" t="str">
        <f t="array" ref="U661">IF(ISBLANK($R661), INDEX('Run Reconcile'!A$2:A799, MATCH($B661, 'Run Reconcile'!B$2:B799, 0)+Z661, 1), IFERROR(0/0,""))
</f>
        <v>RUN-BEND_2022-03-05_RFR-045</v>
      </c>
      <c r="V661" s="258" t="str">
        <f t="shared" si="480"/>
        <v>RUN-BEND_2022-03-05_RFR-045</v>
      </c>
      <c r="Y661" s="130" t="str">
        <f t="shared" si="487"/>
        <v/>
      </c>
      <c r="Z661" s="49" t="str">
        <f t="shared" si="7"/>
        <v/>
      </c>
      <c r="AA661" s="49" t="str">
        <f t="shared" si="8"/>
        <v/>
      </c>
      <c r="AB661" s="49" t="str">
        <f t="shared" si="9"/>
        <v/>
      </c>
      <c r="AC661" s="20" t="str">
        <f t="shared" ref="AC661:AD661" si="1330">IF(_xlfn.ISFORMULA(S661),IFERROR(0/0,""),TRUE)</f>
        <v/>
      </c>
      <c r="AD661" s="20" t="str">
        <f t="shared" si="1330"/>
        <v/>
      </c>
      <c r="AE661" s="43"/>
      <c r="AF661" s="62" t="s">
        <v>66</v>
      </c>
      <c r="AG661" s="57" t="str">
        <f t="shared" si="11"/>
        <v/>
      </c>
    </row>
    <row r="662">
      <c r="A662" s="6" t="str">
        <f>IFERROR(__xludf.DUMMYFUNCTION("""COMPUTED_VALUE"""),"FM470")</f>
        <v>FM470</v>
      </c>
      <c r="B662" s="204">
        <f>IFERROR(__xludf.DUMMYFUNCTION("""COMPUTED_VALUE"""),44625.0)</f>
        <v>44625</v>
      </c>
      <c r="C662" s="250">
        <f>IFERROR(__xludf.DUMMYFUNCTION("""COMPUTED_VALUE"""),0.3324884259259259)</f>
        <v>0.3324884259</v>
      </c>
      <c r="D662" s="6" t="str">
        <f>IFERROR(__xludf.DUMMYFUNCTION("""COMPUTED_VALUE"""),"SpBEND296258")</f>
        <v>SpBEND296258</v>
      </c>
      <c r="E662" s="251"/>
      <c r="F662" s="251"/>
      <c r="G662" s="251" t="str">
        <f>IFERROR(__xludf.DUMMYFUNCTION("""COMPUTED_VALUE"""),"Negative")</f>
        <v>Negative</v>
      </c>
      <c r="H662" s="262" t="str">
        <f>IFERROR(__xludf.DUMMYFUNCTION("""COMPUTED_VALUE"""),"Negative")</f>
        <v>Negative</v>
      </c>
      <c r="I662" s="204">
        <f>IFERROR(__xludf.DUMMYFUNCTION("""COMPUTED_VALUE"""),44625.0)</f>
        <v>44625</v>
      </c>
      <c r="J662" s="252">
        <f>IFERROR(__xludf.DUMMYFUNCTION("""COMPUTED_VALUE"""),0.48975694444444445)</f>
        <v>0.4897569444</v>
      </c>
      <c r="K662" s="56"/>
      <c r="L662" s="6"/>
      <c r="M662" s="61"/>
      <c r="N662" s="61">
        <f>IFERROR(__xludf.DUMMYFUNCTION("""COMPUTED_VALUE"""),1.0)</f>
        <v>1</v>
      </c>
      <c r="O662" s="61"/>
      <c r="P662" s="253">
        <f>IFERROR(__xludf.DUMMYFUNCTION("""COMPUTED_VALUE"""),0.0)</f>
        <v>0</v>
      </c>
      <c r="Q662" s="254" t="str">
        <f>VLOOKUP($B662,'Run Reconcile'!B$2:O799,14,FALSE)</f>
        <v/>
      </c>
      <c r="R662" s="255" t="str">
        <f t="array" ref="R662">IF($Q662, INDEX('Run Reconcile'!A$2:A799,MATCH(B662,'Run Reconcile'!B$2:B799,0),1),IFERROR(0/0,""))</f>
        <v/>
      </c>
      <c r="S662" s="261" t="str">
        <f t="shared" ref="S662:T662" si="1331">IF(COUNTIF(W$2:W799, $A662) &gt; 0,TRUE,IFERROR(0/0,""))</f>
        <v/>
      </c>
      <c r="T662" s="261" t="str">
        <f t="shared" si="1331"/>
        <v/>
      </c>
      <c r="U662" s="257" t="str">
        <f t="array" ref="U662">IF(ISBLANK($R662), INDEX('Run Reconcile'!A$2:A799, MATCH($B662, 'Run Reconcile'!B$2:B799, 0)+Z662, 1), IFERROR(0/0,""))
</f>
        <v>RUN-BEND_2022-03-05_RFR-045</v>
      </c>
      <c r="V662" s="258" t="str">
        <f t="shared" si="480"/>
        <v>RUN-BEND_2022-03-05_RFR-045</v>
      </c>
      <c r="Y662" s="130" t="str">
        <f t="shared" si="487"/>
        <v/>
      </c>
      <c r="Z662" s="49" t="str">
        <f t="shared" si="7"/>
        <v/>
      </c>
      <c r="AA662" s="49" t="str">
        <f t="shared" si="8"/>
        <v/>
      </c>
      <c r="AB662" s="49" t="str">
        <f t="shared" si="9"/>
        <v/>
      </c>
      <c r="AC662" s="20" t="str">
        <f t="shared" ref="AC662:AD662" si="1332">IF(_xlfn.ISFORMULA(S662),IFERROR(0/0,""),TRUE)</f>
        <v/>
      </c>
      <c r="AD662" s="20" t="str">
        <f t="shared" si="1332"/>
        <v/>
      </c>
      <c r="AE662" s="43"/>
      <c r="AF662" s="62" t="s">
        <v>66</v>
      </c>
      <c r="AG662" s="57" t="str">
        <f t="shared" si="11"/>
        <v/>
      </c>
    </row>
    <row r="663">
      <c r="A663" s="6" t="str">
        <f>IFERROR(__xludf.DUMMYFUNCTION("""COMPUTED_VALUE"""),"FM337")</f>
        <v>FM337</v>
      </c>
      <c r="B663" s="204">
        <f>IFERROR(__xludf.DUMMYFUNCTION("""COMPUTED_VALUE"""),44625.0)</f>
        <v>44625</v>
      </c>
      <c r="C663" s="250">
        <f>IFERROR(__xludf.DUMMYFUNCTION("""COMPUTED_VALUE"""),0.3350462962962963)</f>
        <v>0.3350462963</v>
      </c>
      <c r="D663" s="6" t="str">
        <f>IFERROR(__xludf.DUMMYFUNCTION("""COMPUTED_VALUE"""),"SpBEND845568")</f>
        <v>SpBEND845568</v>
      </c>
      <c r="E663" s="251"/>
      <c r="F663" s="251"/>
      <c r="G663" s="251" t="str">
        <f>IFERROR(__xludf.DUMMYFUNCTION("""COMPUTED_VALUE"""),"Negative")</f>
        <v>Negative</v>
      </c>
      <c r="H663" s="262" t="str">
        <f>IFERROR(__xludf.DUMMYFUNCTION("""COMPUTED_VALUE"""),"Negative")</f>
        <v>Negative</v>
      </c>
      <c r="I663" s="204">
        <f>IFERROR(__xludf.DUMMYFUNCTION("""COMPUTED_VALUE"""),44625.0)</f>
        <v>44625</v>
      </c>
      <c r="J663" s="252">
        <f>IFERROR(__xludf.DUMMYFUNCTION("""COMPUTED_VALUE"""),0.48975694444444445)</f>
        <v>0.4897569444</v>
      </c>
      <c r="K663" s="56"/>
      <c r="L663" s="6"/>
      <c r="M663" s="61"/>
      <c r="N663" s="61">
        <f>IFERROR(__xludf.DUMMYFUNCTION("""COMPUTED_VALUE"""),1.0)</f>
        <v>1</v>
      </c>
      <c r="O663" s="61"/>
      <c r="P663" s="253">
        <f>IFERROR(__xludf.DUMMYFUNCTION("""COMPUTED_VALUE"""),0.0)</f>
        <v>0</v>
      </c>
      <c r="Q663" s="254" t="str">
        <f>VLOOKUP($B663,'Run Reconcile'!B$2:O799,14,FALSE)</f>
        <v/>
      </c>
      <c r="R663" s="255" t="str">
        <f t="array" ref="R663">IF($Q663, INDEX('Run Reconcile'!A$2:A799,MATCH(B663,'Run Reconcile'!B$2:B799,0),1),IFERROR(0/0,""))</f>
        <v/>
      </c>
      <c r="S663" s="261" t="str">
        <f t="shared" ref="S663:T663" si="1333">IF(COUNTIF(W$2:W799, $A663) &gt; 0,TRUE,IFERROR(0/0,""))</f>
        <v/>
      </c>
      <c r="T663" s="261" t="str">
        <f t="shared" si="1333"/>
        <v/>
      </c>
      <c r="U663" s="257" t="str">
        <f t="array" ref="U663">IF(ISBLANK($R663), INDEX('Run Reconcile'!A$2:A799, MATCH($B663, 'Run Reconcile'!B$2:B799, 0)+Z663, 1), IFERROR(0/0,""))
</f>
        <v>RUN-BEND_2022-03-05_RFR-045</v>
      </c>
      <c r="V663" s="258" t="str">
        <f t="shared" si="480"/>
        <v>RUN-BEND_2022-03-05_RFR-045</v>
      </c>
      <c r="Y663" s="130" t="str">
        <f t="shared" si="487"/>
        <v/>
      </c>
      <c r="Z663" s="49" t="str">
        <f t="shared" si="7"/>
        <v/>
      </c>
      <c r="AA663" s="49" t="str">
        <f t="shared" si="8"/>
        <v/>
      </c>
      <c r="AB663" s="49" t="str">
        <f t="shared" si="9"/>
        <v/>
      </c>
      <c r="AC663" s="20" t="str">
        <f t="shared" ref="AC663:AD663" si="1334">IF(_xlfn.ISFORMULA(S663),IFERROR(0/0,""),TRUE)</f>
        <v/>
      </c>
      <c r="AD663" s="20" t="str">
        <f t="shared" si="1334"/>
        <v/>
      </c>
      <c r="AE663" s="43"/>
      <c r="AF663" s="62" t="s">
        <v>66</v>
      </c>
      <c r="AG663" s="57" t="str">
        <f t="shared" si="11"/>
        <v/>
      </c>
    </row>
    <row r="664">
      <c r="A664" s="6" t="str">
        <f>IFERROR(__xludf.DUMMYFUNCTION("""COMPUTED_VALUE"""),"FM8")</f>
        <v>FM8</v>
      </c>
      <c r="B664" s="204">
        <f>IFERROR(__xludf.DUMMYFUNCTION("""COMPUTED_VALUE"""),44625.0)</f>
        <v>44625</v>
      </c>
      <c r="C664" s="250">
        <f>IFERROR(__xludf.DUMMYFUNCTION("""COMPUTED_VALUE"""),0.3416666666666667)</f>
        <v>0.3416666667</v>
      </c>
      <c r="D664" s="6" t="str">
        <f>IFERROR(__xludf.DUMMYFUNCTION("""COMPUTED_VALUE"""),"SpBEND524085")</f>
        <v>SpBEND524085</v>
      </c>
      <c r="E664" s="251"/>
      <c r="F664" s="251"/>
      <c r="G664" s="251" t="str">
        <f>IFERROR(__xludf.DUMMYFUNCTION("""COMPUTED_VALUE"""),"Negative")</f>
        <v>Negative</v>
      </c>
      <c r="H664" s="262" t="str">
        <f>IFERROR(__xludf.DUMMYFUNCTION("""COMPUTED_VALUE"""),"Negative")</f>
        <v>Negative</v>
      </c>
      <c r="I664" s="204">
        <f>IFERROR(__xludf.DUMMYFUNCTION("""COMPUTED_VALUE"""),44625.0)</f>
        <v>44625</v>
      </c>
      <c r="J664" s="252">
        <f>IFERROR(__xludf.DUMMYFUNCTION("""COMPUTED_VALUE"""),0.48975694444444445)</f>
        <v>0.4897569444</v>
      </c>
      <c r="K664" s="56"/>
      <c r="L664" s="6"/>
      <c r="M664" s="61"/>
      <c r="N664" s="61">
        <f>IFERROR(__xludf.DUMMYFUNCTION("""COMPUTED_VALUE"""),1.0)</f>
        <v>1</v>
      </c>
      <c r="O664" s="61"/>
      <c r="P664" s="253">
        <f>IFERROR(__xludf.DUMMYFUNCTION("""COMPUTED_VALUE"""),0.0)</f>
        <v>0</v>
      </c>
      <c r="Q664" s="254" t="str">
        <f>VLOOKUP($B664,'Run Reconcile'!B$2:O799,14,FALSE)</f>
        <v/>
      </c>
      <c r="R664" s="255" t="str">
        <f t="array" ref="R664">IF($Q664, INDEX('Run Reconcile'!A$2:A799,MATCH(B664,'Run Reconcile'!B$2:B799,0),1),IFERROR(0/0,""))</f>
        <v/>
      </c>
      <c r="S664" s="261" t="str">
        <f t="shared" ref="S664:T664" si="1335">IF(COUNTIF(W$2:W799, $A664) &gt; 0,TRUE,IFERROR(0/0,""))</f>
        <v/>
      </c>
      <c r="T664" s="261" t="str">
        <f t="shared" si="1335"/>
        <v/>
      </c>
      <c r="U664" s="257" t="str">
        <f t="array" ref="U664">IF(ISBLANK($R664), INDEX('Run Reconcile'!A$2:A799, MATCH($B664, 'Run Reconcile'!B$2:B799, 0)+Z664, 1), IFERROR(0/0,""))
</f>
        <v>RUN-BEND_2022-03-05_RFR-045</v>
      </c>
      <c r="V664" s="258" t="str">
        <f t="shared" si="480"/>
        <v>RUN-BEND_2022-03-05_RFR-045</v>
      </c>
      <c r="Y664" s="130" t="str">
        <f t="shared" si="487"/>
        <v/>
      </c>
      <c r="Z664" s="49" t="str">
        <f t="shared" si="7"/>
        <v/>
      </c>
      <c r="AA664" s="49" t="str">
        <f t="shared" si="8"/>
        <v/>
      </c>
      <c r="AB664" s="49" t="str">
        <f t="shared" si="9"/>
        <v/>
      </c>
      <c r="AC664" s="20" t="str">
        <f t="shared" ref="AC664:AD664" si="1336">IF(_xlfn.ISFORMULA(S664),IFERROR(0/0,""),TRUE)</f>
        <v/>
      </c>
      <c r="AD664" s="20" t="str">
        <f t="shared" si="1336"/>
        <v/>
      </c>
      <c r="AE664" s="43"/>
      <c r="AF664" s="62" t="s">
        <v>66</v>
      </c>
      <c r="AG664" s="57" t="str">
        <f t="shared" si="11"/>
        <v/>
      </c>
    </row>
    <row r="665">
      <c r="A665" s="6" t="str">
        <f>IFERROR(__xludf.DUMMYFUNCTION("""COMPUTED_VALUE"""),"FM30")</f>
        <v>FM30</v>
      </c>
      <c r="B665" s="204">
        <f>IFERROR(__xludf.DUMMYFUNCTION("""COMPUTED_VALUE"""),44625.0)</f>
        <v>44625</v>
      </c>
      <c r="C665" s="250">
        <f>IFERROR(__xludf.DUMMYFUNCTION("""COMPUTED_VALUE"""),0.34193287037037035)</f>
        <v>0.3419328704</v>
      </c>
      <c r="D665" s="6" t="str">
        <f>IFERROR(__xludf.DUMMYFUNCTION("""COMPUTED_VALUE"""),"SpBEND481988")</f>
        <v>SpBEND481988</v>
      </c>
      <c r="E665" s="251"/>
      <c r="F665" s="251"/>
      <c r="G665" s="251" t="str">
        <f>IFERROR(__xludf.DUMMYFUNCTION("""COMPUTED_VALUE"""),"Negative")</f>
        <v>Negative</v>
      </c>
      <c r="H665" s="262" t="str">
        <f>IFERROR(__xludf.DUMMYFUNCTION("""COMPUTED_VALUE"""),"Negative")</f>
        <v>Negative</v>
      </c>
      <c r="I665" s="204">
        <f>IFERROR(__xludf.DUMMYFUNCTION("""COMPUTED_VALUE"""),44625.0)</f>
        <v>44625</v>
      </c>
      <c r="J665" s="252">
        <f>IFERROR(__xludf.DUMMYFUNCTION("""COMPUTED_VALUE"""),0.48975694444444445)</f>
        <v>0.4897569444</v>
      </c>
      <c r="K665" s="56"/>
      <c r="L665" s="6"/>
      <c r="M665" s="61"/>
      <c r="N665" s="61">
        <f>IFERROR(__xludf.DUMMYFUNCTION("""COMPUTED_VALUE"""),1.0)</f>
        <v>1</v>
      </c>
      <c r="O665" s="61"/>
      <c r="P665" s="253">
        <f>IFERROR(__xludf.DUMMYFUNCTION("""COMPUTED_VALUE"""),0.0)</f>
        <v>0</v>
      </c>
      <c r="Q665" s="254" t="str">
        <f>VLOOKUP($B665,'Run Reconcile'!B$2:O799,14,FALSE)</f>
        <v/>
      </c>
      <c r="R665" s="255" t="str">
        <f t="array" ref="R665">IF($Q665, INDEX('Run Reconcile'!A$2:A799,MATCH(B665,'Run Reconcile'!B$2:B799,0),1),IFERROR(0/0,""))</f>
        <v/>
      </c>
      <c r="S665" s="261" t="str">
        <f t="shared" ref="S665:T665" si="1337">IF(COUNTIF(W$2:W799, $A665) &gt; 0,TRUE,IFERROR(0/0,""))</f>
        <v/>
      </c>
      <c r="T665" s="261" t="str">
        <f t="shared" si="1337"/>
        <v/>
      </c>
      <c r="U665" s="257" t="str">
        <f t="array" ref="U665">IF(ISBLANK($R665), INDEX('Run Reconcile'!A$2:A799, MATCH($B665, 'Run Reconcile'!B$2:B799, 0)+Z665, 1), IFERROR(0/0,""))
</f>
        <v>RUN-BEND_2022-03-05_RFR-045</v>
      </c>
      <c r="V665" s="258" t="str">
        <f t="shared" si="480"/>
        <v>RUN-BEND_2022-03-05_RFR-045</v>
      </c>
      <c r="Y665" s="130" t="str">
        <f t="shared" si="487"/>
        <v/>
      </c>
      <c r="Z665" s="49" t="str">
        <f t="shared" si="7"/>
        <v/>
      </c>
      <c r="AA665" s="49" t="str">
        <f t="shared" si="8"/>
        <v/>
      </c>
      <c r="AB665" s="49" t="str">
        <f t="shared" si="9"/>
        <v/>
      </c>
      <c r="AC665" s="20" t="str">
        <f t="shared" ref="AC665:AD665" si="1338">IF(_xlfn.ISFORMULA(S665),IFERROR(0/0,""),TRUE)</f>
        <v/>
      </c>
      <c r="AD665" s="20" t="str">
        <f t="shared" si="1338"/>
        <v/>
      </c>
      <c r="AE665" s="43"/>
      <c r="AF665" s="62" t="s">
        <v>66</v>
      </c>
      <c r="AG665" s="57" t="str">
        <f t="shared" si="11"/>
        <v/>
      </c>
    </row>
    <row r="666">
      <c r="A666" s="6" t="str">
        <f>IFERROR(__xludf.DUMMYFUNCTION("""COMPUTED_VALUE"""),"FM75")</f>
        <v>FM75</v>
      </c>
      <c r="B666" s="204">
        <f>IFERROR(__xludf.DUMMYFUNCTION("""COMPUTED_VALUE"""),44625.0)</f>
        <v>44625</v>
      </c>
      <c r="C666" s="250">
        <f>IFERROR(__xludf.DUMMYFUNCTION("""COMPUTED_VALUE"""),0.3421875)</f>
        <v>0.3421875</v>
      </c>
      <c r="D666" s="6" t="str">
        <f>IFERROR(__xludf.DUMMYFUNCTION("""COMPUTED_VALUE"""),"SpBEND842248")</f>
        <v>SpBEND842248</v>
      </c>
      <c r="E666" s="251"/>
      <c r="F666" s="251"/>
      <c r="G666" s="251" t="str">
        <f>IFERROR(__xludf.DUMMYFUNCTION("""COMPUTED_VALUE"""),"Negative")</f>
        <v>Negative</v>
      </c>
      <c r="H666" s="262" t="str">
        <f>IFERROR(__xludf.DUMMYFUNCTION("""COMPUTED_VALUE"""),"Negative")</f>
        <v>Negative</v>
      </c>
      <c r="I666" s="204">
        <f>IFERROR(__xludf.DUMMYFUNCTION("""COMPUTED_VALUE"""),44625.0)</f>
        <v>44625</v>
      </c>
      <c r="J666" s="252">
        <f>IFERROR(__xludf.DUMMYFUNCTION("""COMPUTED_VALUE"""),0.48975694444444445)</f>
        <v>0.4897569444</v>
      </c>
      <c r="K666" s="56"/>
      <c r="L666" s="6"/>
      <c r="M666" s="61"/>
      <c r="N666" s="61">
        <f>IFERROR(__xludf.DUMMYFUNCTION("""COMPUTED_VALUE"""),1.0)</f>
        <v>1</v>
      </c>
      <c r="O666" s="61"/>
      <c r="P666" s="253">
        <f>IFERROR(__xludf.DUMMYFUNCTION("""COMPUTED_VALUE"""),0.0)</f>
        <v>0</v>
      </c>
      <c r="Q666" s="254" t="str">
        <f>VLOOKUP($B666,'Run Reconcile'!B$2:O799,14,FALSE)</f>
        <v/>
      </c>
      <c r="R666" s="255" t="str">
        <f t="array" ref="R666">IF($Q666, INDEX('Run Reconcile'!A$2:A799,MATCH(B666,'Run Reconcile'!B$2:B799,0),1),IFERROR(0/0,""))</f>
        <v/>
      </c>
      <c r="S666" s="261" t="str">
        <f t="shared" ref="S666:T666" si="1339">IF(COUNTIF(W$2:W799, $A666) &gt; 0,TRUE,IFERROR(0/0,""))</f>
        <v/>
      </c>
      <c r="T666" s="261" t="str">
        <f t="shared" si="1339"/>
        <v/>
      </c>
      <c r="U666" s="257" t="str">
        <f t="array" ref="U666">IF(ISBLANK($R666), INDEX('Run Reconcile'!A$2:A799, MATCH($B666, 'Run Reconcile'!B$2:B799, 0)+Z666, 1), IFERROR(0/0,""))
</f>
        <v>RUN-BEND_2022-03-05_RFR-045</v>
      </c>
      <c r="V666" s="258" t="str">
        <f t="shared" si="480"/>
        <v>RUN-BEND_2022-03-05_RFR-045</v>
      </c>
      <c r="Y666" s="130" t="str">
        <f t="shared" si="487"/>
        <v/>
      </c>
      <c r="Z666" s="49" t="str">
        <f t="shared" si="7"/>
        <v/>
      </c>
      <c r="AA666" s="49" t="str">
        <f t="shared" si="8"/>
        <v/>
      </c>
      <c r="AB666" s="49" t="str">
        <f t="shared" si="9"/>
        <v/>
      </c>
      <c r="AC666" s="20" t="str">
        <f t="shared" ref="AC666:AD666" si="1340">IF(_xlfn.ISFORMULA(S666),IFERROR(0/0,""),TRUE)</f>
        <v/>
      </c>
      <c r="AD666" s="20" t="str">
        <f t="shared" si="1340"/>
        <v/>
      </c>
      <c r="AE666" s="43"/>
      <c r="AF666" s="62" t="s">
        <v>66</v>
      </c>
      <c r="AG666" s="57" t="str">
        <f t="shared" si="11"/>
        <v/>
      </c>
    </row>
    <row r="667">
      <c r="A667" s="288" t="str">
        <f>IFERROR(__xludf.DUMMYFUNCTION("""COMPUTED_VALUE"""),"MA1294")</f>
        <v>MA1294</v>
      </c>
      <c r="B667" s="263">
        <f>IFERROR(__xludf.DUMMYFUNCTION("""COMPUTED_VALUE"""),44625.0)</f>
        <v>44625</v>
      </c>
      <c r="C667" s="289">
        <f>IFERROR(__xludf.DUMMYFUNCTION("""COMPUTED_VALUE"""),0.35530092592592594)</f>
        <v>0.3553009259</v>
      </c>
      <c r="D667" s="288" t="str">
        <f>IFERROR(__xludf.DUMMYFUNCTION("""COMPUTED_VALUE"""),"SpBEND350015")</f>
        <v>SpBEND350015</v>
      </c>
      <c r="E667" s="290"/>
      <c r="F667" s="290"/>
      <c r="G667" s="290" t="str">
        <f>IFERROR(__xludf.DUMMYFUNCTION("""COMPUTED_VALUE"""),"Positive")</f>
        <v>Positive</v>
      </c>
      <c r="H667" s="264" t="str">
        <f>IFERROR(__xludf.DUMMYFUNCTION("""COMPUTED_VALUE"""),"Positive")</f>
        <v>Positive</v>
      </c>
      <c r="I667" s="263">
        <f>IFERROR(__xludf.DUMMYFUNCTION("""COMPUTED_VALUE"""),44627.0)</f>
        <v>44627</v>
      </c>
      <c r="J667" s="252">
        <f>IFERROR(__xludf.DUMMYFUNCTION("""COMPUTED_VALUE"""),0.4779861111111111)</f>
        <v>0.4779861111</v>
      </c>
      <c r="K667" s="56"/>
      <c r="L667" s="6"/>
      <c r="M667" s="61"/>
      <c r="N667" s="61">
        <f>IFERROR(__xludf.DUMMYFUNCTION("""COMPUTED_VALUE"""),1.0)</f>
        <v>1</v>
      </c>
      <c r="O667" s="61"/>
      <c r="P667" s="253">
        <f>IFERROR(__xludf.DUMMYFUNCTION("""COMPUTED_VALUE"""),2.0)</f>
        <v>2</v>
      </c>
      <c r="Q667" s="254" t="str">
        <f>VLOOKUP($B667,'Run Reconcile'!B$2:O799,14,FALSE)</f>
        <v/>
      </c>
      <c r="R667" s="255" t="str">
        <f t="array" ref="R667">IF($Q667, INDEX('Run Reconcile'!A$2:A799,MATCH(B667,'Run Reconcile'!B$2:B799,0),1),IFERROR(0/0,""))</f>
        <v/>
      </c>
      <c r="S667" s="261" t="str">
        <f t="shared" ref="S667:T667" si="1341">IF(COUNTIF(W$2:W799, $A667) &gt; 0,TRUE,IFERROR(0/0,""))</f>
        <v/>
      </c>
      <c r="T667" s="261" t="str">
        <f t="shared" si="1341"/>
        <v/>
      </c>
      <c r="U667" s="257" t="str">
        <f t="array" ref="U667">IF(ISBLANK($R667), INDEX('Run Reconcile'!A$2:A799, MATCH($B667, 'Run Reconcile'!B$2:B799, 0)+Z667, 1), IFERROR(0/0,""))
</f>
        <v>RUN-BEND_2022-03-05_RFR-045</v>
      </c>
      <c r="V667" s="258" t="str">
        <f t="shared" si="480"/>
        <v>RUN-BEND_2022-03-05_RFR-045</v>
      </c>
      <c r="Y667" s="130" t="str">
        <f t="shared" si="487"/>
        <v/>
      </c>
      <c r="Z667" s="49" t="str">
        <f t="shared" si="7"/>
        <v/>
      </c>
      <c r="AA667" s="49" t="str">
        <f t="shared" si="8"/>
        <v/>
      </c>
      <c r="AB667" s="49" t="str">
        <f t="shared" si="9"/>
        <v/>
      </c>
      <c r="AC667" s="20" t="str">
        <f t="shared" ref="AC667:AD667" si="1342">IF(_xlfn.ISFORMULA(S667),IFERROR(0/0,""),TRUE)</f>
        <v/>
      </c>
      <c r="AD667" s="20" t="str">
        <f t="shared" si="1342"/>
        <v/>
      </c>
      <c r="AE667" s="43"/>
      <c r="AF667" s="62" t="s">
        <v>66</v>
      </c>
      <c r="AG667" s="57" t="str">
        <f t="shared" si="11"/>
        <v/>
      </c>
    </row>
    <row r="668">
      <c r="A668" s="6" t="str">
        <f>IFERROR(__xludf.DUMMYFUNCTION("""COMPUTED_VALUE"""),"FM1905")</f>
        <v>FM1905</v>
      </c>
      <c r="B668" s="204">
        <f>IFERROR(__xludf.DUMMYFUNCTION("""COMPUTED_VALUE"""),44625.0)</f>
        <v>44625</v>
      </c>
      <c r="C668" s="250">
        <f>IFERROR(__xludf.DUMMYFUNCTION("""COMPUTED_VALUE"""),0.36768518518518517)</f>
        <v>0.3676851852</v>
      </c>
      <c r="D668" s="6" t="str">
        <f>IFERROR(__xludf.DUMMYFUNCTION("""COMPUTED_VALUE"""),"SpBEND387578")</f>
        <v>SpBEND387578</v>
      </c>
      <c r="E668" s="251"/>
      <c r="F668" s="251"/>
      <c r="G668" s="251" t="str">
        <f>IFERROR(__xludf.DUMMYFUNCTION("""COMPUTED_VALUE"""),"Negative")</f>
        <v>Negative</v>
      </c>
      <c r="H668" s="262" t="str">
        <f>IFERROR(__xludf.DUMMYFUNCTION("""COMPUTED_VALUE"""),"Negative")</f>
        <v>Negative</v>
      </c>
      <c r="I668" s="204">
        <f>IFERROR(__xludf.DUMMYFUNCTION("""COMPUTED_VALUE"""),44625.0)</f>
        <v>44625</v>
      </c>
      <c r="J668" s="252">
        <f>IFERROR(__xludf.DUMMYFUNCTION("""COMPUTED_VALUE"""),0.48975694444444445)</f>
        <v>0.4897569444</v>
      </c>
      <c r="K668" s="56"/>
      <c r="L668" s="6"/>
      <c r="M668" s="61"/>
      <c r="N668" s="61">
        <f>IFERROR(__xludf.DUMMYFUNCTION("""COMPUTED_VALUE"""),1.0)</f>
        <v>1</v>
      </c>
      <c r="O668" s="61"/>
      <c r="P668" s="253">
        <f>IFERROR(__xludf.DUMMYFUNCTION("""COMPUTED_VALUE"""),0.0)</f>
        <v>0</v>
      </c>
      <c r="Q668" s="254" t="str">
        <f>VLOOKUP($B668,'Run Reconcile'!B$2:O799,14,FALSE)</f>
        <v/>
      </c>
      <c r="R668" s="255" t="str">
        <f t="array" ref="R668">IF($Q668, INDEX('Run Reconcile'!A$2:A799,MATCH(B668,'Run Reconcile'!B$2:B799,0),1),IFERROR(0/0,""))</f>
        <v/>
      </c>
      <c r="S668" s="261" t="str">
        <f t="shared" ref="S668:T668" si="1343">IF(COUNTIF(W$2:W799, $A668) &gt; 0,TRUE,IFERROR(0/0,""))</f>
        <v/>
      </c>
      <c r="T668" s="261" t="str">
        <f t="shared" si="1343"/>
        <v/>
      </c>
      <c r="U668" s="257" t="str">
        <f t="array" ref="U668">IF(ISBLANK($R668), INDEX('Run Reconcile'!A$2:A799, MATCH($B668, 'Run Reconcile'!B$2:B799, 0)+Z668, 1), IFERROR(0/0,""))
</f>
        <v>RUN-BEND_2022-03-05_RFR-045</v>
      </c>
      <c r="V668" s="258" t="str">
        <f t="shared" si="480"/>
        <v>RUN-BEND_2022-03-05_RFR-045</v>
      </c>
      <c r="Y668" s="130" t="str">
        <f t="shared" si="487"/>
        <v/>
      </c>
      <c r="Z668" s="49" t="str">
        <f t="shared" si="7"/>
        <v/>
      </c>
      <c r="AA668" s="49" t="str">
        <f t="shared" si="8"/>
        <v/>
      </c>
      <c r="AB668" s="49" t="str">
        <f t="shared" si="9"/>
        <v/>
      </c>
      <c r="AC668" s="20" t="str">
        <f t="shared" ref="AC668:AD668" si="1344">IF(_xlfn.ISFORMULA(S668),IFERROR(0/0,""),TRUE)</f>
        <v/>
      </c>
      <c r="AD668" s="20" t="str">
        <f t="shared" si="1344"/>
        <v/>
      </c>
      <c r="AE668" s="43"/>
      <c r="AF668" s="62" t="s">
        <v>66</v>
      </c>
      <c r="AG668" s="57" t="str">
        <f t="shared" si="11"/>
        <v/>
      </c>
    </row>
    <row r="669">
      <c r="A669" s="6" t="str">
        <f>IFERROR(__xludf.DUMMYFUNCTION("""COMPUTED_VALUE"""),"FM85")</f>
        <v>FM85</v>
      </c>
      <c r="B669" s="204">
        <f>IFERROR(__xludf.DUMMYFUNCTION("""COMPUTED_VALUE"""),44625.0)</f>
        <v>44625</v>
      </c>
      <c r="C669" s="250">
        <f>IFERROR(__xludf.DUMMYFUNCTION("""COMPUTED_VALUE"""),0.3858333333333333)</f>
        <v>0.3858333333</v>
      </c>
      <c r="D669" s="6" t="str">
        <f>IFERROR(__xludf.DUMMYFUNCTION("""COMPUTED_VALUE"""),"SpBEND899578")</f>
        <v>SpBEND899578</v>
      </c>
      <c r="E669" s="251"/>
      <c r="F669" s="251"/>
      <c r="G669" s="251" t="str">
        <f>IFERROR(__xludf.DUMMYFUNCTION("""COMPUTED_VALUE"""),"Negative")</f>
        <v>Negative</v>
      </c>
      <c r="H669" s="262" t="str">
        <f>IFERROR(__xludf.DUMMYFUNCTION("""COMPUTED_VALUE"""),"Negative")</f>
        <v>Negative</v>
      </c>
      <c r="I669" s="204">
        <f>IFERROR(__xludf.DUMMYFUNCTION("""COMPUTED_VALUE"""),44625.0)</f>
        <v>44625</v>
      </c>
      <c r="J669" s="252">
        <f>IFERROR(__xludf.DUMMYFUNCTION("""COMPUTED_VALUE"""),0.48975694444444445)</f>
        <v>0.4897569444</v>
      </c>
      <c r="K669" s="56"/>
      <c r="L669" s="6"/>
      <c r="M669" s="61"/>
      <c r="N669" s="61">
        <f>IFERROR(__xludf.DUMMYFUNCTION("""COMPUTED_VALUE"""),1.0)</f>
        <v>1</v>
      </c>
      <c r="O669" s="61"/>
      <c r="P669" s="253">
        <f>IFERROR(__xludf.DUMMYFUNCTION("""COMPUTED_VALUE"""),0.0)</f>
        <v>0</v>
      </c>
      <c r="Q669" s="254" t="str">
        <f>VLOOKUP($B669,'Run Reconcile'!B$2:O799,14,FALSE)</f>
        <v/>
      </c>
      <c r="R669" s="255" t="str">
        <f t="array" ref="R669">IF($Q669, INDEX('Run Reconcile'!A$2:A799,MATCH(B669,'Run Reconcile'!B$2:B799,0),1),IFERROR(0/0,""))</f>
        <v/>
      </c>
      <c r="S669" s="261" t="str">
        <f t="shared" ref="S669:T669" si="1345">IF(COUNTIF(W$2:W799, $A669) &gt; 0,TRUE,IFERROR(0/0,""))</f>
        <v/>
      </c>
      <c r="T669" s="261" t="str">
        <f t="shared" si="1345"/>
        <v/>
      </c>
      <c r="U669" s="257" t="str">
        <f t="array" ref="U669">IF(ISBLANK($R669), INDEX('Run Reconcile'!A$2:A799, MATCH($B669, 'Run Reconcile'!B$2:B799, 0)+Z669, 1), IFERROR(0/0,""))
</f>
        <v>RUN-BEND_2022-03-05_RFR-045</v>
      </c>
      <c r="V669" s="258" t="str">
        <f t="shared" si="480"/>
        <v>RUN-BEND_2022-03-05_RFR-045</v>
      </c>
      <c r="Y669" s="130" t="str">
        <f t="shared" si="487"/>
        <v/>
      </c>
      <c r="Z669" s="49" t="str">
        <f t="shared" si="7"/>
        <v/>
      </c>
      <c r="AA669" s="49" t="str">
        <f t="shared" si="8"/>
        <v/>
      </c>
      <c r="AB669" s="49" t="str">
        <f t="shared" si="9"/>
        <v/>
      </c>
      <c r="AC669" s="20" t="str">
        <f t="shared" ref="AC669:AD669" si="1346">IF(_xlfn.ISFORMULA(S669),IFERROR(0/0,""),TRUE)</f>
        <v/>
      </c>
      <c r="AD669" s="20" t="str">
        <f t="shared" si="1346"/>
        <v/>
      </c>
      <c r="AE669" s="43"/>
      <c r="AF669" s="62" t="s">
        <v>66</v>
      </c>
      <c r="AG669" s="57" t="str">
        <f t="shared" si="11"/>
        <v/>
      </c>
    </row>
    <row r="670">
      <c r="A670" s="6" t="str">
        <f>IFERROR(__xludf.DUMMYFUNCTION("""COMPUTED_VALUE"""),"MA1308")</f>
        <v>MA1308</v>
      </c>
      <c r="B670" s="204">
        <f>IFERROR(__xludf.DUMMYFUNCTION("""COMPUTED_VALUE"""),44625.0)</f>
        <v>44625</v>
      </c>
      <c r="C670" s="250">
        <f>IFERROR(__xludf.DUMMYFUNCTION("""COMPUTED_VALUE"""),0.3939930555555556)</f>
        <v>0.3939930556</v>
      </c>
      <c r="D670" s="6" t="str">
        <f>IFERROR(__xludf.DUMMYFUNCTION("""COMPUTED_VALUE"""),"SpBEND151586")</f>
        <v>SpBEND151586</v>
      </c>
      <c r="E670" s="251"/>
      <c r="F670" s="251"/>
      <c r="G670" s="251" t="str">
        <f>IFERROR(__xludf.DUMMYFUNCTION("""COMPUTED_VALUE"""),"Negative")</f>
        <v>Negative</v>
      </c>
      <c r="H670" s="262" t="str">
        <f>IFERROR(__xludf.DUMMYFUNCTION("""COMPUTED_VALUE"""),"Negative")</f>
        <v>Negative</v>
      </c>
      <c r="I670" s="204">
        <f>IFERROR(__xludf.DUMMYFUNCTION("""COMPUTED_VALUE"""),44625.0)</f>
        <v>44625</v>
      </c>
      <c r="J670" s="252">
        <f>IFERROR(__xludf.DUMMYFUNCTION("""COMPUTED_VALUE"""),0.48998842592592595)</f>
        <v>0.4899884259</v>
      </c>
      <c r="K670" s="56"/>
      <c r="L670" s="6"/>
      <c r="M670" s="61"/>
      <c r="N670" s="61">
        <f>IFERROR(__xludf.DUMMYFUNCTION("""COMPUTED_VALUE"""),1.0)</f>
        <v>1</v>
      </c>
      <c r="O670" s="61"/>
      <c r="P670" s="253">
        <f>IFERROR(__xludf.DUMMYFUNCTION("""COMPUTED_VALUE"""),0.0)</f>
        <v>0</v>
      </c>
      <c r="Q670" s="254" t="str">
        <f>VLOOKUP($B670,'Run Reconcile'!B$2:O799,14,FALSE)</f>
        <v/>
      </c>
      <c r="R670" s="255" t="str">
        <f t="array" ref="R670">IF($Q670, INDEX('Run Reconcile'!A$2:A799,MATCH(B670,'Run Reconcile'!B$2:B799,0),1),IFERROR(0/0,""))</f>
        <v/>
      </c>
      <c r="S670" s="261" t="str">
        <f t="shared" ref="S670:T670" si="1347">IF(COUNTIF(W$2:W799, $A670) &gt; 0,TRUE,IFERROR(0/0,""))</f>
        <v/>
      </c>
      <c r="T670" s="261" t="str">
        <f t="shared" si="1347"/>
        <v/>
      </c>
      <c r="U670" s="257" t="str">
        <f t="array" ref="U670">IF(ISBLANK($R670), INDEX('Run Reconcile'!A$2:A799, MATCH($B670, 'Run Reconcile'!B$2:B799, 0)+Z670, 1), IFERROR(0/0,""))
</f>
        <v>RUN-BEND_2022-03-05_RFR-045</v>
      </c>
      <c r="V670" s="258" t="str">
        <f t="shared" si="480"/>
        <v>RUN-BEND_2022-03-05_RFR-045</v>
      </c>
      <c r="Y670" s="130" t="str">
        <f t="shared" si="487"/>
        <v/>
      </c>
      <c r="Z670" s="49" t="str">
        <f t="shared" si="7"/>
        <v/>
      </c>
      <c r="AA670" s="49" t="str">
        <f t="shared" si="8"/>
        <v/>
      </c>
      <c r="AB670" s="49" t="str">
        <f t="shared" si="9"/>
        <v/>
      </c>
      <c r="AC670" s="20" t="str">
        <f t="shared" ref="AC670:AD670" si="1348">IF(_xlfn.ISFORMULA(S670),IFERROR(0/0,""),TRUE)</f>
        <v/>
      </c>
      <c r="AD670" s="20" t="str">
        <f t="shared" si="1348"/>
        <v/>
      </c>
      <c r="AE670" s="43"/>
      <c r="AF670" s="62" t="s">
        <v>66</v>
      </c>
      <c r="AG670" s="57" t="str">
        <f t="shared" si="11"/>
        <v/>
      </c>
    </row>
    <row r="671">
      <c r="A671" s="6" t="str">
        <f>IFERROR(__xludf.DUMMYFUNCTION("""COMPUTED_VALUE"""),"MA1270")</f>
        <v>MA1270</v>
      </c>
      <c r="B671" s="204">
        <f>IFERROR(__xludf.DUMMYFUNCTION("""COMPUTED_VALUE"""),44625.0)</f>
        <v>44625</v>
      </c>
      <c r="C671" s="250">
        <f>IFERROR(__xludf.DUMMYFUNCTION("""COMPUTED_VALUE"""),0.3943171296296296)</f>
        <v>0.3943171296</v>
      </c>
      <c r="D671" s="6" t="str">
        <f>IFERROR(__xludf.DUMMYFUNCTION("""COMPUTED_VALUE"""),"SpBEND151586")</f>
        <v>SpBEND151586</v>
      </c>
      <c r="E671" s="251"/>
      <c r="F671" s="251"/>
      <c r="G671" s="251" t="str">
        <f>IFERROR(__xludf.DUMMYFUNCTION("""COMPUTED_VALUE"""),"Negative")</f>
        <v>Negative</v>
      </c>
      <c r="H671" s="262" t="str">
        <f>IFERROR(__xludf.DUMMYFUNCTION("""COMPUTED_VALUE"""),"Negative")</f>
        <v>Negative</v>
      </c>
      <c r="I671" s="204">
        <f>IFERROR(__xludf.DUMMYFUNCTION("""COMPUTED_VALUE"""),44625.0)</f>
        <v>44625</v>
      </c>
      <c r="J671" s="252">
        <f>IFERROR(__xludf.DUMMYFUNCTION("""COMPUTED_VALUE"""),0.48975694444444445)</f>
        <v>0.4897569444</v>
      </c>
      <c r="K671" s="56"/>
      <c r="L671" s="6"/>
      <c r="M671" s="61"/>
      <c r="N671" s="61">
        <f>IFERROR(__xludf.DUMMYFUNCTION("""COMPUTED_VALUE"""),1.0)</f>
        <v>1</v>
      </c>
      <c r="O671" s="61"/>
      <c r="P671" s="253">
        <f>IFERROR(__xludf.DUMMYFUNCTION("""COMPUTED_VALUE"""),0.0)</f>
        <v>0</v>
      </c>
      <c r="Q671" s="254" t="str">
        <f>VLOOKUP($B671,'Run Reconcile'!B$2:O799,14,FALSE)</f>
        <v/>
      </c>
      <c r="R671" s="255" t="str">
        <f t="array" ref="R671">IF($Q671, INDEX('Run Reconcile'!A$2:A799,MATCH(B671,'Run Reconcile'!B$2:B799,0),1),IFERROR(0/0,""))</f>
        <v/>
      </c>
      <c r="S671" s="261" t="str">
        <f t="shared" ref="S671:T671" si="1349">IF(COUNTIF(W$2:W799, $A671) &gt; 0,TRUE,IFERROR(0/0,""))</f>
        <v/>
      </c>
      <c r="T671" s="261" t="str">
        <f t="shared" si="1349"/>
        <v/>
      </c>
      <c r="U671" s="257" t="str">
        <f t="array" ref="U671">IF(ISBLANK($R671), INDEX('Run Reconcile'!A$2:A799, MATCH($B671, 'Run Reconcile'!B$2:B799, 0)+Z671, 1), IFERROR(0/0,""))
</f>
        <v>RUN-BEND_2022-03-05_RFR-045</v>
      </c>
      <c r="V671" s="258" t="str">
        <f t="shared" si="480"/>
        <v>RUN-BEND_2022-03-05_RFR-045</v>
      </c>
      <c r="Y671" s="130" t="str">
        <f t="shared" si="487"/>
        <v/>
      </c>
      <c r="Z671" s="49" t="str">
        <f t="shared" si="7"/>
        <v/>
      </c>
      <c r="AA671" s="49" t="str">
        <f t="shared" si="8"/>
        <v/>
      </c>
      <c r="AB671" s="49" t="str">
        <f t="shared" si="9"/>
        <v/>
      </c>
      <c r="AC671" s="20" t="str">
        <f t="shared" ref="AC671:AD671" si="1350">IF(_xlfn.ISFORMULA(S671),IFERROR(0/0,""),TRUE)</f>
        <v/>
      </c>
      <c r="AD671" s="20" t="str">
        <f t="shared" si="1350"/>
        <v/>
      </c>
      <c r="AE671" s="43"/>
      <c r="AF671" s="62" t="s">
        <v>66</v>
      </c>
      <c r="AG671" s="57" t="str">
        <f t="shared" si="11"/>
        <v/>
      </c>
    </row>
    <row r="672">
      <c r="A672" s="6" t="str">
        <f>IFERROR(__xludf.DUMMYFUNCTION("""COMPUTED_VALUE"""),"MA1235")</f>
        <v>MA1235</v>
      </c>
      <c r="B672" s="204">
        <f>IFERROR(__xludf.DUMMYFUNCTION("""COMPUTED_VALUE"""),44625.0)</f>
        <v>44625</v>
      </c>
      <c r="C672" s="250">
        <f>IFERROR(__xludf.DUMMYFUNCTION("""COMPUTED_VALUE"""),0.39457175925925925)</f>
        <v>0.3945717593</v>
      </c>
      <c r="D672" s="6" t="str">
        <f>IFERROR(__xludf.DUMMYFUNCTION("""COMPUTED_VALUE"""),"SpBEND151586")</f>
        <v>SpBEND151586</v>
      </c>
      <c r="E672" s="251"/>
      <c r="F672" s="251"/>
      <c r="G672" s="251" t="str">
        <f>IFERROR(__xludf.DUMMYFUNCTION("""COMPUTED_VALUE"""),"Negative")</f>
        <v>Negative</v>
      </c>
      <c r="H672" s="262" t="str">
        <f>IFERROR(__xludf.DUMMYFUNCTION("""COMPUTED_VALUE"""),"Negative")</f>
        <v>Negative</v>
      </c>
      <c r="I672" s="204">
        <f>IFERROR(__xludf.DUMMYFUNCTION("""COMPUTED_VALUE"""),44625.0)</f>
        <v>44625</v>
      </c>
      <c r="J672" s="252">
        <f>IFERROR(__xludf.DUMMYFUNCTION("""COMPUTED_VALUE"""),0.48975694444444445)</f>
        <v>0.4897569444</v>
      </c>
      <c r="K672" s="56"/>
      <c r="L672" s="6"/>
      <c r="M672" s="61"/>
      <c r="N672" s="61">
        <f>IFERROR(__xludf.DUMMYFUNCTION("""COMPUTED_VALUE"""),1.0)</f>
        <v>1</v>
      </c>
      <c r="O672" s="61"/>
      <c r="P672" s="253">
        <f>IFERROR(__xludf.DUMMYFUNCTION("""COMPUTED_VALUE"""),0.0)</f>
        <v>0</v>
      </c>
      <c r="Q672" s="254" t="str">
        <f>VLOOKUP($B672,'Run Reconcile'!B$2:O799,14,FALSE)</f>
        <v/>
      </c>
      <c r="R672" s="255" t="str">
        <f t="array" ref="R672">IF($Q672, INDEX('Run Reconcile'!A$2:A799,MATCH(B672,'Run Reconcile'!B$2:B799,0),1),IFERROR(0/0,""))</f>
        <v/>
      </c>
      <c r="S672" s="261" t="str">
        <f t="shared" ref="S672:T672" si="1351">IF(COUNTIF(W$2:W799, $A672) &gt; 0,TRUE,IFERROR(0/0,""))</f>
        <v/>
      </c>
      <c r="T672" s="261" t="str">
        <f t="shared" si="1351"/>
        <v/>
      </c>
      <c r="U672" s="257" t="str">
        <f t="array" ref="U672">IF(ISBLANK($R672), INDEX('Run Reconcile'!A$2:A799, MATCH($B672, 'Run Reconcile'!B$2:B799, 0)+Z672, 1), IFERROR(0/0,""))
</f>
        <v>RUN-BEND_2022-03-05_RFR-045</v>
      </c>
      <c r="V672" s="258" t="str">
        <f t="shared" si="480"/>
        <v>RUN-BEND_2022-03-05_RFR-045</v>
      </c>
      <c r="Y672" s="130" t="str">
        <f t="shared" si="487"/>
        <v/>
      </c>
      <c r="Z672" s="49" t="str">
        <f t="shared" si="7"/>
        <v/>
      </c>
      <c r="AA672" s="49" t="str">
        <f t="shared" si="8"/>
        <v/>
      </c>
      <c r="AB672" s="49" t="str">
        <f t="shared" si="9"/>
        <v/>
      </c>
      <c r="AC672" s="20" t="str">
        <f t="shared" ref="AC672:AD672" si="1352">IF(_xlfn.ISFORMULA(S672),IFERROR(0/0,""),TRUE)</f>
        <v/>
      </c>
      <c r="AD672" s="20" t="str">
        <f t="shared" si="1352"/>
        <v/>
      </c>
      <c r="AE672" s="43"/>
      <c r="AF672" s="62" t="s">
        <v>66</v>
      </c>
      <c r="AG672" s="57" t="str">
        <f t="shared" si="11"/>
        <v/>
      </c>
    </row>
    <row r="673">
      <c r="A673" s="6" t="str">
        <f>IFERROR(__xludf.DUMMYFUNCTION("""COMPUTED_VALUE"""),"FM410")</f>
        <v>FM410</v>
      </c>
      <c r="B673" s="204">
        <f>IFERROR(__xludf.DUMMYFUNCTION("""COMPUTED_VALUE"""),44625.0)</f>
        <v>44625</v>
      </c>
      <c r="C673" s="250">
        <f>IFERROR(__xludf.DUMMYFUNCTION("""COMPUTED_VALUE"""),0.43181712962962965)</f>
        <v>0.4318171296</v>
      </c>
      <c r="D673" s="6" t="str">
        <f>IFERROR(__xludf.DUMMYFUNCTION("""COMPUTED_VALUE"""),"SpBEND151586")</f>
        <v>SpBEND151586</v>
      </c>
      <c r="E673" s="251"/>
      <c r="F673" s="251"/>
      <c r="G673" s="251" t="str">
        <f>IFERROR(__xludf.DUMMYFUNCTION("""COMPUTED_VALUE"""),"Negative")</f>
        <v>Negative</v>
      </c>
      <c r="H673" s="262" t="str">
        <f>IFERROR(__xludf.DUMMYFUNCTION("""COMPUTED_VALUE"""),"Negative")</f>
        <v>Negative</v>
      </c>
      <c r="I673" s="204">
        <f>IFERROR(__xludf.DUMMYFUNCTION("""COMPUTED_VALUE"""),44625.0)</f>
        <v>44625</v>
      </c>
      <c r="J673" s="252">
        <f>IFERROR(__xludf.DUMMYFUNCTION("""COMPUTED_VALUE"""),0.48975694444444445)</f>
        <v>0.4897569444</v>
      </c>
      <c r="K673" s="56"/>
      <c r="L673" s="6"/>
      <c r="M673" s="61"/>
      <c r="N673" s="61">
        <f>IFERROR(__xludf.DUMMYFUNCTION("""COMPUTED_VALUE"""),1.0)</f>
        <v>1</v>
      </c>
      <c r="O673" s="61"/>
      <c r="P673" s="253">
        <f>IFERROR(__xludf.DUMMYFUNCTION("""COMPUTED_VALUE"""),0.0)</f>
        <v>0</v>
      </c>
      <c r="Q673" s="254" t="str">
        <f>VLOOKUP($B673,'Run Reconcile'!B$2:O799,14,FALSE)</f>
        <v/>
      </c>
      <c r="R673" s="255" t="str">
        <f t="array" ref="R673">IF($Q673, INDEX('Run Reconcile'!A$2:A799,MATCH(B673,'Run Reconcile'!B$2:B799,0),1),IFERROR(0/0,""))</f>
        <v/>
      </c>
      <c r="S673" s="261" t="str">
        <f t="shared" ref="S673:T673" si="1353">IF(COUNTIF(W$2:W799, $A673) &gt; 0,TRUE,IFERROR(0/0,""))</f>
        <v/>
      </c>
      <c r="T673" s="261" t="str">
        <f t="shared" si="1353"/>
        <v/>
      </c>
      <c r="U673" s="257" t="str">
        <f t="array" ref="U673">IF(ISBLANK($R673), INDEX('Run Reconcile'!A$2:A799, MATCH($B673, 'Run Reconcile'!B$2:B799, 0)+Z673, 1), IFERROR(0/0,""))
</f>
        <v>RUN-BEND_2022-03-05_RFR-045</v>
      </c>
      <c r="V673" s="258" t="str">
        <f t="shared" si="480"/>
        <v>RUN-BEND_2022-03-05_RFR-045</v>
      </c>
      <c r="Y673" s="130" t="str">
        <f t="shared" si="487"/>
        <v/>
      </c>
      <c r="Z673" s="49" t="str">
        <f t="shared" si="7"/>
        <v/>
      </c>
      <c r="AA673" s="49" t="str">
        <f t="shared" si="8"/>
        <v/>
      </c>
      <c r="AB673" s="49" t="str">
        <f t="shared" si="9"/>
        <v/>
      </c>
      <c r="AC673" s="20" t="str">
        <f t="shared" ref="AC673:AD673" si="1354">IF(_xlfn.ISFORMULA(S673),IFERROR(0/0,""),TRUE)</f>
        <v/>
      </c>
      <c r="AD673" s="20" t="str">
        <f t="shared" si="1354"/>
        <v/>
      </c>
      <c r="AE673" s="43"/>
      <c r="AF673" s="62" t="s">
        <v>66</v>
      </c>
      <c r="AG673" s="57" t="str">
        <f t="shared" si="11"/>
        <v/>
      </c>
    </row>
    <row r="674">
      <c r="A674" s="269" t="str">
        <f>IFERROR(__xludf.DUMMYFUNCTION("""COMPUTED_VALUE"""),"MA350")</f>
        <v>MA350</v>
      </c>
      <c r="B674" s="270">
        <f>IFERROR(__xludf.DUMMYFUNCTION("""COMPUTED_VALUE"""),44627.0)</f>
        <v>44627</v>
      </c>
      <c r="C674" s="271">
        <f>IFERROR(__xludf.DUMMYFUNCTION("""COMPUTED_VALUE"""),0.27618055555555554)</f>
        <v>0.2761805556</v>
      </c>
      <c r="D674" s="269" t="str">
        <f>IFERROR(__xludf.DUMMYFUNCTION("""COMPUTED_VALUE"""),"SpBEND914710")</f>
        <v>SpBEND914710</v>
      </c>
      <c r="E674" s="272"/>
      <c r="F674" s="272"/>
      <c r="G674" s="272" t="str">
        <f>IFERROR(__xludf.DUMMYFUNCTION("""COMPUTED_VALUE"""),"Negative")</f>
        <v>Negative</v>
      </c>
      <c r="H674" s="273" t="str">
        <f>IFERROR(__xludf.DUMMYFUNCTION("""COMPUTED_VALUE"""),"Negative")</f>
        <v>Negative</v>
      </c>
      <c r="I674" s="270">
        <f>IFERROR(__xludf.DUMMYFUNCTION("""COMPUTED_VALUE"""),44627.0)</f>
        <v>44627</v>
      </c>
      <c r="J674" s="274">
        <f>IFERROR(__xludf.DUMMYFUNCTION("""COMPUTED_VALUE"""),0.4778935185185185)</f>
        <v>0.4778935185</v>
      </c>
      <c r="K674" s="275"/>
      <c r="L674" s="269"/>
      <c r="M674" s="276"/>
      <c r="N674" s="276">
        <f>IFERROR(__xludf.DUMMYFUNCTION("""COMPUTED_VALUE"""),1.0)</f>
        <v>1</v>
      </c>
      <c r="O674" s="276"/>
      <c r="P674" s="277">
        <f>IFERROR(__xludf.DUMMYFUNCTION("""COMPUTED_VALUE"""),0.0)</f>
        <v>0</v>
      </c>
      <c r="Q674" s="278" t="b">
        <f>VLOOKUP($B674,'Run Reconcile'!B$2:O799,14,FALSE)</f>
        <v>1</v>
      </c>
      <c r="R674" s="279" t="str">
        <f t="array" ref="R674">IF($Q674, INDEX('Run Reconcile'!A$2:A799,MATCH(B674,'Run Reconcile'!B$2:B799,0),1),IFERROR(0/0,""))</f>
        <v>RUN-BEND_2022-03-07_RFR-047</v>
      </c>
      <c r="S674" s="280" t="str">
        <f t="shared" ref="S674:T674" si="1355">IF(COUNTIF(W$2:W799, $A674) &gt; 0,TRUE,IFERROR(0/0,""))</f>
        <v/>
      </c>
      <c r="T674" s="280" t="str">
        <f t="shared" si="1355"/>
        <v/>
      </c>
      <c r="U674" s="281" t="str">
        <f t="array" ref="U674">IF(ISBLANK($R674), INDEX('Run Reconcile'!A$2:A799, MATCH($B674, 'Run Reconcile'!B$2:B799, 0)+Z674, 1), IFERROR(0/0,""))
</f>
        <v/>
      </c>
      <c r="V674" s="282" t="str">
        <f t="shared" si="480"/>
        <v>RUN-BEND_2022-03-07_RFR-047</v>
      </c>
      <c r="W674" s="269"/>
      <c r="X674" s="269"/>
      <c r="Y674" s="283" t="str">
        <f t="shared" si="487"/>
        <v/>
      </c>
      <c r="Z674" s="284" t="str">
        <f t="shared" si="7"/>
        <v/>
      </c>
      <c r="AA674" s="284" t="str">
        <f t="shared" si="8"/>
        <v/>
      </c>
      <c r="AB674" s="284" t="str">
        <f t="shared" si="9"/>
        <v/>
      </c>
      <c r="AC674" s="285" t="str">
        <f t="shared" ref="AC674:AD674" si="1356">IF(_xlfn.ISFORMULA(S674),IFERROR(0/0,""),TRUE)</f>
        <v/>
      </c>
      <c r="AD674" s="285" t="str">
        <f t="shared" si="1356"/>
        <v/>
      </c>
      <c r="AE674" s="286"/>
      <c r="AF674" s="287" t="s">
        <v>67</v>
      </c>
      <c r="AG674" s="57" t="str">
        <f t="shared" si="11"/>
        <v/>
      </c>
      <c r="AH674" s="269"/>
      <c r="AI674" s="269"/>
      <c r="AJ674" s="269"/>
      <c r="AK674" s="269"/>
    </row>
    <row r="675">
      <c r="A675" s="6" t="str">
        <f>IFERROR(__xludf.DUMMYFUNCTION("""COMPUTED_VALUE"""),"FM380")</f>
        <v>FM380</v>
      </c>
      <c r="B675" s="204">
        <f>IFERROR(__xludf.DUMMYFUNCTION("""COMPUTED_VALUE"""),44627.0)</f>
        <v>44627</v>
      </c>
      <c r="C675" s="250">
        <f>IFERROR(__xludf.DUMMYFUNCTION("""COMPUTED_VALUE"""),0.28903935185185187)</f>
        <v>0.2890393519</v>
      </c>
      <c r="D675" s="6" t="str">
        <f>IFERROR(__xludf.DUMMYFUNCTION("""COMPUTED_VALUE"""),"SpBEND953422")</f>
        <v>SpBEND953422</v>
      </c>
      <c r="E675" s="251"/>
      <c r="F675" s="251"/>
      <c r="G675" s="251" t="str">
        <f>IFERROR(__xludf.DUMMYFUNCTION("""COMPUTED_VALUE"""),"Negative")</f>
        <v>Negative</v>
      </c>
      <c r="H675" s="262" t="str">
        <f>IFERROR(__xludf.DUMMYFUNCTION("""COMPUTED_VALUE"""),"Negative")</f>
        <v>Negative</v>
      </c>
      <c r="I675" s="204">
        <f>IFERROR(__xludf.DUMMYFUNCTION("""COMPUTED_VALUE"""),44627.0)</f>
        <v>44627</v>
      </c>
      <c r="J675" s="252">
        <f>IFERROR(__xludf.DUMMYFUNCTION("""COMPUTED_VALUE"""),0.4778935185185185)</f>
        <v>0.4778935185</v>
      </c>
      <c r="K675" s="56"/>
      <c r="L675" s="6"/>
      <c r="M675" s="61"/>
      <c r="N675" s="61">
        <f>IFERROR(__xludf.DUMMYFUNCTION("""COMPUTED_VALUE"""),1.0)</f>
        <v>1</v>
      </c>
      <c r="O675" s="61"/>
      <c r="P675" s="253">
        <f>IFERROR(__xludf.DUMMYFUNCTION("""COMPUTED_VALUE"""),0.0)</f>
        <v>0</v>
      </c>
      <c r="Q675" s="254" t="b">
        <f>VLOOKUP($B675,'Run Reconcile'!B$2:O799,14,FALSE)</f>
        <v>1</v>
      </c>
      <c r="R675" s="255" t="str">
        <f t="array" ref="R675">IF($Q675, INDEX('Run Reconcile'!A$2:A799,MATCH(B675,'Run Reconcile'!B$2:B799,0),1),IFERROR(0/0,""))</f>
        <v>RUN-BEND_2022-03-07_RFR-047</v>
      </c>
      <c r="S675" s="261" t="str">
        <f t="shared" ref="S675:T675" si="1357">IF(COUNTIF(W$2:W799, $A675) &gt; 0,TRUE,IFERROR(0/0,""))</f>
        <v/>
      </c>
      <c r="T675" s="261" t="str">
        <f t="shared" si="1357"/>
        <v/>
      </c>
      <c r="U675" s="257" t="str">
        <f t="array" ref="U675">IF(ISBLANK($R675), INDEX('Run Reconcile'!A$2:A799, MATCH($B675, 'Run Reconcile'!B$2:B799, 0)+Z675, 1), IFERROR(0/0,""))
</f>
        <v/>
      </c>
      <c r="V675" s="258" t="str">
        <f t="shared" si="480"/>
        <v>RUN-BEND_2022-03-07_RFR-047</v>
      </c>
      <c r="Y675" s="130" t="str">
        <f t="shared" si="487"/>
        <v/>
      </c>
      <c r="Z675" s="49" t="str">
        <f t="shared" si="7"/>
        <v/>
      </c>
      <c r="AA675" s="49" t="str">
        <f t="shared" si="8"/>
        <v/>
      </c>
      <c r="AB675" s="49" t="str">
        <f t="shared" si="9"/>
        <v/>
      </c>
      <c r="AC675" s="20" t="str">
        <f t="shared" ref="AC675:AD675" si="1358">IF(_xlfn.ISFORMULA(S675),IFERROR(0/0,""),TRUE)</f>
        <v/>
      </c>
      <c r="AD675" s="20" t="str">
        <f t="shared" si="1358"/>
        <v/>
      </c>
      <c r="AE675" s="43"/>
      <c r="AF675" s="62" t="s">
        <v>67</v>
      </c>
      <c r="AG675" s="57" t="str">
        <f t="shared" si="11"/>
        <v/>
      </c>
    </row>
    <row r="676">
      <c r="A676" s="6" t="str">
        <f>IFERROR(__xludf.DUMMYFUNCTION("""COMPUTED_VALUE"""),"FM400")</f>
        <v>FM400</v>
      </c>
      <c r="B676" s="204">
        <f>IFERROR(__xludf.DUMMYFUNCTION("""COMPUTED_VALUE"""),44627.0)</f>
        <v>44627</v>
      </c>
      <c r="C676" s="250">
        <f>IFERROR(__xludf.DUMMYFUNCTION("""COMPUTED_VALUE"""),0.29409722222222223)</f>
        <v>0.2940972222</v>
      </c>
      <c r="D676" s="6" t="str">
        <f>IFERROR(__xludf.DUMMYFUNCTION("""COMPUTED_VALUE"""),"SpBEND292213")</f>
        <v>SpBEND292213</v>
      </c>
      <c r="E676" s="251"/>
      <c r="F676" s="251"/>
      <c r="G676" s="251" t="str">
        <f>IFERROR(__xludf.DUMMYFUNCTION("""COMPUTED_VALUE"""),"Negative")</f>
        <v>Negative</v>
      </c>
      <c r="H676" s="262" t="str">
        <f>IFERROR(__xludf.DUMMYFUNCTION("""COMPUTED_VALUE"""),"Negative")</f>
        <v>Negative</v>
      </c>
      <c r="I676" s="204">
        <f>IFERROR(__xludf.DUMMYFUNCTION("""COMPUTED_VALUE"""),44627.0)</f>
        <v>44627</v>
      </c>
      <c r="J676" s="252">
        <f>IFERROR(__xludf.DUMMYFUNCTION("""COMPUTED_VALUE"""),0.4778935185185185)</f>
        <v>0.4778935185</v>
      </c>
      <c r="K676" s="56"/>
      <c r="L676" s="6"/>
      <c r="M676" s="61"/>
      <c r="N676" s="61">
        <f>IFERROR(__xludf.DUMMYFUNCTION("""COMPUTED_VALUE"""),1.0)</f>
        <v>1</v>
      </c>
      <c r="O676" s="61"/>
      <c r="P676" s="253">
        <f>IFERROR(__xludf.DUMMYFUNCTION("""COMPUTED_VALUE"""),0.0)</f>
        <v>0</v>
      </c>
      <c r="Q676" s="254" t="b">
        <f>VLOOKUP($B676,'Run Reconcile'!B$2:O799,14,FALSE)</f>
        <v>1</v>
      </c>
      <c r="R676" s="255" t="str">
        <f t="array" ref="R676">IF($Q676, INDEX('Run Reconcile'!A$2:A799,MATCH(B676,'Run Reconcile'!B$2:B799,0),1),IFERROR(0/0,""))</f>
        <v>RUN-BEND_2022-03-07_RFR-047</v>
      </c>
      <c r="S676" s="261" t="str">
        <f t="shared" ref="S676:T676" si="1359">IF(COUNTIF(W$2:W799, $A676) &gt; 0,TRUE,IFERROR(0/0,""))</f>
        <v/>
      </c>
      <c r="T676" s="261" t="str">
        <f t="shared" si="1359"/>
        <v/>
      </c>
      <c r="U676" s="257" t="str">
        <f t="array" ref="U676">IF(ISBLANK($R676), INDEX('Run Reconcile'!A$2:A799, MATCH($B676, 'Run Reconcile'!B$2:B799, 0)+Z676, 1), IFERROR(0/0,""))
</f>
        <v/>
      </c>
      <c r="V676" s="258" t="str">
        <f t="shared" si="480"/>
        <v>RUN-BEND_2022-03-07_RFR-047</v>
      </c>
      <c r="Y676" s="130" t="str">
        <f t="shared" si="487"/>
        <v/>
      </c>
      <c r="Z676" s="49" t="str">
        <f t="shared" si="7"/>
        <v/>
      </c>
      <c r="AA676" s="49" t="str">
        <f t="shared" si="8"/>
        <v/>
      </c>
      <c r="AB676" s="49" t="str">
        <f t="shared" si="9"/>
        <v/>
      </c>
      <c r="AC676" s="20" t="str">
        <f t="shared" ref="AC676:AD676" si="1360">IF(_xlfn.ISFORMULA(S676),IFERROR(0/0,""),TRUE)</f>
        <v/>
      </c>
      <c r="AD676" s="20" t="str">
        <f t="shared" si="1360"/>
        <v/>
      </c>
      <c r="AE676" s="43"/>
      <c r="AF676" s="62" t="s">
        <v>67</v>
      </c>
      <c r="AG676" s="57" t="str">
        <f t="shared" si="11"/>
        <v/>
      </c>
    </row>
    <row r="677">
      <c r="A677" s="6" t="str">
        <f>IFERROR(__xludf.DUMMYFUNCTION("""COMPUTED_VALUE"""),"FM2082")</f>
        <v>FM2082</v>
      </c>
      <c r="B677" s="204">
        <f>IFERROR(__xludf.DUMMYFUNCTION("""COMPUTED_VALUE"""),44627.0)</f>
        <v>44627</v>
      </c>
      <c r="C677" s="250">
        <f>IFERROR(__xludf.DUMMYFUNCTION("""COMPUTED_VALUE"""),0.2957175925925926)</f>
        <v>0.2957175926</v>
      </c>
      <c r="D677" s="6" t="str">
        <f>IFERROR(__xludf.DUMMYFUNCTION("""COMPUTED_VALUE"""),"SpBEND264858")</f>
        <v>SpBEND264858</v>
      </c>
      <c r="E677" s="251"/>
      <c r="F677" s="251"/>
      <c r="G677" s="251" t="str">
        <f>IFERROR(__xludf.DUMMYFUNCTION("""COMPUTED_VALUE"""),"Negative")</f>
        <v>Negative</v>
      </c>
      <c r="H677" s="262" t="str">
        <f>IFERROR(__xludf.DUMMYFUNCTION("""COMPUTED_VALUE"""),"Negative")</f>
        <v>Negative</v>
      </c>
      <c r="I677" s="204">
        <f>IFERROR(__xludf.DUMMYFUNCTION("""COMPUTED_VALUE"""),44627.0)</f>
        <v>44627</v>
      </c>
      <c r="J677" s="252">
        <f>IFERROR(__xludf.DUMMYFUNCTION("""COMPUTED_VALUE"""),0.4778935185185185)</f>
        <v>0.4778935185</v>
      </c>
      <c r="K677" s="56"/>
      <c r="L677" s="6"/>
      <c r="M677" s="61"/>
      <c r="N677" s="61">
        <f>IFERROR(__xludf.DUMMYFUNCTION("""COMPUTED_VALUE"""),1.0)</f>
        <v>1</v>
      </c>
      <c r="O677" s="61"/>
      <c r="P677" s="253">
        <f>IFERROR(__xludf.DUMMYFUNCTION("""COMPUTED_VALUE"""),0.0)</f>
        <v>0</v>
      </c>
      <c r="Q677" s="254" t="b">
        <f>VLOOKUP($B677,'Run Reconcile'!B$2:O799,14,FALSE)</f>
        <v>1</v>
      </c>
      <c r="R677" s="255" t="str">
        <f t="array" ref="R677">IF($Q677, INDEX('Run Reconcile'!A$2:A799,MATCH(B677,'Run Reconcile'!B$2:B799,0),1),IFERROR(0/0,""))</f>
        <v>RUN-BEND_2022-03-07_RFR-047</v>
      </c>
      <c r="S677" s="261" t="str">
        <f t="shared" ref="S677:T677" si="1361">IF(COUNTIF(W$2:W799, $A677) &gt; 0,TRUE,IFERROR(0/0,""))</f>
        <v/>
      </c>
      <c r="T677" s="261" t="str">
        <f t="shared" si="1361"/>
        <v/>
      </c>
      <c r="U677" s="257" t="str">
        <f t="array" ref="U677">IF(ISBLANK($R677), INDEX('Run Reconcile'!A$2:A799, MATCH($B677, 'Run Reconcile'!B$2:B799, 0)+Z677, 1), IFERROR(0/0,""))
</f>
        <v/>
      </c>
      <c r="V677" s="258" t="str">
        <f t="shared" si="480"/>
        <v>RUN-BEND_2022-03-07_RFR-047</v>
      </c>
      <c r="Y677" s="130" t="str">
        <f t="shared" si="487"/>
        <v/>
      </c>
      <c r="Z677" s="49" t="str">
        <f t="shared" si="7"/>
        <v/>
      </c>
      <c r="AA677" s="49" t="str">
        <f t="shared" si="8"/>
        <v/>
      </c>
      <c r="AB677" s="49" t="str">
        <f t="shared" si="9"/>
        <v/>
      </c>
      <c r="AC677" s="20" t="str">
        <f t="shared" ref="AC677:AD677" si="1362">IF(_xlfn.ISFORMULA(S677),IFERROR(0/0,""),TRUE)</f>
        <v/>
      </c>
      <c r="AD677" s="20" t="str">
        <f t="shared" si="1362"/>
        <v/>
      </c>
      <c r="AE677" s="43"/>
      <c r="AF677" s="62" t="s">
        <v>67</v>
      </c>
      <c r="AG677" s="57" t="str">
        <f t="shared" si="11"/>
        <v/>
      </c>
    </row>
    <row r="678">
      <c r="A678" s="6" t="str">
        <f>IFERROR(__xludf.DUMMYFUNCTION("""COMPUTED_VALUE"""),"FM417")</f>
        <v>FM417</v>
      </c>
      <c r="B678" s="204">
        <f>IFERROR(__xludf.DUMMYFUNCTION("""COMPUTED_VALUE"""),44627.0)</f>
        <v>44627</v>
      </c>
      <c r="C678" s="250">
        <f>IFERROR(__xludf.DUMMYFUNCTION("""COMPUTED_VALUE"""),0.2964351851851852)</f>
        <v>0.2964351852</v>
      </c>
      <c r="D678" s="6" t="str">
        <f>IFERROR(__xludf.DUMMYFUNCTION("""COMPUTED_VALUE"""),"SpBEND363177")</f>
        <v>SpBEND363177</v>
      </c>
      <c r="E678" s="251"/>
      <c r="F678" s="251"/>
      <c r="G678" s="251" t="str">
        <f>IFERROR(__xludf.DUMMYFUNCTION("""COMPUTED_VALUE"""),"Negative")</f>
        <v>Negative</v>
      </c>
      <c r="H678" s="262" t="str">
        <f>IFERROR(__xludf.DUMMYFUNCTION("""COMPUTED_VALUE"""),"Negative")</f>
        <v>Negative</v>
      </c>
      <c r="I678" s="204">
        <f>IFERROR(__xludf.DUMMYFUNCTION("""COMPUTED_VALUE"""),44627.0)</f>
        <v>44627</v>
      </c>
      <c r="J678" s="252">
        <f>IFERROR(__xludf.DUMMYFUNCTION("""COMPUTED_VALUE"""),0.4778935185185185)</f>
        <v>0.4778935185</v>
      </c>
      <c r="K678" s="56"/>
      <c r="L678" s="6"/>
      <c r="M678" s="61"/>
      <c r="N678" s="61">
        <f>IFERROR(__xludf.DUMMYFUNCTION("""COMPUTED_VALUE"""),1.0)</f>
        <v>1</v>
      </c>
      <c r="O678" s="61"/>
      <c r="P678" s="253">
        <f>IFERROR(__xludf.DUMMYFUNCTION("""COMPUTED_VALUE"""),0.0)</f>
        <v>0</v>
      </c>
      <c r="Q678" s="254" t="b">
        <f>VLOOKUP($B678,'Run Reconcile'!B$2:O799,14,FALSE)</f>
        <v>1</v>
      </c>
      <c r="R678" s="255" t="str">
        <f t="array" ref="R678">IF($Q678, INDEX('Run Reconcile'!A$2:A799,MATCH(B678,'Run Reconcile'!B$2:B799,0),1),IFERROR(0/0,""))</f>
        <v>RUN-BEND_2022-03-07_RFR-047</v>
      </c>
      <c r="S678" s="261" t="str">
        <f t="shared" ref="S678:T678" si="1363">IF(COUNTIF(W$2:W799, $A678) &gt; 0,TRUE,IFERROR(0/0,""))</f>
        <v/>
      </c>
      <c r="T678" s="261" t="str">
        <f t="shared" si="1363"/>
        <v/>
      </c>
      <c r="U678" s="257" t="str">
        <f t="array" ref="U678">IF(ISBLANK($R678), INDEX('Run Reconcile'!A$2:A799, MATCH($B678, 'Run Reconcile'!B$2:B799, 0)+Z678, 1), IFERROR(0/0,""))
</f>
        <v/>
      </c>
      <c r="V678" s="258" t="str">
        <f t="shared" si="480"/>
        <v>RUN-BEND_2022-03-07_RFR-047</v>
      </c>
      <c r="Y678" s="130" t="str">
        <f t="shared" si="487"/>
        <v/>
      </c>
      <c r="Z678" s="49" t="str">
        <f t="shared" si="7"/>
        <v/>
      </c>
      <c r="AA678" s="49" t="str">
        <f t="shared" si="8"/>
        <v/>
      </c>
      <c r="AB678" s="49" t="str">
        <f t="shared" si="9"/>
        <v/>
      </c>
      <c r="AC678" s="20" t="str">
        <f t="shared" ref="AC678:AD678" si="1364">IF(_xlfn.ISFORMULA(S678),IFERROR(0/0,""),TRUE)</f>
        <v/>
      </c>
      <c r="AD678" s="20" t="str">
        <f t="shared" si="1364"/>
        <v/>
      </c>
      <c r="AE678" s="43"/>
      <c r="AF678" s="62" t="s">
        <v>67</v>
      </c>
      <c r="AG678" s="57" t="str">
        <f t="shared" si="11"/>
        <v/>
      </c>
    </row>
    <row r="679">
      <c r="A679" s="6" t="str">
        <f>IFERROR(__xludf.DUMMYFUNCTION("""COMPUTED_VALUE"""),"FM476")</f>
        <v>FM476</v>
      </c>
      <c r="B679" s="204">
        <f>IFERROR(__xludf.DUMMYFUNCTION("""COMPUTED_VALUE"""),44627.0)</f>
        <v>44627</v>
      </c>
      <c r="C679" s="250">
        <f>IFERROR(__xludf.DUMMYFUNCTION("""COMPUTED_VALUE"""),0.2971412037037037)</f>
        <v>0.2971412037</v>
      </c>
      <c r="D679" s="6" t="str">
        <f>IFERROR(__xludf.DUMMYFUNCTION("""COMPUTED_VALUE"""),"SpBEND713650")</f>
        <v>SpBEND713650</v>
      </c>
      <c r="E679" s="251"/>
      <c r="F679" s="251"/>
      <c r="G679" s="251" t="str">
        <f>IFERROR(__xludf.DUMMYFUNCTION("""COMPUTED_VALUE"""),"Negative")</f>
        <v>Negative</v>
      </c>
      <c r="H679" s="262" t="str">
        <f>IFERROR(__xludf.DUMMYFUNCTION("""COMPUTED_VALUE"""),"Negative")</f>
        <v>Negative</v>
      </c>
      <c r="I679" s="204">
        <f>IFERROR(__xludf.DUMMYFUNCTION("""COMPUTED_VALUE"""),44627.0)</f>
        <v>44627</v>
      </c>
      <c r="J679" s="252">
        <f>IFERROR(__xludf.DUMMYFUNCTION("""COMPUTED_VALUE"""),0.4778935185185185)</f>
        <v>0.4778935185</v>
      </c>
      <c r="K679" s="56"/>
      <c r="L679" s="6"/>
      <c r="M679" s="61"/>
      <c r="N679" s="61">
        <f>IFERROR(__xludf.DUMMYFUNCTION("""COMPUTED_VALUE"""),1.0)</f>
        <v>1</v>
      </c>
      <c r="O679" s="61"/>
      <c r="P679" s="253">
        <f>IFERROR(__xludf.DUMMYFUNCTION("""COMPUTED_VALUE"""),0.0)</f>
        <v>0</v>
      </c>
      <c r="Q679" s="254" t="b">
        <f>VLOOKUP($B679,'Run Reconcile'!B$2:O799,14,FALSE)</f>
        <v>1</v>
      </c>
      <c r="R679" s="255" t="str">
        <f t="array" ref="R679">IF($Q679, INDEX('Run Reconcile'!A$2:A799,MATCH(B679,'Run Reconcile'!B$2:B799,0),1),IFERROR(0/0,""))</f>
        <v>RUN-BEND_2022-03-07_RFR-047</v>
      </c>
      <c r="S679" s="261" t="str">
        <f t="shared" ref="S679:T679" si="1365">IF(COUNTIF(W$2:W799, $A679) &gt; 0,TRUE,IFERROR(0/0,""))</f>
        <v/>
      </c>
      <c r="T679" s="261" t="str">
        <f t="shared" si="1365"/>
        <v/>
      </c>
      <c r="U679" s="257" t="str">
        <f t="array" ref="U679">IF(ISBLANK($R679), INDEX('Run Reconcile'!A$2:A799, MATCH($B679, 'Run Reconcile'!B$2:B799, 0)+Z679, 1), IFERROR(0/0,""))
</f>
        <v/>
      </c>
      <c r="V679" s="258" t="str">
        <f t="shared" si="480"/>
        <v>RUN-BEND_2022-03-07_RFR-047</v>
      </c>
      <c r="Y679" s="130" t="str">
        <f t="shared" si="487"/>
        <v/>
      </c>
      <c r="Z679" s="49" t="str">
        <f t="shared" si="7"/>
        <v/>
      </c>
      <c r="AA679" s="49" t="str">
        <f t="shared" si="8"/>
        <v/>
      </c>
      <c r="AB679" s="49" t="str">
        <f t="shared" si="9"/>
        <v/>
      </c>
      <c r="AC679" s="20" t="str">
        <f t="shared" ref="AC679:AD679" si="1366">IF(_xlfn.ISFORMULA(S679),IFERROR(0/0,""),TRUE)</f>
        <v/>
      </c>
      <c r="AD679" s="20" t="str">
        <f t="shared" si="1366"/>
        <v/>
      </c>
      <c r="AE679" s="43"/>
      <c r="AF679" s="62" t="s">
        <v>67</v>
      </c>
      <c r="AG679" s="57" t="str">
        <f t="shared" si="11"/>
        <v/>
      </c>
    </row>
    <row r="680">
      <c r="A680" s="6" t="str">
        <f>IFERROR(__xludf.DUMMYFUNCTION("""COMPUTED_VALUE"""),"FM388")</f>
        <v>FM388</v>
      </c>
      <c r="B680" s="204">
        <f>IFERROR(__xludf.DUMMYFUNCTION("""COMPUTED_VALUE"""),44627.0)</f>
        <v>44627</v>
      </c>
      <c r="C680" s="250">
        <f>IFERROR(__xludf.DUMMYFUNCTION("""COMPUTED_VALUE"""),0.3037152777777778)</f>
        <v>0.3037152778</v>
      </c>
      <c r="D680" s="6" t="str">
        <f>IFERROR(__xludf.DUMMYFUNCTION("""COMPUTED_VALUE"""),"SpBEND982195")</f>
        <v>SpBEND982195</v>
      </c>
      <c r="E680" s="251"/>
      <c r="F680" s="251"/>
      <c r="G680" s="251" t="str">
        <f>IFERROR(__xludf.DUMMYFUNCTION("""COMPUTED_VALUE"""),"Negative")</f>
        <v>Negative</v>
      </c>
      <c r="H680" s="262" t="str">
        <f>IFERROR(__xludf.DUMMYFUNCTION("""COMPUTED_VALUE"""),"Negative")</f>
        <v>Negative</v>
      </c>
      <c r="I680" s="204">
        <f>IFERROR(__xludf.DUMMYFUNCTION("""COMPUTED_VALUE"""),44627.0)</f>
        <v>44627</v>
      </c>
      <c r="J680" s="252">
        <f>IFERROR(__xludf.DUMMYFUNCTION("""COMPUTED_VALUE"""),0.4778935185185185)</f>
        <v>0.4778935185</v>
      </c>
      <c r="K680" s="56"/>
      <c r="L680" s="6"/>
      <c r="M680" s="61"/>
      <c r="N680" s="61">
        <f>IFERROR(__xludf.DUMMYFUNCTION("""COMPUTED_VALUE"""),1.0)</f>
        <v>1</v>
      </c>
      <c r="O680" s="61"/>
      <c r="P680" s="253">
        <f>IFERROR(__xludf.DUMMYFUNCTION("""COMPUTED_VALUE"""),0.0)</f>
        <v>0</v>
      </c>
      <c r="Q680" s="254" t="b">
        <f>VLOOKUP($B680,'Run Reconcile'!B$2:O799,14,FALSE)</f>
        <v>1</v>
      </c>
      <c r="R680" s="255" t="str">
        <f t="array" ref="R680">IF($Q680, INDEX('Run Reconcile'!A$2:A799,MATCH(B680,'Run Reconcile'!B$2:B799,0),1),IFERROR(0/0,""))</f>
        <v>RUN-BEND_2022-03-07_RFR-047</v>
      </c>
      <c r="S680" s="261" t="str">
        <f t="shared" ref="S680:T680" si="1367">IF(COUNTIF(W$2:W799, $A680) &gt; 0,TRUE,IFERROR(0/0,""))</f>
        <v/>
      </c>
      <c r="T680" s="261" t="str">
        <f t="shared" si="1367"/>
        <v/>
      </c>
      <c r="U680" s="257" t="str">
        <f t="array" ref="U680">IF(ISBLANK($R680), INDEX('Run Reconcile'!A$2:A799, MATCH($B680, 'Run Reconcile'!B$2:B799, 0)+Z680, 1), IFERROR(0/0,""))
</f>
        <v/>
      </c>
      <c r="V680" s="258" t="str">
        <f t="shared" si="480"/>
        <v>RUN-BEND_2022-03-07_RFR-047</v>
      </c>
      <c r="Y680" s="130" t="str">
        <f t="shared" si="487"/>
        <v/>
      </c>
      <c r="Z680" s="49" t="str">
        <f t="shared" si="7"/>
        <v/>
      </c>
      <c r="AA680" s="49" t="str">
        <f t="shared" si="8"/>
        <v/>
      </c>
      <c r="AB680" s="49" t="str">
        <f t="shared" si="9"/>
        <v/>
      </c>
      <c r="AC680" s="20" t="str">
        <f t="shared" ref="AC680:AD680" si="1368">IF(_xlfn.ISFORMULA(S680),IFERROR(0/0,""),TRUE)</f>
        <v/>
      </c>
      <c r="AD680" s="20" t="str">
        <f t="shared" si="1368"/>
        <v/>
      </c>
      <c r="AE680" s="43"/>
      <c r="AF680" s="62" t="s">
        <v>67</v>
      </c>
      <c r="AG680" s="57" t="str">
        <f t="shared" si="11"/>
        <v/>
      </c>
    </row>
    <row r="681">
      <c r="A681" s="6" t="str">
        <f>IFERROR(__xludf.DUMMYFUNCTION("""COMPUTED_VALUE"""),"FM52")</f>
        <v>FM52</v>
      </c>
      <c r="B681" s="204">
        <f>IFERROR(__xludf.DUMMYFUNCTION("""COMPUTED_VALUE"""),44627.0)</f>
        <v>44627</v>
      </c>
      <c r="C681" s="250">
        <f>IFERROR(__xludf.DUMMYFUNCTION("""COMPUTED_VALUE"""),0.3088194444444444)</f>
        <v>0.3088194444</v>
      </c>
      <c r="D681" s="6" t="str">
        <f>IFERROR(__xludf.DUMMYFUNCTION("""COMPUTED_VALUE"""),"SpBEND768497")</f>
        <v>SpBEND768497</v>
      </c>
      <c r="E681" s="251"/>
      <c r="F681" s="251"/>
      <c r="G681" s="251" t="str">
        <f>IFERROR(__xludf.DUMMYFUNCTION("""COMPUTED_VALUE"""),"Negative")</f>
        <v>Negative</v>
      </c>
      <c r="H681" s="262" t="str">
        <f>IFERROR(__xludf.DUMMYFUNCTION("""COMPUTED_VALUE"""),"Negative")</f>
        <v>Negative</v>
      </c>
      <c r="I681" s="204">
        <f>IFERROR(__xludf.DUMMYFUNCTION("""COMPUTED_VALUE"""),44627.0)</f>
        <v>44627</v>
      </c>
      <c r="J681" s="252">
        <f>IFERROR(__xludf.DUMMYFUNCTION("""COMPUTED_VALUE"""),0.4778935185185185)</f>
        <v>0.4778935185</v>
      </c>
      <c r="K681" s="56"/>
      <c r="L681" s="6"/>
      <c r="M681" s="61"/>
      <c r="N681" s="61">
        <f>IFERROR(__xludf.DUMMYFUNCTION("""COMPUTED_VALUE"""),1.0)</f>
        <v>1</v>
      </c>
      <c r="O681" s="61"/>
      <c r="P681" s="253">
        <f>IFERROR(__xludf.DUMMYFUNCTION("""COMPUTED_VALUE"""),0.0)</f>
        <v>0</v>
      </c>
      <c r="Q681" s="254" t="b">
        <f>VLOOKUP($B681,'Run Reconcile'!B$2:O799,14,FALSE)</f>
        <v>1</v>
      </c>
      <c r="R681" s="255" t="str">
        <f t="array" ref="R681">IF($Q681, INDEX('Run Reconcile'!A$2:A799,MATCH(B681,'Run Reconcile'!B$2:B799,0),1),IFERROR(0/0,""))</f>
        <v>RUN-BEND_2022-03-07_RFR-047</v>
      </c>
      <c r="S681" s="261" t="str">
        <f t="shared" ref="S681:T681" si="1369">IF(COUNTIF(W$2:W799, $A681) &gt; 0,TRUE,IFERROR(0/0,""))</f>
        <v/>
      </c>
      <c r="T681" s="261" t="str">
        <f t="shared" si="1369"/>
        <v/>
      </c>
      <c r="U681" s="257" t="str">
        <f t="array" ref="U681">IF(ISBLANK($R681), INDEX('Run Reconcile'!A$2:A799, MATCH($B681, 'Run Reconcile'!B$2:B799, 0)+Z681, 1), IFERROR(0/0,""))
</f>
        <v/>
      </c>
      <c r="V681" s="258" t="str">
        <f t="shared" si="480"/>
        <v>RUN-BEND_2022-03-07_RFR-047</v>
      </c>
      <c r="Y681" s="130" t="str">
        <f t="shared" si="487"/>
        <v/>
      </c>
      <c r="Z681" s="49" t="str">
        <f t="shared" si="7"/>
        <v/>
      </c>
      <c r="AA681" s="49" t="str">
        <f t="shared" si="8"/>
        <v/>
      </c>
      <c r="AB681" s="49" t="str">
        <f t="shared" si="9"/>
        <v/>
      </c>
      <c r="AC681" s="20" t="str">
        <f t="shared" ref="AC681:AD681" si="1370">IF(_xlfn.ISFORMULA(S681),IFERROR(0/0,""),TRUE)</f>
        <v/>
      </c>
      <c r="AD681" s="20" t="str">
        <f t="shared" si="1370"/>
        <v/>
      </c>
      <c r="AE681" s="43"/>
      <c r="AF681" s="62" t="s">
        <v>67</v>
      </c>
      <c r="AG681" s="57" t="str">
        <f t="shared" si="11"/>
        <v/>
      </c>
    </row>
    <row r="682">
      <c r="A682" s="6" t="str">
        <f>IFERROR(__xludf.DUMMYFUNCTION("""COMPUTED_VALUE"""),"FM369")</f>
        <v>FM369</v>
      </c>
      <c r="B682" s="204">
        <f>IFERROR(__xludf.DUMMYFUNCTION("""COMPUTED_VALUE"""),44627.0)</f>
        <v>44627</v>
      </c>
      <c r="C682" s="250">
        <f>IFERROR(__xludf.DUMMYFUNCTION("""COMPUTED_VALUE"""),0.31277777777777777)</f>
        <v>0.3127777778</v>
      </c>
      <c r="D682" s="6" t="str">
        <f>IFERROR(__xludf.DUMMYFUNCTION("""COMPUTED_VALUE"""),"SpBEND445560")</f>
        <v>SpBEND445560</v>
      </c>
      <c r="E682" s="251"/>
      <c r="F682" s="251"/>
      <c r="G682" s="251" t="str">
        <f>IFERROR(__xludf.DUMMYFUNCTION("""COMPUTED_VALUE"""),"Negative")</f>
        <v>Negative</v>
      </c>
      <c r="H682" s="262" t="str">
        <f>IFERROR(__xludf.DUMMYFUNCTION("""COMPUTED_VALUE"""),"Negative")</f>
        <v>Negative</v>
      </c>
      <c r="I682" s="204">
        <f>IFERROR(__xludf.DUMMYFUNCTION("""COMPUTED_VALUE"""),44627.0)</f>
        <v>44627</v>
      </c>
      <c r="J682" s="252">
        <f>IFERROR(__xludf.DUMMYFUNCTION("""COMPUTED_VALUE"""),0.4778935185185185)</f>
        <v>0.4778935185</v>
      </c>
      <c r="K682" s="56"/>
      <c r="L682" s="6"/>
      <c r="M682" s="61"/>
      <c r="N682" s="61">
        <f>IFERROR(__xludf.DUMMYFUNCTION("""COMPUTED_VALUE"""),1.0)</f>
        <v>1</v>
      </c>
      <c r="O682" s="61"/>
      <c r="P682" s="253">
        <f>IFERROR(__xludf.DUMMYFUNCTION("""COMPUTED_VALUE"""),0.0)</f>
        <v>0</v>
      </c>
      <c r="Q682" s="254" t="b">
        <f>VLOOKUP($B682,'Run Reconcile'!B$2:O799,14,FALSE)</f>
        <v>1</v>
      </c>
      <c r="R682" s="255" t="str">
        <f t="array" ref="R682">IF($Q682, INDEX('Run Reconcile'!A$2:A799,MATCH(B682,'Run Reconcile'!B$2:B799,0),1),IFERROR(0/0,""))</f>
        <v>RUN-BEND_2022-03-07_RFR-047</v>
      </c>
      <c r="S682" s="261" t="str">
        <f t="shared" ref="S682:T682" si="1371">IF(COUNTIF(W$2:W799, $A682) &gt; 0,TRUE,IFERROR(0/0,""))</f>
        <v/>
      </c>
      <c r="T682" s="261" t="str">
        <f t="shared" si="1371"/>
        <v/>
      </c>
      <c r="U682" s="257" t="str">
        <f t="array" ref="U682">IF(ISBLANK($R682), INDEX('Run Reconcile'!A$2:A799, MATCH($B682, 'Run Reconcile'!B$2:B799, 0)+Z682, 1), IFERROR(0/0,""))
</f>
        <v/>
      </c>
      <c r="V682" s="258" t="str">
        <f t="shared" si="480"/>
        <v>RUN-BEND_2022-03-07_RFR-047</v>
      </c>
      <c r="Y682" s="130" t="str">
        <f t="shared" si="487"/>
        <v/>
      </c>
      <c r="Z682" s="49" t="str">
        <f t="shared" si="7"/>
        <v/>
      </c>
      <c r="AA682" s="49" t="str">
        <f t="shared" si="8"/>
        <v/>
      </c>
      <c r="AB682" s="49" t="str">
        <f t="shared" si="9"/>
        <v/>
      </c>
      <c r="AC682" s="20" t="str">
        <f t="shared" ref="AC682:AD682" si="1372">IF(_xlfn.ISFORMULA(S682),IFERROR(0/0,""),TRUE)</f>
        <v/>
      </c>
      <c r="AD682" s="20" t="str">
        <f t="shared" si="1372"/>
        <v/>
      </c>
      <c r="AE682" s="43"/>
      <c r="AF682" s="62" t="s">
        <v>67</v>
      </c>
      <c r="AG682" s="57" t="str">
        <f t="shared" si="11"/>
        <v/>
      </c>
    </row>
    <row r="683">
      <c r="A683" s="6" t="str">
        <f>IFERROR(__xludf.DUMMYFUNCTION("""COMPUTED_VALUE"""),"FM54")</f>
        <v>FM54</v>
      </c>
      <c r="B683" s="204">
        <f>IFERROR(__xludf.DUMMYFUNCTION("""COMPUTED_VALUE"""),44627.0)</f>
        <v>44627</v>
      </c>
      <c r="C683" s="250">
        <f>IFERROR(__xludf.DUMMYFUNCTION("""COMPUTED_VALUE"""),0.31363425925925925)</f>
        <v>0.3136342593</v>
      </c>
      <c r="D683" s="6" t="str">
        <f>IFERROR(__xludf.DUMMYFUNCTION("""COMPUTED_VALUE"""),"SpBEND967817")</f>
        <v>SpBEND967817</v>
      </c>
      <c r="E683" s="251"/>
      <c r="F683" s="251"/>
      <c r="G683" s="251" t="str">
        <f>IFERROR(__xludf.DUMMYFUNCTION("""COMPUTED_VALUE"""),"Negative")</f>
        <v>Negative</v>
      </c>
      <c r="H683" s="262" t="str">
        <f>IFERROR(__xludf.DUMMYFUNCTION("""COMPUTED_VALUE"""),"Negative")</f>
        <v>Negative</v>
      </c>
      <c r="I683" s="204">
        <f>IFERROR(__xludf.DUMMYFUNCTION("""COMPUTED_VALUE"""),44627.0)</f>
        <v>44627</v>
      </c>
      <c r="J683" s="252">
        <f>IFERROR(__xludf.DUMMYFUNCTION("""COMPUTED_VALUE"""),0.4778935185185185)</f>
        <v>0.4778935185</v>
      </c>
      <c r="K683" s="56"/>
      <c r="L683" s="6"/>
      <c r="M683" s="61"/>
      <c r="N683" s="61">
        <f>IFERROR(__xludf.DUMMYFUNCTION("""COMPUTED_VALUE"""),1.0)</f>
        <v>1</v>
      </c>
      <c r="O683" s="61"/>
      <c r="P683" s="253">
        <f>IFERROR(__xludf.DUMMYFUNCTION("""COMPUTED_VALUE"""),0.0)</f>
        <v>0</v>
      </c>
      <c r="Q683" s="254" t="b">
        <f>VLOOKUP($B683,'Run Reconcile'!B$2:O799,14,FALSE)</f>
        <v>1</v>
      </c>
      <c r="R683" s="255" t="str">
        <f t="array" ref="R683">IF($Q683, INDEX('Run Reconcile'!A$2:A799,MATCH(B683,'Run Reconcile'!B$2:B799,0),1),IFERROR(0/0,""))</f>
        <v>RUN-BEND_2022-03-07_RFR-047</v>
      </c>
      <c r="S683" s="261" t="str">
        <f t="shared" ref="S683:T683" si="1373">IF(COUNTIF(W$2:W799, $A683) &gt; 0,TRUE,IFERROR(0/0,""))</f>
        <v/>
      </c>
      <c r="T683" s="261" t="str">
        <f t="shared" si="1373"/>
        <v/>
      </c>
      <c r="U683" s="257" t="str">
        <f t="array" ref="U683">IF(ISBLANK($R683), INDEX('Run Reconcile'!A$2:A799, MATCH($B683, 'Run Reconcile'!B$2:B799, 0)+Z683, 1), IFERROR(0/0,""))
</f>
        <v/>
      </c>
      <c r="V683" s="258" t="str">
        <f t="shared" si="480"/>
        <v>RUN-BEND_2022-03-07_RFR-047</v>
      </c>
      <c r="Y683" s="130" t="str">
        <f t="shared" si="487"/>
        <v/>
      </c>
      <c r="Z683" s="49" t="str">
        <f t="shared" si="7"/>
        <v/>
      </c>
      <c r="AA683" s="49" t="str">
        <f t="shared" si="8"/>
        <v/>
      </c>
      <c r="AB683" s="49" t="str">
        <f t="shared" si="9"/>
        <v/>
      </c>
      <c r="AC683" s="20" t="str">
        <f t="shared" ref="AC683:AD683" si="1374">IF(_xlfn.ISFORMULA(S683),IFERROR(0/0,""),TRUE)</f>
        <v/>
      </c>
      <c r="AD683" s="20" t="str">
        <f t="shared" si="1374"/>
        <v/>
      </c>
      <c r="AE683" s="43"/>
      <c r="AF683" s="62" t="s">
        <v>67</v>
      </c>
      <c r="AG683" s="57" t="str">
        <f t="shared" si="11"/>
        <v/>
      </c>
    </row>
    <row r="684">
      <c r="A684" s="6" t="str">
        <f>IFERROR(__xludf.DUMMYFUNCTION("""COMPUTED_VALUE"""),"MA340")</f>
        <v>MA340</v>
      </c>
      <c r="B684" s="204">
        <f>IFERROR(__xludf.DUMMYFUNCTION("""COMPUTED_VALUE"""),44627.0)</f>
        <v>44627</v>
      </c>
      <c r="C684" s="250">
        <f>IFERROR(__xludf.DUMMYFUNCTION("""COMPUTED_VALUE"""),0.3145833333333333)</f>
        <v>0.3145833333</v>
      </c>
      <c r="D684" s="6" t="str">
        <f>IFERROR(__xludf.DUMMYFUNCTION("""COMPUTED_VALUE"""),"SpBEND637657")</f>
        <v>SpBEND637657</v>
      </c>
      <c r="E684" s="251"/>
      <c r="F684" s="251"/>
      <c r="G684" s="251" t="str">
        <f>IFERROR(__xludf.DUMMYFUNCTION("""COMPUTED_VALUE"""),"Negative")</f>
        <v>Negative</v>
      </c>
      <c r="H684" s="262" t="str">
        <f>IFERROR(__xludf.DUMMYFUNCTION("""COMPUTED_VALUE"""),"Negative")</f>
        <v>Negative</v>
      </c>
      <c r="I684" s="204">
        <f>IFERROR(__xludf.DUMMYFUNCTION("""COMPUTED_VALUE"""),44627.0)</f>
        <v>44627</v>
      </c>
      <c r="J684" s="252">
        <f>IFERROR(__xludf.DUMMYFUNCTION("""COMPUTED_VALUE"""),0.4778935185185185)</f>
        <v>0.4778935185</v>
      </c>
      <c r="K684" s="56"/>
      <c r="L684" s="6"/>
      <c r="M684" s="61"/>
      <c r="N684" s="61">
        <f>IFERROR(__xludf.DUMMYFUNCTION("""COMPUTED_VALUE"""),1.0)</f>
        <v>1</v>
      </c>
      <c r="O684" s="61"/>
      <c r="P684" s="253">
        <f>IFERROR(__xludf.DUMMYFUNCTION("""COMPUTED_VALUE"""),0.0)</f>
        <v>0</v>
      </c>
      <c r="Q684" s="254" t="b">
        <f>VLOOKUP($B684,'Run Reconcile'!B$2:O799,14,FALSE)</f>
        <v>1</v>
      </c>
      <c r="R684" s="255" t="str">
        <f t="array" ref="R684">IF($Q684, INDEX('Run Reconcile'!A$2:A799,MATCH(B684,'Run Reconcile'!B$2:B799,0),1),IFERROR(0/0,""))</f>
        <v>RUN-BEND_2022-03-07_RFR-047</v>
      </c>
      <c r="S684" s="261" t="str">
        <f t="shared" ref="S684:T684" si="1375">IF(COUNTIF(W$2:W799, $A684) &gt; 0,TRUE,IFERROR(0/0,""))</f>
        <v/>
      </c>
      <c r="T684" s="261" t="str">
        <f t="shared" si="1375"/>
        <v/>
      </c>
      <c r="U684" s="257" t="str">
        <f t="array" ref="U684">IF(ISBLANK($R684), INDEX('Run Reconcile'!A$2:A799, MATCH($B684, 'Run Reconcile'!B$2:B799, 0)+Z684, 1), IFERROR(0/0,""))
</f>
        <v/>
      </c>
      <c r="V684" s="258" t="str">
        <f t="shared" si="480"/>
        <v>RUN-BEND_2022-03-07_RFR-047</v>
      </c>
      <c r="Y684" s="130" t="str">
        <f t="shared" si="487"/>
        <v/>
      </c>
      <c r="Z684" s="49" t="str">
        <f t="shared" si="7"/>
        <v/>
      </c>
      <c r="AA684" s="49" t="str">
        <f t="shared" si="8"/>
        <v/>
      </c>
      <c r="AB684" s="49" t="str">
        <f t="shared" si="9"/>
        <v/>
      </c>
      <c r="AC684" s="20" t="str">
        <f t="shared" ref="AC684:AD684" si="1376">IF(_xlfn.ISFORMULA(S684),IFERROR(0/0,""),TRUE)</f>
        <v/>
      </c>
      <c r="AD684" s="20" t="str">
        <f t="shared" si="1376"/>
        <v/>
      </c>
      <c r="AE684" s="43"/>
      <c r="AF684" s="62" t="s">
        <v>67</v>
      </c>
      <c r="AG684" s="57" t="str">
        <f t="shared" si="11"/>
        <v/>
      </c>
    </row>
    <row r="685">
      <c r="A685" s="6" t="str">
        <f>IFERROR(__xludf.DUMMYFUNCTION("""COMPUTED_VALUE"""),"MA1318")</f>
        <v>MA1318</v>
      </c>
      <c r="B685" s="204">
        <f>IFERROR(__xludf.DUMMYFUNCTION("""COMPUTED_VALUE"""),44627.0)</f>
        <v>44627</v>
      </c>
      <c r="C685" s="250">
        <f>IFERROR(__xludf.DUMMYFUNCTION("""COMPUTED_VALUE"""),0.318125)</f>
        <v>0.318125</v>
      </c>
      <c r="D685" s="6" t="str">
        <f>IFERROR(__xludf.DUMMYFUNCTION("""COMPUTED_VALUE"""),"SpBEND492052")</f>
        <v>SpBEND492052</v>
      </c>
      <c r="E685" s="251"/>
      <c r="F685" s="251"/>
      <c r="G685" s="251" t="str">
        <f>IFERROR(__xludf.DUMMYFUNCTION("""COMPUTED_VALUE"""),"Negative")</f>
        <v>Negative</v>
      </c>
      <c r="H685" s="262" t="str">
        <f>IFERROR(__xludf.DUMMYFUNCTION("""COMPUTED_VALUE"""),"Negative")</f>
        <v>Negative</v>
      </c>
      <c r="I685" s="204">
        <f>IFERROR(__xludf.DUMMYFUNCTION("""COMPUTED_VALUE"""),44627.0)</f>
        <v>44627</v>
      </c>
      <c r="J685" s="252">
        <f>IFERROR(__xludf.DUMMYFUNCTION("""COMPUTED_VALUE"""),0.4778935185185185)</f>
        <v>0.4778935185</v>
      </c>
      <c r="K685" s="56"/>
      <c r="L685" s="6"/>
      <c r="M685" s="61"/>
      <c r="N685" s="61">
        <f>IFERROR(__xludf.DUMMYFUNCTION("""COMPUTED_VALUE"""),1.0)</f>
        <v>1</v>
      </c>
      <c r="O685" s="61"/>
      <c r="P685" s="253">
        <f>IFERROR(__xludf.DUMMYFUNCTION("""COMPUTED_VALUE"""),0.0)</f>
        <v>0</v>
      </c>
      <c r="Q685" s="254" t="b">
        <f>VLOOKUP($B685,'Run Reconcile'!B$2:O799,14,FALSE)</f>
        <v>1</v>
      </c>
      <c r="R685" s="255" t="str">
        <f t="array" ref="R685">IF($Q685, INDEX('Run Reconcile'!A$2:A799,MATCH(B685,'Run Reconcile'!B$2:B799,0),1),IFERROR(0/0,""))</f>
        <v>RUN-BEND_2022-03-07_RFR-047</v>
      </c>
      <c r="S685" s="261" t="str">
        <f t="shared" ref="S685:T685" si="1377">IF(COUNTIF(W$2:W799, $A685) &gt; 0,TRUE,IFERROR(0/0,""))</f>
        <v/>
      </c>
      <c r="T685" s="261" t="str">
        <f t="shared" si="1377"/>
        <v/>
      </c>
      <c r="U685" s="257" t="str">
        <f t="array" ref="U685">IF(ISBLANK($R685), INDEX('Run Reconcile'!A$2:A799, MATCH($B685, 'Run Reconcile'!B$2:B799, 0)+Z685, 1), IFERROR(0/0,""))
</f>
        <v/>
      </c>
      <c r="V685" s="258" t="str">
        <f t="shared" si="480"/>
        <v>RUN-BEND_2022-03-07_RFR-047</v>
      </c>
      <c r="Y685" s="130" t="str">
        <f t="shared" si="487"/>
        <v/>
      </c>
      <c r="Z685" s="49" t="str">
        <f t="shared" si="7"/>
        <v/>
      </c>
      <c r="AA685" s="49" t="str">
        <f t="shared" si="8"/>
        <v/>
      </c>
      <c r="AB685" s="49" t="str">
        <f t="shared" si="9"/>
        <v/>
      </c>
      <c r="AC685" s="20" t="str">
        <f t="shared" ref="AC685:AD685" si="1378">IF(_xlfn.ISFORMULA(S685),IFERROR(0/0,""),TRUE)</f>
        <v/>
      </c>
      <c r="AD685" s="20" t="str">
        <f t="shared" si="1378"/>
        <v/>
      </c>
      <c r="AE685" s="43"/>
      <c r="AF685" s="62" t="s">
        <v>67</v>
      </c>
      <c r="AG685" s="57" t="str">
        <f t="shared" si="11"/>
        <v/>
      </c>
    </row>
    <row r="686">
      <c r="A686" s="6" t="str">
        <f>IFERROR(__xludf.DUMMYFUNCTION("""COMPUTED_VALUE"""),"FM2068")</f>
        <v>FM2068</v>
      </c>
      <c r="B686" s="204">
        <f>IFERROR(__xludf.DUMMYFUNCTION("""COMPUTED_VALUE"""),44627.0)</f>
        <v>44627</v>
      </c>
      <c r="C686" s="250">
        <f>IFERROR(__xludf.DUMMYFUNCTION("""COMPUTED_VALUE"""),0.31984953703703706)</f>
        <v>0.319849537</v>
      </c>
      <c r="D686" s="6" t="str">
        <f>IFERROR(__xludf.DUMMYFUNCTION("""COMPUTED_VALUE"""),"SpBEND387578")</f>
        <v>SpBEND387578</v>
      </c>
      <c r="E686" s="251"/>
      <c r="F686" s="251"/>
      <c r="G686" s="251" t="str">
        <f>IFERROR(__xludf.DUMMYFUNCTION("""COMPUTED_VALUE"""),"Negative")</f>
        <v>Negative</v>
      </c>
      <c r="H686" s="262" t="str">
        <f>IFERROR(__xludf.DUMMYFUNCTION("""COMPUTED_VALUE"""),"Negative")</f>
        <v>Negative</v>
      </c>
      <c r="I686" s="204">
        <f>IFERROR(__xludf.DUMMYFUNCTION("""COMPUTED_VALUE"""),44627.0)</f>
        <v>44627</v>
      </c>
      <c r="J686" s="252">
        <f>IFERROR(__xludf.DUMMYFUNCTION("""COMPUTED_VALUE"""),0.4778935185185185)</f>
        <v>0.4778935185</v>
      </c>
      <c r="K686" s="56"/>
      <c r="L686" s="6"/>
      <c r="M686" s="61"/>
      <c r="N686" s="61">
        <f>IFERROR(__xludf.DUMMYFUNCTION("""COMPUTED_VALUE"""),1.0)</f>
        <v>1</v>
      </c>
      <c r="O686" s="61"/>
      <c r="P686" s="253">
        <f>IFERROR(__xludf.DUMMYFUNCTION("""COMPUTED_VALUE"""),0.0)</f>
        <v>0</v>
      </c>
      <c r="Q686" s="254" t="b">
        <f>VLOOKUP($B686,'Run Reconcile'!B$2:O799,14,FALSE)</f>
        <v>1</v>
      </c>
      <c r="R686" s="255" t="str">
        <f t="array" ref="R686">IF($Q686, INDEX('Run Reconcile'!A$2:A799,MATCH(B686,'Run Reconcile'!B$2:B799,0),1),IFERROR(0/0,""))</f>
        <v>RUN-BEND_2022-03-07_RFR-047</v>
      </c>
      <c r="S686" s="261" t="str">
        <f t="shared" ref="S686:T686" si="1379">IF(COUNTIF(W$2:W799, $A686) &gt; 0,TRUE,IFERROR(0/0,""))</f>
        <v/>
      </c>
      <c r="T686" s="261" t="str">
        <f t="shared" si="1379"/>
        <v/>
      </c>
      <c r="U686" s="257" t="str">
        <f t="array" ref="U686">IF(ISBLANK($R686), INDEX('Run Reconcile'!A$2:A799, MATCH($B686, 'Run Reconcile'!B$2:B799, 0)+Z686, 1), IFERROR(0/0,""))
</f>
        <v/>
      </c>
      <c r="V686" s="258" t="str">
        <f t="shared" si="480"/>
        <v>RUN-BEND_2022-03-07_RFR-047</v>
      </c>
      <c r="Y686" s="130" t="str">
        <f t="shared" si="487"/>
        <v/>
      </c>
      <c r="Z686" s="49" t="str">
        <f t="shared" si="7"/>
        <v/>
      </c>
      <c r="AA686" s="49" t="str">
        <f t="shared" si="8"/>
        <v/>
      </c>
      <c r="AB686" s="49" t="str">
        <f t="shared" si="9"/>
        <v/>
      </c>
      <c r="AC686" s="20" t="str">
        <f t="shared" ref="AC686:AD686" si="1380">IF(_xlfn.ISFORMULA(S686),IFERROR(0/0,""),TRUE)</f>
        <v/>
      </c>
      <c r="AD686" s="20" t="str">
        <f t="shared" si="1380"/>
        <v/>
      </c>
      <c r="AE686" s="43"/>
      <c r="AF686" s="62" t="s">
        <v>67</v>
      </c>
      <c r="AG686" s="57" t="str">
        <f t="shared" si="11"/>
        <v/>
      </c>
    </row>
    <row r="687">
      <c r="A687" s="6" t="str">
        <f>IFERROR(__xludf.DUMMYFUNCTION("""COMPUTED_VALUE"""),"MA1284")</f>
        <v>MA1284</v>
      </c>
      <c r="B687" s="204">
        <f>IFERROR(__xludf.DUMMYFUNCTION("""COMPUTED_VALUE"""),44627.0)</f>
        <v>44627</v>
      </c>
      <c r="C687" s="250">
        <f>IFERROR(__xludf.DUMMYFUNCTION("""COMPUTED_VALUE"""),0.3199768518518519)</f>
        <v>0.3199768519</v>
      </c>
      <c r="D687" s="6" t="str">
        <f>IFERROR(__xludf.DUMMYFUNCTION("""COMPUTED_VALUE"""),"SpBEND305944")</f>
        <v>SpBEND305944</v>
      </c>
      <c r="E687" s="251"/>
      <c r="F687" s="251"/>
      <c r="G687" s="251" t="str">
        <f>IFERROR(__xludf.DUMMYFUNCTION("""COMPUTED_VALUE"""),"Negative")</f>
        <v>Negative</v>
      </c>
      <c r="H687" s="262" t="str">
        <f>IFERROR(__xludf.DUMMYFUNCTION("""COMPUTED_VALUE"""),"Negative")</f>
        <v>Negative</v>
      </c>
      <c r="I687" s="204">
        <f>IFERROR(__xludf.DUMMYFUNCTION("""COMPUTED_VALUE"""),44627.0)</f>
        <v>44627</v>
      </c>
      <c r="J687" s="252">
        <f>IFERROR(__xludf.DUMMYFUNCTION("""COMPUTED_VALUE"""),0.4778935185185185)</f>
        <v>0.4778935185</v>
      </c>
      <c r="K687" s="56"/>
      <c r="L687" s="6"/>
      <c r="M687" s="61"/>
      <c r="N687" s="61">
        <f>IFERROR(__xludf.DUMMYFUNCTION("""COMPUTED_VALUE"""),1.0)</f>
        <v>1</v>
      </c>
      <c r="O687" s="61"/>
      <c r="P687" s="253">
        <f>IFERROR(__xludf.DUMMYFUNCTION("""COMPUTED_VALUE"""),0.0)</f>
        <v>0</v>
      </c>
      <c r="Q687" s="254" t="b">
        <f>VLOOKUP($B687,'Run Reconcile'!B$2:O799,14,FALSE)</f>
        <v>1</v>
      </c>
      <c r="R687" s="255" t="str">
        <f t="array" ref="R687">IF($Q687, INDEX('Run Reconcile'!A$2:A799,MATCH(B687,'Run Reconcile'!B$2:B799,0),1),IFERROR(0/0,""))</f>
        <v>RUN-BEND_2022-03-07_RFR-047</v>
      </c>
      <c r="S687" s="261" t="str">
        <f t="shared" ref="S687:T687" si="1381">IF(COUNTIF(W$2:W799, $A687) &gt; 0,TRUE,IFERROR(0/0,""))</f>
        <v/>
      </c>
      <c r="T687" s="261" t="str">
        <f t="shared" si="1381"/>
        <v/>
      </c>
      <c r="U687" s="257" t="str">
        <f t="array" ref="U687">IF(ISBLANK($R687), INDEX('Run Reconcile'!A$2:A799, MATCH($B687, 'Run Reconcile'!B$2:B799, 0)+Z687, 1), IFERROR(0/0,""))
</f>
        <v/>
      </c>
      <c r="V687" s="258" t="str">
        <f t="shared" si="480"/>
        <v>RUN-BEND_2022-03-07_RFR-047</v>
      </c>
      <c r="Y687" s="130" t="str">
        <f t="shared" si="487"/>
        <v/>
      </c>
      <c r="Z687" s="49" t="str">
        <f t="shared" si="7"/>
        <v/>
      </c>
      <c r="AA687" s="49" t="str">
        <f t="shared" si="8"/>
        <v/>
      </c>
      <c r="AB687" s="49" t="str">
        <f t="shared" si="9"/>
        <v/>
      </c>
      <c r="AC687" s="20" t="str">
        <f t="shared" ref="AC687:AD687" si="1382">IF(_xlfn.ISFORMULA(S687),IFERROR(0/0,""),TRUE)</f>
        <v/>
      </c>
      <c r="AD687" s="20" t="str">
        <f t="shared" si="1382"/>
        <v/>
      </c>
      <c r="AE687" s="43"/>
      <c r="AF687" s="62" t="s">
        <v>67</v>
      </c>
      <c r="AG687" s="57" t="str">
        <f t="shared" si="11"/>
        <v/>
      </c>
    </row>
    <row r="688">
      <c r="A688" s="6" t="str">
        <f>IFERROR(__xludf.DUMMYFUNCTION("""COMPUTED_VALUE"""),"FM2062")</f>
        <v>FM2062</v>
      </c>
      <c r="B688" s="204">
        <f>IFERROR(__xludf.DUMMYFUNCTION("""COMPUTED_VALUE"""),44627.0)</f>
        <v>44627</v>
      </c>
      <c r="C688" s="250">
        <f>IFERROR(__xludf.DUMMYFUNCTION("""COMPUTED_VALUE"""),0.3200925925925926)</f>
        <v>0.3200925926</v>
      </c>
      <c r="D688" s="6" t="str">
        <f>IFERROR(__xludf.DUMMYFUNCTION("""COMPUTED_VALUE"""),"SpBEND559802")</f>
        <v>SpBEND559802</v>
      </c>
      <c r="E688" s="251"/>
      <c r="F688" s="251"/>
      <c r="G688" s="251" t="str">
        <f>IFERROR(__xludf.DUMMYFUNCTION("""COMPUTED_VALUE"""),"Negative")</f>
        <v>Negative</v>
      </c>
      <c r="H688" s="262" t="str">
        <f>IFERROR(__xludf.DUMMYFUNCTION("""COMPUTED_VALUE"""),"Negative")</f>
        <v>Negative</v>
      </c>
      <c r="I688" s="204">
        <f>IFERROR(__xludf.DUMMYFUNCTION("""COMPUTED_VALUE"""),44627.0)</f>
        <v>44627</v>
      </c>
      <c r="J688" s="252">
        <f>IFERROR(__xludf.DUMMYFUNCTION("""COMPUTED_VALUE"""),0.4778935185185185)</f>
        <v>0.4778935185</v>
      </c>
      <c r="K688" s="56"/>
      <c r="L688" s="6"/>
      <c r="M688" s="61"/>
      <c r="N688" s="61">
        <f>IFERROR(__xludf.DUMMYFUNCTION("""COMPUTED_VALUE"""),1.0)</f>
        <v>1</v>
      </c>
      <c r="O688" s="61"/>
      <c r="P688" s="253">
        <f>IFERROR(__xludf.DUMMYFUNCTION("""COMPUTED_VALUE"""),0.0)</f>
        <v>0</v>
      </c>
      <c r="Q688" s="254" t="b">
        <f>VLOOKUP($B688,'Run Reconcile'!B$2:O799,14,FALSE)</f>
        <v>1</v>
      </c>
      <c r="R688" s="255" t="str">
        <f t="array" ref="R688">IF($Q688, INDEX('Run Reconcile'!A$2:A799,MATCH(B688,'Run Reconcile'!B$2:B799,0),1),IFERROR(0/0,""))</f>
        <v>RUN-BEND_2022-03-07_RFR-047</v>
      </c>
      <c r="S688" s="261" t="str">
        <f t="shared" ref="S688:T688" si="1383">IF(COUNTIF(W$2:W799, $A688) &gt; 0,TRUE,IFERROR(0/0,""))</f>
        <v/>
      </c>
      <c r="T688" s="261" t="str">
        <f t="shared" si="1383"/>
        <v/>
      </c>
      <c r="U688" s="257" t="str">
        <f t="array" ref="U688">IF(ISBLANK($R688), INDEX('Run Reconcile'!A$2:A799, MATCH($B688, 'Run Reconcile'!B$2:B799, 0)+Z688, 1), IFERROR(0/0,""))
</f>
        <v/>
      </c>
      <c r="V688" s="258" t="str">
        <f t="shared" si="480"/>
        <v>RUN-BEND_2022-03-07_RFR-047</v>
      </c>
      <c r="Y688" s="130" t="str">
        <f t="shared" si="487"/>
        <v/>
      </c>
      <c r="Z688" s="49" t="str">
        <f t="shared" si="7"/>
        <v/>
      </c>
      <c r="AA688" s="49" t="str">
        <f t="shared" si="8"/>
        <v/>
      </c>
      <c r="AB688" s="49" t="str">
        <f t="shared" si="9"/>
        <v/>
      </c>
      <c r="AC688" s="20" t="str">
        <f t="shared" ref="AC688:AD688" si="1384">IF(_xlfn.ISFORMULA(S688),IFERROR(0/0,""),TRUE)</f>
        <v/>
      </c>
      <c r="AD688" s="20" t="str">
        <f t="shared" si="1384"/>
        <v/>
      </c>
      <c r="AE688" s="43"/>
      <c r="AF688" s="62" t="s">
        <v>67</v>
      </c>
      <c r="AG688" s="57" t="str">
        <f t="shared" si="11"/>
        <v/>
      </c>
    </row>
    <row r="689">
      <c r="A689" s="6" t="str">
        <f>IFERROR(__xludf.DUMMYFUNCTION("""COMPUTED_VALUE"""),"MA1227")</f>
        <v>MA1227</v>
      </c>
      <c r="B689" s="204">
        <f>IFERROR(__xludf.DUMMYFUNCTION("""COMPUTED_VALUE"""),44627.0)</f>
        <v>44627</v>
      </c>
      <c r="C689" s="250">
        <f>IFERROR(__xludf.DUMMYFUNCTION("""COMPUTED_VALUE"""),0.32047453703703704)</f>
        <v>0.320474537</v>
      </c>
      <c r="D689" s="6" t="str">
        <f>IFERROR(__xludf.DUMMYFUNCTION("""COMPUTED_VALUE"""),"SpBEND977859")</f>
        <v>SpBEND977859</v>
      </c>
      <c r="E689" s="251"/>
      <c r="F689" s="251"/>
      <c r="G689" s="251" t="str">
        <f>IFERROR(__xludf.DUMMYFUNCTION("""COMPUTED_VALUE"""),"Negative")</f>
        <v>Negative</v>
      </c>
      <c r="H689" s="262" t="str">
        <f>IFERROR(__xludf.DUMMYFUNCTION("""COMPUTED_VALUE"""),"Negative")</f>
        <v>Negative</v>
      </c>
      <c r="I689" s="204">
        <f>IFERROR(__xludf.DUMMYFUNCTION("""COMPUTED_VALUE"""),44627.0)</f>
        <v>44627</v>
      </c>
      <c r="J689" s="252">
        <f>IFERROR(__xludf.DUMMYFUNCTION("""COMPUTED_VALUE"""),0.4778935185185185)</f>
        <v>0.4778935185</v>
      </c>
      <c r="K689" s="56"/>
      <c r="L689" s="6"/>
      <c r="M689" s="61"/>
      <c r="N689" s="61">
        <f>IFERROR(__xludf.DUMMYFUNCTION("""COMPUTED_VALUE"""),1.0)</f>
        <v>1</v>
      </c>
      <c r="O689" s="61"/>
      <c r="P689" s="253">
        <f>IFERROR(__xludf.DUMMYFUNCTION("""COMPUTED_VALUE"""),0.0)</f>
        <v>0</v>
      </c>
      <c r="Q689" s="254" t="b">
        <f>VLOOKUP($B689,'Run Reconcile'!B$2:O799,14,FALSE)</f>
        <v>1</v>
      </c>
      <c r="R689" s="255" t="str">
        <f t="array" ref="R689">IF($Q689, INDEX('Run Reconcile'!A$2:A799,MATCH(B689,'Run Reconcile'!B$2:B799,0),1),IFERROR(0/0,""))</f>
        <v>RUN-BEND_2022-03-07_RFR-047</v>
      </c>
      <c r="S689" s="261" t="str">
        <f t="shared" ref="S689:T689" si="1385">IF(COUNTIF(W$2:W799, $A689) &gt; 0,TRUE,IFERROR(0/0,""))</f>
        <v/>
      </c>
      <c r="T689" s="261" t="str">
        <f t="shared" si="1385"/>
        <v/>
      </c>
      <c r="U689" s="257" t="str">
        <f t="array" ref="U689">IF(ISBLANK($R689), INDEX('Run Reconcile'!A$2:A799, MATCH($B689, 'Run Reconcile'!B$2:B799, 0)+Z689, 1), IFERROR(0/0,""))
</f>
        <v/>
      </c>
      <c r="V689" s="258" t="str">
        <f t="shared" si="480"/>
        <v>RUN-BEND_2022-03-07_RFR-047</v>
      </c>
      <c r="Y689" s="130" t="str">
        <f t="shared" si="487"/>
        <v/>
      </c>
      <c r="Z689" s="49" t="str">
        <f t="shared" si="7"/>
        <v/>
      </c>
      <c r="AA689" s="49" t="str">
        <f t="shared" si="8"/>
        <v/>
      </c>
      <c r="AB689" s="49" t="str">
        <f t="shared" si="9"/>
        <v/>
      </c>
      <c r="AC689" s="20" t="str">
        <f t="shared" ref="AC689:AD689" si="1386">IF(_xlfn.ISFORMULA(S689),IFERROR(0/0,""),TRUE)</f>
        <v/>
      </c>
      <c r="AD689" s="20" t="str">
        <f t="shared" si="1386"/>
        <v/>
      </c>
      <c r="AE689" s="43"/>
      <c r="AF689" s="62" t="s">
        <v>67</v>
      </c>
      <c r="AG689" s="57" t="str">
        <f t="shared" si="11"/>
        <v/>
      </c>
    </row>
    <row r="690">
      <c r="A690" s="6" t="str">
        <f>IFERROR(__xludf.DUMMYFUNCTION("""COMPUTED_VALUE"""),"FM63")</f>
        <v>FM63</v>
      </c>
      <c r="B690" s="204">
        <f>IFERROR(__xludf.DUMMYFUNCTION("""COMPUTED_VALUE"""),44627.0)</f>
        <v>44627</v>
      </c>
      <c r="C690" s="250">
        <f>IFERROR(__xludf.DUMMYFUNCTION("""COMPUTED_VALUE"""),0.32157407407407407)</f>
        <v>0.3215740741</v>
      </c>
      <c r="D690" s="6" t="str">
        <f>IFERROR(__xludf.DUMMYFUNCTION("""COMPUTED_VALUE"""),"SpBEND842248")</f>
        <v>SpBEND842248</v>
      </c>
      <c r="E690" s="251"/>
      <c r="F690" s="251"/>
      <c r="G690" s="251" t="str">
        <f>IFERROR(__xludf.DUMMYFUNCTION("""COMPUTED_VALUE"""),"Negative")</f>
        <v>Negative</v>
      </c>
      <c r="H690" s="262" t="str">
        <f>IFERROR(__xludf.DUMMYFUNCTION("""COMPUTED_VALUE"""),"Negative")</f>
        <v>Negative</v>
      </c>
      <c r="I690" s="204">
        <f>IFERROR(__xludf.DUMMYFUNCTION("""COMPUTED_VALUE"""),44627.0)</f>
        <v>44627</v>
      </c>
      <c r="J690" s="252">
        <f>IFERROR(__xludf.DUMMYFUNCTION("""COMPUTED_VALUE"""),0.4779050925925926)</f>
        <v>0.4779050926</v>
      </c>
      <c r="K690" s="56"/>
      <c r="L690" s="6"/>
      <c r="M690" s="61"/>
      <c r="N690" s="61">
        <f>IFERROR(__xludf.DUMMYFUNCTION("""COMPUTED_VALUE"""),1.0)</f>
        <v>1</v>
      </c>
      <c r="O690" s="61"/>
      <c r="P690" s="253">
        <f>IFERROR(__xludf.DUMMYFUNCTION("""COMPUTED_VALUE"""),0.0)</f>
        <v>0</v>
      </c>
      <c r="Q690" s="254" t="b">
        <f>VLOOKUP($B690,'Run Reconcile'!B$2:O799,14,FALSE)</f>
        <v>1</v>
      </c>
      <c r="R690" s="255" t="str">
        <f t="array" ref="R690">IF($Q690, INDEX('Run Reconcile'!A$2:A799,MATCH(B690,'Run Reconcile'!B$2:B799,0),1),IFERROR(0/0,""))</f>
        <v>RUN-BEND_2022-03-07_RFR-047</v>
      </c>
      <c r="S690" s="261" t="str">
        <f t="shared" ref="S690:T690" si="1387">IF(COUNTIF(W$2:W799, $A690) &gt; 0,TRUE,IFERROR(0/0,""))</f>
        <v/>
      </c>
      <c r="T690" s="261" t="str">
        <f t="shared" si="1387"/>
        <v/>
      </c>
      <c r="U690" s="257" t="str">
        <f t="array" ref="U690">IF(ISBLANK($R690), INDEX('Run Reconcile'!A$2:A799, MATCH($B690, 'Run Reconcile'!B$2:B799, 0)+Z690, 1), IFERROR(0/0,""))
</f>
        <v/>
      </c>
      <c r="V690" s="258" t="str">
        <f t="shared" si="480"/>
        <v>RUN-BEND_2022-03-07_RFR-047</v>
      </c>
      <c r="Y690" s="130" t="str">
        <f t="shared" si="487"/>
        <v/>
      </c>
      <c r="Z690" s="49" t="str">
        <f t="shared" si="7"/>
        <v/>
      </c>
      <c r="AA690" s="49" t="str">
        <f t="shared" si="8"/>
        <v/>
      </c>
      <c r="AB690" s="49" t="str">
        <f t="shared" si="9"/>
        <v/>
      </c>
      <c r="AC690" s="20" t="str">
        <f t="shared" ref="AC690:AD690" si="1388">IF(_xlfn.ISFORMULA(S690),IFERROR(0/0,""),TRUE)</f>
        <v/>
      </c>
      <c r="AD690" s="20" t="str">
        <f t="shared" si="1388"/>
        <v/>
      </c>
      <c r="AE690" s="43"/>
      <c r="AF690" s="62" t="s">
        <v>67</v>
      </c>
      <c r="AG690" s="57" t="str">
        <f t="shared" si="11"/>
        <v/>
      </c>
    </row>
    <row r="691">
      <c r="A691" s="6" t="str">
        <f>IFERROR(__xludf.DUMMYFUNCTION("""COMPUTED_VALUE"""),"FM43")</f>
        <v>FM43</v>
      </c>
      <c r="B691" s="204">
        <f>IFERROR(__xludf.DUMMYFUNCTION("""COMPUTED_VALUE"""),44627.0)</f>
        <v>44627</v>
      </c>
      <c r="C691" s="250">
        <f>IFERROR(__xludf.DUMMYFUNCTION("""COMPUTED_VALUE"""),0.3216087962962963)</f>
        <v>0.3216087963</v>
      </c>
      <c r="D691" s="6" t="str">
        <f>IFERROR(__xludf.DUMMYFUNCTION("""COMPUTED_VALUE"""),"SpBEND481988")</f>
        <v>SpBEND481988</v>
      </c>
      <c r="E691" s="251"/>
      <c r="F691" s="251"/>
      <c r="G691" s="251" t="str">
        <f>IFERROR(__xludf.DUMMYFUNCTION("""COMPUTED_VALUE"""),"Negative")</f>
        <v>Negative</v>
      </c>
      <c r="H691" s="262" t="str">
        <f>IFERROR(__xludf.DUMMYFUNCTION("""COMPUTED_VALUE"""),"Negative")</f>
        <v>Negative</v>
      </c>
      <c r="I691" s="204">
        <f>IFERROR(__xludf.DUMMYFUNCTION("""COMPUTED_VALUE"""),44627.0)</f>
        <v>44627</v>
      </c>
      <c r="J691" s="252">
        <f>IFERROR(__xludf.DUMMYFUNCTION("""COMPUTED_VALUE"""),0.4779050925925926)</f>
        <v>0.4779050926</v>
      </c>
      <c r="K691" s="56"/>
      <c r="L691" s="6"/>
      <c r="M691" s="61"/>
      <c r="N691" s="61">
        <f>IFERROR(__xludf.DUMMYFUNCTION("""COMPUTED_VALUE"""),1.0)</f>
        <v>1</v>
      </c>
      <c r="O691" s="61"/>
      <c r="P691" s="253">
        <f>IFERROR(__xludf.DUMMYFUNCTION("""COMPUTED_VALUE"""),0.0)</f>
        <v>0</v>
      </c>
      <c r="Q691" s="254" t="b">
        <f>VLOOKUP($B691,'Run Reconcile'!B$2:O799,14,FALSE)</f>
        <v>1</v>
      </c>
      <c r="R691" s="255" t="str">
        <f t="array" ref="R691">IF($Q691, INDEX('Run Reconcile'!A$2:A799,MATCH(B691,'Run Reconcile'!B$2:B799,0),1),IFERROR(0/0,""))</f>
        <v>RUN-BEND_2022-03-07_RFR-047</v>
      </c>
      <c r="S691" s="261" t="str">
        <f t="shared" ref="S691:T691" si="1389">IF(COUNTIF(W$2:W799, $A691) &gt; 0,TRUE,IFERROR(0/0,""))</f>
        <v/>
      </c>
      <c r="T691" s="261" t="str">
        <f t="shared" si="1389"/>
        <v/>
      </c>
      <c r="U691" s="257" t="str">
        <f t="array" ref="U691">IF(ISBLANK($R691), INDEX('Run Reconcile'!A$2:A799, MATCH($B691, 'Run Reconcile'!B$2:B799, 0)+Z691, 1), IFERROR(0/0,""))
</f>
        <v/>
      </c>
      <c r="V691" s="258" t="str">
        <f t="shared" si="480"/>
        <v>RUN-BEND_2022-03-07_RFR-047</v>
      </c>
      <c r="Y691" s="130" t="str">
        <f t="shared" si="487"/>
        <v/>
      </c>
      <c r="Z691" s="49" t="str">
        <f t="shared" si="7"/>
        <v/>
      </c>
      <c r="AA691" s="49" t="str">
        <f t="shared" si="8"/>
        <v/>
      </c>
      <c r="AB691" s="49" t="str">
        <f t="shared" si="9"/>
        <v/>
      </c>
      <c r="AC691" s="20" t="str">
        <f t="shared" ref="AC691:AD691" si="1390">IF(_xlfn.ISFORMULA(S691),IFERROR(0/0,""),TRUE)</f>
        <v/>
      </c>
      <c r="AD691" s="20" t="str">
        <f t="shared" si="1390"/>
        <v/>
      </c>
      <c r="AE691" s="43"/>
      <c r="AF691" s="62" t="s">
        <v>67</v>
      </c>
      <c r="AG691" s="57" t="str">
        <f t="shared" si="11"/>
        <v/>
      </c>
    </row>
    <row r="692">
      <c r="A692" s="6" t="str">
        <f>IFERROR(__xludf.DUMMYFUNCTION("""COMPUTED_VALUE"""),"FM521")</f>
        <v>FM521</v>
      </c>
      <c r="B692" s="204">
        <f>IFERROR(__xludf.DUMMYFUNCTION("""COMPUTED_VALUE"""),44627.0)</f>
        <v>44627</v>
      </c>
      <c r="C692" s="250">
        <f>IFERROR(__xludf.DUMMYFUNCTION("""COMPUTED_VALUE"""),0.32310185185185186)</f>
        <v>0.3231018519</v>
      </c>
      <c r="D692" s="6" t="str">
        <f>IFERROR(__xludf.DUMMYFUNCTION("""COMPUTED_VALUE"""),"SpBEND387532")</f>
        <v>SpBEND387532</v>
      </c>
      <c r="E692" s="251"/>
      <c r="F692" s="251"/>
      <c r="G692" s="251" t="str">
        <f>IFERROR(__xludf.DUMMYFUNCTION("""COMPUTED_VALUE"""),"Negative")</f>
        <v>Negative</v>
      </c>
      <c r="H692" s="262" t="str">
        <f>IFERROR(__xludf.DUMMYFUNCTION("""COMPUTED_VALUE"""),"Negative")</f>
        <v>Negative</v>
      </c>
      <c r="I692" s="204">
        <f>IFERROR(__xludf.DUMMYFUNCTION("""COMPUTED_VALUE"""),44627.0)</f>
        <v>44627</v>
      </c>
      <c r="J692" s="252">
        <f>IFERROR(__xludf.DUMMYFUNCTION("""COMPUTED_VALUE"""),0.4779050925925926)</f>
        <v>0.4779050926</v>
      </c>
      <c r="K692" s="56"/>
      <c r="L692" s="6"/>
      <c r="M692" s="61"/>
      <c r="N692" s="61">
        <f>IFERROR(__xludf.DUMMYFUNCTION("""COMPUTED_VALUE"""),1.0)</f>
        <v>1</v>
      </c>
      <c r="O692" s="61"/>
      <c r="P692" s="253">
        <f>IFERROR(__xludf.DUMMYFUNCTION("""COMPUTED_VALUE"""),0.0)</f>
        <v>0</v>
      </c>
      <c r="Q692" s="254" t="b">
        <f>VLOOKUP($B692,'Run Reconcile'!B$2:O799,14,FALSE)</f>
        <v>1</v>
      </c>
      <c r="R692" s="255" t="str">
        <f t="array" ref="R692">IF($Q692, INDEX('Run Reconcile'!A$2:A799,MATCH(B692,'Run Reconcile'!B$2:B799,0),1),IFERROR(0/0,""))</f>
        <v>RUN-BEND_2022-03-07_RFR-047</v>
      </c>
      <c r="S692" s="261" t="str">
        <f t="shared" ref="S692:T692" si="1391">IF(COUNTIF(W$2:W799, $A692) &gt; 0,TRUE,IFERROR(0/0,""))</f>
        <v/>
      </c>
      <c r="T692" s="261" t="str">
        <f t="shared" si="1391"/>
        <v/>
      </c>
      <c r="U692" s="257" t="str">
        <f t="array" ref="U692">IF(ISBLANK($R692), INDEX('Run Reconcile'!A$2:A799, MATCH($B692, 'Run Reconcile'!B$2:B799, 0)+Z692, 1), IFERROR(0/0,""))
</f>
        <v/>
      </c>
      <c r="V692" s="258" t="str">
        <f t="shared" si="480"/>
        <v>RUN-BEND_2022-03-07_RFR-047</v>
      </c>
      <c r="Y692" s="130" t="str">
        <f t="shared" si="487"/>
        <v/>
      </c>
      <c r="Z692" s="49" t="str">
        <f t="shared" si="7"/>
        <v/>
      </c>
      <c r="AA692" s="49" t="str">
        <f t="shared" si="8"/>
        <v/>
      </c>
      <c r="AB692" s="49" t="str">
        <f t="shared" si="9"/>
        <v/>
      </c>
      <c r="AC692" s="20" t="str">
        <f t="shared" ref="AC692:AD692" si="1392">IF(_xlfn.ISFORMULA(S692),IFERROR(0/0,""),TRUE)</f>
        <v/>
      </c>
      <c r="AD692" s="20" t="str">
        <f t="shared" si="1392"/>
        <v/>
      </c>
      <c r="AE692" s="43"/>
      <c r="AF692" s="62" t="s">
        <v>67</v>
      </c>
      <c r="AG692" s="57" t="str">
        <f t="shared" si="11"/>
        <v/>
      </c>
    </row>
    <row r="693">
      <c r="A693" s="6" t="str">
        <f>IFERROR(__xludf.DUMMYFUNCTION("""COMPUTED_VALUE"""),"FM1007")</f>
        <v>FM1007</v>
      </c>
      <c r="B693" s="204">
        <f>IFERROR(__xludf.DUMMYFUNCTION("""COMPUTED_VALUE"""),44627.0)</f>
        <v>44627</v>
      </c>
      <c r="C693" s="250">
        <f>IFERROR(__xludf.DUMMYFUNCTION("""COMPUTED_VALUE"""),0.32450231481481484)</f>
        <v>0.3245023148</v>
      </c>
      <c r="D693" s="6" t="str">
        <f>IFERROR(__xludf.DUMMYFUNCTION("""COMPUTED_VALUE"""),"SpBEND328905")</f>
        <v>SpBEND328905</v>
      </c>
      <c r="E693" s="251"/>
      <c r="F693" s="251"/>
      <c r="G693" s="251" t="str">
        <f>IFERROR(__xludf.DUMMYFUNCTION("""COMPUTED_VALUE"""),"Negative")</f>
        <v>Negative</v>
      </c>
      <c r="H693" s="262" t="str">
        <f>IFERROR(__xludf.DUMMYFUNCTION("""COMPUTED_VALUE"""),"Negative")</f>
        <v>Negative</v>
      </c>
      <c r="I693" s="204">
        <f>IFERROR(__xludf.DUMMYFUNCTION("""COMPUTED_VALUE"""),44627.0)</f>
        <v>44627</v>
      </c>
      <c r="J693" s="252">
        <f>IFERROR(__xludf.DUMMYFUNCTION("""COMPUTED_VALUE"""),0.4779050925925926)</f>
        <v>0.4779050926</v>
      </c>
      <c r="K693" s="56"/>
      <c r="L693" s="6"/>
      <c r="M693" s="61"/>
      <c r="N693" s="61">
        <f>IFERROR(__xludf.DUMMYFUNCTION("""COMPUTED_VALUE"""),1.0)</f>
        <v>1</v>
      </c>
      <c r="O693" s="61"/>
      <c r="P693" s="253">
        <f>IFERROR(__xludf.DUMMYFUNCTION("""COMPUTED_VALUE"""),0.0)</f>
        <v>0</v>
      </c>
      <c r="Q693" s="254" t="b">
        <f>VLOOKUP($B693,'Run Reconcile'!B$2:O799,14,FALSE)</f>
        <v>1</v>
      </c>
      <c r="R693" s="255" t="str">
        <f t="array" ref="R693">IF($Q693, INDEX('Run Reconcile'!A$2:A799,MATCH(B693,'Run Reconcile'!B$2:B799,0),1),IFERROR(0/0,""))</f>
        <v>RUN-BEND_2022-03-07_RFR-047</v>
      </c>
      <c r="S693" s="261" t="str">
        <f t="shared" ref="S693:T693" si="1393">IF(COUNTIF(W$2:W799, $A693) &gt; 0,TRUE,IFERROR(0/0,""))</f>
        <v/>
      </c>
      <c r="T693" s="261" t="str">
        <f t="shared" si="1393"/>
        <v/>
      </c>
      <c r="U693" s="257" t="str">
        <f t="array" ref="U693">IF(ISBLANK($R693), INDEX('Run Reconcile'!A$2:A799, MATCH($B693, 'Run Reconcile'!B$2:B799, 0)+Z693, 1), IFERROR(0/0,""))
</f>
        <v/>
      </c>
      <c r="V693" s="258" t="str">
        <f t="shared" si="480"/>
        <v>RUN-BEND_2022-03-07_RFR-047</v>
      </c>
      <c r="Y693" s="130" t="str">
        <f t="shared" si="487"/>
        <v/>
      </c>
      <c r="Z693" s="49" t="str">
        <f t="shared" si="7"/>
        <v/>
      </c>
      <c r="AA693" s="49" t="str">
        <f t="shared" si="8"/>
        <v/>
      </c>
      <c r="AB693" s="49" t="str">
        <f t="shared" si="9"/>
        <v/>
      </c>
      <c r="AC693" s="20" t="str">
        <f t="shared" ref="AC693:AD693" si="1394">IF(_xlfn.ISFORMULA(S693),IFERROR(0/0,""),TRUE)</f>
        <v/>
      </c>
      <c r="AD693" s="20" t="str">
        <f t="shared" si="1394"/>
        <v/>
      </c>
      <c r="AE693" s="43"/>
      <c r="AF693" s="62" t="s">
        <v>67</v>
      </c>
      <c r="AG693" s="57" t="str">
        <f t="shared" si="11"/>
        <v/>
      </c>
    </row>
    <row r="694">
      <c r="A694" s="6" t="str">
        <f>IFERROR(__xludf.DUMMYFUNCTION("""COMPUTED_VALUE"""),"FM93")</f>
        <v>FM93</v>
      </c>
      <c r="B694" s="204">
        <f>IFERROR(__xludf.DUMMYFUNCTION("""COMPUTED_VALUE"""),44627.0)</f>
        <v>44627</v>
      </c>
      <c r="C694" s="250">
        <f>IFERROR(__xludf.DUMMYFUNCTION("""COMPUTED_VALUE"""),0.3253125)</f>
        <v>0.3253125</v>
      </c>
      <c r="D694" s="6" t="str">
        <f>IFERROR(__xludf.DUMMYFUNCTION("""COMPUTED_VALUE"""),"SpBEND643855")</f>
        <v>SpBEND643855</v>
      </c>
      <c r="E694" s="251"/>
      <c r="F694" s="251"/>
      <c r="G694" s="251" t="str">
        <f>IFERROR(__xludf.DUMMYFUNCTION("""COMPUTED_VALUE"""),"Negative")</f>
        <v>Negative</v>
      </c>
      <c r="H694" s="262" t="str">
        <f>IFERROR(__xludf.DUMMYFUNCTION("""COMPUTED_VALUE"""),"Negative")</f>
        <v>Negative</v>
      </c>
      <c r="I694" s="204">
        <f>IFERROR(__xludf.DUMMYFUNCTION("""COMPUTED_VALUE"""),44627.0)</f>
        <v>44627</v>
      </c>
      <c r="J694" s="252">
        <f>IFERROR(__xludf.DUMMYFUNCTION("""COMPUTED_VALUE"""),0.4779050925925926)</f>
        <v>0.4779050926</v>
      </c>
      <c r="K694" s="56"/>
      <c r="L694" s="6"/>
      <c r="M694" s="61"/>
      <c r="N694" s="61">
        <f>IFERROR(__xludf.DUMMYFUNCTION("""COMPUTED_VALUE"""),1.0)</f>
        <v>1</v>
      </c>
      <c r="O694" s="61"/>
      <c r="P694" s="253">
        <f>IFERROR(__xludf.DUMMYFUNCTION("""COMPUTED_VALUE"""),0.0)</f>
        <v>0</v>
      </c>
      <c r="Q694" s="254" t="b">
        <f>VLOOKUP($B694,'Run Reconcile'!B$2:O799,14,FALSE)</f>
        <v>1</v>
      </c>
      <c r="R694" s="255" t="str">
        <f t="array" ref="R694">IF($Q694, INDEX('Run Reconcile'!A$2:A799,MATCH(B694,'Run Reconcile'!B$2:B799,0),1),IFERROR(0/0,""))</f>
        <v>RUN-BEND_2022-03-07_RFR-047</v>
      </c>
      <c r="S694" s="261" t="str">
        <f t="shared" ref="S694:T694" si="1395">IF(COUNTIF(W$2:W799, $A694) &gt; 0,TRUE,IFERROR(0/0,""))</f>
        <v/>
      </c>
      <c r="T694" s="261" t="str">
        <f t="shared" si="1395"/>
        <v/>
      </c>
      <c r="U694" s="257" t="str">
        <f t="array" ref="U694">IF(ISBLANK($R694), INDEX('Run Reconcile'!A$2:A799, MATCH($B694, 'Run Reconcile'!B$2:B799, 0)+Z694, 1), IFERROR(0/0,""))
</f>
        <v/>
      </c>
      <c r="V694" s="258" t="str">
        <f t="shared" si="480"/>
        <v>RUN-BEND_2022-03-07_RFR-047</v>
      </c>
      <c r="Y694" s="130" t="str">
        <f t="shared" si="487"/>
        <v/>
      </c>
      <c r="Z694" s="49" t="str">
        <f t="shared" si="7"/>
        <v/>
      </c>
      <c r="AA694" s="49" t="str">
        <f t="shared" si="8"/>
        <v/>
      </c>
      <c r="AB694" s="49" t="str">
        <f t="shared" si="9"/>
        <v/>
      </c>
      <c r="AC694" s="20" t="str">
        <f t="shared" ref="AC694:AD694" si="1396">IF(_xlfn.ISFORMULA(S694),IFERROR(0/0,""),TRUE)</f>
        <v/>
      </c>
      <c r="AD694" s="20" t="str">
        <f t="shared" si="1396"/>
        <v/>
      </c>
      <c r="AE694" s="43"/>
      <c r="AF694" s="62" t="s">
        <v>67</v>
      </c>
      <c r="AG694" s="57" t="str">
        <f t="shared" si="11"/>
        <v/>
      </c>
    </row>
    <row r="695">
      <c r="A695" s="6" t="str">
        <f>IFERROR(__xludf.DUMMYFUNCTION("""COMPUTED_VALUE"""),"FM448")</f>
        <v>FM448</v>
      </c>
      <c r="B695" s="204">
        <f>IFERROR(__xludf.DUMMYFUNCTION("""COMPUTED_VALUE"""),44627.0)</f>
        <v>44627</v>
      </c>
      <c r="C695" s="250">
        <f>IFERROR(__xludf.DUMMYFUNCTION("""COMPUTED_VALUE"""),0.3256712962962963)</f>
        <v>0.3256712963</v>
      </c>
      <c r="D695" s="6" t="str">
        <f>IFERROR(__xludf.DUMMYFUNCTION("""COMPUTED_VALUE"""),"SpBEND541174")</f>
        <v>SpBEND541174</v>
      </c>
      <c r="E695" s="251"/>
      <c r="F695" s="251"/>
      <c r="G695" s="251" t="str">
        <f>IFERROR(__xludf.DUMMYFUNCTION("""COMPUTED_VALUE"""),"Negative")</f>
        <v>Negative</v>
      </c>
      <c r="H695" s="262" t="str">
        <f>IFERROR(__xludf.DUMMYFUNCTION("""COMPUTED_VALUE"""),"Negative")</f>
        <v>Negative</v>
      </c>
      <c r="I695" s="204">
        <f>IFERROR(__xludf.DUMMYFUNCTION("""COMPUTED_VALUE"""),44627.0)</f>
        <v>44627</v>
      </c>
      <c r="J695" s="252">
        <f>IFERROR(__xludf.DUMMYFUNCTION("""COMPUTED_VALUE"""),0.4779050925925926)</f>
        <v>0.4779050926</v>
      </c>
      <c r="K695" s="56"/>
      <c r="L695" s="6"/>
      <c r="M695" s="61"/>
      <c r="N695" s="61">
        <f>IFERROR(__xludf.DUMMYFUNCTION("""COMPUTED_VALUE"""),1.0)</f>
        <v>1</v>
      </c>
      <c r="O695" s="61"/>
      <c r="P695" s="253">
        <f>IFERROR(__xludf.DUMMYFUNCTION("""COMPUTED_VALUE"""),0.0)</f>
        <v>0</v>
      </c>
      <c r="Q695" s="254" t="b">
        <f>VLOOKUP($B695,'Run Reconcile'!B$2:O799,14,FALSE)</f>
        <v>1</v>
      </c>
      <c r="R695" s="255" t="str">
        <f t="array" ref="R695">IF($Q695, INDEX('Run Reconcile'!A$2:A799,MATCH(B695,'Run Reconcile'!B$2:B799,0),1),IFERROR(0/0,""))</f>
        <v>RUN-BEND_2022-03-07_RFR-047</v>
      </c>
      <c r="S695" s="261" t="str">
        <f t="shared" ref="S695:T695" si="1397">IF(COUNTIF(W$2:W799, $A695) &gt; 0,TRUE,IFERROR(0/0,""))</f>
        <v/>
      </c>
      <c r="T695" s="261" t="str">
        <f t="shared" si="1397"/>
        <v/>
      </c>
      <c r="U695" s="257" t="str">
        <f t="array" ref="U695">IF(ISBLANK($R695), INDEX('Run Reconcile'!A$2:A799, MATCH($B695, 'Run Reconcile'!B$2:B799, 0)+Z695, 1), IFERROR(0/0,""))
</f>
        <v/>
      </c>
      <c r="V695" s="258" t="str">
        <f t="shared" si="480"/>
        <v>RUN-BEND_2022-03-07_RFR-047</v>
      </c>
      <c r="Y695" s="130" t="str">
        <f t="shared" si="487"/>
        <v/>
      </c>
      <c r="Z695" s="49" t="str">
        <f t="shared" si="7"/>
        <v/>
      </c>
      <c r="AA695" s="49" t="str">
        <f t="shared" si="8"/>
        <v/>
      </c>
      <c r="AB695" s="49" t="str">
        <f t="shared" si="9"/>
        <v/>
      </c>
      <c r="AC695" s="20" t="str">
        <f t="shared" ref="AC695:AD695" si="1398">IF(_xlfn.ISFORMULA(S695),IFERROR(0/0,""),TRUE)</f>
        <v/>
      </c>
      <c r="AD695" s="20" t="str">
        <f t="shared" si="1398"/>
        <v/>
      </c>
      <c r="AE695" s="43"/>
      <c r="AF695" s="62" t="s">
        <v>67</v>
      </c>
      <c r="AG695" s="57" t="str">
        <f t="shared" si="11"/>
        <v/>
      </c>
    </row>
    <row r="696">
      <c r="A696" s="6" t="str">
        <f>IFERROR(__xludf.DUMMYFUNCTION("""COMPUTED_VALUE"""),"FM2080")</f>
        <v>FM2080</v>
      </c>
      <c r="B696" s="204">
        <f>IFERROR(__xludf.DUMMYFUNCTION("""COMPUTED_VALUE"""),44627.0)</f>
        <v>44627</v>
      </c>
      <c r="C696" s="250">
        <f>IFERROR(__xludf.DUMMYFUNCTION("""COMPUTED_VALUE"""),0.3267939814814815)</f>
        <v>0.3267939815</v>
      </c>
      <c r="D696" s="6" t="str">
        <f>IFERROR(__xludf.DUMMYFUNCTION("""COMPUTED_VALUE"""),"SpBEND862115")</f>
        <v>SpBEND862115</v>
      </c>
      <c r="E696" s="251"/>
      <c r="F696" s="251"/>
      <c r="G696" s="251" t="str">
        <f>IFERROR(__xludf.DUMMYFUNCTION("""COMPUTED_VALUE"""),"Negative")</f>
        <v>Negative</v>
      </c>
      <c r="H696" s="262" t="str">
        <f>IFERROR(__xludf.DUMMYFUNCTION("""COMPUTED_VALUE"""),"Negative")</f>
        <v>Negative</v>
      </c>
      <c r="I696" s="204">
        <f>IFERROR(__xludf.DUMMYFUNCTION("""COMPUTED_VALUE"""),44627.0)</f>
        <v>44627</v>
      </c>
      <c r="J696" s="252">
        <f>IFERROR(__xludf.DUMMYFUNCTION("""COMPUTED_VALUE"""),0.4779050925925926)</f>
        <v>0.4779050926</v>
      </c>
      <c r="K696" s="56"/>
      <c r="L696" s="6"/>
      <c r="M696" s="61"/>
      <c r="N696" s="61">
        <f>IFERROR(__xludf.DUMMYFUNCTION("""COMPUTED_VALUE"""),1.0)</f>
        <v>1</v>
      </c>
      <c r="O696" s="61"/>
      <c r="P696" s="253">
        <f>IFERROR(__xludf.DUMMYFUNCTION("""COMPUTED_VALUE"""),0.0)</f>
        <v>0</v>
      </c>
      <c r="Q696" s="254" t="b">
        <f>VLOOKUP($B696,'Run Reconcile'!B$2:O799,14,FALSE)</f>
        <v>1</v>
      </c>
      <c r="R696" s="255" t="str">
        <f t="array" ref="R696">IF($Q696, INDEX('Run Reconcile'!A$2:A799,MATCH(B696,'Run Reconcile'!B$2:B799,0),1),IFERROR(0/0,""))</f>
        <v>RUN-BEND_2022-03-07_RFR-047</v>
      </c>
      <c r="S696" s="261" t="str">
        <f t="shared" ref="S696:T696" si="1399">IF(COUNTIF(W$2:W799, $A696) &gt; 0,TRUE,IFERROR(0/0,""))</f>
        <v/>
      </c>
      <c r="T696" s="261" t="str">
        <f t="shared" si="1399"/>
        <v/>
      </c>
      <c r="U696" s="257" t="str">
        <f t="array" ref="U696">IF(ISBLANK($R696), INDEX('Run Reconcile'!A$2:A799, MATCH($B696, 'Run Reconcile'!B$2:B799, 0)+Z696, 1), IFERROR(0/0,""))
</f>
        <v/>
      </c>
      <c r="V696" s="258" t="str">
        <f t="shared" si="480"/>
        <v>RUN-BEND_2022-03-07_RFR-047</v>
      </c>
      <c r="Y696" s="130" t="str">
        <f t="shared" si="487"/>
        <v/>
      </c>
      <c r="Z696" s="49" t="str">
        <f t="shared" si="7"/>
        <v/>
      </c>
      <c r="AA696" s="49" t="str">
        <f t="shared" si="8"/>
        <v/>
      </c>
      <c r="AB696" s="49" t="str">
        <f t="shared" si="9"/>
        <v/>
      </c>
      <c r="AC696" s="20" t="str">
        <f t="shared" ref="AC696:AD696" si="1400">IF(_xlfn.ISFORMULA(S696),IFERROR(0/0,""),TRUE)</f>
        <v/>
      </c>
      <c r="AD696" s="20" t="str">
        <f t="shared" si="1400"/>
        <v/>
      </c>
      <c r="AE696" s="43"/>
      <c r="AF696" s="62" t="s">
        <v>67</v>
      </c>
      <c r="AG696" s="57" t="str">
        <f t="shared" si="11"/>
        <v/>
      </c>
    </row>
    <row r="697">
      <c r="A697" s="6" t="str">
        <f>IFERROR(__xludf.DUMMYFUNCTION("""COMPUTED_VALUE"""),"FM1789")</f>
        <v>FM1789</v>
      </c>
      <c r="B697" s="204">
        <f>IFERROR(__xludf.DUMMYFUNCTION("""COMPUTED_VALUE"""),44627.0)</f>
        <v>44627</v>
      </c>
      <c r="C697" s="250">
        <f>IFERROR(__xludf.DUMMYFUNCTION("""COMPUTED_VALUE"""),0.3278240740740741)</f>
        <v>0.3278240741</v>
      </c>
      <c r="D697" s="6" t="str">
        <f>IFERROR(__xludf.DUMMYFUNCTION("""COMPUTED_VALUE"""),"SpBEND522465")</f>
        <v>SpBEND522465</v>
      </c>
      <c r="E697" s="251"/>
      <c r="F697" s="251"/>
      <c r="G697" s="251" t="str">
        <f>IFERROR(__xludf.DUMMYFUNCTION("""COMPUTED_VALUE"""),"Negative")</f>
        <v>Negative</v>
      </c>
      <c r="H697" s="262" t="str">
        <f>IFERROR(__xludf.DUMMYFUNCTION("""COMPUTED_VALUE"""),"Negative")</f>
        <v>Negative</v>
      </c>
      <c r="I697" s="204">
        <f>IFERROR(__xludf.DUMMYFUNCTION("""COMPUTED_VALUE"""),44627.0)</f>
        <v>44627</v>
      </c>
      <c r="J697" s="252">
        <f>IFERROR(__xludf.DUMMYFUNCTION("""COMPUTED_VALUE"""),0.4779050925925926)</f>
        <v>0.4779050926</v>
      </c>
      <c r="K697" s="56"/>
      <c r="L697" s="6"/>
      <c r="M697" s="61"/>
      <c r="N697" s="61">
        <f>IFERROR(__xludf.DUMMYFUNCTION("""COMPUTED_VALUE"""),1.0)</f>
        <v>1</v>
      </c>
      <c r="O697" s="61"/>
      <c r="P697" s="253">
        <f>IFERROR(__xludf.DUMMYFUNCTION("""COMPUTED_VALUE"""),0.0)</f>
        <v>0</v>
      </c>
      <c r="Q697" s="254" t="b">
        <f>VLOOKUP($B697,'Run Reconcile'!B$2:O799,14,FALSE)</f>
        <v>1</v>
      </c>
      <c r="R697" s="255" t="str">
        <f t="array" ref="R697">IF($Q697, INDEX('Run Reconcile'!A$2:A799,MATCH(B697,'Run Reconcile'!B$2:B799,0),1),IFERROR(0/0,""))</f>
        <v>RUN-BEND_2022-03-07_RFR-047</v>
      </c>
      <c r="S697" s="261" t="str">
        <f t="shared" ref="S697:T697" si="1401">IF(COUNTIF(W$2:W799, $A697) &gt; 0,TRUE,IFERROR(0/0,""))</f>
        <v/>
      </c>
      <c r="T697" s="261" t="str">
        <f t="shared" si="1401"/>
        <v/>
      </c>
      <c r="U697" s="257" t="str">
        <f t="array" ref="U697">IF(ISBLANK($R697), INDEX('Run Reconcile'!A$2:A799, MATCH($B697, 'Run Reconcile'!B$2:B799, 0)+Z697, 1), IFERROR(0/0,""))
</f>
        <v/>
      </c>
      <c r="V697" s="258" t="str">
        <f t="shared" si="480"/>
        <v>RUN-BEND_2022-03-07_RFR-047</v>
      </c>
      <c r="Y697" s="130" t="str">
        <f t="shared" si="487"/>
        <v/>
      </c>
      <c r="Z697" s="49" t="str">
        <f t="shared" si="7"/>
        <v/>
      </c>
      <c r="AA697" s="49" t="str">
        <f t="shared" si="8"/>
        <v/>
      </c>
      <c r="AB697" s="49" t="str">
        <f t="shared" si="9"/>
        <v/>
      </c>
      <c r="AC697" s="20" t="str">
        <f t="shared" ref="AC697:AD697" si="1402">IF(_xlfn.ISFORMULA(S697),IFERROR(0/0,""),TRUE)</f>
        <v/>
      </c>
      <c r="AD697" s="20" t="str">
        <f t="shared" si="1402"/>
        <v/>
      </c>
      <c r="AE697" s="43"/>
      <c r="AF697" s="62" t="s">
        <v>67</v>
      </c>
      <c r="AG697" s="57" t="str">
        <f t="shared" si="11"/>
        <v/>
      </c>
    </row>
    <row r="698">
      <c r="A698" s="6" t="str">
        <f>IFERROR(__xludf.DUMMYFUNCTION("""COMPUTED_VALUE"""),"MA378")</f>
        <v>MA378</v>
      </c>
      <c r="B698" s="204">
        <f>IFERROR(__xludf.DUMMYFUNCTION("""COMPUTED_VALUE"""),44627.0)</f>
        <v>44627</v>
      </c>
      <c r="C698" s="250">
        <f>IFERROR(__xludf.DUMMYFUNCTION("""COMPUTED_VALUE"""),0.3370023148148148)</f>
        <v>0.3370023148</v>
      </c>
      <c r="D698" s="6" t="str">
        <f>IFERROR(__xludf.DUMMYFUNCTION("""COMPUTED_VALUE"""),"SpBEND982485")</f>
        <v>SpBEND982485</v>
      </c>
      <c r="E698" s="251"/>
      <c r="F698" s="251"/>
      <c r="G698" s="251" t="str">
        <f>IFERROR(__xludf.DUMMYFUNCTION("""COMPUTED_VALUE"""),"Negative")</f>
        <v>Negative</v>
      </c>
      <c r="H698" s="262" t="str">
        <f>IFERROR(__xludf.DUMMYFUNCTION("""COMPUTED_VALUE"""),"Negative")</f>
        <v>Negative</v>
      </c>
      <c r="I698" s="204">
        <f>IFERROR(__xludf.DUMMYFUNCTION("""COMPUTED_VALUE"""),44627.0)</f>
        <v>44627</v>
      </c>
      <c r="J698" s="252">
        <f>IFERROR(__xludf.DUMMYFUNCTION("""COMPUTED_VALUE"""),0.4779050925925926)</f>
        <v>0.4779050926</v>
      </c>
      <c r="K698" s="56"/>
      <c r="L698" s="6"/>
      <c r="M698" s="61"/>
      <c r="N698" s="61">
        <f>IFERROR(__xludf.DUMMYFUNCTION("""COMPUTED_VALUE"""),1.0)</f>
        <v>1</v>
      </c>
      <c r="O698" s="61"/>
      <c r="P698" s="253">
        <f>IFERROR(__xludf.DUMMYFUNCTION("""COMPUTED_VALUE"""),0.0)</f>
        <v>0</v>
      </c>
      <c r="Q698" s="254" t="b">
        <f>VLOOKUP($B698,'Run Reconcile'!B$2:O799,14,FALSE)</f>
        <v>1</v>
      </c>
      <c r="R698" s="255" t="str">
        <f t="array" ref="R698">IF($Q698, INDEX('Run Reconcile'!A$2:A799,MATCH(B698,'Run Reconcile'!B$2:B799,0),1),IFERROR(0/0,""))</f>
        <v>RUN-BEND_2022-03-07_RFR-047</v>
      </c>
      <c r="S698" s="261" t="str">
        <f t="shared" ref="S698:T698" si="1403">IF(COUNTIF(W$2:W799, $A698) &gt; 0,TRUE,IFERROR(0/0,""))</f>
        <v/>
      </c>
      <c r="T698" s="261" t="str">
        <f t="shared" si="1403"/>
        <v/>
      </c>
      <c r="U698" s="257" t="str">
        <f t="array" ref="U698">IF(ISBLANK($R698), INDEX('Run Reconcile'!A$2:A799, MATCH($B698, 'Run Reconcile'!B$2:B799, 0)+Z698, 1), IFERROR(0/0,""))
</f>
        <v/>
      </c>
      <c r="V698" s="258" t="str">
        <f t="shared" si="480"/>
        <v>RUN-BEND_2022-03-07_RFR-047</v>
      </c>
      <c r="Y698" s="130" t="str">
        <f t="shared" si="487"/>
        <v/>
      </c>
      <c r="Z698" s="49" t="str">
        <f t="shared" si="7"/>
        <v/>
      </c>
      <c r="AA698" s="49" t="str">
        <f t="shared" si="8"/>
        <v/>
      </c>
      <c r="AB698" s="49" t="str">
        <f t="shared" si="9"/>
        <v/>
      </c>
      <c r="AC698" s="20" t="str">
        <f t="shared" ref="AC698:AD698" si="1404">IF(_xlfn.ISFORMULA(S698),IFERROR(0/0,""),TRUE)</f>
        <v/>
      </c>
      <c r="AD698" s="20" t="str">
        <f t="shared" si="1404"/>
        <v/>
      </c>
      <c r="AE698" s="43"/>
      <c r="AF698" s="62" t="s">
        <v>67</v>
      </c>
      <c r="AG698" s="57" t="str">
        <f t="shared" si="11"/>
        <v/>
      </c>
    </row>
    <row r="699">
      <c r="A699" s="6" t="str">
        <f>IFERROR(__xludf.DUMMYFUNCTION("""COMPUTED_VALUE"""),"MA353")</f>
        <v>MA353</v>
      </c>
      <c r="B699" s="204">
        <f>IFERROR(__xludf.DUMMYFUNCTION("""COMPUTED_VALUE"""),44627.0)</f>
        <v>44627</v>
      </c>
      <c r="C699" s="250">
        <f>IFERROR(__xludf.DUMMYFUNCTION("""COMPUTED_VALUE"""),0.3383449074074074)</f>
        <v>0.3383449074</v>
      </c>
      <c r="D699" s="6" t="str">
        <f>IFERROR(__xludf.DUMMYFUNCTION("""COMPUTED_VALUE"""),"SpBEND982485")</f>
        <v>SpBEND982485</v>
      </c>
      <c r="E699" s="251"/>
      <c r="F699" s="251"/>
      <c r="G699" s="251" t="str">
        <f>IFERROR(__xludf.DUMMYFUNCTION("""COMPUTED_VALUE"""),"Negative")</f>
        <v>Negative</v>
      </c>
      <c r="H699" s="262" t="str">
        <f>IFERROR(__xludf.DUMMYFUNCTION("""COMPUTED_VALUE"""),"Negative")</f>
        <v>Negative</v>
      </c>
      <c r="I699" s="204">
        <f>IFERROR(__xludf.DUMMYFUNCTION("""COMPUTED_VALUE"""),44627.0)</f>
        <v>44627</v>
      </c>
      <c r="J699" s="252">
        <f>IFERROR(__xludf.DUMMYFUNCTION("""COMPUTED_VALUE"""),0.4779050925925926)</f>
        <v>0.4779050926</v>
      </c>
      <c r="K699" s="56"/>
      <c r="L699" s="6"/>
      <c r="M699" s="61"/>
      <c r="N699" s="61">
        <f>IFERROR(__xludf.DUMMYFUNCTION("""COMPUTED_VALUE"""),1.0)</f>
        <v>1</v>
      </c>
      <c r="O699" s="61"/>
      <c r="P699" s="253">
        <f>IFERROR(__xludf.DUMMYFUNCTION("""COMPUTED_VALUE"""),0.0)</f>
        <v>0</v>
      </c>
      <c r="Q699" s="254" t="b">
        <f>VLOOKUP($B699,'Run Reconcile'!B$2:O799,14,FALSE)</f>
        <v>1</v>
      </c>
      <c r="R699" s="255" t="str">
        <f t="array" ref="R699">IF($Q699, INDEX('Run Reconcile'!A$2:A799,MATCH(B699,'Run Reconcile'!B$2:B799,0),1),IFERROR(0/0,""))</f>
        <v>RUN-BEND_2022-03-07_RFR-047</v>
      </c>
      <c r="S699" s="261" t="str">
        <f t="shared" ref="S699:T699" si="1405">IF(COUNTIF(W$2:W799, $A699) &gt; 0,TRUE,IFERROR(0/0,""))</f>
        <v/>
      </c>
      <c r="T699" s="261" t="str">
        <f t="shared" si="1405"/>
        <v/>
      </c>
      <c r="U699" s="257" t="str">
        <f t="array" ref="U699">IF(ISBLANK($R699), INDEX('Run Reconcile'!A$2:A799, MATCH($B699, 'Run Reconcile'!B$2:B799, 0)+Z699, 1), IFERROR(0/0,""))
</f>
        <v/>
      </c>
      <c r="V699" s="258" t="str">
        <f t="shared" si="480"/>
        <v>RUN-BEND_2022-03-07_RFR-047</v>
      </c>
      <c r="Y699" s="130" t="str">
        <f t="shared" si="487"/>
        <v/>
      </c>
      <c r="Z699" s="49" t="str">
        <f t="shared" si="7"/>
        <v/>
      </c>
      <c r="AA699" s="49" t="str">
        <f t="shared" si="8"/>
        <v/>
      </c>
      <c r="AB699" s="49" t="str">
        <f t="shared" si="9"/>
        <v/>
      </c>
      <c r="AC699" s="20" t="str">
        <f t="shared" ref="AC699:AD699" si="1406">IF(_xlfn.ISFORMULA(S699),IFERROR(0/0,""),TRUE)</f>
        <v/>
      </c>
      <c r="AD699" s="20" t="str">
        <f t="shared" si="1406"/>
        <v/>
      </c>
      <c r="AE699" s="43"/>
      <c r="AF699" s="62" t="s">
        <v>67</v>
      </c>
      <c r="AG699" s="57" t="str">
        <f t="shared" si="11"/>
        <v/>
      </c>
    </row>
    <row r="700">
      <c r="A700" s="6" t="str">
        <f>IFERROR(__xludf.DUMMYFUNCTION("""COMPUTED_VALUE"""),"FM367")</f>
        <v>FM367</v>
      </c>
      <c r="B700" s="204">
        <f>IFERROR(__xludf.DUMMYFUNCTION("""COMPUTED_VALUE"""),44627.0)</f>
        <v>44627</v>
      </c>
      <c r="C700" s="250">
        <f>IFERROR(__xludf.DUMMYFUNCTION("""COMPUTED_VALUE"""),0.3385300925925926)</f>
        <v>0.3385300926</v>
      </c>
      <c r="D700" s="6" t="str">
        <f>IFERROR(__xludf.DUMMYFUNCTION("""COMPUTED_VALUE"""),"SpBEND331858")</f>
        <v>SpBEND331858</v>
      </c>
      <c r="E700" s="251"/>
      <c r="F700" s="251"/>
      <c r="G700" s="251" t="str">
        <f>IFERROR(__xludf.DUMMYFUNCTION("""COMPUTED_VALUE"""),"Negative")</f>
        <v>Negative</v>
      </c>
      <c r="H700" s="262" t="str">
        <f>IFERROR(__xludf.DUMMYFUNCTION("""COMPUTED_VALUE"""),"Negative")</f>
        <v>Negative</v>
      </c>
      <c r="I700" s="204">
        <f>IFERROR(__xludf.DUMMYFUNCTION("""COMPUTED_VALUE"""),44627.0)</f>
        <v>44627</v>
      </c>
      <c r="J700" s="252">
        <f>IFERROR(__xludf.DUMMYFUNCTION("""COMPUTED_VALUE"""),0.4779050925925926)</f>
        <v>0.4779050926</v>
      </c>
      <c r="K700" s="56"/>
      <c r="L700" s="6"/>
      <c r="M700" s="61"/>
      <c r="N700" s="61">
        <f>IFERROR(__xludf.DUMMYFUNCTION("""COMPUTED_VALUE"""),1.0)</f>
        <v>1</v>
      </c>
      <c r="O700" s="61"/>
      <c r="P700" s="253">
        <f>IFERROR(__xludf.DUMMYFUNCTION("""COMPUTED_VALUE"""),0.0)</f>
        <v>0</v>
      </c>
      <c r="Q700" s="254" t="b">
        <f>VLOOKUP($B700,'Run Reconcile'!B$2:O799,14,FALSE)</f>
        <v>1</v>
      </c>
      <c r="R700" s="255" t="str">
        <f t="array" ref="R700">IF($Q700, INDEX('Run Reconcile'!A$2:A799,MATCH(B700,'Run Reconcile'!B$2:B799,0),1),IFERROR(0/0,""))</f>
        <v>RUN-BEND_2022-03-07_RFR-047</v>
      </c>
      <c r="S700" s="261" t="str">
        <f t="shared" ref="S700:T700" si="1407">IF(COUNTIF(W$2:W799, $A700) &gt; 0,TRUE,IFERROR(0/0,""))</f>
        <v/>
      </c>
      <c r="T700" s="261" t="str">
        <f t="shared" si="1407"/>
        <v/>
      </c>
      <c r="U700" s="257" t="str">
        <f t="array" ref="U700">IF(ISBLANK($R700), INDEX('Run Reconcile'!A$2:A799, MATCH($B700, 'Run Reconcile'!B$2:B799, 0)+Z700, 1), IFERROR(0/0,""))
</f>
        <v/>
      </c>
      <c r="V700" s="258" t="str">
        <f t="shared" si="480"/>
        <v>RUN-BEND_2022-03-07_RFR-047</v>
      </c>
      <c r="Y700" s="130" t="str">
        <f t="shared" si="487"/>
        <v/>
      </c>
      <c r="Z700" s="49" t="str">
        <f t="shared" si="7"/>
        <v/>
      </c>
      <c r="AA700" s="49" t="str">
        <f t="shared" si="8"/>
        <v/>
      </c>
      <c r="AB700" s="49" t="str">
        <f t="shared" si="9"/>
        <v/>
      </c>
      <c r="AC700" s="20" t="str">
        <f t="shared" ref="AC700:AD700" si="1408">IF(_xlfn.ISFORMULA(S700),IFERROR(0/0,""),TRUE)</f>
        <v/>
      </c>
      <c r="AD700" s="20" t="str">
        <f t="shared" si="1408"/>
        <v/>
      </c>
      <c r="AE700" s="43"/>
      <c r="AF700" s="62" t="s">
        <v>67</v>
      </c>
      <c r="AG700" s="57" t="str">
        <f t="shared" si="11"/>
        <v/>
      </c>
    </row>
    <row r="701">
      <c r="A701" s="6" t="str">
        <f>IFERROR(__xludf.DUMMYFUNCTION("""COMPUTED_VALUE"""),"FM413")</f>
        <v>FM413</v>
      </c>
      <c r="B701" s="204">
        <f>IFERROR(__xludf.DUMMYFUNCTION("""COMPUTED_VALUE"""),44627.0)</f>
        <v>44627</v>
      </c>
      <c r="C701" s="250">
        <f>IFERROR(__xludf.DUMMYFUNCTION("""COMPUTED_VALUE"""),0.3386458333333333)</f>
        <v>0.3386458333</v>
      </c>
      <c r="D701" s="6" t="str">
        <f>IFERROR(__xludf.DUMMYFUNCTION("""COMPUTED_VALUE"""),"SpBEND652059")</f>
        <v>SpBEND652059</v>
      </c>
      <c r="E701" s="251"/>
      <c r="F701" s="251"/>
      <c r="G701" s="251" t="str">
        <f>IFERROR(__xludf.DUMMYFUNCTION("""COMPUTED_VALUE"""),"Negative")</f>
        <v>Negative</v>
      </c>
      <c r="H701" s="262" t="str">
        <f>IFERROR(__xludf.DUMMYFUNCTION("""COMPUTED_VALUE"""),"Negative")</f>
        <v>Negative</v>
      </c>
      <c r="I701" s="204">
        <f>IFERROR(__xludf.DUMMYFUNCTION("""COMPUTED_VALUE"""),44627.0)</f>
        <v>44627</v>
      </c>
      <c r="J701" s="252">
        <f>IFERROR(__xludf.DUMMYFUNCTION("""COMPUTED_VALUE"""),0.4779050925925926)</f>
        <v>0.4779050926</v>
      </c>
      <c r="K701" s="56"/>
      <c r="L701" s="6"/>
      <c r="M701" s="61"/>
      <c r="N701" s="61">
        <f>IFERROR(__xludf.DUMMYFUNCTION("""COMPUTED_VALUE"""),1.0)</f>
        <v>1</v>
      </c>
      <c r="O701" s="61"/>
      <c r="P701" s="253">
        <f>IFERROR(__xludf.DUMMYFUNCTION("""COMPUTED_VALUE"""),0.0)</f>
        <v>0</v>
      </c>
      <c r="Q701" s="254" t="b">
        <f>VLOOKUP($B701,'Run Reconcile'!B$2:O799,14,FALSE)</f>
        <v>1</v>
      </c>
      <c r="R701" s="255" t="str">
        <f t="array" ref="R701">IF($Q701, INDEX('Run Reconcile'!A$2:A799,MATCH(B701,'Run Reconcile'!B$2:B799,0),1),IFERROR(0/0,""))</f>
        <v>RUN-BEND_2022-03-07_RFR-047</v>
      </c>
      <c r="S701" s="261" t="str">
        <f t="shared" ref="S701:T701" si="1409">IF(COUNTIF(W$2:W799, $A701) &gt; 0,TRUE,IFERROR(0/0,""))</f>
        <v/>
      </c>
      <c r="T701" s="261" t="str">
        <f t="shared" si="1409"/>
        <v/>
      </c>
      <c r="U701" s="257" t="str">
        <f t="array" ref="U701">IF(ISBLANK($R701), INDEX('Run Reconcile'!A$2:A799, MATCH($B701, 'Run Reconcile'!B$2:B799, 0)+Z701, 1), IFERROR(0/0,""))
</f>
        <v/>
      </c>
      <c r="V701" s="258" t="str">
        <f t="shared" si="480"/>
        <v>RUN-BEND_2022-03-07_RFR-047</v>
      </c>
      <c r="Y701" s="130" t="str">
        <f t="shared" si="487"/>
        <v/>
      </c>
      <c r="Z701" s="49" t="str">
        <f t="shared" si="7"/>
        <v/>
      </c>
      <c r="AA701" s="49" t="str">
        <f t="shared" si="8"/>
        <v/>
      </c>
      <c r="AB701" s="49" t="str">
        <f t="shared" si="9"/>
        <v/>
      </c>
      <c r="AC701" s="20" t="str">
        <f t="shared" ref="AC701:AD701" si="1410">IF(_xlfn.ISFORMULA(S701),IFERROR(0/0,""),TRUE)</f>
        <v/>
      </c>
      <c r="AD701" s="20" t="str">
        <f t="shared" si="1410"/>
        <v/>
      </c>
      <c r="AE701" s="43"/>
      <c r="AF701" s="62" t="s">
        <v>67</v>
      </c>
      <c r="AG701" s="57" t="str">
        <f t="shared" si="11"/>
        <v/>
      </c>
    </row>
    <row r="702">
      <c r="A702" s="6" t="str">
        <f>IFERROR(__xludf.DUMMYFUNCTION("""COMPUTED_VALUE"""),"MA314")</f>
        <v>MA314</v>
      </c>
      <c r="B702" s="204">
        <f>IFERROR(__xludf.DUMMYFUNCTION("""COMPUTED_VALUE"""),44627.0)</f>
        <v>44627</v>
      </c>
      <c r="C702" s="250">
        <f>IFERROR(__xludf.DUMMYFUNCTION("""COMPUTED_VALUE"""),0.34769675925925925)</f>
        <v>0.3476967593</v>
      </c>
      <c r="D702" s="6" t="str">
        <f>IFERROR(__xludf.DUMMYFUNCTION("""COMPUTED_VALUE"""),"SpBEND985296")</f>
        <v>SpBEND985296</v>
      </c>
      <c r="E702" s="251"/>
      <c r="F702" s="251"/>
      <c r="G702" s="251" t="str">
        <f>IFERROR(__xludf.DUMMYFUNCTION("""COMPUTED_VALUE"""),"Negative")</f>
        <v>Negative</v>
      </c>
      <c r="H702" s="262" t="str">
        <f>IFERROR(__xludf.DUMMYFUNCTION("""COMPUTED_VALUE"""),"Negative")</f>
        <v>Negative</v>
      </c>
      <c r="I702" s="204">
        <f>IFERROR(__xludf.DUMMYFUNCTION("""COMPUTED_VALUE"""),44627.0)</f>
        <v>44627</v>
      </c>
      <c r="J702" s="252">
        <f>IFERROR(__xludf.DUMMYFUNCTION("""COMPUTED_VALUE"""),0.4779050925925926)</f>
        <v>0.4779050926</v>
      </c>
      <c r="K702" s="56"/>
      <c r="L702" s="6"/>
      <c r="M702" s="61"/>
      <c r="N702" s="61">
        <f>IFERROR(__xludf.DUMMYFUNCTION("""COMPUTED_VALUE"""),1.0)</f>
        <v>1</v>
      </c>
      <c r="O702" s="61"/>
      <c r="P702" s="253">
        <f>IFERROR(__xludf.DUMMYFUNCTION("""COMPUTED_VALUE"""),0.0)</f>
        <v>0</v>
      </c>
      <c r="Q702" s="254" t="b">
        <f>VLOOKUP($B702,'Run Reconcile'!B$2:O799,14,FALSE)</f>
        <v>1</v>
      </c>
      <c r="R702" s="255" t="str">
        <f t="array" ref="R702">IF($Q702, INDEX('Run Reconcile'!A$2:A799,MATCH(B702,'Run Reconcile'!B$2:B799,0),1),IFERROR(0/0,""))</f>
        <v>RUN-BEND_2022-03-07_RFR-047</v>
      </c>
      <c r="S702" s="261" t="str">
        <f t="shared" ref="S702:T702" si="1411">IF(COUNTIF(W$2:W799, $A702) &gt; 0,TRUE,IFERROR(0/0,""))</f>
        <v/>
      </c>
      <c r="T702" s="261" t="str">
        <f t="shared" si="1411"/>
        <v/>
      </c>
      <c r="U702" s="257" t="str">
        <f t="array" ref="U702">IF(ISBLANK($R702), INDEX('Run Reconcile'!A$2:A799, MATCH($B702, 'Run Reconcile'!B$2:B799, 0)+Z702, 1), IFERROR(0/0,""))
</f>
        <v/>
      </c>
      <c r="V702" s="258" t="str">
        <f t="shared" si="480"/>
        <v>RUN-BEND_2022-03-07_RFR-047</v>
      </c>
      <c r="Y702" s="130" t="str">
        <f t="shared" si="487"/>
        <v/>
      </c>
      <c r="Z702" s="49" t="str">
        <f t="shared" si="7"/>
        <v/>
      </c>
      <c r="AA702" s="49" t="str">
        <f t="shared" si="8"/>
        <v/>
      </c>
      <c r="AB702" s="49" t="str">
        <f t="shared" si="9"/>
        <v/>
      </c>
      <c r="AC702" s="20" t="str">
        <f t="shared" ref="AC702:AD702" si="1412">IF(_xlfn.ISFORMULA(S702),IFERROR(0/0,""),TRUE)</f>
        <v/>
      </c>
      <c r="AD702" s="20" t="str">
        <f t="shared" si="1412"/>
        <v/>
      </c>
      <c r="AE702" s="43"/>
      <c r="AF702" s="62" t="s">
        <v>67</v>
      </c>
      <c r="AG702" s="57" t="str">
        <f t="shared" si="11"/>
        <v/>
      </c>
    </row>
    <row r="703">
      <c r="A703" s="6" t="str">
        <f>IFERROR(__xludf.DUMMYFUNCTION("""COMPUTED_VALUE"""),"FM2099")</f>
        <v>FM2099</v>
      </c>
      <c r="B703" s="204">
        <f>IFERROR(__xludf.DUMMYFUNCTION("""COMPUTED_VALUE"""),44627.0)</f>
        <v>44627</v>
      </c>
      <c r="C703" s="250">
        <f>IFERROR(__xludf.DUMMYFUNCTION("""COMPUTED_VALUE"""),0.35195601851851854)</f>
        <v>0.3519560185</v>
      </c>
      <c r="D703" s="6" t="str">
        <f>IFERROR(__xludf.DUMMYFUNCTION("""COMPUTED_VALUE"""),"SpBEND611299")</f>
        <v>SpBEND611299</v>
      </c>
      <c r="E703" s="251"/>
      <c r="F703" s="251"/>
      <c r="G703" s="251" t="str">
        <f>IFERROR(__xludf.DUMMYFUNCTION("""COMPUTED_VALUE"""),"Negative")</f>
        <v>Negative</v>
      </c>
      <c r="H703" s="262" t="str">
        <f>IFERROR(__xludf.DUMMYFUNCTION("""COMPUTED_VALUE"""),"Negative")</f>
        <v>Negative</v>
      </c>
      <c r="I703" s="204">
        <f>IFERROR(__xludf.DUMMYFUNCTION("""COMPUTED_VALUE"""),44627.0)</f>
        <v>44627</v>
      </c>
      <c r="J703" s="252">
        <f>IFERROR(__xludf.DUMMYFUNCTION("""COMPUTED_VALUE"""),0.4779050925925926)</f>
        <v>0.4779050926</v>
      </c>
      <c r="K703" s="56"/>
      <c r="L703" s="6"/>
      <c r="M703" s="61"/>
      <c r="N703" s="61">
        <f>IFERROR(__xludf.DUMMYFUNCTION("""COMPUTED_VALUE"""),1.0)</f>
        <v>1</v>
      </c>
      <c r="O703" s="61"/>
      <c r="P703" s="253">
        <f>IFERROR(__xludf.DUMMYFUNCTION("""COMPUTED_VALUE"""),0.0)</f>
        <v>0</v>
      </c>
      <c r="Q703" s="254" t="b">
        <f>VLOOKUP($B703,'Run Reconcile'!B$2:O799,14,FALSE)</f>
        <v>1</v>
      </c>
      <c r="R703" s="255" t="str">
        <f t="array" ref="R703">IF($Q703, INDEX('Run Reconcile'!A$2:A799,MATCH(B703,'Run Reconcile'!B$2:B799,0),1),IFERROR(0/0,""))</f>
        <v>RUN-BEND_2022-03-07_RFR-047</v>
      </c>
      <c r="S703" s="261" t="str">
        <f t="shared" ref="S703:T703" si="1413">IF(COUNTIF(W$2:W799, $A703) &gt; 0,TRUE,IFERROR(0/0,""))</f>
        <v/>
      </c>
      <c r="T703" s="261" t="str">
        <f t="shared" si="1413"/>
        <v/>
      </c>
      <c r="U703" s="257" t="str">
        <f t="array" ref="U703">IF(ISBLANK($R703), INDEX('Run Reconcile'!A$2:A799, MATCH($B703, 'Run Reconcile'!B$2:B799, 0)+Z703, 1), IFERROR(0/0,""))
</f>
        <v/>
      </c>
      <c r="V703" s="258" t="str">
        <f t="shared" si="480"/>
        <v>RUN-BEND_2022-03-07_RFR-047</v>
      </c>
      <c r="Y703" s="130" t="str">
        <f t="shared" si="487"/>
        <v/>
      </c>
      <c r="Z703" s="49" t="str">
        <f t="shared" si="7"/>
        <v/>
      </c>
      <c r="AA703" s="49" t="str">
        <f t="shared" si="8"/>
        <v/>
      </c>
      <c r="AB703" s="49" t="str">
        <f t="shared" si="9"/>
        <v/>
      </c>
      <c r="AC703" s="20" t="str">
        <f t="shared" ref="AC703:AD703" si="1414">IF(_xlfn.ISFORMULA(S703),IFERROR(0/0,""),TRUE)</f>
        <v/>
      </c>
      <c r="AD703" s="20" t="str">
        <f t="shared" si="1414"/>
        <v/>
      </c>
      <c r="AE703" s="43"/>
      <c r="AF703" s="62" t="s">
        <v>67</v>
      </c>
      <c r="AG703" s="57" t="str">
        <f t="shared" si="11"/>
        <v/>
      </c>
    </row>
    <row r="704">
      <c r="A704" s="269" t="str">
        <f>IFERROR(__xludf.DUMMYFUNCTION("""COMPUTED_VALUE"""),"FM2049")</f>
        <v>FM2049</v>
      </c>
      <c r="B704" s="270">
        <f>IFERROR(__xludf.DUMMYFUNCTION("""COMPUTED_VALUE"""),44629.0)</f>
        <v>44629</v>
      </c>
      <c r="C704" s="271">
        <f>IFERROR(__xludf.DUMMYFUNCTION("""COMPUTED_VALUE"""),0.2939699074074074)</f>
        <v>0.2939699074</v>
      </c>
      <c r="D704" s="269" t="str">
        <f>IFERROR(__xludf.DUMMYFUNCTION("""COMPUTED_VALUE"""),"SpBEND757435")</f>
        <v>SpBEND757435</v>
      </c>
      <c r="E704" s="272"/>
      <c r="F704" s="272"/>
      <c r="G704" s="272" t="str">
        <f>IFERROR(__xludf.DUMMYFUNCTION("""COMPUTED_VALUE"""),"Negative")</f>
        <v>Negative</v>
      </c>
      <c r="H704" s="273" t="str">
        <f>IFERROR(__xludf.DUMMYFUNCTION("""COMPUTED_VALUE"""),"Negative")</f>
        <v>Negative</v>
      </c>
      <c r="I704" s="270">
        <f>IFERROR(__xludf.DUMMYFUNCTION("""COMPUTED_VALUE"""),44629.0)</f>
        <v>44629</v>
      </c>
      <c r="J704" s="274">
        <f>IFERROR(__xludf.DUMMYFUNCTION("""COMPUTED_VALUE"""),0.4994328703703704)</f>
        <v>0.4994328704</v>
      </c>
      <c r="K704" s="275"/>
      <c r="L704" s="269"/>
      <c r="M704" s="276"/>
      <c r="N704" s="276">
        <f>IFERROR(__xludf.DUMMYFUNCTION("""COMPUTED_VALUE"""),1.0)</f>
        <v>1</v>
      </c>
      <c r="O704" s="276"/>
      <c r="P704" s="277">
        <f>IFERROR(__xludf.DUMMYFUNCTION("""COMPUTED_VALUE"""),0.0)</f>
        <v>0</v>
      </c>
      <c r="Q704" s="278" t="b">
        <f>VLOOKUP($B704,'Run Reconcile'!B$2:O799,14,FALSE)</f>
        <v>1</v>
      </c>
      <c r="R704" s="279" t="str">
        <f t="array" ref="R704">IF($Q704, INDEX('Run Reconcile'!A$2:A799,MATCH(B704,'Run Reconcile'!B$2:B799,0),1),IFERROR(0/0,""))</f>
        <v>RUN-BEND_2022-03-09_RFR-049</v>
      </c>
      <c r="S704" s="280" t="str">
        <f t="shared" ref="S704:T704" si="1415">IF(COUNTIF(W$2:W799, $A704) &gt; 0,TRUE,IFERROR(0/0,""))</f>
        <v/>
      </c>
      <c r="T704" s="280" t="str">
        <f t="shared" si="1415"/>
        <v/>
      </c>
      <c r="U704" s="281" t="str">
        <f t="array" ref="U704">IF(ISBLANK($R704), INDEX('Run Reconcile'!A$2:A799, MATCH($B704, 'Run Reconcile'!B$2:B799, 0)+Z704, 1), IFERROR(0/0,""))
</f>
        <v/>
      </c>
      <c r="V704" s="282" t="str">
        <f t="shared" si="480"/>
        <v>RUN-BEND_2022-03-09_RFR-049</v>
      </c>
      <c r="W704" s="269"/>
      <c r="X704" s="269"/>
      <c r="Y704" s="283" t="str">
        <f t="shared" si="487"/>
        <v/>
      </c>
      <c r="Z704" s="284" t="str">
        <f t="shared" si="7"/>
        <v/>
      </c>
      <c r="AA704" s="284" t="str">
        <f t="shared" si="8"/>
        <v/>
      </c>
      <c r="AB704" s="284" t="str">
        <f t="shared" si="9"/>
        <v/>
      </c>
      <c r="AC704" s="285" t="str">
        <f t="shared" ref="AC704:AD704" si="1416">IF(_xlfn.ISFORMULA(S704),IFERROR(0/0,""),TRUE)</f>
        <v/>
      </c>
      <c r="AD704" s="285" t="str">
        <f t="shared" si="1416"/>
        <v/>
      </c>
      <c r="AE704" s="286"/>
      <c r="AF704" s="287" t="s">
        <v>68</v>
      </c>
      <c r="AG704" s="57" t="str">
        <f t="shared" si="11"/>
        <v/>
      </c>
      <c r="AH704" s="269"/>
      <c r="AI704" s="269"/>
      <c r="AJ704" s="269"/>
      <c r="AK704" s="269"/>
    </row>
    <row r="705">
      <c r="A705" s="6" t="str">
        <f>IFERROR(__xludf.DUMMYFUNCTION("""COMPUTED_VALUE"""),"FM395")</f>
        <v>FM395</v>
      </c>
      <c r="B705" s="204">
        <f>IFERROR(__xludf.DUMMYFUNCTION("""COMPUTED_VALUE"""),44629.0)</f>
        <v>44629</v>
      </c>
      <c r="C705" s="250">
        <f>IFERROR(__xludf.DUMMYFUNCTION("""COMPUTED_VALUE"""),0.31136574074074075)</f>
        <v>0.3113657407</v>
      </c>
      <c r="D705" s="6" t="str">
        <f>IFERROR(__xludf.DUMMYFUNCTION("""COMPUTED_VALUE"""),"SpBEND548976")</f>
        <v>SpBEND548976</v>
      </c>
      <c r="E705" s="251"/>
      <c r="F705" s="251"/>
      <c r="G705" s="251" t="str">
        <f>IFERROR(__xludf.DUMMYFUNCTION("""COMPUTED_VALUE"""),"Null")</f>
        <v>Null</v>
      </c>
      <c r="H705" s="262" t="str">
        <f>IFERROR(__xludf.DUMMYFUNCTION("""COMPUTED_VALUE"""),"Negative")</f>
        <v>Negative</v>
      </c>
      <c r="I705" s="262"/>
      <c r="J705" s="56"/>
      <c r="K705" s="56">
        <f>IFERROR(__xludf.DUMMYFUNCTION("""COMPUTED_VALUE"""),2.0)</f>
        <v>2</v>
      </c>
      <c r="L705" s="6"/>
      <c r="M705" s="61"/>
      <c r="N705" s="61">
        <f>IFERROR(__xludf.DUMMYFUNCTION("""COMPUTED_VALUE"""),1.0)</f>
        <v>1</v>
      </c>
      <c r="O705" s="61"/>
      <c r="P705" s="253">
        <f>IFERROR(__xludf.DUMMYFUNCTION("""COMPUTED_VALUE"""),-1.0)</f>
        <v>-1</v>
      </c>
      <c r="Q705" s="254" t="b">
        <f>VLOOKUP($B705,'Run Reconcile'!B$2:O799,14,FALSE)</f>
        <v>1</v>
      </c>
      <c r="R705" s="255" t="str">
        <f t="array" ref="R705">IF($Q705, INDEX('Run Reconcile'!A$2:A799,MATCH(B705,'Run Reconcile'!B$2:B799,0),1),IFERROR(0/0,""))</f>
        <v>RUN-BEND_2022-03-09_RFR-049</v>
      </c>
      <c r="S705" s="261" t="str">
        <f t="shared" ref="S705:T705" si="1417">IF(COUNTIF(W$2:W799, $A705) &gt; 0,TRUE,IFERROR(0/0,""))</f>
        <v/>
      </c>
      <c r="T705" s="261" t="str">
        <f t="shared" si="1417"/>
        <v/>
      </c>
      <c r="U705" s="257" t="str">
        <f t="array" ref="U705">IF(ISBLANK($R705), INDEX('Run Reconcile'!A$2:A799, MATCH($B705, 'Run Reconcile'!B$2:B799, 0)+Z705, 1), IFERROR(0/0,""))
</f>
        <v/>
      </c>
      <c r="V705" s="258" t="str">
        <f t="shared" si="480"/>
        <v>RUN-BEND_2022-03-09_RFR-049</v>
      </c>
      <c r="Y705" s="130" t="str">
        <f t="shared" si="487"/>
        <v/>
      </c>
      <c r="Z705" s="49" t="str">
        <f t="shared" si="7"/>
        <v/>
      </c>
      <c r="AA705" s="49" t="str">
        <f t="shared" si="8"/>
        <v/>
      </c>
      <c r="AB705" s="49" t="str">
        <f t="shared" si="9"/>
        <v/>
      </c>
      <c r="AC705" s="20" t="str">
        <f t="shared" ref="AC705:AD705" si="1418">IF(_xlfn.ISFORMULA(S705),IFERROR(0/0,""),TRUE)</f>
        <v/>
      </c>
      <c r="AD705" s="20" t="str">
        <f t="shared" si="1418"/>
        <v/>
      </c>
      <c r="AE705" s="43"/>
      <c r="AF705" s="62" t="s">
        <v>68</v>
      </c>
      <c r="AG705" s="57" t="str">
        <f t="shared" si="11"/>
        <v/>
      </c>
    </row>
    <row r="706">
      <c r="A706" s="6" t="str">
        <f>IFERROR(__xludf.DUMMYFUNCTION("""COMPUTED_VALUE"""),"MA1275")</f>
        <v>MA1275</v>
      </c>
      <c r="B706" s="204">
        <f>IFERROR(__xludf.DUMMYFUNCTION("""COMPUTED_VALUE"""),44629.0)</f>
        <v>44629</v>
      </c>
      <c r="C706" s="250">
        <f>IFERROR(__xludf.DUMMYFUNCTION("""COMPUTED_VALUE"""),0.31177083333333333)</f>
        <v>0.3117708333</v>
      </c>
      <c r="D706" s="6" t="str">
        <f>IFERROR(__xludf.DUMMYFUNCTION("""COMPUTED_VALUE"""),"SpBEND183210")</f>
        <v>SpBEND183210</v>
      </c>
      <c r="E706" s="251"/>
      <c r="F706" s="251"/>
      <c r="G706" s="251" t="str">
        <f>IFERROR(__xludf.DUMMYFUNCTION("""COMPUTED_VALUE"""),"Negative")</f>
        <v>Negative</v>
      </c>
      <c r="H706" s="262" t="str">
        <f>IFERROR(__xludf.DUMMYFUNCTION("""COMPUTED_VALUE"""),"Negative")</f>
        <v>Negative</v>
      </c>
      <c r="I706" s="204">
        <f>IFERROR(__xludf.DUMMYFUNCTION("""COMPUTED_VALUE"""),44629.0)</f>
        <v>44629</v>
      </c>
      <c r="J706" s="252">
        <f>IFERROR(__xludf.DUMMYFUNCTION("""COMPUTED_VALUE"""),0.49944444444444447)</f>
        <v>0.4994444444</v>
      </c>
      <c r="K706" s="56"/>
      <c r="L706" s="6"/>
      <c r="M706" s="61"/>
      <c r="N706" s="61">
        <f>IFERROR(__xludf.DUMMYFUNCTION("""COMPUTED_VALUE"""),1.0)</f>
        <v>1</v>
      </c>
      <c r="O706" s="61"/>
      <c r="P706" s="253">
        <f>IFERROR(__xludf.DUMMYFUNCTION("""COMPUTED_VALUE"""),0.0)</f>
        <v>0</v>
      </c>
      <c r="Q706" s="254" t="b">
        <f>VLOOKUP($B706,'Run Reconcile'!B$2:O799,14,FALSE)</f>
        <v>1</v>
      </c>
      <c r="R706" s="255" t="str">
        <f t="array" ref="R706">IF($Q706, INDEX('Run Reconcile'!A$2:A799,MATCH(B706,'Run Reconcile'!B$2:B799,0),1),IFERROR(0/0,""))</f>
        <v>RUN-BEND_2022-03-09_RFR-049</v>
      </c>
      <c r="S706" s="261" t="str">
        <f t="shared" ref="S706:T706" si="1419">IF(COUNTIF(W$2:W799, $A706) &gt; 0,TRUE,IFERROR(0/0,""))</f>
        <v/>
      </c>
      <c r="T706" s="261" t="str">
        <f t="shared" si="1419"/>
        <v/>
      </c>
      <c r="U706" s="257" t="str">
        <f t="array" ref="U706">IF(ISBLANK($R706), INDEX('Run Reconcile'!A$2:A799, MATCH($B706, 'Run Reconcile'!B$2:B799, 0)+Z706, 1), IFERROR(0/0,""))
</f>
        <v/>
      </c>
      <c r="V706" s="258" t="str">
        <f t="shared" si="480"/>
        <v>RUN-BEND_2022-03-09_RFR-049</v>
      </c>
      <c r="Y706" s="130" t="str">
        <f t="shared" si="487"/>
        <v/>
      </c>
      <c r="Z706" s="49" t="str">
        <f t="shared" si="7"/>
        <v/>
      </c>
      <c r="AA706" s="49" t="str">
        <f t="shared" si="8"/>
        <v/>
      </c>
      <c r="AB706" s="49" t="str">
        <f t="shared" si="9"/>
        <v/>
      </c>
      <c r="AC706" s="20" t="str">
        <f t="shared" ref="AC706:AD706" si="1420">IF(_xlfn.ISFORMULA(S706),IFERROR(0/0,""),TRUE)</f>
        <v/>
      </c>
      <c r="AD706" s="20" t="str">
        <f t="shared" si="1420"/>
        <v/>
      </c>
      <c r="AE706" s="43"/>
      <c r="AF706" s="62" t="s">
        <v>68</v>
      </c>
      <c r="AG706" s="57" t="str">
        <f t="shared" si="11"/>
        <v/>
      </c>
    </row>
    <row r="707">
      <c r="A707" s="6" t="str">
        <f>IFERROR(__xludf.DUMMYFUNCTION("""COMPUTED_VALUE"""),"FM2067")</f>
        <v>FM2067</v>
      </c>
      <c r="B707" s="204">
        <f>IFERROR(__xludf.DUMMYFUNCTION("""COMPUTED_VALUE"""),44629.0)</f>
        <v>44629</v>
      </c>
      <c r="C707" s="250">
        <f>IFERROR(__xludf.DUMMYFUNCTION("""COMPUTED_VALUE"""),0.3121527777777778)</f>
        <v>0.3121527778</v>
      </c>
      <c r="D707" s="6" t="str">
        <f>IFERROR(__xludf.DUMMYFUNCTION("""COMPUTED_VALUE"""),"SpBEND816435")</f>
        <v>SpBEND816435</v>
      </c>
      <c r="E707" s="251"/>
      <c r="F707" s="251"/>
      <c r="G707" s="251" t="str">
        <f>IFERROR(__xludf.DUMMYFUNCTION("""COMPUTED_VALUE"""),"Negative")</f>
        <v>Negative</v>
      </c>
      <c r="H707" s="262" t="str">
        <f>IFERROR(__xludf.DUMMYFUNCTION("""COMPUTED_VALUE"""),"Negative")</f>
        <v>Negative</v>
      </c>
      <c r="I707" s="204">
        <f>IFERROR(__xludf.DUMMYFUNCTION("""COMPUTED_VALUE"""),44629.0)</f>
        <v>44629</v>
      </c>
      <c r="J707" s="252">
        <f>IFERROR(__xludf.DUMMYFUNCTION("""COMPUTED_VALUE"""),0.49944444444444447)</f>
        <v>0.4994444444</v>
      </c>
      <c r="K707" s="56"/>
      <c r="L707" s="6"/>
      <c r="M707" s="61"/>
      <c r="N707" s="61">
        <f>IFERROR(__xludf.DUMMYFUNCTION("""COMPUTED_VALUE"""),1.0)</f>
        <v>1</v>
      </c>
      <c r="O707" s="61"/>
      <c r="P707" s="253">
        <f>IFERROR(__xludf.DUMMYFUNCTION("""COMPUTED_VALUE"""),0.0)</f>
        <v>0</v>
      </c>
      <c r="Q707" s="254" t="b">
        <f>VLOOKUP($B707,'Run Reconcile'!B$2:O799,14,FALSE)</f>
        <v>1</v>
      </c>
      <c r="R707" s="255" t="str">
        <f t="array" ref="R707">IF($Q707, INDEX('Run Reconcile'!A$2:A799,MATCH(B707,'Run Reconcile'!B$2:B799,0),1),IFERROR(0/0,""))</f>
        <v>RUN-BEND_2022-03-09_RFR-049</v>
      </c>
      <c r="S707" s="261" t="str">
        <f t="shared" ref="S707:T707" si="1421">IF(COUNTIF(W$2:W799, $A707) &gt; 0,TRUE,IFERROR(0/0,""))</f>
        <v/>
      </c>
      <c r="T707" s="261" t="str">
        <f t="shared" si="1421"/>
        <v/>
      </c>
      <c r="U707" s="257" t="str">
        <f t="array" ref="U707">IF(ISBLANK($R707), INDEX('Run Reconcile'!A$2:A799, MATCH($B707, 'Run Reconcile'!B$2:B799, 0)+Z707, 1), IFERROR(0/0,""))
</f>
        <v/>
      </c>
      <c r="V707" s="258" t="str">
        <f t="shared" si="480"/>
        <v>RUN-BEND_2022-03-09_RFR-049</v>
      </c>
      <c r="Y707" s="130" t="str">
        <f t="shared" si="487"/>
        <v/>
      </c>
      <c r="Z707" s="49" t="str">
        <f t="shared" si="7"/>
        <v/>
      </c>
      <c r="AA707" s="49" t="str">
        <f t="shared" si="8"/>
        <v/>
      </c>
      <c r="AB707" s="49" t="str">
        <f t="shared" si="9"/>
        <v/>
      </c>
      <c r="AC707" s="20" t="str">
        <f t="shared" ref="AC707:AD707" si="1422">IF(_xlfn.ISFORMULA(S707),IFERROR(0/0,""),TRUE)</f>
        <v/>
      </c>
      <c r="AD707" s="20" t="str">
        <f t="shared" si="1422"/>
        <v/>
      </c>
      <c r="AE707" s="43"/>
      <c r="AF707" s="62" t="s">
        <v>68</v>
      </c>
      <c r="AG707" s="57" t="str">
        <f t="shared" si="11"/>
        <v/>
      </c>
    </row>
    <row r="708">
      <c r="A708" s="6" t="str">
        <f>IFERROR(__xludf.DUMMYFUNCTION("""COMPUTED_VALUE"""),"FM310")</f>
        <v>FM310</v>
      </c>
      <c r="B708" s="204">
        <f>IFERROR(__xludf.DUMMYFUNCTION("""COMPUTED_VALUE"""),44629.0)</f>
        <v>44629</v>
      </c>
      <c r="C708" s="250">
        <f>IFERROR(__xludf.DUMMYFUNCTION("""COMPUTED_VALUE"""),0.31225694444444446)</f>
        <v>0.3122569444</v>
      </c>
      <c r="D708" s="6" t="str">
        <f>IFERROR(__xludf.DUMMYFUNCTION("""COMPUTED_VALUE"""),"SpBEND296258")</f>
        <v>SpBEND296258</v>
      </c>
      <c r="E708" s="251"/>
      <c r="F708" s="251"/>
      <c r="G708" s="251" t="str">
        <f>IFERROR(__xludf.DUMMYFUNCTION("""COMPUTED_VALUE"""),"Negative")</f>
        <v>Negative</v>
      </c>
      <c r="H708" s="262" t="str">
        <f>IFERROR(__xludf.DUMMYFUNCTION("""COMPUTED_VALUE"""),"Negative")</f>
        <v>Negative</v>
      </c>
      <c r="I708" s="204">
        <f>IFERROR(__xludf.DUMMYFUNCTION("""COMPUTED_VALUE"""),44629.0)</f>
        <v>44629</v>
      </c>
      <c r="J708" s="252">
        <f>IFERROR(__xludf.DUMMYFUNCTION("""COMPUTED_VALUE"""),0.49944444444444447)</f>
        <v>0.4994444444</v>
      </c>
      <c r="K708" s="56"/>
      <c r="L708" s="6"/>
      <c r="M708" s="61"/>
      <c r="N708" s="61">
        <f>IFERROR(__xludf.DUMMYFUNCTION("""COMPUTED_VALUE"""),1.0)</f>
        <v>1</v>
      </c>
      <c r="O708" s="61"/>
      <c r="P708" s="253">
        <f>IFERROR(__xludf.DUMMYFUNCTION("""COMPUTED_VALUE"""),0.0)</f>
        <v>0</v>
      </c>
      <c r="Q708" s="254" t="b">
        <f>VLOOKUP($B708,'Run Reconcile'!B$2:O799,14,FALSE)</f>
        <v>1</v>
      </c>
      <c r="R708" s="255" t="str">
        <f t="array" ref="R708">IF($Q708, INDEX('Run Reconcile'!A$2:A799,MATCH(B708,'Run Reconcile'!B$2:B799,0),1),IFERROR(0/0,""))</f>
        <v>RUN-BEND_2022-03-09_RFR-049</v>
      </c>
      <c r="S708" s="261" t="str">
        <f t="shared" ref="S708:T708" si="1423">IF(COUNTIF(W$2:W799, $A708) &gt; 0,TRUE,IFERROR(0/0,""))</f>
        <v/>
      </c>
      <c r="T708" s="261" t="str">
        <f t="shared" si="1423"/>
        <v/>
      </c>
      <c r="U708" s="257" t="str">
        <f t="array" ref="U708">IF(ISBLANK($R708), INDEX('Run Reconcile'!A$2:A799, MATCH($B708, 'Run Reconcile'!B$2:B799, 0)+Z708, 1), IFERROR(0/0,""))
</f>
        <v/>
      </c>
      <c r="V708" s="258" t="str">
        <f t="shared" si="480"/>
        <v>RUN-BEND_2022-03-09_RFR-049</v>
      </c>
      <c r="Y708" s="130" t="str">
        <f t="shared" si="487"/>
        <v/>
      </c>
      <c r="Z708" s="49" t="str">
        <f t="shared" si="7"/>
        <v/>
      </c>
      <c r="AA708" s="49" t="str">
        <f t="shared" si="8"/>
        <v/>
      </c>
      <c r="AB708" s="49" t="str">
        <f t="shared" si="9"/>
        <v/>
      </c>
      <c r="AC708" s="20" t="str">
        <f t="shared" ref="AC708:AD708" si="1424">IF(_xlfn.ISFORMULA(S708),IFERROR(0/0,""),TRUE)</f>
        <v/>
      </c>
      <c r="AD708" s="20" t="str">
        <f t="shared" si="1424"/>
        <v/>
      </c>
      <c r="AE708" s="43"/>
      <c r="AF708" s="62" t="s">
        <v>68</v>
      </c>
      <c r="AG708" s="57" t="str">
        <f t="shared" si="11"/>
        <v/>
      </c>
    </row>
    <row r="709">
      <c r="A709" s="6" t="str">
        <f>IFERROR(__xludf.DUMMYFUNCTION("""COMPUTED_VALUE"""),"FM2046")</f>
        <v>FM2046</v>
      </c>
      <c r="B709" s="204">
        <f>IFERROR(__xludf.DUMMYFUNCTION("""COMPUTED_VALUE"""),44629.0)</f>
        <v>44629</v>
      </c>
      <c r="C709" s="250">
        <f>IFERROR(__xludf.DUMMYFUNCTION("""COMPUTED_VALUE"""),0.31296296296296294)</f>
        <v>0.312962963</v>
      </c>
      <c r="D709" s="6" t="str">
        <f>IFERROR(__xludf.DUMMYFUNCTION("""COMPUTED_VALUE"""),"SpBEND110967")</f>
        <v>SpBEND110967</v>
      </c>
      <c r="E709" s="251"/>
      <c r="F709" s="251"/>
      <c r="G709" s="251" t="str">
        <f>IFERROR(__xludf.DUMMYFUNCTION("""COMPUTED_VALUE"""),"Negative")</f>
        <v>Negative</v>
      </c>
      <c r="H709" s="262" t="str">
        <f>IFERROR(__xludf.DUMMYFUNCTION("""COMPUTED_VALUE"""),"Negative")</f>
        <v>Negative</v>
      </c>
      <c r="I709" s="204">
        <f>IFERROR(__xludf.DUMMYFUNCTION("""COMPUTED_VALUE"""),44629.0)</f>
        <v>44629</v>
      </c>
      <c r="J709" s="252">
        <f>IFERROR(__xludf.DUMMYFUNCTION("""COMPUTED_VALUE"""),0.49944444444444447)</f>
        <v>0.4994444444</v>
      </c>
      <c r="K709" s="56"/>
      <c r="L709" s="6"/>
      <c r="M709" s="61"/>
      <c r="N709" s="61">
        <f>IFERROR(__xludf.DUMMYFUNCTION("""COMPUTED_VALUE"""),1.0)</f>
        <v>1</v>
      </c>
      <c r="O709" s="61"/>
      <c r="P709" s="253">
        <f>IFERROR(__xludf.DUMMYFUNCTION("""COMPUTED_VALUE"""),0.0)</f>
        <v>0</v>
      </c>
      <c r="Q709" s="254" t="b">
        <f>VLOOKUP($B709,'Run Reconcile'!B$2:O799,14,FALSE)</f>
        <v>1</v>
      </c>
      <c r="R709" s="255" t="str">
        <f t="array" ref="R709">IF($Q709, INDEX('Run Reconcile'!A$2:A799,MATCH(B709,'Run Reconcile'!B$2:B799,0),1),IFERROR(0/0,""))</f>
        <v>RUN-BEND_2022-03-09_RFR-049</v>
      </c>
      <c r="S709" s="261" t="str">
        <f t="shared" ref="S709:T709" si="1425">IF(COUNTIF(W$2:W799, $A709) &gt; 0,TRUE,IFERROR(0/0,""))</f>
        <v/>
      </c>
      <c r="T709" s="261" t="str">
        <f t="shared" si="1425"/>
        <v/>
      </c>
      <c r="U709" s="257" t="str">
        <f t="array" ref="U709">IF(ISBLANK($R709), INDEX('Run Reconcile'!A$2:A799, MATCH($B709, 'Run Reconcile'!B$2:B799, 0)+Z709, 1), IFERROR(0/0,""))
</f>
        <v/>
      </c>
      <c r="V709" s="258" t="str">
        <f t="shared" si="480"/>
        <v>RUN-BEND_2022-03-09_RFR-049</v>
      </c>
      <c r="Y709" s="130" t="str">
        <f t="shared" si="487"/>
        <v/>
      </c>
      <c r="Z709" s="49" t="str">
        <f t="shared" si="7"/>
        <v/>
      </c>
      <c r="AA709" s="49" t="str">
        <f t="shared" si="8"/>
        <v/>
      </c>
      <c r="AB709" s="49" t="str">
        <f t="shared" si="9"/>
        <v/>
      </c>
      <c r="AC709" s="20" t="str">
        <f t="shared" ref="AC709:AD709" si="1426">IF(_xlfn.ISFORMULA(S709),IFERROR(0/0,""),TRUE)</f>
        <v/>
      </c>
      <c r="AD709" s="20" t="str">
        <f t="shared" si="1426"/>
        <v/>
      </c>
      <c r="AE709" s="43"/>
      <c r="AF709" s="62" t="s">
        <v>68</v>
      </c>
      <c r="AG709" s="57" t="str">
        <f t="shared" si="11"/>
        <v/>
      </c>
    </row>
    <row r="710">
      <c r="A710" s="6" t="str">
        <f>IFERROR(__xludf.DUMMYFUNCTION("""COMPUTED_VALUE"""),"FM304")</f>
        <v>FM304</v>
      </c>
      <c r="B710" s="204">
        <f>IFERROR(__xludf.DUMMYFUNCTION("""COMPUTED_VALUE"""),44629.0)</f>
        <v>44629</v>
      </c>
      <c r="C710" s="250">
        <f>IFERROR(__xludf.DUMMYFUNCTION("""COMPUTED_VALUE"""),0.31309027777777776)</f>
        <v>0.3130902778</v>
      </c>
      <c r="D710" s="6" t="str">
        <f>IFERROR(__xludf.DUMMYFUNCTION("""COMPUTED_VALUE"""),"SpBEND406814")</f>
        <v>SpBEND406814</v>
      </c>
      <c r="E710" s="251"/>
      <c r="F710" s="251"/>
      <c r="G710" s="251" t="str">
        <f>IFERROR(__xludf.DUMMYFUNCTION("""COMPUTED_VALUE"""),"Negative")</f>
        <v>Negative</v>
      </c>
      <c r="H710" s="262" t="str">
        <f>IFERROR(__xludf.DUMMYFUNCTION("""COMPUTED_VALUE"""),"Negative")</f>
        <v>Negative</v>
      </c>
      <c r="I710" s="204">
        <f>IFERROR(__xludf.DUMMYFUNCTION("""COMPUTED_VALUE"""),44629.0)</f>
        <v>44629</v>
      </c>
      <c r="J710" s="252">
        <f>IFERROR(__xludf.DUMMYFUNCTION("""COMPUTED_VALUE"""),0.49944444444444447)</f>
        <v>0.4994444444</v>
      </c>
      <c r="K710" s="56"/>
      <c r="L710" s="6"/>
      <c r="M710" s="61"/>
      <c r="N710" s="61">
        <f>IFERROR(__xludf.DUMMYFUNCTION("""COMPUTED_VALUE"""),1.0)</f>
        <v>1</v>
      </c>
      <c r="O710" s="61"/>
      <c r="P710" s="253">
        <f>IFERROR(__xludf.DUMMYFUNCTION("""COMPUTED_VALUE"""),0.0)</f>
        <v>0</v>
      </c>
      <c r="Q710" s="254" t="b">
        <f>VLOOKUP($B710,'Run Reconcile'!B$2:O799,14,FALSE)</f>
        <v>1</v>
      </c>
      <c r="R710" s="255" t="str">
        <f t="array" ref="R710">IF($Q710, INDEX('Run Reconcile'!A$2:A799,MATCH(B710,'Run Reconcile'!B$2:B799,0),1),IFERROR(0/0,""))</f>
        <v>RUN-BEND_2022-03-09_RFR-049</v>
      </c>
      <c r="S710" s="261" t="str">
        <f t="shared" ref="S710:T710" si="1427">IF(COUNTIF(W$2:W799, $A710) &gt; 0,TRUE,IFERROR(0/0,""))</f>
        <v/>
      </c>
      <c r="T710" s="261" t="str">
        <f t="shared" si="1427"/>
        <v/>
      </c>
      <c r="U710" s="257" t="str">
        <f t="array" ref="U710">IF(ISBLANK($R710), INDEX('Run Reconcile'!A$2:A799, MATCH($B710, 'Run Reconcile'!B$2:B799, 0)+Z710, 1), IFERROR(0/0,""))
</f>
        <v/>
      </c>
      <c r="V710" s="258" t="str">
        <f t="shared" si="480"/>
        <v>RUN-BEND_2022-03-09_RFR-049</v>
      </c>
      <c r="Y710" s="130" t="str">
        <f t="shared" si="487"/>
        <v/>
      </c>
      <c r="Z710" s="49" t="str">
        <f t="shared" si="7"/>
        <v/>
      </c>
      <c r="AA710" s="49" t="str">
        <f t="shared" si="8"/>
        <v/>
      </c>
      <c r="AB710" s="49" t="str">
        <f t="shared" si="9"/>
        <v/>
      </c>
      <c r="AC710" s="20" t="str">
        <f t="shared" ref="AC710:AD710" si="1428">IF(_xlfn.ISFORMULA(S710),IFERROR(0/0,""),TRUE)</f>
        <v/>
      </c>
      <c r="AD710" s="20" t="str">
        <f t="shared" si="1428"/>
        <v/>
      </c>
      <c r="AE710" s="43"/>
      <c r="AF710" s="62" t="s">
        <v>68</v>
      </c>
      <c r="AG710" s="57" t="str">
        <f t="shared" si="11"/>
        <v/>
      </c>
    </row>
    <row r="711">
      <c r="A711" s="6" t="str">
        <f>IFERROR(__xludf.DUMMYFUNCTION("""COMPUTED_VALUE"""),"FM2097")</f>
        <v>FM2097</v>
      </c>
      <c r="B711" s="204">
        <f>IFERROR(__xludf.DUMMYFUNCTION("""COMPUTED_VALUE"""),44629.0)</f>
        <v>44629</v>
      </c>
      <c r="C711" s="250">
        <f>IFERROR(__xludf.DUMMYFUNCTION("""COMPUTED_VALUE"""),0.31440972222222224)</f>
        <v>0.3144097222</v>
      </c>
      <c r="D711" s="6" t="str">
        <f>IFERROR(__xludf.DUMMYFUNCTION("""COMPUTED_VALUE"""),"SpBEND198321")</f>
        <v>SpBEND198321</v>
      </c>
      <c r="E711" s="251"/>
      <c r="F711" s="251"/>
      <c r="G711" s="251" t="str">
        <f>IFERROR(__xludf.DUMMYFUNCTION("""COMPUTED_VALUE"""),"Negative")</f>
        <v>Negative</v>
      </c>
      <c r="H711" s="262" t="str">
        <f>IFERROR(__xludf.DUMMYFUNCTION("""COMPUTED_VALUE"""),"Negative")</f>
        <v>Negative</v>
      </c>
      <c r="I711" s="204">
        <f>IFERROR(__xludf.DUMMYFUNCTION("""COMPUTED_VALUE"""),44629.0)</f>
        <v>44629</v>
      </c>
      <c r="J711" s="252">
        <f>IFERROR(__xludf.DUMMYFUNCTION("""COMPUTED_VALUE"""),0.49944444444444447)</f>
        <v>0.4994444444</v>
      </c>
      <c r="K711" s="56"/>
      <c r="L711" s="6"/>
      <c r="M711" s="61"/>
      <c r="N711" s="61">
        <f>IFERROR(__xludf.DUMMYFUNCTION("""COMPUTED_VALUE"""),1.0)</f>
        <v>1</v>
      </c>
      <c r="O711" s="61"/>
      <c r="P711" s="253">
        <f>IFERROR(__xludf.DUMMYFUNCTION("""COMPUTED_VALUE"""),0.0)</f>
        <v>0</v>
      </c>
      <c r="Q711" s="254" t="b">
        <f>VLOOKUP($B711,'Run Reconcile'!B$2:O799,14,FALSE)</f>
        <v>1</v>
      </c>
      <c r="R711" s="255" t="str">
        <f t="array" ref="R711">IF($Q711, INDEX('Run Reconcile'!A$2:A799,MATCH(B711,'Run Reconcile'!B$2:B799,0),1),IFERROR(0/0,""))</f>
        <v>RUN-BEND_2022-03-09_RFR-049</v>
      </c>
      <c r="S711" s="261" t="str">
        <f t="shared" ref="S711:T711" si="1429">IF(COUNTIF(W$2:W799, $A711) &gt; 0,TRUE,IFERROR(0/0,""))</f>
        <v/>
      </c>
      <c r="T711" s="261" t="str">
        <f t="shared" si="1429"/>
        <v/>
      </c>
      <c r="U711" s="257" t="str">
        <f t="array" ref="U711">IF(ISBLANK($R711), INDEX('Run Reconcile'!A$2:A799, MATCH($B711, 'Run Reconcile'!B$2:B799, 0)+Z711, 1), IFERROR(0/0,""))
</f>
        <v/>
      </c>
      <c r="V711" s="258" t="str">
        <f t="shared" si="480"/>
        <v>RUN-BEND_2022-03-09_RFR-049</v>
      </c>
      <c r="Y711" s="130" t="str">
        <f t="shared" si="487"/>
        <v/>
      </c>
      <c r="Z711" s="49" t="str">
        <f t="shared" si="7"/>
        <v/>
      </c>
      <c r="AA711" s="49" t="str">
        <f t="shared" si="8"/>
        <v/>
      </c>
      <c r="AB711" s="49" t="str">
        <f t="shared" si="9"/>
        <v/>
      </c>
      <c r="AC711" s="20" t="str">
        <f t="shared" ref="AC711:AD711" si="1430">IF(_xlfn.ISFORMULA(S711),IFERROR(0/0,""),TRUE)</f>
        <v/>
      </c>
      <c r="AD711" s="20" t="str">
        <f t="shared" si="1430"/>
        <v/>
      </c>
      <c r="AE711" s="43"/>
      <c r="AF711" s="62" t="s">
        <v>68</v>
      </c>
      <c r="AG711" s="57" t="str">
        <f t="shared" si="11"/>
        <v/>
      </c>
    </row>
    <row r="712">
      <c r="A712" s="6" t="str">
        <f>IFERROR(__xludf.DUMMYFUNCTION("""COMPUTED_VALUE"""),"FM498")</f>
        <v>FM498</v>
      </c>
      <c r="B712" s="204">
        <f>IFERROR(__xludf.DUMMYFUNCTION("""COMPUTED_VALUE"""),44629.0)</f>
        <v>44629</v>
      </c>
      <c r="C712" s="250">
        <f>IFERROR(__xludf.DUMMYFUNCTION("""COMPUTED_VALUE"""),0.31482638888888886)</f>
        <v>0.3148263889</v>
      </c>
      <c r="D712" s="6" t="str">
        <f>IFERROR(__xludf.DUMMYFUNCTION("""COMPUTED_VALUE"""),"SpBEND551372")</f>
        <v>SpBEND551372</v>
      </c>
      <c r="E712" s="251"/>
      <c r="F712" s="251"/>
      <c r="G712" s="251" t="str">
        <f>IFERROR(__xludf.DUMMYFUNCTION("""COMPUTED_VALUE"""),"Negative")</f>
        <v>Negative</v>
      </c>
      <c r="H712" s="262" t="str">
        <f>IFERROR(__xludf.DUMMYFUNCTION("""COMPUTED_VALUE"""),"Negative")</f>
        <v>Negative</v>
      </c>
      <c r="I712" s="204">
        <f>IFERROR(__xludf.DUMMYFUNCTION("""COMPUTED_VALUE"""),44629.0)</f>
        <v>44629</v>
      </c>
      <c r="J712" s="252">
        <f>IFERROR(__xludf.DUMMYFUNCTION("""COMPUTED_VALUE"""),0.49944444444444447)</f>
        <v>0.4994444444</v>
      </c>
      <c r="K712" s="56"/>
      <c r="L712" s="6"/>
      <c r="M712" s="61"/>
      <c r="N712" s="61">
        <f>IFERROR(__xludf.DUMMYFUNCTION("""COMPUTED_VALUE"""),1.0)</f>
        <v>1</v>
      </c>
      <c r="O712" s="61"/>
      <c r="P712" s="253">
        <f>IFERROR(__xludf.DUMMYFUNCTION("""COMPUTED_VALUE"""),0.0)</f>
        <v>0</v>
      </c>
      <c r="Q712" s="254" t="b">
        <f>VLOOKUP($B712,'Run Reconcile'!B$2:O799,14,FALSE)</f>
        <v>1</v>
      </c>
      <c r="R712" s="255" t="str">
        <f t="array" ref="R712">IF($Q712, INDEX('Run Reconcile'!A$2:A799,MATCH(B712,'Run Reconcile'!B$2:B799,0),1),IFERROR(0/0,""))</f>
        <v>RUN-BEND_2022-03-09_RFR-049</v>
      </c>
      <c r="S712" s="261" t="str">
        <f t="shared" ref="S712:T712" si="1431">IF(COUNTIF(W$2:W799, $A712) &gt; 0,TRUE,IFERROR(0/0,""))</f>
        <v/>
      </c>
      <c r="T712" s="261" t="str">
        <f t="shared" si="1431"/>
        <v/>
      </c>
      <c r="U712" s="257" t="str">
        <f t="array" ref="U712">IF(ISBLANK($R712), INDEX('Run Reconcile'!A$2:A799, MATCH($B712, 'Run Reconcile'!B$2:B799, 0)+Z712, 1), IFERROR(0/0,""))
</f>
        <v/>
      </c>
      <c r="V712" s="258" t="str">
        <f t="shared" si="480"/>
        <v>RUN-BEND_2022-03-09_RFR-049</v>
      </c>
      <c r="Y712" s="130" t="str">
        <f t="shared" si="487"/>
        <v/>
      </c>
      <c r="Z712" s="49" t="str">
        <f t="shared" si="7"/>
        <v/>
      </c>
      <c r="AA712" s="49" t="str">
        <f t="shared" si="8"/>
        <v/>
      </c>
      <c r="AB712" s="49" t="str">
        <f t="shared" si="9"/>
        <v/>
      </c>
      <c r="AC712" s="20" t="str">
        <f t="shared" ref="AC712:AD712" si="1432">IF(_xlfn.ISFORMULA(S712),IFERROR(0/0,""),TRUE)</f>
        <v/>
      </c>
      <c r="AD712" s="20" t="str">
        <f t="shared" si="1432"/>
        <v/>
      </c>
      <c r="AE712" s="43"/>
      <c r="AF712" s="62" t="s">
        <v>68</v>
      </c>
      <c r="AG712" s="57" t="str">
        <f t="shared" si="11"/>
        <v/>
      </c>
    </row>
    <row r="713">
      <c r="A713" s="6" t="str">
        <f>IFERROR(__xludf.DUMMYFUNCTION("""COMPUTED_VALUE"""),"FM422")</f>
        <v>FM422</v>
      </c>
      <c r="B713" s="204">
        <f>IFERROR(__xludf.DUMMYFUNCTION("""COMPUTED_VALUE"""),44629.0)</f>
        <v>44629</v>
      </c>
      <c r="C713" s="250">
        <f>IFERROR(__xludf.DUMMYFUNCTION("""COMPUTED_VALUE"""),0.3169328703703704)</f>
        <v>0.3169328704</v>
      </c>
      <c r="D713" s="6" t="str">
        <f>IFERROR(__xludf.DUMMYFUNCTION("""COMPUTED_VALUE"""),"SpBEND474338")</f>
        <v>SpBEND474338</v>
      </c>
      <c r="E713" s="251"/>
      <c r="F713" s="251"/>
      <c r="G713" s="251" t="str">
        <f>IFERROR(__xludf.DUMMYFUNCTION("""COMPUTED_VALUE"""),"Negative")</f>
        <v>Negative</v>
      </c>
      <c r="H713" s="262" t="str">
        <f>IFERROR(__xludf.DUMMYFUNCTION("""COMPUTED_VALUE"""),"Negative")</f>
        <v>Negative</v>
      </c>
      <c r="I713" s="204">
        <f>IFERROR(__xludf.DUMMYFUNCTION("""COMPUTED_VALUE"""),44629.0)</f>
        <v>44629</v>
      </c>
      <c r="J713" s="252">
        <f>IFERROR(__xludf.DUMMYFUNCTION("""COMPUTED_VALUE"""),0.49944444444444447)</f>
        <v>0.4994444444</v>
      </c>
      <c r="K713" s="56"/>
      <c r="L713" s="6"/>
      <c r="M713" s="61"/>
      <c r="N713" s="61">
        <f>IFERROR(__xludf.DUMMYFUNCTION("""COMPUTED_VALUE"""),1.0)</f>
        <v>1</v>
      </c>
      <c r="O713" s="61"/>
      <c r="P713" s="253">
        <f>IFERROR(__xludf.DUMMYFUNCTION("""COMPUTED_VALUE"""),0.0)</f>
        <v>0</v>
      </c>
      <c r="Q713" s="254" t="b">
        <f>VLOOKUP($B713,'Run Reconcile'!B$2:O799,14,FALSE)</f>
        <v>1</v>
      </c>
      <c r="R713" s="255" t="str">
        <f t="array" ref="R713">IF($Q713, INDEX('Run Reconcile'!A$2:A799,MATCH(B713,'Run Reconcile'!B$2:B799,0),1),IFERROR(0/0,""))</f>
        <v>RUN-BEND_2022-03-09_RFR-049</v>
      </c>
      <c r="S713" s="261" t="str">
        <f t="shared" ref="S713:T713" si="1433">IF(COUNTIF(W$2:W799, $A713) &gt; 0,TRUE,IFERROR(0/0,""))</f>
        <v/>
      </c>
      <c r="T713" s="261" t="str">
        <f t="shared" si="1433"/>
        <v/>
      </c>
      <c r="U713" s="257" t="str">
        <f t="array" ref="U713">IF(ISBLANK($R713), INDEX('Run Reconcile'!A$2:A799, MATCH($B713, 'Run Reconcile'!B$2:B799, 0)+Z713, 1), IFERROR(0/0,""))
</f>
        <v/>
      </c>
      <c r="V713" s="258" t="str">
        <f t="shared" si="480"/>
        <v>RUN-BEND_2022-03-09_RFR-049</v>
      </c>
      <c r="Y713" s="130" t="str">
        <f t="shared" si="487"/>
        <v/>
      </c>
      <c r="Z713" s="49" t="str">
        <f t="shared" si="7"/>
        <v/>
      </c>
      <c r="AA713" s="49" t="str">
        <f t="shared" si="8"/>
        <v/>
      </c>
      <c r="AB713" s="49" t="str">
        <f t="shared" si="9"/>
        <v/>
      </c>
      <c r="AC713" s="20" t="str">
        <f t="shared" ref="AC713:AD713" si="1434">IF(_xlfn.ISFORMULA(S713),IFERROR(0/0,""),TRUE)</f>
        <v/>
      </c>
      <c r="AD713" s="20" t="str">
        <f t="shared" si="1434"/>
        <v/>
      </c>
      <c r="AE713" s="43"/>
      <c r="AF713" s="62" t="s">
        <v>68</v>
      </c>
      <c r="AG713" s="57" t="str">
        <f t="shared" si="11"/>
        <v/>
      </c>
    </row>
    <row r="714">
      <c r="A714" s="6" t="str">
        <f>IFERROR(__xludf.DUMMYFUNCTION("""COMPUTED_VALUE"""),"FM91")</f>
        <v>FM91</v>
      </c>
      <c r="B714" s="204">
        <f>IFERROR(__xludf.DUMMYFUNCTION("""COMPUTED_VALUE"""),44629.0)</f>
        <v>44629</v>
      </c>
      <c r="C714" s="250">
        <f>IFERROR(__xludf.DUMMYFUNCTION("""COMPUTED_VALUE"""),0.31734953703703705)</f>
        <v>0.317349537</v>
      </c>
      <c r="D714" s="6" t="str">
        <f>IFERROR(__xludf.DUMMYFUNCTION("""COMPUTED_VALUE"""),"SpBEND139600")</f>
        <v>SpBEND139600</v>
      </c>
      <c r="E714" s="251"/>
      <c r="F714" s="251"/>
      <c r="G714" s="251" t="str">
        <f>IFERROR(__xludf.DUMMYFUNCTION("""COMPUTED_VALUE"""),"Negative")</f>
        <v>Negative</v>
      </c>
      <c r="H714" s="262" t="str">
        <f>IFERROR(__xludf.DUMMYFUNCTION("""COMPUTED_VALUE"""),"Negative")</f>
        <v>Negative</v>
      </c>
      <c r="I714" s="204">
        <f>IFERROR(__xludf.DUMMYFUNCTION("""COMPUTED_VALUE"""),44629.0)</f>
        <v>44629</v>
      </c>
      <c r="J714" s="252">
        <f>IFERROR(__xludf.DUMMYFUNCTION("""COMPUTED_VALUE"""),0.49944444444444447)</f>
        <v>0.4994444444</v>
      </c>
      <c r="K714" s="56"/>
      <c r="L714" s="6"/>
      <c r="M714" s="61"/>
      <c r="N714" s="61">
        <f>IFERROR(__xludf.DUMMYFUNCTION("""COMPUTED_VALUE"""),1.0)</f>
        <v>1</v>
      </c>
      <c r="O714" s="61"/>
      <c r="P714" s="253">
        <f>IFERROR(__xludf.DUMMYFUNCTION("""COMPUTED_VALUE"""),0.0)</f>
        <v>0</v>
      </c>
      <c r="Q714" s="254" t="b">
        <f>VLOOKUP($B714,'Run Reconcile'!B$2:O799,14,FALSE)</f>
        <v>1</v>
      </c>
      <c r="R714" s="255" t="str">
        <f t="array" ref="R714">IF($Q714, INDEX('Run Reconcile'!A$2:A799,MATCH(B714,'Run Reconcile'!B$2:B799,0),1),IFERROR(0/0,""))</f>
        <v>RUN-BEND_2022-03-09_RFR-049</v>
      </c>
      <c r="S714" s="261" t="str">
        <f t="shared" ref="S714:T714" si="1435">IF(COUNTIF(W$2:W799, $A714) &gt; 0,TRUE,IFERROR(0/0,""))</f>
        <v/>
      </c>
      <c r="T714" s="261" t="str">
        <f t="shared" si="1435"/>
        <v/>
      </c>
      <c r="U714" s="257" t="str">
        <f t="array" ref="U714">IF(ISBLANK($R714), INDEX('Run Reconcile'!A$2:A799, MATCH($B714, 'Run Reconcile'!B$2:B799, 0)+Z714, 1), IFERROR(0/0,""))
</f>
        <v/>
      </c>
      <c r="V714" s="258" t="str">
        <f t="shared" si="480"/>
        <v>RUN-BEND_2022-03-09_RFR-049</v>
      </c>
      <c r="Y714" s="130" t="str">
        <f t="shared" si="487"/>
        <v/>
      </c>
      <c r="Z714" s="49" t="str">
        <f t="shared" si="7"/>
        <v/>
      </c>
      <c r="AA714" s="49" t="str">
        <f t="shared" si="8"/>
        <v/>
      </c>
      <c r="AB714" s="49" t="str">
        <f t="shared" si="9"/>
        <v/>
      </c>
      <c r="AC714" s="20" t="str">
        <f t="shared" ref="AC714:AD714" si="1436">IF(_xlfn.ISFORMULA(S714),IFERROR(0/0,""),TRUE)</f>
        <v/>
      </c>
      <c r="AD714" s="20" t="str">
        <f t="shared" si="1436"/>
        <v/>
      </c>
      <c r="AE714" s="43"/>
      <c r="AF714" s="62" t="s">
        <v>68</v>
      </c>
      <c r="AG714" s="57" t="str">
        <f t="shared" si="11"/>
        <v/>
      </c>
    </row>
    <row r="715">
      <c r="A715" s="6" t="str">
        <f>IFERROR(__xludf.DUMMYFUNCTION("""COMPUTED_VALUE"""),"FM16")</f>
        <v>FM16</v>
      </c>
      <c r="B715" s="204">
        <f>IFERROR(__xludf.DUMMYFUNCTION("""COMPUTED_VALUE"""),44629.0)</f>
        <v>44629</v>
      </c>
      <c r="C715" s="250">
        <f>IFERROR(__xludf.DUMMYFUNCTION("""COMPUTED_VALUE"""),0.31824074074074077)</f>
        <v>0.3182407407</v>
      </c>
      <c r="D715" s="6" t="str">
        <f>IFERROR(__xludf.DUMMYFUNCTION("""COMPUTED_VALUE"""),"SpBEND292554")</f>
        <v>SpBEND292554</v>
      </c>
      <c r="E715" s="251"/>
      <c r="F715" s="251"/>
      <c r="G715" s="251" t="str">
        <f>IFERROR(__xludf.DUMMYFUNCTION("""COMPUTED_VALUE"""),"Negative")</f>
        <v>Negative</v>
      </c>
      <c r="H715" s="262" t="str">
        <f>IFERROR(__xludf.DUMMYFUNCTION("""COMPUTED_VALUE"""),"Negative")</f>
        <v>Negative</v>
      </c>
      <c r="I715" s="204">
        <f>IFERROR(__xludf.DUMMYFUNCTION("""COMPUTED_VALUE"""),44629.0)</f>
        <v>44629</v>
      </c>
      <c r="J715" s="252">
        <f>IFERROR(__xludf.DUMMYFUNCTION("""COMPUTED_VALUE"""),0.49944444444444447)</f>
        <v>0.4994444444</v>
      </c>
      <c r="K715" s="56"/>
      <c r="L715" s="6"/>
      <c r="M715" s="61"/>
      <c r="N715" s="61">
        <f>IFERROR(__xludf.DUMMYFUNCTION("""COMPUTED_VALUE"""),1.0)</f>
        <v>1</v>
      </c>
      <c r="O715" s="61"/>
      <c r="P715" s="253">
        <f>IFERROR(__xludf.DUMMYFUNCTION("""COMPUTED_VALUE"""),0.0)</f>
        <v>0</v>
      </c>
      <c r="Q715" s="254" t="b">
        <f>VLOOKUP($B715,'Run Reconcile'!B$2:O799,14,FALSE)</f>
        <v>1</v>
      </c>
      <c r="R715" s="255" t="str">
        <f t="array" ref="R715">IF($Q715, INDEX('Run Reconcile'!A$2:A799,MATCH(B715,'Run Reconcile'!B$2:B799,0),1),IFERROR(0/0,""))</f>
        <v>RUN-BEND_2022-03-09_RFR-049</v>
      </c>
      <c r="S715" s="261" t="str">
        <f t="shared" ref="S715:T715" si="1437">IF(COUNTIF(W$2:W799, $A715) &gt; 0,TRUE,IFERROR(0/0,""))</f>
        <v/>
      </c>
      <c r="T715" s="261" t="str">
        <f t="shared" si="1437"/>
        <v/>
      </c>
      <c r="U715" s="257" t="str">
        <f t="array" ref="U715">IF(ISBLANK($R715), INDEX('Run Reconcile'!A$2:A799, MATCH($B715, 'Run Reconcile'!B$2:B799, 0)+Z715, 1), IFERROR(0/0,""))
</f>
        <v/>
      </c>
      <c r="V715" s="258" t="str">
        <f t="shared" si="480"/>
        <v>RUN-BEND_2022-03-09_RFR-049</v>
      </c>
      <c r="Y715" s="130" t="str">
        <f t="shared" si="487"/>
        <v/>
      </c>
      <c r="Z715" s="49" t="str">
        <f t="shared" si="7"/>
        <v/>
      </c>
      <c r="AA715" s="49" t="str">
        <f t="shared" si="8"/>
        <v/>
      </c>
      <c r="AB715" s="49" t="str">
        <f t="shared" si="9"/>
        <v/>
      </c>
      <c r="AC715" s="20" t="str">
        <f t="shared" ref="AC715:AD715" si="1438">IF(_xlfn.ISFORMULA(S715),IFERROR(0/0,""),TRUE)</f>
        <v/>
      </c>
      <c r="AD715" s="20" t="str">
        <f t="shared" si="1438"/>
        <v/>
      </c>
      <c r="AE715" s="43"/>
      <c r="AF715" s="62" t="s">
        <v>68</v>
      </c>
      <c r="AG715" s="57" t="str">
        <f t="shared" si="11"/>
        <v/>
      </c>
    </row>
    <row r="716">
      <c r="A716" s="6" t="str">
        <f>IFERROR(__xludf.DUMMYFUNCTION("""COMPUTED_VALUE"""),"FM340")</f>
        <v>FM340</v>
      </c>
      <c r="B716" s="204">
        <f>IFERROR(__xludf.DUMMYFUNCTION("""COMPUTED_VALUE"""),44629.0)</f>
        <v>44629</v>
      </c>
      <c r="C716" s="250">
        <f>IFERROR(__xludf.DUMMYFUNCTION("""COMPUTED_VALUE"""),0.3201851851851852)</f>
        <v>0.3201851852</v>
      </c>
      <c r="D716" s="6" t="str">
        <f>IFERROR(__xludf.DUMMYFUNCTION("""COMPUTED_VALUE"""),"SpBEND445560")</f>
        <v>SpBEND445560</v>
      </c>
      <c r="E716" s="251"/>
      <c r="F716" s="251"/>
      <c r="G716" s="251" t="str">
        <f>IFERROR(__xludf.DUMMYFUNCTION("""COMPUTED_VALUE"""),"Negative")</f>
        <v>Negative</v>
      </c>
      <c r="H716" s="262" t="str">
        <f>IFERROR(__xludf.DUMMYFUNCTION("""COMPUTED_VALUE"""),"Negative")</f>
        <v>Negative</v>
      </c>
      <c r="I716" s="204">
        <f>IFERROR(__xludf.DUMMYFUNCTION("""COMPUTED_VALUE"""),44629.0)</f>
        <v>44629</v>
      </c>
      <c r="J716" s="252">
        <f>IFERROR(__xludf.DUMMYFUNCTION("""COMPUTED_VALUE"""),0.49944444444444447)</f>
        <v>0.4994444444</v>
      </c>
      <c r="K716" s="56"/>
      <c r="L716" s="6"/>
      <c r="M716" s="61"/>
      <c r="N716" s="61">
        <f>IFERROR(__xludf.DUMMYFUNCTION("""COMPUTED_VALUE"""),1.0)</f>
        <v>1</v>
      </c>
      <c r="O716" s="61"/>
      <c r="P716" s="253">
        <f>IFERROR(__xludf.DUMMYFUNCTION("""COMPUTED_VALUE"""),0.0)</f>
        <v>0</v>
      </c>
      <c r="Q716" s="254" t="b">
        <f>VLOOKUP($B716,'Run Reconcile'!B$2:O799,14,FALSE)</f>
        <v>1</v>
      </c>
      <c r="R716" s="255" t="str">
        <f t="array" ref="R716">IF($Q716, INDEX('Run Reconcile'!A$2:A799,MATCH(B716,'Run Reconcile'!B$2:B799,0),1),IFERROR(0/0,""))</f>
        <v>RUN-BEND_2022-03-09_RFR-049</v>
      </c>
      <c r="S716" s="261" t="str">
        <f t="shared" ref="S716:T716" si="1439">IF(COUNTIF(W$2:W799, $A716) &gt; 0,TRUE,IFERROR(0/0,""))</f>
        <v/>
      </c>
      <c r="T716" s="261" t="str">
        <f t="shared" si="1439"/>
        <v/>
      </c>
      <c r="U716" s="257" t="str">
        <f t="array" ref="U716">IF(ISBLANK($R716), INDEX('Run Reconcile'!A$2:A799, MATCH($B716, 'Run Reconcile'!B$2:B799, 0)+Z716, 1), IFERROR(0/0,""))
</f>
        <v/>
      </c>
      <c r="V716" s="258" t="str">
        <f t="shared" si="480"/>
        <v>RUN-BEND_2022-03-09_RFR-049</v>
      </c>
      <c r="Y716" s="130" t="str">
        <f t="shared" si="487"/>
        <v/>
      </c>
      <c r="Z716" s="49" t="str">
        <f t="shared" si="7"/>
        <v/>
      </c>
      <c r="AA716" s="49" t="str">
        <f t="shared" si="8"/>
        <v/>
      </c>
      <c r="AB716" s="49" t="str">
        <f t="shared" si="9"/>
        <v/>
      </c>
      <c r="AC716" s="20" t="str">
        <f t="shared" ref="AC716:AD716" si="1440">IF(_xlfn.ISFORMULA(S716),IFERROR(0/0,""),TRUE)</f>
        <v/>
      </c>
      <c r="AD716" s="20" t="str">
        <f t="shared" si="1440"/>
        <v/>
      </c>
      <c r="AE716" s="43"/>
      <c r="AF716" s="62" t="s">
        <v>68</v>
      </c>
      <c r="AG716" s="57" t="str">
        <f t="shared" si="11"/>
        <v/>
      </c>
    </row>
    <row r="717">
      <c r="A717" s="6" t="str">
        <f>IFERROR(__xludf.DUMMYFUNCTION("""COMPUTED_VALUE"""),"FM1889")</f>
        <v>FM1889</v>
      </c>
      <c r="B717" s="204">
        <f>IFERROR(__xludf.DUMMYFUNCTION("""COMPUTED_VALUE"""),44629.0)</f>
        <v>44629</v>
      </c>
      <c r="C717" s="250">
        <f>IFERROR(__xludf.DUMMYFUNCTION("""COMPUTED_VALUE"""),0.32186342592592593)</f>
        <v>0.3218634259</v>
      </c>
      <c r="D717" s="6" t="str">
        <f>IFERROR(__xludf.DUMMYFUNCTION("""COMPUTED_VALUE"""),"SpBEND637657")</f>
        <v>SpBEND637657</v>
      </c>
      <c r="E717" s="251"/>
      <c r="F717" s="251"/>
      <c r="G717" s="251" t="str">
        <f>IFERROR(__xludf.DUMMYFUNCTION("""COMPUTED_VALUE"""),"Negative")</f>
        <v>Negative</v>
      </c>
      <c r="H717" s="262" t="str">
        <f>IFERROR(__xludf.DUMMYFUNCTION("""COMPUTED_VALUE"""),"Negative")</f>
        <v>Negative</v>
      </c>
      <c r="I717" s="204">
        <f>IFERROR(__xludf.DUMMYFUNCTION("""COMPUTED_VALUE"""),44629.0)</f>
        <v>44629</v>
      </c>
      <c r="J717" s="252">
        <f>IFERROR(__xludf.DUMMYFUNCTION("""COMPUTED_VALUE"""),0.49944444444444447)</f>
        <v>0.4994444444</v>
      </c>
      <c r="K717" s="56"/>
      <c r="L717" s="6"/>
      <c r="M717" s="61"/>
      <c r="N717" s="61">
        <f>IFERROR(__xludf.DUMMYFUNCTION("""COMPUTED_VALUE"""),1.0)</f>
        <v>1</v>
      </c>
      <c r="O717" s="61"/>
      <c r="P717" s="253">
        <f>IFERROR(__xludf.DUMMYFUNCTION("""COMPUTED_VALUE"""),0.0)</f>
        <v>0</v>
      </c>
      <c r="Q717" s="254" t="b">
        <f>VLOOKUP($B717,'Run Reconcile'!B$2:O799,14,FALSE)</f>
        <v>1</v>
      </c>
      <c r="R717" s="255" t="str">
        <f t="array" ref="R717">IF($Q717, INDEX('Run Reconcile'!A$2:A799,MATCH(B717,'Run Reconcile'!B$2:B799,0),1),IFERROR(0/0,""))</f>
        <v>RUN-BEND_2022-03-09_RFR-049</v>
      </c>
      <c r="S717" s="261" t="str">
        <f t="shared" ref="S717:T717" si="1441">IF(COUNTIF(W$2:W799, $A717) &gt; 0,TRUE,IFERROR(0/0,""))</f>
        <v/>
      </c>
      <c r="T717" s="261" t="str">
        <f t="shared" si="1441"/>
        <v/>
      </c>
      <c r="U717" s="257" t="str">
        <f t="array" ref="U717">IF(ISBLANK($R717), INDEX('Run Reconcile'!A$2:A799, MATCH($B717, 'Run Reconcile'!B$2:B799, 0)+Z717, 1), IFERROR(0/0,""))
</f>
        <v/>
      </c>
      <c r="V717" s="258" t="str">
        <f t="shared" si="480"/>
        <v>RUN-BEND_2022-03-09_RFR-049</v>
      </c>
      <c r="Y717" s="130" t="str">
        <f t="shared" si="487"/>
        <v/>
      </c>
      <c r="Z717" s="49" t="str">
        <f t="shared" si="7"/>
        <v/>
      </c>
      <c r="AA717" s="49" t="str">
        <f t="shared" si="8"/>
        <v/>
      </c>
      <c r="AB717" s="49" t="str">
        <f t="shared" si="9"/>
        <v/>
      </c>
      <c r="AC717" s="20" t="str">
        <f t="shared" ref="AC717:AD717" si="1442">IF(_xlfn.ISFORMULA(S717),IFERROR(0/0,""),TRUE)</f>
        <v/>
      </c>
      <c r="AD717" s="20" t="str">
        <f t="shared" si="1442"/>
        <v/>
      </c>
      <c r="AE717" s="43"/>
      <c r="AF717" s="62" t="s">
        <v>68</v>
      </c>
      <c r="AG717" s="57" t="str">
        <f t="shared" si="11"/>
        <v/>
      </c>
    </row>
    <row r="718">
      <c r="A718" s="6" t="str">
        <f>IFERROR(__xludf.DUMMYFUNCTION("""COMPUTED_VALUE"""),"FM401")</f>
        <v>FM401</v>
      </c>
      <c r="B718" s="204">
        <f>IFERROR(__xludf.DUMMYFUNCTION("""COMPUTED_VALUE"""),44629.0)</f>
        <v>44629</v>
      </c>
      <c r="C718" s="250">
        <f>IFERROR(__xludf.DUMMYFUNCTION("""COMPUTED_VALUE"""),0.3237847222222222)</f>
        <v>0.3237847222</v>
      </c>
      <c r="D718" s="6" t="str">
        <f>IFERROR(__xludf.DUMMYFUNCTION("""COMPUTED_VALUE"""),"SpBEND980783")</f>
        <v>SpBEND980783</v>
      </c>
      <c r="E718" s="251"/>
      <c r="F718" s="251"/>
      <c r="G718" s="251" t="str">
        <f>IFERROR(__xludf.DUMMYFUNCTION("""COMPUTED_VALUE"""),"Negative")</f>
        <v>Negative</v>
      </c>
      <c r="H718" s="262" t="str">
        <f>IFERROR(__xludf.DUMMYFUNCTION("""COMPUTED_VALUE"""),"Negative")</f>
        <v>Negative</v>
      </c>
      <c r="I718" s="204">
        <f>IFERROR(__xludf.DUMMYFUNCTION("""COMPUTED_VALUE"""),44629.0)</f>
        <v>44629</v>
      </c>
      <c r="J718" s="252">
        <f>IFERROR(__xludf.DUMMYFUNCTION("""COMPUTED_VALUE"""),0.49944444444444447)</f>
        <v>0.4994444444</v>
      </c>
      <c r="K718" s="56"/>
      <c r="L718" s="6"/>
      <c r="M718" s="61"/>
      <c r="N718" s="61">
        <f>IFERROR(__xludf.DUMMYFUNCTION("""COMPUTED_VALUE"""),1.0)</f>
        <v>1</v>
      </c>
      <c r="O718" s="61"/>
      <c r="P718" s="253">
        <f>IFERROR(__xludf.DUMMYFUNCTION("""COMPUTED_VALUE"""),0.0)</f>
        <v>0</v>
      </c>
      <c r="Q718" s="254" t="b">
        <f>VLOOKUP($B718,'Run Reconcile'!B$2:O799,14,FALSE)</f>
        <v>1</v>
      </c>
      <c r="R718" s="255" t="str">
        <f t="array" ref="R718">IF($Q718, INDEX('Run Reconcile'!A$2:A799,MATCH(B718,'Run Reconcile'!B$2:B799,0),1),IFERROR(0/0,""))</f>
        <v>RUN-BEND_2022-03-09_RFR-049</v>
      </c>
      <c r="S718" s="261" t="str">
        <f t="shared" ref="S718:T718" si="1443">IF(COUNTIF(W$2:W799, $A718) &gt; 0,TRUE,IFERROR(0/0,""))</f>
        <v/>
      </c>
      <c r="T718" s="261" t="str">
        <f t="shared" si="1443"/>
        <v/>
      </c>
      <c r="U718" s="257" t="str">
        <f t="array" ref="U718">IF(ISBLANK($R718), INDEX('Run Reconcile'!A$2:A799, MATCH($B718, 'Run Reconcile'!B$2:B799, 0)+Z718, 1), IFERROR(0/0,""))
</f>
        <v/>
      </c>
      <c r="V718" s="258" t="str">
        <f t="shared" si="480"/>
        <v>RUN-BEND_2022-03-09_RFR-049</v>
      </c>
      <c r="Y718" s="130" t="str">
        <f t="shared" si="487"/>
        <v/>
      </c>
      <c r="Z718" s="49" t="str">
        <f t="shared" si="7"/>
        <v/>
      </c>
      <c r="AA718" s="49" t="str">
        <f t="shared" si="8"/>
        <v/>
      </c>
      <c r="AB718" s="49" t="str">
        <f t="shared" si="9"/>
        <v/>
      </c>
      <c r="AC718" s="20" t="str">
        <f t="shared" ref="AC718:AD718" si="1444">IF(_xlfn.ISFORMULA(S718),IFERROR(0/0,""),TRUE)</f>
        <v/>
      </c>
      <c r="AD718" s="20" t="str">
        <f t="shared" si="1444"/>
        <v/>
      </c>
      <c r="AE718" s="43"/>
      <c r="AF718" s="62" t="s">
        <v>68</v>
      </c>
      <c r="AG718" s="57" t="str">
        <f t="shared" si="11"/>
        <v/>
      </c>
    </row>
    <row r="719">
      <c r="A719" s="6" t="str">
        <f>IFERROR(__xludf.DUMMYFUNCTION("""COMPUTED_VALUE"""),"FM1797")</f>
        <v>FM1797</v>
      </c>
      <c r="B719" s="204">
        <f>IFERROR(__xludf.DUMMYFUNCTION("""COMPUTED_VALUE"""),44629.0)</f>
        <v>44629</v>
      </c>
      <c r="C719" s="250">
        <f>IFERROR(__xludf.DUMMYFUNCTION("""COMPUTED_VALUE"""),0.3240162037037037)</f>
        <v>0.3240162037</v>
      </c>
      <c r="D719" s="6" t="str">
        <f>IFERROR(__xludf.DUMMYFUNCTION("""COMPUTED_VALUE"""),"SpBEND387578")</f>
        <v>SpBEND387578</v>
      </c>
      <c r="E719" s="251"/>
      <c r="F719" s="251"/>
      <c r="G719" s="251" t="str">
        <f>IFERROR(__xludf.DUMMYFUNCTION("""COMPUTED_VALUE"""),"Negative")</f>
        <v>Negative</v>
      </c>
      <c r="H719" s="262" t="str">
        <f>IFERROR(__xludf.DUMMYFUNCTION("""COMPUTED_VALUE"""),"Negative")</f>
        <v>Negative</v>
      </c>
      <c r="I719" s="204">
        <f>IFERROR(__xludf.DUMMYFUNCTION("""COMPUTED_VALUE"""),44629.0)</f>
        <v>44629</v>
      </c>
      <c r="J719" s="252">
        <f>IFERROR(__xludf.DUMMYFUNCTION("""COMPUTED_VALUE"""),0.4994560185185185)</f>
        <v>0.4994560185</v>
      </c>
      <c r="K719" s="56"/>
      <c r="L719" s="6"/>
      <c r="M719" s="61"/>
      <c r="N719" s="61">
        <f>IFERROR(__xludf.DUMMYFUNCTION("""COMPUTED_VALUE"""),1.0)</f>
        <v>1</v>
      </c>
      <c r="O719" s="61"/>
      <c r="P719" s="253">
        <f>IFERROR(__xludf.DUMMYFUNCTION("""COMPUTED_VALUE"""),0.0)</f>
        <v>0</v>
      </c>
      <c r="Q719" s="254" t="b">
        <f>VLOOKUP($B719,'Run Reconcile'!B$2:O799,14,FALSE)</f>
        <v>1</v>
      </c>
      <c r="R719" s="255" t="str">
        <f t="array" ref="R719">IF($Q719, INDEX('Run Reconcile'!A$2:A799,MATCH(B719,'Run Reconcile'!B$2:B799,0),1),IFERROR(0/0,""))</f>
        <v>RUN-BEND_2022-03-09_RFR-049</v>
      </c>
      <c r="S719" s="261" t="str">
        <f t="shared" ref="S719:T719" si="1445">IF(COUNTIF(W$2:W799, $A719) &gt; 0,TRUE,IFERROR(0/0,""))</f>
        <v/>
      </c>
      <c r="T719" s="261" t="str">
        <f t="shared" si="1445"/>
        <v/>
      </c>
      <c r="U719" s="257" t="str">
        <f t="array" ref="U719">IF(ISBLANK($R719), INDEX('Run Reconcile'!A$2:A799, MATCH($B719, 'Run Reconcile'!B$2:B799, 0)+Z719, 1), IFERROR(0/0,""))
</f>
        <v/>
      </c>
      <c r="V719" s="258" t="str">
        <f t="shared" si="480"/>
        <v>RUN-BEND_2022-03-09_RFR-049</v>
      </c>
      <c r="Y719" s="130" t="str">
        <f t="shared" si="487"/>
        <v/>
      </c>
      <c r="Z719" s="49" t="str">
        <f t="shared" si="7"/>
        <v/>
      </c>
      <c r="AA719" s="49" t="str">
        <f t="shared" si="8"/>
        <v/>
      </c>
      <c r="AB719" s="49" t="str">
        <f t="shared" si="9"/>
        <v/>
      </c>
      <c r="AC719" s="20" t="str">
        <f t="shared" ref="AC719:AD719" si="1446">IF(_xlfn.ISFORMULA(S719),IFERROR(0/0,""),TRUE)</f>
        <v/>
      </c>
      <c r="AD719" s="20" t="str">
        <f t="shared" si="1446"/>
        <v/>
      </c>
      <c r="AE719" s="43"/>
      <c r="AF719" s="62" t="s">
        <v>68</v>
      </c>
      <c r="AG719" s="57" t="str">
        <f t="shared" si="11"/>
        <v/>
      </c>
    </row>
    <row r="720">
      <c r="A720" s="6" t="str">
        <f>IFERROR(__xludf.DUMMYFUNCTION("""COMPUTED_VALUE"""),"MA333")</f>
        <v>MA333</v>
      </c>
      <c r="B720" s="204">
        <f>IFERROR(__xludf.DUMMYFUNCTION("""COMPUTED_VALUE"""),44629.0)</f>
        <v>44629</v>
      </c>
      <c r="C720" s="250">
        <f>IFERROR(__xludf.DUMMYFUNCTION("""COMPUTED_VALUE"""),0.32828703703703704)</f>
        <v>0.328287037</v>
      </c>
      <c r="D720" s="6" t="str">
        <f>IFERROR(__xludf.DUMMYFUNCTION("""COMPUTED_VALUE"""),"SpBEND437215")</f>
        <v>SpBEND437215</v>
      </c>
      <c r="E720" s="251"/>
      <c r="F720" s="251"/>
      <c r="G720" s="251" t="str">
        <f>IFERROR(__xludf.DUMMYFUNCTION("""COMPUTED_VALUE"""),"Negative")</f>
        <v>Negative</v>
      </c>
      <c r="H720" s="262" t="str">
        <f>IFERROR(__xludf.DUMMYFUNCTION("""COMPUTED_VALUE"""),"Negative")</f>
        <v>Negative</v>
      </c>
      <c r="I720" s="204">
        <f>IFERROR(__xludf.DUMMYFUNCTION("""COMPUTED_VALUE"""),44629.0)</f>
        <v>44629</v>
      </c>
      <c r="J720" s="252">
        <f>IFERROR(__xludf.DUMMYFUNCTION("""COMPUTED_VALUE"""),0.4994560185185185)</f>
        <v>0.4994560185</v>
      </c>
      <c r="K720" s="56"/>
      <c r="L720" s="6"/>
      <c r="M720" s="61"/>
      <c r="N720" s="61">
        <f>IFERROR(__xludf.DUMMYFUNCTION("""COMPUTED_VALUE"""),1.0)</f>
        <v>1</v>
      </c>
      <c r="O720" s="61"/>
      <c r="P720" s="253">
        <f>IFERROR(__xludf.DUMMYFUNCTION("""COMPUTED_VALUE"""),0.0)</f>
        <v>0</v>
      </c>
      <c r="Q720" s="254" t="b">
        <f>VLOOKUP($B720,'Run Reconcile'!B$2:O799,14,FALSE)</f>
        <v>1</v>
      </c>
      <c r="R720" s="255" t="str">
        <f t="array" ref="R720">IF($Q720, INDEX('Run Reconcile'!A$2:A799,MATCH(B720,'Run Reconcile'!B$2:B799,0),1),IFERROR(0/0,""))</f>
        <v>RUN-BEND_2022-03-09_RFR-049</v>
      </c>
      <c r="S720" s="261" t="str">
        <f t="shared" ref="S720:T720" si="1447">IF(COUNTIF(W$2:W799, $A720) &gt; 0,TRUE,IFERROR(0/0,""))</f>
        <v/>
      </c>
      <c r="T720" s="261" t="str">
        <f t="shared" si="1447"/>
        <v/>
      </c>
      <c r="U720" s="257" t="str">
        <f t="array" ref="U720">IF(ISBLANK($R720), INDEX('Run Reconcile'!A$2:A799, MATCH($B720, 'Run Reconcile'!B$2:B799, 0)+Z720, 1), IFERROR(0/0,""))
</f>
        <v/>
      </c>
      <c r="V720" s="258" t="str">
        <f t="shared" si="480"/>
        <v>RUN-BEND_2022-03-09_RFR-049</v>
      </c>
      <c r="Y720" s="130" t="str">
        <f t="shared" si="487"/>
        <v/>
      </c>
      <c r="Z720" s="49" t="str">
        <f t="shared" si="7"/>
        <v/>
      </c>
      <c r="AA720" s="49" t="str">
        <f t="shared" si="8"/>
        <v/>
      </c>
      <c r="AB720" s="49" t="str">
        <f t="shared" si="9"/>
        <v/>
      </c>
      <c r="AC720" s="20" t="str">
        <f t="shared" ref="AC720:AD720" si="1448">IF(_xlfn.ISFORMULA(S720),IFERROR(0/0,""),TRUE)</f>
        <v/>
      </c>
      <c r="AD720" s="20" t="str">
        <f t="shared" si="1448"/>
        <v/>
      </c>
      <c r="AE720" s="43"/>
      <c r="AF720" s="62" t="s">
        <v>68</v>
      </c>
      <c r="AG720" s="57" t="str">
        <f t="shared" si="11"/>
        <v/>
      </c>
    </row>
    <row r="721">
      <c r="A721" s="6" t="str">
        <f>IFERROR(__xludf.DUMMYFUNCTION("""COMPUTED_VALUE"""),"FM47")</f>
        <v>FM47</v>
      </c>
      <c r="B721" s="204">
        <f>IFERROR(__xludf.DUMMYFUNCTION("""COMPUTED_VALUE"""),44629.0)</f>
        <v>44629</v>
      </c>
      <c r="C721" s="250">
        <f>IFERROR(__xludf.DUMMYFUNCTION("""COMPUTED_VALUE"""),0.3285300925925926)</f>
        <v>0.3285300926</v>
      </c>
      <c r="D721" s="6" t="str">
        <f>IFERROR(__xludf.DUMMYFUNCTION("""COMPUTED_VALUE"""),"SpBEND996809")</f>
        <v>SpBEND996809</v>
      </c>
      <c r="E721" s="251"/>
      <c r="F721" s="251"/>
      <c r="G721" s="251" t="str">
        <f>IFERROR(__xludf.DUMMYFUNCTION("""COMPUTED_VALUE"""),"Negative")</f>
        <v>Negative</v>
      </c>
      <c r="H721" s="262" t="str">
        <f>IFERROR(__xludf.DUMMYFUNCTION("""COMPUTED_VALUE"""),"Negative")</f>
        <v>Negative</v>
      </c>
      <c r="I721" s="204">
        <f>IFERROR(__xludf.DUMMYFUNCTION("""COMPUTED_VALUE"""),44629.0)</f>
        <v>44629</v>
      </c>
      <c r="J721" s="252">
        <f>IFERROR(__xludf.DUMMYFUNCTION("""COMPUTED_VALUE"""),0.4994560185185185)</f>
        <v>0.4994560185</v>
      </c>
      <c r="K721" s="56"/>
      <c r="L721" s="6"/>
      <c r="M721" s="61"/>
      <c r="N721" s="61">
        <f>IFERROR(__xludf.DUMMYFUNCTION("""COMPUTED_VALUE"""),1.0)</f>
        <v>1</v>
      </c>
      <c r="O721" s="61"/>
      <c r="P721" s="253">
        <f>IFERROR(__xludf.DUMMYFUNCTION("""COMPUTED_VALUE"""),0.0)</f>
        <v>0</v>
      </c>
      <c r="Q721" s="254" t="b">
        <f>VLOOKUP($B721,'Run Reconcile'!B$2:O799,14,FALSE)</f>
        <v>1</v>
      </c>
      <c r="R721" s="255" t="str">
        <f t="array" ref="R721">IF($Q721, INDEX('Run Reconcile'!A$2:A799,MATCH(B721,'Run Reconcile'!B$2:B799,0),1),IFERROR(0/0,""))</f>
        <v>RUN-BEND_2022-03-09_RFR-049</v>
      </c>
      <c r="S721" s="261" t="str">
        <f t="shared" ref="S721:T721" si="1449">IF(COUNTIF(W$2:W799, $A721) &gt; 0,TRUE,IFERROR(0/0,""))</f>
        <v/>
      </c>
      <c r="T721" s="261" t="str">
        <f t="shared" si="1449"/>
        <v/>
      </c>
      <c r="U721" s="257" t="str">
        <f t="array" ref="U721">IF(ISBLANK($R721), INDEX('Run Reconcile'!A$2:A799, MATCH($B721, 'Run Reconcile'!B$2:B799, 0)+Z721, 1), IFERROR(0/0,""))
</f>
        <v/>
      </c>
      <c r="V721" s="258" t="str">
        <f t="shared" si="480"/>
        <v>RUN-BEND_2022-03-09_RFR-049</v>
      </c>
      <c r="Y721" s="130" t="str">
        <f t="shared" si="487"/>
        <v/>
      </c>
      <c r="Z721" s="49" t="str">
        <f t="shared" si="7"/>
        <v/>
      </c>
      <c r="AA721" s="49" t="str">
        <f t="shared" si="8"/>
        <v/>
      </c>
      <c r="AB721" s="49" t="str">
        <f t="shared" si="9"/>
        <v/>
      </c>
      <c r="AC721" s="20" t="str">
        <f t="shared" ref="AC721:AD721" si="1450">IF(_xlfn.ISFORMULA(S721),IFERROR(0/0,""),TRUE)</f>
        <v/>
      </c>
      <c r="AD721" s="20" t="str">
        <f t="shared" si="1450"/>
        <v/>
      </c>
      <c r="AE721" s="43"/>
      <c r="AF721" s="62" t="s">
        <v>68</v>
      </c>
      <c r="AG721" s="57" t="str">
        <f t="shared" si="11"/>
        <v/>
      </c>
    </row>
    <row r="722">
      <c r="A722" s="6" t="str">
        <f>IFERROR(__xludf.DUMMYFUNCTION("""COMPUTED_VALUE"""),"MA357")</f>
        <v>MA357</v>
      </c>
      <c r="B722" s="204">
        <f>IFERROR(__xludf.DUMMYFUNCTION("""COMPUTED_VALUE"""),44629.0)</f>
        <v>44629</v>
      </c>
      <c r="C722" s="250">
        <f>IFERROR(__xludf.DUMMYFUNCTION("""COMPUTED_VALUE"""),0.3330324074074074)</f>
        <v>0.3330324074</v>
      </c>
      <c r="D722" s="6" t="str">
        <f>IFERROR(__xludf.DUMMYFUNCTION("""COMPUTED_VALUE"""),"SpBEND147819")</f>
        <v>SpBEND147819</v>
      </c>
      <c r="E722" s="251"/>
      <c r="F722" s="251"/>
      <c r="G722" s="251" t="str">
        <f>IFERROR(__xludf.DUMMYFUNCTION("""COMPUTED_VALUE"""),"Negative")</f>
        <v>Negative</v>
      </c>
      <c r="H722" s="262" t="str">
        <f>IFERROR(__xludf.DUMMYFUNCTION("""COMPUTED_VALUE"""),"Negative")</f>
        <v>Negative</v>
      </c>
      <c r="I722" s="204">
        <f>IFERROR(__xludf.DUMMYFUNCTION("""COMPUTED_VALUE"""),44629.0)</f>
        <v>44629</v>
      </c>
      <c r="J722" s="252">
        <f>IFERROR(__xludf.DUMMYFUNCTION("""COMPUTED_VALUE"""),0.4994560185185185)</f>
        <v>0.4994560185</v>
      </c>
      <c r="K722" s="56"/>
      <c r="L722" s="6"/>
      <c r="M722" s="61"/>
      <c r="N722" s="61">
        <f>IFERROR(__xludf.DUMMYFUNCTION("""COMPUTED_VALUE"""),1.0)</f>
        <v>1</v>
      </c>
      <c r="O722" s="61"/>
      <c r="P722" s="253">
        <f>IFERROR(__xludf.DUMMYFUNCTION("""COMPUTED_VALUE"""),0.0)</f>
        <v>0</v>
      </c>
      <c r="Q722" s="254" t="b">
        <f>VLOOKUP($B722,'Run Reconcile'!B$2:O799,14,FALSE)</f>
        <v>1</v>
      </c>
      <c r="R722" s="255" t="str">
        <f t="array" ref="R722">IF($Q722, INDEX('Run Reconcile'!A$2:A799,MATCH(B722,'Run Reconcile'!B$2:B799,0),1),IFERROR(0/0,""))</f>
        <v>RUN-BEND_2022-03-09_RFR-049</v>
      </c>
      <c r="S722" s="261" t="str">
        <f t="shared" ref="S722:T722" si="1451">IF(COUNTIF(W$2:W799, $A722) &gt; 0,TRUE,IFERROR(0/0,""))</f>
        <v/>
      </c>
      <c r="T722" s="261" t="str">
        <f t="shared" si="1451"/>
        <v/>
      </c>
      <c r="U722" s="257" t="str">
        <f t="array" ref="U722">IF(ISBLANK($R722), INDEX('Run Reconcile'!A$2:A799, MATCH($B722, 'Run Reconcile'!B$2:B799, 0)+Z722, 1), IFERROR(0/0,""))
</f>
        <v/>
      </c>
      <c r="V722" s="258" t="str">
        <f t="shared" si="480"/>
        <v>RUN-BEND_2022-03-09_RFR-049</v>
      </c>
      <c r="Y722" s="130" t="str">
        <f t="shared" si="487"/>
        <v/>
      </c>
      <c r="Z722" s="49" t="str">
        <f t="shared" si="7"/>
        <v/>
      </c>
      <c r="AA722" s="49" t="str">
        <f t="shared" si="8"/>
        <v/>
      </c>
      <c r="AB722" s="49" t="str">
        <f t="shared" si="9"/>
        <v/>
      </c>
      <c r="AC722" s="20" t="str">
        <f t="shared" ref="AC722:AD722" si="1452">IF(_xlfn.ISFORMULA(S722),IFERROR(0/0,""),TRUE)</f>
        <v/>
      </c>
      <c r="AD722" s="20" t="str">
        <f t="shared" si="1452"/>
        <v/>
      </c>
      <c r="AE722" s="43"/>
      <c r="AF722" s="62" t="s">
        <v>68</v>
      </c>
      <c r="AG722" s="57" t="str">
        <f t="shared" si="11"/>
        <v/>
      </c>
    </row>
    <row r="723">
      <c r="A723" s="6" t="str">
        <f>IFERROR(__xludf.DUMMYFUNCTION("""COMPUTED_VALUE"""),"MA395")</f>
        <v>MA395</v>
      </c>
      <c r="B723" s="204">
        <f>IFERROR(__xludf.DUMMYFUNCTION("""COMPUTED_VALUE"""),44629.0)</f>
        <v>44629</v>
      </c>
      <c r="C723" s="250">
        <f>IFERROR(__xludf.DUMMYFUNCTION("""COMPUTED_VALUE"""),0.334837962962963)</f>
        <v>0.334837963</v>
      </c>
      <c r="D723" s="6" t="str">
        <f>IFERROR(__xludf.DUMMYFUNCTION("""COMPUTED_VALUE"""),"SpBEND721986")</f>
        <v>SpBEND721986</v>
      </c>
      <c r="E723" s="251"/>
      <c r="F723" s="251"/>
      <c r="G723" s="251" t="str">
        <f>IFERROR(__xludf.DUMMYFUNCTION("""COMPUTED_VALUE"""),"Negative")</f>
        <v>Negative</v>
      </c>
      <c r="H723" s="262" t="str">
        <f>IFERROR(__xludf.DUMMYFUNCTION("""COMPUTED_VALUE"""),"Negative")</f>
        <v>Negative</v>
      </c>
      <c r="I723" s="204">
        <f>IFERROR(__xludf.DUMMYFUNCTION("""COMPUTED_VALUE"""),44629.0)</f>
        <v>44629</v>
      </c>
      <c r="J723" s="252">
        <f>IFERROR(__xludf.DUMMYFUNCTION("""COMPUTED_VALUE"""),0.4994560185185185)</f>
        <v>0.4994560185</v>
      </c>
      <c r="K723" s="56"/>
      <c r="L723" s="6"/>
      <c r="M723" s="61"/>
      <c r="N723" s="61">
        <f>IFERROR(__xludf.DUMMYFUNCTION("""COMPUTED_VALUE"""),1.0)</f>
        <v>1</v>
      </c>
      <c r="O723" s="61"/>
      <c r="P723" s="253">
        <f>IFERROR(__xludf.DUMMYFUNCTION("""COMPUTED_VALUE"""),0.0)</f>
        <v>0</v>
      </c>
      <c r="Q723" s="254" t="b">
        <f>VLOOKUP($B723,'Run Reconcile'!B$2:O799,14,FALSE)</f>
        <v>1</v>
      </c>
      <c r="R723" s="255" t="str">
        <f t="array" ref="R723">IF($Q723, INDEX('Run Reconcile'!A$2:A799,MATCH(B723,'Run Reconcile'!B$2:B799,0),1),IFERROR(0/0,""))</f>
        <v>RUN-BEND_2022-03-09_RFR-049</v>
      </c>
      <c r="S723" s="261" t="str">
        <f t="shared" ref="S723:T723" si="1453">IF(COUNTIF(W$2:W799, $A723) &gt; 0,TRUE,IFERROR(0/0,""))</f>
        <v/>
      </c>
      <c r="T723" s="261" t="str">
        <f t="shared" si="1453"/>
        <v/>
      </c>
      <c r="U723" s="257" t="str">
        <f t="array" ref="U723">IF(ISBLANK($R723), INDEX('Run Reconcile'!A$2:A799, MATCH($B723, 'Run Reconcile'!B$2:B799, 0)+Z723, 1), IFERROR(0/0,""))
</f>
        <v/>
      </c>
      <c r="V723" s="258" t="str">
        <f t="shared" si="480"/>
        <v>RUN-BEND_2022-03-09_RFR-049</v>
      </c>
      <c r="Y723" s="130" t="str">
        <f t="shared" si="487"/>
        <v/>
      </c>
      <c r="Z723" s="49" t="str">
        <f t="shared" si="7"/>
        <v/>
      </c>
      <c r="AA723" s="49" t="str">
        <f t="shared" si="8"/>
        <v/>
      </c>
      <c r="AB723" s="49" t="str">
        <f t="shared" si="9"/>
        <v/>
      </c>
      <c r="AC723" s="20" t="str">
        <f t="shared" ref="AC723:AD723" si="1454">IF(_xlfn.ISFORMULA(S723),IFERROR(0/0,""),TRUE)</f>
        <v/>
      </c>
      <c r="AD723" s="20" t="str">
        <f t="shared" si="1454"/>
        <v/>
      </c>
      <c r="AE723" s="43"/>
      <c r="AF723" s="62" t="s">
        <v>68</v>
      </c>
      <c r="AG723" s="57" t="str">
        <f t="shared" si="11"/>
        <v/>
      </c>
    </row>
    <row r="724">
      <c r="A724" s="6" t="str">
        <f>IFERROR(__xludf.DUMMYFUNCTION("""COMPUTED_VALUE"""),"MA379")</f>
        <v>MA379</v>
      </c>
      <c r="B724" s="204">
        <f>IFERROR(__xludf.DUMMYFUNCTION("""COMPUTED_VALUE"""),44629.0)</f>
        <v>44629</v>
      </c>
      <c r="C724" s="250">
        <f>IFERROR(__xludf.DUMMYFUNCTION("""COMPUTED_VALUE"""),0.33490740740740743)</f>
        <v>0.3349074074</v>
      </c>
      <c r="D724" s="6" t="str">
        <f>IFERROR(__xludf.DUMMYFUNCTION("""COMPUTED_VALUE"""),"SpBEND522465")</f>
        <v>SpBEND522465</v>
      </c>
      <c r="E724" s="251"/>
      <c r="F724" s="251"/>
      <c r="G724" s="251" t="str">
        <f>IFERROR(__xludf.DUMMYFUNCTION("""COMPUTED_VALUE"""),"Negative")</f>
        <v>Negative</v>
      </c>
      <c r="H724" s="262" t="str">
        <f>IFERROR(__xludf.DUMMYFUNCTION("""COMPUTED_VALUE"""),"Negative")</f>
        <v>Negative</v>
      </c>
      <c r="I724" s="204">
        <f>IFERROR(__xludf.DUMMYFUNCTION("""COMPUTED_VALUE"""),44629.0)</f>
        <v>44629</v>
      </c>
      <c r="J724" s="252">
        <f>IFERROR(__xludf.DUMMYFUNCTION("""COMPUTED_VALUE"""),0.4994560185185185)</f>
        <v>0.4994560185</v>
      </c>
      <c r="K724" s="56"/>
      <c r="L724" s="6"/>
      <c r="M724" s="61"/>
      <c r="N724" s="61">
        <f>IFERROR(__xludf.DUMMYFUNCTION("""COMPUTED_VALUE"""),1.0)</f>
        <v>1</v>
      </c>
      <c r="O724" s="61"/>
      <c r="P724" s="253">
        <f>IFERROR(__xludf.DUMMYFUNCTION("""COMPUTED_VALUE"""),0.0)</f>
        <v>0</v>
      </c>
      <c r="Q724" s="254" t="b">
        <f>VLOOKUP($B724,'Run Reconcile'!B$2:O799,14,FALSE)</f>
        <v>1</v>
      </c>
      <c r="R724" s="255" t="str">
        <f t="array" ref="R724">IF($Q724, INDEX('Run Reconcile'!A$2:A799,MATCH(B724,'Run Reconcile'!B$2:B799,0),1),IFERROR(0/0,""))</f>
        <v>RUN-BEND_2022-03-09_RFR-049</v>
      </c>
      <c r="S724" s="261" t="str">
        <f t="shared" ref="S724:T724" si="1455">IF(COUNTIF(W$2:W799, $A724) &gt; 0,TRUE,IFERROR(0/0,""))</f>
        <v/>
      </c>
      <c r="T724" s="261" t="str">
        <f t="shared" si="1455"/>
        <v/>
      </c>
      <c r="U724" s="257" t="str">
        <f t="array" ref="U724">IF(ISBLANK($R724), INDEX('Run Reconcile'!A$2:A799, MATCH($B724, 'Run Reconcile'!B$2:B799, 0)+Z724, 1), IFERROR(0/0,""))
</f>
        <v/>
      </c>
      <c r="V724" s="258" t="str">
        <f t="shared" si="480"/>
        <v>RUN-BEND_2022-03-09_RFR-049</v>
      </c>
      <c r="Y724" s="130" t="str">
        <f t="shared" si="487"/>
        <v/>
      </c>
      <c r="Z724" s="49" t="str">
        <f t="shared" si="7"/>
        <v/>
      </c>
      <c r="AA724" s="49" t="str">
        <f t="shared" si="8"/>
        <v/>
      </c>
      <c r="AB724" s="49" t="str">
        <f t="shared" si="9"/>
        <v/>
      </c>
      <c r="AC724" s="20" t="str">
        <f t="shared" ref="AC724:AD724" si="1456">IF(_xlfn.ISFORMULA(S724),IFERROR(0/0,""),TRUE)</f>
        <v/>
      </c>
      <c r="AD724" s="20" t="str">
        <f t="shared" si="1456"/>
        <v/>
      </c>
      <c r="AE724" s="43"/>
      <c r="AF724" s="62" t="s">
        <v>68</v>
      </c>
      <c r="AG724" s="57" t="str">
        <f t="shared" si="11"/>
        <v/>
      </c>
    </row>
    <row r="725">
      <c r="A725" s="6" t="str">
        <f>IFERROR(__xludf.DUMMYFUNCTION("""COMPUTED_VALUE"""),"FM83")</f>
        <v>FM83</v>
      </c>
      <c r="B725" s="204">
        <f>IFERROR(__xludf.DUMMYFUNCTION("""COMPUTED_VALUE"""),44629.0)</f>
        <v>44629</v>
      </c>
      <c r="C725" s="250">
        <f>IFERROR(__xludf.DUMMYFUNCTION("""COMPUTED_VALUE"""),0.3370949074074074)</f>
        <v>0.3370949074</v>
      </c>
      <c r="D725" s="6" t="str">
        <f>IFERROR(__xludf.DUMMYFUNCTION("""COMPUTED_VALUE"""),"SpBEND643855")</f>
        <v>SpBEND643855</v>
      </c>
      <c r="E725" s="251"/>
      <c r="F725" s="251"/>
      <c r="G725" s="251" t="str">
        <f>IFERROR(__xludf.DUMMYFUNCTION("""COMPUTED_VALUE"""),"Negative")</f>
        <v>Negative</v>
      </c>
      <c r="H725" s="262" t="str">
        <f>IFERROR(__xludf.DUMMYFUNCTION("""COMPUTED_VALUE"""),"Negative")</f>
        <v>Negative</v>
      </c>
      <c r="I725" s="204">
        <f>IFERROR(__xludf.DUMMYFUNCTION("""COMPUTED_VALUE"""),44629.0)</f>
        <v>44629</v>
      </c>
      <c r="J725" s="252">
        <f>IFERROR(__xludf.DUMMYFUNCTION("""COMPUTED_VALUE"""),0.4994560185185185)</f>
        <v>0.4994560185</v>
      </c>
      <c r="K725" s="56"/>
      <c r="L725" s="6"/>
      <c r="M725" s="61"/>
      <c r="N725" s="61">
        <f>IFERROR(__xludf.DUMMYFUNCTION("""COMPUTED_VALUE"""),1.0)</f>
        <v>1</v>
      </c>
      <c r="O725" s="61"/>
      <c r="P725" s="253">
        <f>IFERROR(__xludf.DUMMYFUNCTION("""COMPUTED_VALUE"""),0.0)</f>
        <v>0</v>
      </c>
      <c r="Q725" s="254" t="b">
        <f>VLOOKUP($B725,'Run Reconcile'!B$2:O799,14,FALSE)</f>
        <v>1</v>
      </c>
      <c r="R725" s="255" t="str">
        <f t="array" ref="R725">IF($Q725, INDEX('Run Reconcile'!A$2:A799,MATCH(B725,'Run Reconcile'!B$2:B799,0),1),IFERROR(0/0,""))</f>
        <v>RUN-BEND_2022-03-09_RFR-049</v>
      </c>
      <c r="S725" s="261" t="str">
        <f t="shared" ref="S725:T725" si="1457">IF(COUNTIF(W$2:W799, $A725) &gt; 0,TRUE,IFERROR(0/0,""))</f>
        <v/>
      </c>
      <c r="T725" s="261" t="str">
        <f t="shared" si="1457"/>
        <v/>
      </c>
      <c r="U725" s="257" t="str">
        <f t="array" ref="U725">IF(ISBLANK($R725), INDEX('Run Reconcile'!A$2:A799, MATCH($B725, 'Run Reconcile'!B$2:B799, 0)+Z725, 1), IFERROR(0/0,""))
</f>
        <v/>
      </c>
      <c r="V725" s="258" t="str">
        <f t="shared" si="480"/>
        <v>RUN-BEND_2022-03-09_RFR-049</v>
      </c>
      <c r="Y725" s="130" t="str">
        <f t="shared" si="487"/>
        <v/>
      </c>
      <c r="Z725" s="49" t="str">
        <f t="shared" si="7"/>
        <v/>
      </c>
      <c r="AA725" s="49" t="str">
        <f t="shared" si="8"/>
        <v/>
      </c>
      <c r="AB725" s="49" t="str">
        <f t="shared" si="9"/>
        <v/>
      </c>
      <c r="AC725" s="20" t="str">
        <f t="shared" ref="AC725:AD725" si="1458">IF(_xlfn.ISFORMULA(S725),IFERROR(0/0,""),TRUE)</f>
        <v/>
      </c>
      <c r="AD725" s="20" t="str">
        <f t="shared" si="1458"/>
        <v/>
      </c>
      <c r="AE725" s="43"/>
      <c r="AF725" s="62" t="s">
        <v>68</v>
      </c>
      <c r="AG725" s="57" t="str">
        <f t="shared" si="11"/>
        <v/>
      </c>
    </row>
    <row r="726">
      <c r="A726" s="6" t="str">
        <f>IFERROR(__xludf.DUMMYFUNCTION("""COMPUTED_VALUE"""),"FM60")</f>
        <v>FM60</v>
      </c>
      <c r="B726" s="204">
        <f>IFERROR(__xludf.DUMMYFUNCTION("""COMPUTED_VALUE"""),44629.0)</f>
        <v>44629</v>
      </c>
      <c r="C726" s="250">
        <f>IFERROR(__xludf.DUMMYFUNCTION("""COMPUTED_VALUE"""),0.4018287037037037)</f>
        <v>0.4018287037</v>
      </c>
      <c r="D726" s="6" t="str">
        <f>IFERROR(__xludf.DUMMYFUNCTION("""COMPUTED_VALUE"""),"SpBEND425753")</f>
        <v>SpBEND425753</v>
      </c>
      <c r="E726" s="251"/>
      <c r="F726" s="251"/>
      <c r="G726" s="251" t="str">
        <f>IFERROR(__xludf.DUMMYFUNCTION("""COMPUTED_VALUE"""),"Negative")</f>
        <v>Negative</v>
      </c>
      <c r="H726" s="262" t="str">
        <f>IFERROR(__xludf.DUMMYFUNCTION("""COMPUTED_VALUE"""),"Negative")</f>
        <v>Negative</v>
      </c>
      <c r="I726" s="204">
        <f>IFERROR(__xludf.DUMMYFUNCTION("""COMPUTED_VALUE"""),44629.0)</f>
        <v>44629</v>
      </c>
      <c r="J726" s="252">
        <f>IFERROR(__xludf.DUMMYFUNCTION("""COMPUTED_VALUE"""),0.4994560185185185)</f>
        <v>0.4994560185</v>
      </c>
      <c r="K726" s="56"/>
      <c r="L726" s="6"/>
      <c r="M726" s="61"/>
      <c r="N726" s="61">
        <f>IFERROR(__xludf.DUMMYFUNCTION("""COMPUTED_VALUE"""),1.0)</f>
        <v>1</v>
      </c>
      <c r="O726" s="61"/>
      <c r="P726" s="253">
        <f>IFERROR(__xludf.DUMMYFUNCTION("""COMPUTED_VALUE"""),0.0)</f>
        <v>0</v>
      </c>
      <c r="Q726" s="254" t="b">
        <f>VLOOKUP($B726,'Run Reconcile'!B$2:O799,14,FALSE)</f>
        <v>1</v>
      </c>
      <c r="R726" s="255" t="str">
        <f t="array" ref="R726">IF($Q726, INDEX('Run Reconcile'!A$2:A799,MATCH(B726,'Run Reconcile'!B$2:B799,0),1),IFERROR(0/0,""))</f>
        <v>RUN-BEND_2022-03-09_RFR-049</v>
      </c>
      <c r="S726" s="261" t="str">
        <f t="shared" ref="S726:T726" si="1459">IF(COUNTIF(W$2:W799, $A726) &gt; 0,TRUE,IFERROR(0/0,""))</f>
        <v/>
      </c>
      <c r="T726" s="261" t="str">
        <f t="shared" si="1459"/>
        <v/>
      </c>
      <c r="U726" s="257" t="str">
        <f t="array" ref="U726">IF(ISBLANK($R726), INDEX('Run Reconcile'!A$2:A799, MATCH($B726, 'Run Reconcile'!B$2:B799, 0)+Z726, 1), IFERROR(0/0,""))
</f>
        <v/>
      </c>
      <c r="V726" s="258" t="str">
        <f t="shared" si="480"/>
        <v>RUN-BEND_2022-03-09_RFR-049</v>
      </c>
      <c r="Y726" s="130" t="str">
        <f t="shared" si="487"/>
        <v/>
      </c>
      <c r="Z726" s="49" t="str">
        <f t="shared" si="7"/>
        <v/>
      </c>
      <c r="AA726" s="49" t="str">
        <f t="shared" si="8"/>
        <v/>
      </c>
      <c r="AB726" s="49" t="str">
        <f t="shared" si="9"/>
        <v/>
      </c>
      <c r="AC726" s="20" t="str">
        <f t="shared" ref="AC726:AD726" si="1460">IF(_xlfn.ISFORMULA(S726),IFERROR(0/0,""),TRUE)</f>
        <v/>
      </c>
      <c r="AD726" s="20" t="str">
        <f t="shared" si="1460"/>
        <v/>
      </c>
      <c r="AE726" s="43"/>
      <c r="AF726" s="62" t="s">
        <v>68</v>
      </c>
      <c r="AG726" s="57" t="str">
        <f t="shared" si="11"/>
        <v/>
      </c>
    </row>
    <row r="727">
      <c r="A727" s="6" t="str">
        <f>IFERROR(__xludf.DUMMYFUNCTION("""COMPUTED_VALUE"""),"MA1313")</f>
        <v>MA1313</v>
      </c>
      <c r="B727" s="204">
        <f>IFERROR(__xludf.DUMMYFUNCTION("""COMPUTED_VALUE"""),44629.0)</f>
        <v>44629</v>
      </c>
      <c r="C727" s="250">
        <f>IFERROR(__xludf.DUMMYFUNCTION("""COMPUTED_VALUE"""),0.40596064814814814)</f>
        <v>0.4059606481</v>
      </c>
      <c r="D727" s="6" t="str">
        <f>IFERROR(__xludf.DUMMYFUNCTION("""COMPUTED_VALUE"""),"SpBEND183210")</f>
        <v>SpBEND183210</v>
      </c>
      <c r="E727" s="251"/>
      <c r="F727" s="251"/>
      <c r="G727" s="251" t="str">
        <f>IFERROR(__xludf.DUMMYFUNCTION("""COMPUTED_VALUE"""),"Negative")</f>
        <v>Negative</v>
      </c>
      <c r="H727" s="262" t="str">
        <f>IFERROR(__xludf.DUMMYFUNCTION("""COMPUTED_VALUE"""),"Negative")</f>
        <v>Negative</v>
      </c>
      <c r="I727" s="204">
        <f>IFERROR(__xludf.DUMMYFUNCTION("""COMPUTED_VALUE"""),44629.0)</f>
        <v>44629</v>
      </c>
      <c r="J727" s="252">
        <f>IFERROR(__xludf.DUMMYFUNCTION("""COMPUTED_VALUE"""),0.4994560185185185)</f>
        <v>0.4994560185</v>
      </c>
      <c r="K727" s="56"/>
      <c r="L727" s="6"/>
      <c r="M727" s="61"/>
      <c r="N727" s="61">
        <f>IFERROR(__xludf.DUMMYFUNCTION("""COMPUTED_VALUE"""),1.0)</f>
        <v>1</v>
      </c>
      <c r="O727" s="61"/>
      <c r="P727" s="253">
        <f>IFERROR(__xludf.DUMMYFUNCTION("""COMPUTED_VALUE"""),0.0)</f>
        <v>0</v>
      </c>
      <c r="Q727" s="254" t="b">
        <f>VLOOKUP($B727,'Run Reconcile'!B$2:O799,14,FALSE)</f>
        <v>1</v>
      </c>
      <c r="R727" s="255" t="str">
        <f t="array" ref="R727">IF($Q727, INDEX('Run Reconcile'!A$2:A799,MATCH(B727,'Run Reconcile'!B$2:B799,0),1),IFERROR(0/0,""))</f>
        <v>RUN-BEND_2022-03-09_RFR-049</v>
      </c>
      <c r="S727" s="261" t="str">
        <f t="shared" ref="S727:T727" si="1461">IF(COUNTIF(W$2:W799, $A727) &gt; 0,TRUE,IFERROR(0/0,""))</f>
        <v/>
      </c>
      <c r="T727" s="261" t="str">
        <f t="shared" si="1461"/>
        <v/>
      </c>
      <c r="U727" s="257" t="str">
        <f t="array" ref="U727">IF(ISBLANK($R727), INDEX('Run Reconcile'!A$2:A799, MATCH($B727, 'Run Reconcile'!B$2:B799, 0)+Z727, 1), IFERROR(0/0,""))
</f>
        <v/>
      </c>
      <c r="V727" s="258" t="str">
        <f t="shared" si="480"/>
        <v>RUN-BEND_2022-03-09_RFR-049</v>
      </c>
      <c r="Y727" s="130" t="str">
        <f t="shared" si="487"/>
        <v/>
      </c>
      <c r="Z727" s="49" t="str">
        <f t="shared" si="7"/>
        <v/>
      </c>
      <c r="AA727" s="49" t="str">
        <f t="shared" si="8"/>
        <v/>
      </c>
      <c r="AB727" s="49" t="str">
        <f t="shared" si="9"/>
        <v/>
      </c>
      <c r="AC727" s="20" t="str">
        <f t="shared" ref="AC727:AD727" si="1462">IF(_xlfn.ISFORMULA(S727),IFERROR(0/0,""),TRUE)</f>
        <v/>
      </c>
      <c r="AD727" s="20" t="str">
        <f t="shared" si="1462"/>
        <v/>
      </c>
      <c r="AE727" s="43"/>
      <c r="AF727" s="62" t="s">
        <v>68</v>
      </c>
      <c r="AG727" s="57" t="str">
        <f t="shared" si="11"/>
        <v/>
      </c>
    </row>
    <row r="728">
      <c r="A728" s="6" t="str">
        <f>IFERROR(__xludf.DUMMYFUNCTION("""COMPUTED_VALUE"""),"MA1254")</f>
        <v>MA1254</v>
      </c>
      <c r="B728" s="204">
        <f>IFERROR(__xludf.DUMMYFUNCTION("""COMPUTED_VALUE"""),44629.0)</f>
        <v>44629</v>
      </c>
      <c r="C728" s="250">
        <f>IFERROR(__xludf.DUMMYFUNCTION("""COMPUTED_VALUE"""),0.407349537037037)</f>
        <v>0.407349537</v>
      </c>
      <c r="D728" s="6" t="str">
        <f>IFERROR(__xludf.DUMMYFUNCTION("""COMPUTED_VALUE"""),"SpBEND587584")</f>
        <v>SpBEND587584</v>
      </c>
      <c r="E728" s="251"/>
      <c r="F728" s="251"/>
      <c r="G728" s="251" t="str">
        <f>IFERROR(__xludf.DUMMYFUNCTION("""COMPUTED_VALUE"""),"Null")</f>
        <v>Null</v>
      </c>
      <c r="H728" s="262" t="str">
        <f>IFERROR(__xludf.DUMMYFUNCTION("""COMPUTED_VALUE"""),"Negative")</f>
        <v>Negative</v>
      </c>
      <c r="I728" s="204">
        <f>IFERROR(__xludf.DUMMYFUNCTION("""COMPUTED_VALUE"""),44861.0)</f>
        <v>44861</v>
      </c>
      <c r="J728" s="252">
        <f>IFERROR(__xludf.DUMMYFUNCTION("""COMPUTED_VALUE"""),0.4895023148148148)</f>
        <v>0.4895023148</v>
      </c>
      <c r="K728" s="56">
        <f>IFERROR(__xludf.DUMMYFUNCTION("""COMPUTED_VALUE"""),2.0)</f>
        <v>2</v>
      </c>
      <c r="L728" s="6"/>
      <c r="M728" s="61"/>
      <c r="N728" s="61">
        <f>IFERROR(__xludf.DUMMYFUNCTION("""COMPUTED_VALUE"""),1.0)</f>
        <v>1</v>
      </c>
      <c r="O728" s="61"/>
      <c r="P728" s="253">
        <f>IFERROR(__xludf.DUMMYFUNCTION("""COMPUTED_VALUE"""),232.0)</f>
        <v>232</v>
      </c>
      <c r="Q728" s="254" t="b">
        <f>VLOOKUP($B728,'Run Reconcile'!B$2:O799,14,FALSE)</f>
        <v>1</v>
      </c>
      <c r="R728" s="255" t="str">
        <f t="array" ref="R728">IF($Q728, INDEX('Run Reconcile'!A$2:A799,MATCH(B728,'Run Reconcile'!B$2:B799,0),1),IFERROR(0/0,""))</f>
        <v>RUN-BEND_2022-03-09_RFR-049</v>
      </c>
      <c r="S728" s="261" t="str">
        <f t="shared" ref="S728:T728" si="1463">IF(COUNTIF(W$2:W799, $A728) &gt; 0,TRUE,IFERROR(0/0,""))</f>
        <v/>
      </c>
      <c r="T728" s="261" t="str">
        <f t="shared" si="1463"/>
        <v/>
      </c>
      <c r="U728" s="257" t="str">
        <f t="array" ref="U728">IF(ISBLANK($R728), INDEX('Run Reconcile'!A$2:A799, MATCH($B728, 'Run Reconcile'!B$2:B799, 0)+Z728, 1), IFERROR(0/0,""))
</f>
        <v/>
      </c>
      <c r="V728" s="258" t="str">
        <f t="shared" si="480"/>
        <v>RUN-BEND_2022-03-09_RFR-049</v>
      </c>
      <c r="Y728" s="130" t="str">
        <f t="shared" si="487"/>
        <v/>
      </c>
      <c r="Z728" s="49" t="str">
        <f t="shared" si="7"/>
        <v/>
      </c>
      <c r="AA728" s="49" t="str">
        <f t="shared" si="8"/>
        <v/>
      </c>
      <c r="AB728" s="49" t="str">
        <f t="shared" si="9"/>
        <v/>
      </c>
      <c r="AC728" s="20" t="str">
        <f t="shared" ref="AC728:AD728" si="1464">IF(_xlfn.ISFORMULA(S728),IFERROR(0/0,""),TRUE)</f>
        <v/>
      </c>
      <c r="AD728" s="20" t="str">
        <f t="shared" si="1464"/>
        <v/>
      </c>
      <c r="AE728" s="43"/>
      <c r="AF728" s="62" t="s">
        <v>68</v>
      </c>
      <c r="AG728" s="57" t="str">
        <f t="shared" si="11"/>
        <v/>
      </c>
    </row>
    <row r="729">
      <c r="A729" s="6" t="str">
        <f>IFERROR(__xludf.DUMMYFUNCTION("""COMPUTED_VALUE"""),"FM427")</f>
        <v>FM427</v>
      </c>
      <c r="B729" s="204">
        <f>IFERROR(__xludf.DUMMYFUNCTION("""COMPUTED_VALUE"""),44629.0)</f>
        <v>44629</v>
      </c>
      <c r="C729" s="250">
        <f>IFERROR(__xludf.DUMMYFUNCTION("""COMPUTED_VALUE"""),0.4893287037037037)</f>
        <v>0.4893287037</v>
      </c>
      <c r="D729" s="6" t="str">
        <f>IFERROR(__xludf.DUMMYFUNCTION("""COMPUTED_VALUE"""),"SpBEND394154")</f>
        <v>SpBEND394154</v>
      </c>
      <c r="E729" s="251"/>
      <c r="F729" s="251"/>
      <c r="G729" s="251" t="str">
        <f>IFERROR(__xludf.DUMMYFUNCTION("""COMPUTED_VALUE"""),"Negative")</f>
        <v>Negative</v>
      </c>
      <c r="H729" s="262" t="str">
        <f>IFERROR(__xludf.DUMMYFUNCTION("""COMPUTED_VALUE"""),"Negative")</f>
        <v>Negative</v>
      </c>
      <c r="I729" s="204">
        <f>IFERROR(__xludf.DUMMYFUNCTION("""COMPUTED_VALUE"""),44629.0)</f>
        <v>44629</v>
      </c>
      <c r="J729" s="252">
        <f>IFERROR(__xludf.DUMMYFUNCTION("""COMPUTED_VALUE"""),0.4994560185185185)</f>
        <v>0.4994560185</v>
      </c>
      <c r="K729" s="56"/>
      <c r="L729" s="6"/>
      <c r="M729" s="61"/>
      <c r="N729" s="61">
        <f>IFERROR(__xludf.DUMMYFUNCTION("""COMPUTED_VALUE"""),1.0)</f>
        <v>1</v>
      </c>
      <c r="O729" s="61"/>
      <c r="P729" s="253">
        <f>IFERROR(__xludf.DUMMYFUNCTION("""COMPUTED_VALUE"""),0.0)</f>
        <v>0</v>
      </c>
      <c r="Q729" s="254" t="b">
        <f>VLOOKUP($B729,'Run Reconcile'!B$2:O799,14,FALSE)</f>
        <v>1</v>
      </c>
      <c r="R729" s="255" t="str">
        <f t="array" ref="R729">IF($Q729, INDEX('Run Reconcile'!A$2:A799,MATCH(B729,'Run Reconcile'!B$2:B799,0),1),IFERROR(0/0,""))</f>
        <v>RUN-BEND_2022-03-09_RFR-049</v>
      </c>
      <c r="S729" s="261" t="str">
        <f t="shared" ref="S729:T729" si="1465">IF(COUNTIF(W$2:W799, $A729) &gt; 0,TRUE,IFERROR(0/0,""))</f>
        <v/>
      </c>
      <c r="T729" s="261" t="str">
        <f t="shared" si="1465"/>
        <v/>
      </c>
      <c r="U729" s="257" t="str">
        <f t="array" ref="U729">IF(ISBLANK($R729), INDEX('Run Reconcile'!A$2:A799, MATCH($B729, 'Run Reconcile'!B$2:B799, 0)+Z729, 1), IFERROR(0/0,""))
</f>
        <v/>
      </c>
      <c r="V729" s="258" t="str">
        <f t="shared" si="480"/>
        <v>RUN-BEND_2022-03-09_RFR-049</v>
      </c>
      <c r="Y729" s="130" t="str">
        <f t="shared" si="487"/>
        <v/>
      </c>
      <c r="Z729" s="49" t="str">
        <f t="shared" si="7"/>
        <v/>
      </c>
      <c r="AA729" s="49" t="str">
        <f t="shared" si="8"/>
        <v/>
      </c>
      <c r="AB729" s="49" t="str">
        <f t="shared" si="9"/>
        <v/>
      </c>
      <c r="AC729" s="20" t="str">
        <f t="shared" ref="AC729:AD729" si="1466">IF(_xlfn.ISFORMULA(S729),IFERROR(0/0,""),TRUE)</f>
        <v/>
      </c>
      <c r="AD729" s="20" t="str">
        <f t="shared" si="1466"/>
        <v/>
      </c>
      <c r="AE729" s="43"/>
      <c r="AF729" s="62" t="s">
        <v>68</v>
      </c>
      <c r="AG729" s="57" t="str">
        <f t="shared" si="11"/>
        <v/>
      </c>
    </row>
    <row r="730">
      <c r="A730" s="6" t="str">
        <f>IFERROR(__xludf.DUMMYFUNCTION("""COMPUTED_VALUE"""),"FM439")</f>
        <v>FM439</v>
      </c>
      <c r="B730" s="204">
        <f>IFERROR(__xludf.DUMMYFUNCTION("""COMPUTED_VALUE"""),44629.0)</f>
        <v>44629</v>
      </c>
      <c r="C730" s="250">
        <f>IFERROR(__xludf.DUMMYFUNCTION("""COMPUTED_VALUE"""),0.4899074074074074)</f>
        <v>0.4899074074</v>
      </c>
      <c r="D730" s="6" t="str">
        <f>IFERROR(__xludf.DUMMYFUNCTION("""COMPUTED_VALUE"""),"SpBEND394154")</f>
        <v>SpBEND394154</v>
      </c>
      <c r="E730" s="251"/>
      <c r="F730" s="251"/>
      <c r="G730" s="251" t="str">
        <f>IFERROR(__xludf.DUMMYFUNCTION("""COMPUTED_VALUE"""),"Negative")</f>
        <v>Negative</v>
      </c>
      <c r="H730" s="262" t="str">
        <f>IFERROR(__xludf.DUMMYFUNCTION("""COMPUTED_VALUE"""),"Negative")</f>
        <v>Negative</v>
      </c>
      <c r="I730" s="204">
        <f>IFERROR(__xludf.DUMMYFUNCTION("""COMPUTED_VALUE"""),44629.0)</f>
        <v>44629</v>
      </c>
      <c r="J730" s="252">
        <f>IFERROR(__xludf.DUMMYFUNCTION("""COMPUTED_VALUE"""),0.4994560185185185)</f>
        <v>0.4994560185</v>
      </c>
      <c r="K730" s="56"/>
      <c r="L730" s="6"/>
      <c r="M730" s="61"/>
      <c r="N730" s="61">
        <f>IFERROR(__xludf.DUMMYFUNCTION("""COMPUTED_VALUE"""),1.0)</f>
        <v>1</v>
      </c>
      <c r="O730" s="61"/>
      <c r="P730" s="253">
        <f>IFERROR(__xludf.DUMMYFUNCTION("""COMPUTED_VALUE"""),0.0)</f>
        <v>0</v>
      </c>
      <c r="Q730" s="254" t="b">
        <f>VLOOKUP($B730,'Run Reconcile'!B$2:O799,14,FALSE)</f>
        <v>1</v>
      </c>
      <c r="R730" s="255" t="str">
        <f t="array" ref="R730">IF($Q730, INDEX('Run Reconcile'!A$2:A799,MATCH(B730,'Run Reconcile'!B$2:B799,0),1),IFERROR(0/0,""))</f>
        <v>RUN-BEND_2022-03-09_RFR-049</v>
      </c>
      <c r="S730" s="261" t="str">
        <f t="shared" ref="S730:T730" si="1467">IF(COUNTIF(W$2:W799, $A730) &gt; 0,TRUE,IFERROR(0/0,""))</f>
        <v/>
      </c>
      <c r="T730" s="261" t="str">
        <f t="shared" si="1467"/>
        <v/>
      </c>
      <c r="U730" s="257" t="str">
        <f t="array" ref="U730">IF(ISBLANK($R730), INDEX('Run Reconcile'!A$2:A799, MATCH($B730, 'Run Reconcile'!B$2:B799, 0)+Z730, 1), IFERROR(0/0,""))
</f>
        <v/>
      </c>
      <c r="V730" s="258" t="str">
        <f t="shared" si="480"/>
        <v>RUN-BEND_2022-03-09_RFR-049</v>
      </c>
      <c r="Y730" s="130" t="str">
        <f t="shared" si="487"/>
        <v/>
      </c>
      <c r="Z730" s="49" t="str">
        <f t="shared" si="7"/>
        <v/>
      </c>
      <c r="AA730" s="49" t="str">
        <f t="shared" si="8"/>
        <v/>
      </c>
      <c r="AB730" s="49" t="str">
        <f t="shared" si="9"/>
        <v/>
      </c>
      <c r="AC730" s="20" t="str">
        <f t="shared" ref="AC730:AD730" si="1468">IF(_xlfn.ISFORMULA(S730),IFERROR(0/0,""),TRUE)</f>
        <v/>
      </c>
      <c r="AD730" s="20" t="str">
        <f t="shared" si="1468"/>
        <v/>
      </c>
      <c r="AE730" s="43"/>
      <c r="AF730" s="62" t="s">
        <v>68</v>
      </c>
      <c r="AG730" s="57" t="str">
        <f t="shared" si="11"/>
        <v/>
      </c>
    </row>
    <row r="731">
      <c r="A731" s="6" t="str">
        <f>IFERROR(__xludf.DUMMYFUNCTION("""COMPUTED_VALUE"""),"MA1210")</f>
        <v>MA1210</v>
      </c>
      <c r="B731" s="204">
        <f>IFERROR(__xludf.DUMMYFUNCTION("""COMPUTED_VALUE"""),44631.0)</f>
        <v>44631</v>
      </c>
      <c r="C731" s="250">
        <f>IFERROR(__xludf.DUMMYFUNCTION("""COMPUTED_VALUE"""),0.2678009259259259)</f>
        <v>0.2678009259</v>
      </c>
      <c r="D731" s="6" t="str">
        <f>IFERROR(__xludf.DUMMYFUNCTION("""COMPUTED_VALUE"""),"SpBEND302553")</f>
        <v>SpBEND302553</v>
      </c>
      <c r="E731" s="251"/>
      <c r="F731" s="251"/>
      <c r="G731" s="251" t="str">
        <f>IFERROR(__xludf.DUMMYFUNCTION("""COMPUTED_VALUE"""),"Negative")</f>
        <v>Negative</v>
      </c>
      <c r="H731" s="262" t="str">
        <f>IFERROR(__xludf.DUMMYFUNCTION("""COMPUTED_VALUE"""),"Negative")</f>
        <v>Negative</v>
      </c>
      <c r="I731" s="204">
        <f>IFERROR(__xludf.DUMMYFUNCTION("""COMPUTED_VALUE"""),44631.0)</f>
        <v>44631</v>
      </c>
      <c r="J731" s="252">
        <f>IFERROR(__xludf.DUMMYFUNCTION("""COMPUTED_VALUE"""),0.4860763888888889)</f>
        <v>0.4860763889</v>
      </c>
      <c r="K731" s="56"/>
      <c r="L731" s="6"/>
      <c r="M731" s="61"/>
      <c r="N731" s="61">
        <f>IFERROR(__xludf.DUMMYFUNCTION("""COMPUTED_VALUE"""),1.0)</f>
        <v>1</v>
      </c>
      <c r="O731" s="61"/>
      <c r="P731" s="253">
        <f>IFERROR(__xludf.DUMMYFUNCTION("""COMPUTED_VALUE"""),0.0)</f>
        <v>0</v>
      </c>
      <c r="Q731" s="254" t="b">
        <f>VLOOKUP($B731,'Run Reconcile'!B$2:O799,14,FALSE)</f>
        <v>1</v>
      </c>
      <c r="R731" s="255" t="str">
        <f t="array" ref="R731">IF($Q731, INDEX('Run Reconcile'!A$2:A799,MATCH(B731,'Run Reconcile'!B$2:B799,0),1),IFERROR(0/0,""))</f>
        <v>RUN-BEND_2022-03-11_RFR-050</v>
      </c>
      <c r="S731" s="261" t="str">
        <f t="shared" ref="S731:T731" si="1469">IF(COUNTIF(W$2:W799, $A731) &gt; 0,TRUE,IFERROR(0/0,""))</f>
        <v/>
      </c>
      <c r="T731" s="261" t="str">
        <f t="shared" si="1469"/>
        <v/>
      </c>
      <c r="U731" s="257" t="str">
        <f t="array" ref="U731">IF(ISBLANK($R731), INDEX('Run Reconcile'!A$2:A799, MATCH($B731, 'Run Reconcile'!B$2:B799, 0)+Z731, 1), IFERROR(0/0,""))
</f>
        <v/>
      </c>
      <c r="V731" s="258" t="str">
        <f t="shared" si="480"/>
        <v>RUN-BEND_2022-03-11_RFR-050</v>
      </c>
      <c r="Y731" s="130" t="str">
        <f t="shared" si="487"/>
        <v/>
      </c>
      <c r="Z731" s="49" t="str">
        <f t="shared" si="7"/>
        <v/>
      </c>
      <c r="AA731" s="49" t="str">
        <f t="shared" si="8"/>
        <v/>
      </c>
      <c r="AB731" s="49" t="str">
        <f t="shared" si="9"/>
        <v/>
      </c>
      <c r="AC731" s="20" t="str">
        <f t="shared" ref="AC731:AD731" si="1470">IF(_xlfn.ISFORMULA(S731),IFERROR(0/0,""),TRUE)</f>
        <v/>
      </c>
      <c r="AD731" s="20" t="str">
        <f t="shared" si="1470"/>
        <v/>
      </c>
      <c r="AE731" s="43"/>
      <c r="AF731" s="62" t="s">
        <v>69</v>
      </c>
      <c r="AG731" s="57" t="str">
        <f t="shared" si="11"/>
        <v/>
      </c>
    </row>
    <row r="732">
      <c r="A732" s="6" t="str">
        <f>IFERROR(__xludf.DUMMYFUNCTION("""COMPUTED_VALUE"""),"MA1302")</f>
        <v>MA1302</v>
      </c>
      <c r="B732" s="204">
        <f>IFERROR(__xludf.DUMMYFUNCTION("""COMPUTED_VALUE"""),44631.0)</f>
        <v>44631</v>
      </c>
      <c r="C732" s="250">
        <f>IFERROR(__xludf.DUMMYFUNCTION("""COMPUTED_VALUE"""),0.2694328703703704)</f>
        <v>0.2694328704</v>
      </c>
      <c r="D732" s="6" t="str">
        <f>IFERROR(__xludf.DUMMYFUNCTION("""COMPUTED_VALUE"""),"SpBEND302553")</f>
        <v>SpBEND302553</v>
      </c>
      <c r="E732" s="251"/>
      <c r="F732" s="251"/>
      <c r="G732" s="251" t="str">
        <f>IFERROR(__xludf.DUMMYFUNCTION("""COMPUTED_VALUE"""),"Negative")</f>
        <v>Negative</v>
      </c>
      <c r="H732" s="262" t="str">
        <f>IFERROR(__xludf.DUMMYFUNCTION("""COMPUTED_VALUE"""),"Negative")</f>
        <v>Negative</v>
      </c>
      <c r="I732" s="204">
        <f>IFERROR(__xludf.DUMMYFUNCTION("""COMPUTED_VALUE"""),44631.0)</f>
        <v>44631</v>
      </c>
      <c r="J732" s="252">
        <f>IFERROR(__xludf.DUMMYFUNCTION("""COMPUTED_VALUE"""),0.4860763888888889)</f>
        <v>0.4860763889</v>
      </c>
      <c r="K732" s="56"/>
      <c r="L732" s="6"/>
      <c r="M732" s="61"/>
      <c r="N732" s="61">
        <f>IFERROR(__xludf.DUMMYFUNCTION("""COMPUTED_VALUE"""),1.0)</f>
        <v>1</v>
      </c>
      <c r="O732" s="61"/>
      <c r="P732" s="253">
        <f>IFERROR(__xludf.DUMMYFUNCTION("""COMPUTED_VALUE"""),0.0)</f>
        <v>0</v>
      </c>
      <c r="Q732" s="254" t="b">
        <f>VLOOKUP($B732,'Run Reconcile'!B$2:O799,14,FALSE)</f>
        <v>1</v>
      </c>
      <c r="R732" s="255" t="str">
        <f t="array" ref="R732">IF($Q732, INDEX('Run Reconcile'!A$2:A799,MATCH(B732,'Run Reconcile'!B$2:B799,0),1),IFERROR(0/0,""))</f>
        <v>RUN-BEND_2022-03-11_RFR-050</v>
      </c>
      <c r="S732" s="261" t="str">
        <f t="shared" ref="S732:T732" si="1471">IF(COUNTIF(W$2:W799, $A732) &gt; 0,TRUE,IFERROR(0/0,""))</f>
        <v/>
      </c>
      <c r="T732" s="261" t="str">
        <f t="shared" si="1471"/>
        <v/>
      </c>
      <c r="U732" s="257" t="str">
        <f t="array" ref="U732">IF(ISBLANK($R732), INDEX('Run Reconcile'!A$2:A799, MATCH($B732, 'Run Reconcile'!B$2:B799, 0)+Z732, 1), IFERROR(0/0,""))
</f>
        <v/>
      </c>
      <c r="V732" s="258" t="str">
        <f t="shared" si="480"/>
        <v>RUN-BEND_2022-03-11_RFR-050</v>
      </c>
      <c r="Y732" s="130" t="str">
        <f t="shared" si="487"/>
        <v/>
      </c>
      <c r="Z732" s="49" t="str">
        <f t="shared" si="7"/>
        <v/>
      </c>
      <c r="AA732" s="49" t="str">
        <f t="shared" si="8"/>
        <v/>
      </c>
      <c r="AB732" s="49" t="str">
        <f t="shared" si="9"/>
        <v/>
      </c>
      <c r="AC732" s="20" t="str">
        <f t="shared" ref="AC732:AD732" si="1472">IF(_xlfn.ISFORMULA(S732),IFERROR(0/0,""),TRUE)</f>
        <v/>
      </c>
      <c r="AD732" s="20" t="str">
        <f t="shared" si="1472"/>
        <v/>
      </c>
      <c r="AE732" s="43"/>
      <c r="AF732" s="62" t="s">
        <v>69</v>
      </c>
      <c r="AG732" s="57" t="str">
        <f t="shared" si="11"/>
        <v/>
      </c>
    </row>
    <row r="733">
      <c r="A733" s="6" t="str">
        <f>IFERROR(__xludf.DUMMYFUNCTION("""COMPUTED_VALUE"""),"MA345")</f>
        <v>MA345</v>
      </c>
      <c r="B733" s="204">
        <f>IFERROR(__xludf.DUMMYFUNCTION("""COMPUTED_VALUE"""),44631.0)</f>
        <v>44631</v>
      </c>
      <c r="C733" s="250">
        <f>IFERROR(__xludf.DUMMYFUNCTION("""COMPUTED_VALUE"""),0.2769097222222222)</f>
        <v>0.2769097222</v>
      </c>
      <c r="D733" s="6" t="str">
        <f>IFERROR(__xludf.DUMMYFUNCTION("""COMPUTED_VALUE"""),"SpBEND670368")</f>
        <v>SpBEND670368</v>
      </c>
      <c r="E733" s="251"/>
      <c r="F733" s="251"/>
      <c r="G733" s="251" t="str">
        <f>IFERROR(__xludf.DUMMYFUNCTION("""COMPUTED_VALUE"""),"Negative")</f>
        <v>Negative</v>
      </c>
      <c r="H733" s="262" t="str">
        <f>IFERROR(__xludf.DUMMYFUNCTION("""COMPUTED_VALUE"""),"Negative")</f>
        <v>Negative</v>
      </c>
      <c r="I733" s="204">
        <f>IFERROR(__xludf.DUMMYFUNCTION("""COMPUTED_VALUE"""),44631.0)</f>
        <v>44631</v>
      </c>
      <c r="J733" s="252">
        <f>IFERROR(__xludf.DUMMYFUNCTION("""COMPUTED_VALUE"""),0.4860763888888889)</f>
        <v>0.4860763889</v>
      </c>
      <c r="K733" s="56"/>
      <c r="L733" s="6"/>
      <c r="M733" s="61"/>
      <c r="N733" s="61">
        <f>IFERROR(__xludf.DUMMYFUNCTION("""COMPUTED_VALUE"""),1.0)</f>
        <v>1</v>
      </c>
      <c r="O733" s="61"/>
      <c r="P733" s="253">
        <f>IFERROR(__xludf.DUMMYFUNCTION("""COMPUTED_VALUE"""),0.0)</f>
        <v>0</v>
      </c>
      <c r="Q733" s="254" t="b">
        <f>VLOOKUP($B733,'Run Reconcile'!B$2:O799,14,FALSE)</f>
        <v>1</v>
      </c>
      <c r="R733" s="255" t="str">
        <f t="array" ref="R733">IF($Q733, INDEX('Run Reconcile'!A$2:A799,MATCH(B733,'Run Reconcile'!B$2:B799,0),1),IFERROR(0/0,""))</f>
        <v>RUN-BEND_2022-03-11_RFR-050</v>
      </c>
      <c r="S733" s="261" t="str">
        <f t="shared" ref="S733:T733" si="1473">IF(COUNTIF(W$2:W799, $A733) &gt; 0,TRUE,IFERROR(0/0,""))</f>
        <v/>
      </c>
      <c r="T733" s="261" t="str">
        <f t="shared" si="1473"/>
        <v/>
      </c>
      <c r="U733" s="257" t="str">
        <f t="array" ref="U733">IF(ISBLANK($R733), INDEX('Run Reconcile'!A$2:A799, MATCH($B733, 'Run Reconcile'!B$2:B799, 0)+Z733, 1), IFERROR(0/0,""))
</f>
        <v/>
      </c>
      <c r="V733" s="258" t="str">
        <f t="shared" si="480"/>
        <v>RUN-BEND_2022-03-11_RFR-050</v>
      </c>
      <c r="Y733" s="130" t="str">
        <f t="shared" si="487"/>
        <v/>
      </c>
      <c r="Z733" s="49" t="str">
        <f t="shared" si="7"/>
        <v/>
      </c>
      <c r="AA733" s="49" t="str">
        <f t="shared" si="8"/>
        <v/>
      </c>
      <c r="AB733" s="49" t="str">
        <f t="shared" si="9"/>
        <v/>
      </c>
      <c r="AC733" s="20" t="str">
        <f t="shared" ref="AC733:AD733" si="1474">IF(_xlfn.ISFORMULA(S733),IFERROR(0/0,""),TRUE)</f>
        <v/>
      </c>
      <c r="AD733" s="20" t="str">
        <f t="shared" si="1474"/>
        <v/>
      </c>
      <c r="AE733" s="43"/>
      <c r="AF733" s="62" t="s">
        <v>69</v>
      </c>
      <c r="AG733" s="57" t="str">
        <f t="shared" si="11"/>
        <v/>
      </c>
    </row>
    <row r="734">
      <c r="A734" s="6" t="str">
        <f>IFERROR(__xludf.DUMMYFUNCTION("""COMPUTED_VALUE"""),"FM2060")</f>
        <v>FM2060</v>
      </c>
      <c r="B734" s="204">
        <f>IFERROR(__xludf.DUMMYFUNCTION("""COMPUTED_VALUE"""),44631.0)</f>
        <v>44631</v>
      </c>
      <c r="C734" s="250">
        <f>IFERROR(__xludf.DUMMYFUNCTION("""COMPUTED_VALUE"""),0.287662037037037)</f>
        <v>0.287662037</v>
      </c>
      <c r="D734" s="6" t="str">
        <f>IFERROR(__xludf.DUMMYFUNCTION("""COMPUTED_VALUE"""),"SpBEND321883")</f>
        <v>SpBEND321883</v>
      </c>
      <c r="E734" s="251"/>
      <c r="F734" s="251"/>
      <c r="G734" s="251" t="str">
        <f>IFERROR(__xludf.DUMMYFUNCTION("""COMPUTED_VALUE"""),"Negative")</f>
        <v>Negative</v>
      </c>
      <c r="H734" s="262" t="str">
        <f>IFERROR(__xludf.DUMMYFUNCTION("""COMPUTED_VALUE"""),"Negative")</f>
        <v>Negative</v>
      </c>
      <c r="I734" s="204">
        <f>IFERROR(__xludf.DUMMYFUNCTION("""COMPUTED_VALUE"""),44631.0)</f>
        <v>44631</v>
      </c>
      <c r="J734" s="252">
        <f>IFERROR(__xludf.DUMMYFUNCTION("""COMPUTED_VALUE"""),0.4860763888888889)</f>
        <v>0.4860763889</v>
      </c>
      <c r="K734" s="56"/>
      <c r="L734" s="6"/>
      <c r="M734" s="61"/>
      <c r="N734" s="61">
        <f>IFERROR(__xludf.DUMMYFUNCTION("""COMPUTED_VALUE"""),1.0)</f>
        <v>1</v>
      </c>
      <c r="O734" s="61"/>
      <c r="P734" s="253">
        <f>IFERROR(__xludf.DUMMYFUNCTION("""COMPUTED_VALUE"""),0.0)</f>
        <v>0</v>
      </c>
      <c r="Q734" s="254" t="b">
        <f>VLOOKUP($B734,'Run Reconcile'!B$2:O799,14,FALSE)</f>
        <v>1</v>
      </c>
      <c r="R734" s="255" t="str">
        <f t="array" ref="R734">IF($Q734, INDEX('Run Reconcile'!A$2:A799,MATCH(B734,'Run Reconcile'!B$2:B799,0),1),IFERROR(0/0,""))</f>
        <v>RUN-BEND_2022-03-11_RFR-050</v>
      </c>
      <c r="S734" s="261" t="str">
        <f t="shared" ref="S734:T734" si="1475">IF(COUNTIF(W$2:W799, $A734) &gt; 0,TRUE,IFERROR(0/0,""))</f>
        <v/>
      </c>
      <c r="T734" s="261" t="str">
        <f t="shared" si="1475"/>
        <v/>
      </c>
      <c r="U734" s="257" t="str">
        <f t="array" ref="U734">IF(ISBLANK($R734), INDEX('Run Reconcile'!A$2:A799, MATCH($B734, 'Run Reconcile'!B$2:B799, 0)+Z734, 1), IFERROR(0/0,""))
</f>
        <v/>
      </c>
      <c r="V734" s="258" t="str">
        <f t="shared" si="480"/>
        <v>RUN-BEND_2022-03-11_RFR-050</v>
      </c>
      <c r="Y734" s="130" t="str">
        <f t="shared" si="487"/>
        <v/>
      </c>
      <c r="Z734" s="49" t="str">
        <f t="shared" si="7"/>
        <v/>
      </c>
      <c r="AA734" s="49" t="str">
        <f t="shared" si="8"/>
        <v/>
      </c>
      <c r="AB734" s="49" t="str">
        <f t="shared" si="9"/>
        <v/>
      </c>
      <c r="AC734" s="20" t="str">
        <f t="shared" ref="AC734:AD734" si="1476">IF(_xlfn.ISFORMULA(S734),IFERROR(0/0,""),TRUE)</f>
        <v/>
      </c>
      <c r="AD734" s="20" t="str">
        <f t="shared" si="1476"/>
        <v/>
      </c>
      <c r="AE734" s="43"/>
      <c r="AF734" s="62" t="s">
        <v>69</v>
      </c>
      <c r="AG734" s="57" t="str">
        <f t="shared" si="11"/>
        <v/>
      </c>
    </row>
    <row r="735">
      <c r="A735" s="6" t="str">
        <f>IFERROR(__xludf.DUMMYFUNCTION("""COMPUTED_VALUE"""),"FM318")</f>
        <v>FM318</v>
      </c>
      <c r="B735" s="204">
        <f>IFERROR(__xludf.DUMMYFUNCTION("""COMPUTED_VALUE"""),44631.0)</f>
        <v>44631</v>
      </c>
      <c r="C735" s="250">
        <f>IFERROR(__xludf.DUMMYFUNCTION("""COMPUTED_VALUE"""),0.2908101851851852)</f>
        <v>0.2908101852</v>
      </c>
      <c r="D735" s="6" t="str">
        <f>IFERROR(__xludf.DUMMYFUNCTION("""COMPUTED_VALUE"""),"SpBEND845568")</f>
        <v>SpBEND845568</v>
      </c>
      <c r="E735" s="251"/>
      <c r="F735" s="251"/>
      <c r="G735" s="251" t="str">
        <f>IFERROR(__xludf.DUMMYFUNCTION("""COMPUTED_VALUE"""),"Negative")</f>
        <v>Negative</v>
      </c>
      <c r="H735" s="262" t="str">
        <f>IFERROR(__xludf.DUMMYFUNCTION("""COMPUTED_VALUE"""),"Negative")</f>
        <v>Negative</v>
      </c>
      <c r="I735" s="204">
        <f>IFERROR(__xludf.DUMMYFUNCTION("""COMPUTED_VALUE"""),44631.0)</f>
        <v>44631</v>
      </c>
      <c r="J735" s="252">
        <f>IFERROR(__xludf.DUMMYFUNCTION("""COMPUTED_VALUE"""),0.4860763888888889)</f>
        <v>0.4860763889</v>
      </c>
      <c r="K735" s="56"/>
      <c r="L735" s="6"/>
      <c r="M735" s="61"/>
      <c r="N735" s="61">
        <f>IFERROR(__xludf.DUMMYFUNCTION("""COMPUTED_VALUE"""),1.0)</f>
        <v>1</v>
      </c>
      <c r="O735" s="61"/>
      <c r="P735" s="253">
        <f>IFERROR(__xludf.DUMMYFUNCTION("""COMPUTED_VALUE"""),0.0)</f>
        <v>0</v>
      </c>
      <c r="Q735" s="254" t="b">
        <f>VLOOKUP($B735,'Run Reconcile'!B$2:O799,14,FALSE)</f>
        <v>1</v>
      </c>
      <c r="R735" s="255" t="str">
        <f t="array" ref="R735">IF($Q735, INDEX('Run Reconcile'!A$2:A799,MATCH(B735,'Run Reconcile'!B$2:B799,0),1),IFERROR(0/0,""))</f>
        <v>RUN-BEND_2022-03-11_RFR-050</v>
      </c>
      <c r="S735" s="261" t="str">
        <f t="shared" ref="S735:T735" si="1477">IF(COUNTIF(W$2:W799, $A735) &gt; 0,TRUE,IFERROR(0/0,""))</f>
        <v/>
      </c>
      <c r="T735" s="261" t="str">
        <f t="shared" si="1477"/>
        <v/>
      </c>
      <c r="U735" s="257" t="str">
        <f t="array" ref="U735">IF(ISBLANK($R735), INDEX('Run Reconcile'!A$2:A799, MATCH($B735, 'Run Reconcile'!B$2:B799, 0)+Z735, 1), IFERROR(0/0,""))
</f>
        <v/>
      </c>
      <c r="V735" s="258" t="str">
        <f t="shared" si="480"/>
        <v>RUN-BEND_2022-03-11_RFR-050</v>
      </c>
      <c r="Y735" s="130" t="str">
        <f t="shared" si="487"/>
        <v/>
      </c>
      <c r="Z735" s="49" t="str">
        <f t="shared" si="7"/>
        <v/>
      </c>
      <c r="AA735" s="49" t="str">
        <f t="shared" si="8"/>
        <v/>
      </c>
      <c r="AB735" s="49" t="str">
        <f t="shared" si="9"/>
        <v/>
      </c>
      <c r="AC735" s="20" t="str">
        <f t="shared" ref="AC735:AD735" si="1478">IF(_xlfn.ISFORMULA(S735),IFERROR(0/0,""),TRUE)</f>
        <v/>
      </c>
      <c r="AD735" s="20" t="str">
        <f t="shared" si="1478"/>
        <v/>
      </c>
      <c r="AE735" s="43"/>
      <c r="AF735" s="62" t="s">
        <v>69</v>
      </c>
      <c r="AG735" s="57" t="str">
        <f t="shared" si="11"/>
        <v/>
      </c>
    </row>
    <row r="736">
      <c r="A736" s="6" t="str">
        <f>IFERROR(__xludf.DUMMYFUNCTION("""COMPUTED_VALUE"""),"FM2042")</f>
        <v>FM2042</v>
      </c>
      <c r="B736" s="204">
        <f>IFERROR(__xludf.DUMMYFUNCTION("""COMPUTED_VALUE"""),44631.0)</f>
        <v>44631</v>
      </c>
      <c r="C736" s="250">
        <f>IFERROR(__xludf.DUMMYFUNCTION("""COMPUTED_VALUE"""),0.2971875)</f>
        <v>0.2971875</v>
      </c>
      <c r="D736" s="6" t="str">
        <f>IFERROR(__xludf.DUMMYFUNCTION("""COMPUTED_VALUE"""),"SpBEND815974")</f>
        <v>SpBEND815974</v>
      </c>
      <c r="E736" s="251"/>
      <c r="F736" s="251"/>
      <c r="G736" s="251" t="str">
        <f>IFERROR(__xludf.DUMMYFUNCTION("""COMPUTED_VALUE"""),"Negative")</f>
        <v>Negative</v>
      </c>
      <c r="H736" s="262" t="str">
        <f>IFERROR(__xludf.DUMMYFUNCTION("""COMPUTED_VALUE"""),"Negative")</f>
        <v>Negative</v>
      </c>
      <c r="I736" s="204">
        <f>IFERROR(__xludf.DUMMYFUNCTION("""COMPUTED_VALUE"""),44631.0)</f>
        <v>44631</v>
      </c>
      <c r="J736" s="252">
        <f>IFERROR(__xludf.DUMMYFUNCTION("""COMPUTED_VALUE"""),0.48608796296296297)</f>
        <v>0.486087963</v>
      </c>
      <c r="K736" s="56"/>
      <c r="L736" s="6"/>
      <c r="M736" s="61"/>
      <c r="N736" s="61">
        <f>IFERROR(__xludf.DUMMYFUNCTION("""COMPUTED_VALUE"""),1.0)</f>
        <v>1</v>
      </c>
      <c r="O736" s="61"/>
      <c r="P736" s="253">
        <f>IFERROR(__xludf.DUMMYFUNCTION("""COMPUTED_VALUE"""),0.0)</f>
        <v>0</v>
      </c>
      <c r="Q736" s="254" t="b">
        <f>VLOOKUP($B736,'Run Reconcile'!B$2:O799,14,FALSE)</f>
        <v>1</v>
      </c>
      <c r="R736" s="255" t="str">
        <f t="array" ref="R736">IF($Q736, INDEX('Run Reconcile'!A$2:A799,MATCH(B736,'Run Reconcile'!B$2:B799,0),1),IFERROR(0/0,""))</f>
        <v>RUN-BEND_2022-03-11_RFR-050</v>
      </c>
      <c r="S736" s="261" t="str">
        <f t="shared" ref="S736:T736" si="1479">IF(COUNTIF(W$2:W799, $A736) &gt; 0,TRUE,IFERROR(0/0,""))</f>
        <v/>
      </c>
      <c r="T736" s="261" t="str">
        <f t="shared" si="1479"/>
        <v/>
      </c>
      <c r="U736" s="257" t="str">
        <f t="array" ref="U736">IF(ISBLANK($R736), INDEX('Run Reconcile'!A$2:A799, MATCH($B736, 'Run Reconcile'!B$2:B799, 0)+Z736, 1), IFERROR(0/0,""))
</f>
        <v/>
      </c>
      <c r="V736" s="258" t="str">
        <f t="shared" si="480"/>
        <v>RUN-BEND_2022-03-11_RFR-050</v>
      </c>
      <c r="Y736" s="130" t="str">
        <f t="shared" si="487"/>
        <v/>
      </c>
      <c r="Z736" s="49" t="str">
        <f t="shared" si="7"/>
        <v/>
      </c>
      <c r="AA736" s="49" t="str">
        <f t="shared" si="8"/>
        <v/>
      </c>
      <c r="AB736" s="49" t="str">
        <f t="shared" si="9"/>
        <v/>
      </c>
      <c r="AC736" s="20" t="str">
        <f t="shared" ref="AC736:AD736" si="1480">IF(_xlfn.ISFORMULA(S736),IFERROR(0/0,""),TRUE)</f>
        <v/>
      </c>
      <c r="AD736" s="20" t="str">
        <f t="shared" si="1480"/>
        <v/>
      </c>
      <c r="AE736" s="43"/>
      <c r="AF736" s="62" t="s">
        <v>69</v>
      </c>
      <c r="AG736" s="57" t="str">
        <f t="shared" si="11"/>
        <v/>
      </c>
    </row>
    <row r="737">
      <c r="A737" s="6" t="str">
        <f>IFERROR(__xludf.DUMMYFUNCTION("""COMPUTED_VALUE"""),"FM438")</f>
        <v>FM438</v>
      </c>
      <c r="B737" s="204">
        <f>IFERROR(__xludf.DUMMYFUNCTION("""COMPUTED_VALUE"""),44631.0)</f>
        <v>44631</v>
      </c>
      <c r="C737" s="250">
        <f>IFERROR(__xludf.DUMMYFUNCTION("""COMPUTED_VALUE"""),0.30041666666666667)</f>
        <v>0.3004166667</v>
      </c>
      <c r="D737" s="6" t="str">
        <f>IFERROR(__xludf.DUMMYFUNCTION("""COMPUTED_VALUE"""),"SpBEND734943")</f>
        <v>SpBEND734943</v>
      </c>
      <c r="E737" s="251"/>
      <c r="F737" s="251"/>
      <c r="G737" s="251" t="str">
        <f>IFERROR(__xludf.DUMMYFUNCTION("""COMPUTED_VALUE"""),"Negative")</f>
        <v>Negative</v>
      </c>
      <c r="H737" s="262" t="str">
        <f>IFERROR(__xludf.DUMMYFUNCTION("""COMPUTED_VALUE"""),"Negative")</f>
        <v>Negative</v>
      </c>
      <c r="I737" s="204">
        <f>IFERROR(__xludf.DUMMYFUNCTION("""COMPUTED_VALUE"""),44631.0)</f>
        <v>44631</v>
      </c>
      <c r="J737" s="252">
        <f>IFERROR(__xludf.DUMMYFUNCTION("""COMPUTED_VALUE"""),0.48608796296296297)</f>
        <v>0.486087963</v>
      </c>
      <c r="K737" s="56"/>
      <c r="L737" s="6"/>
      <c r="M737" s="61"/>
      <c r="N737" s="61">
        <f>IFERROR(__xludf.DUMMYFUNCTION("""COMPUTED_VALUE"""),1.0)</f>
        <v>1</v>
      </c>
      <c r="O737" s="61"/>
      <c r="P737" s="253">
        <f>IFERROR(__xludf.DUMMYFUNCTION("""COMPUTED_VALUE"""),0.0)</f>
        <v>0</v>
      </c>
      <c r="Q737" s="254" t="b">
        <f>VLOOKUP($B737,'Run Reconcile'!B$2:O799,14,FALSE)</f>
        <v>1</v>
      </c>
      <c r="R737" s="255" t="str">
        <f t="array" ref="R737">IF($Q737, INDEX('Run Reconcile'!A$2:A799,MATCH(B737,'Run Reconcile'!B$2:B799,0),1),IFERROR(0/0,""))</f>
        <v>RUN-BEND_2022-03-11_RFR-050</v>
      </c>
      <c r="S737" s="261" t="str">
        <f t="shared" ref="S737:T737" si="1481">IF(COUNTIF(W$2:W799, $A737) &gt; 0,TRUE,IFERROR(0/0,""))</f>
        <v/>
      </c>
      <c r="T737" s="261" t="str">
        <f t="shared" si="1481"/>
        <v/>
      </c>
      <c r="U737" s="257" t="str">
        <f t="array" ref="U737">IF(ISBLANK($R737), INDEX('Run Reconcile'!A$2:A799, MATCH($B737, 'Run Reconcile'!B$2:B799, 0)+Z737, 1), IFERROR(0/0,""))
</f>
        <v/>
      </c>
      <c r="V737" s="258" t="str">
        <f t="shared" si="480"/>
        <v>RUN-BEND_2022-03-11_RFR-050</v>
      </c>
      <c r="Y737" s="130" t="str">
        <f t="shared" si="487"/>
        <v/>
      </c>
      <c r="Z737" s="49" t="str">
        <f t="shared" si="7"/>
        <v/>
      </c>
      <c r="AA737" s="49" t="str">
        <f t="shared" si="8"/>
        <v/>
      </c>
      <c r="AB737" s="49" t="str">
        <f t="shared" si="9"/>
        <v/>
      </c>
      <c r="AC737" s="20" t="str">
        <f t="shared" ref="AC737:AD737" si="1482">IF(_xlfn.ISFORMULA(S737),IFERROR(0/0,""),TRUE)</f>
        <v/>
      </c>
      <c r="AD737" s="20" t="str">
        <f t="shared" si="1482"/>
        <v/>
      </c>
      <c r="AE737" s="43"/>
      <c r="AF737" s="62" t="s">
        <v>69</v>
      </c>
      <c r="AG737" s="57" t="str">
        <f t="shared" si="11"/>
        <v/>
      </c>
    </row>
    <row r="738">
      <c r="A738" s="6" t="str">
        <f>IFERROR(__xludf.DUMMYFUNCTION("""COMPUTED_VALUE"""),"FM355")</f>
        <v>FM355</v>
      </c>
      <c r="B738" s="204">
        <f>IFERROR(__xludf.DUMMYFUNCTION("""COMPUTED_VALUE"""),44631.0)</f>
        <v>44631</v>
      </c>
      <c r="C738" s="250">
        <f>IFERROR(__xludf.DUMMYFUNCTION("""COMPUTED_VALUE"""),0.3006712962962963)</f>
        <v>0.3006712963</v>
      </c>
      <c r="D738" s="6" t="str">
        <f>IFERROR(__xludf.DUMMYFUNCTION("""COMPUTED_VALUE"""),"SpBEND501019")</f>
        <v>SpBEND501019</v>
      </c>
      <c r="E738" s="251"/>
      <c r="F738" s="251"/>
      <c r="G738" s="251" t="str">
        <f>IFERROR(__xludf.DUMMYFUNCTION("""COMPUTED_VALUE"""),"Negative")</f>
        <v>Negative</v>
      </c>
      <c r="H738" s="262" t="str">
        <f>IFERROR(__xludf.DUMMYFUNCTION("""COMPUTED_VALUE"""),"Negative")</f>
        <v>Negative</v>
      </c>
      <c r="I738" s="204">
        <f>IFERROR(__xludf.DUMMYFUNCTION("""COMPUTED_VALUE"""),44631.0)</f>
        <v>44631</v>
      </c>
      <c r="J738" s="252">
        <f>IFERROR(__xludf.DUMMYFUNCTION("""COMPUTED_VALUE"""),0.48608796296296297)</f>
        <v>0.486087963</v>
      </c>
      <c r="K738" s="56"/>
      <c r="L738" s="6"/>
      <c r="M738" s="61"/>
      <c r="N738" s="61">
        <f>IFERROR(__xludf.DUMMYFUNCTION("""COMPUTED_VALUE"""),1.0)</f>
        <v>1</v>
      </c>
      <c r="O738" s="61"/>
      <c r="P738" s="253">
        <f>IFERROR(__xludf.DUMMYFUNCTION("""COMPUTED_VALUE"""),0.0)</f>
        <v>0</v>
      </c>
      <c r="Q738" s="254" t="b">
        <f>VLOOKUP($B738,'Run Reconcile'!B$2:O799,14,FALSE)</f>
        <v>1</v>
      </c>
      <c r="R738" s="255" t="str">
        <f t="array" ref="R738">IF($Q738, INDEX('Run Reconcile'!A$2:A799,MATCH(B738,'Run Reconcile'!B$2:B799,0),1),IFERROR(0/0,""))</f>
        <v>RUN-BEND_2022-03-11_RFR-050</v>
      </c>
      <c r="S738" s="261" t="str">
        <f t="shared" ref="S738:T738" si="1483">IF(COUNTIF(W$2:W799, $A738) &gt; 0,TRUE,IFERROR(0/0,""))</f>
        <v/>
      </c>
      <c r="T738" s="261" t="str">
        <f t="shared" si="1483"/>
        <v/>
      </c>
      <c r="U738" s="257" t="str">
        <f t="array" ref="U738">IF(ISBLANK($R738), INDEX('Run Reconcile'!A$2:A799, MATCH($B738, 'Run Reconcile'!B$2:B799, 0)+Z738, 1), IFERROR(0/0,""))
</f>
        <v/>
      </c>
      <c r="V738" s="258" t="str">
        <f t="shared" si="480"/>
        <v>RUN-BEND_2022-03-11_RFR-050</v>
      </c>
      <c r="Y738" s="130" t="str">
        <f t="shared" si="487"/>
        <v/>
      </c>
      <c r="Z738" s="49" t="str">
        <f t="shared" si="7"/>
        <v/>
      </c>
      <c r="AA738" s="49" t="str">
        <f t="shared" si="8"/>
        <v/>
      </c>
      <c r="AB738" s="49" t="str">
        <f t="shared" si="9"/>
        <v/>
      </c>
      <c r="AC738" s="20" t="str">
        <f t="shared" ref="AC738:AD738" si="1484">IF(_xlfn.ISFORMULA(S738),IFERROR(0/0,""),TRUE)</f>
        <v/>
      </c>
      <c r="AD738" s="20" t="str">
        <f t="shared" si="1484"/>
        <v/>
      </c>
      <c r="AE738" s="43"/>
      <c r="AF738" s="62" t="s">
        <v>69</v>
      </c>
      <c r="AG738" s="57" t="str">
        <f t="shared" si="11"/>
        <v/>
      </c>
    </row>
    <row r="739">
      <c r="A739" s="6" t="str">
        <f>IFERROR(__xludf.DUMMYFUNCTION("""COMPUTED_VALUE"""),"MA407")</f>
        <v>MA407</v>
      </c>
      <c r="B739" s="204">
        <f>IFERROR(__xludf.DUMMYFUNCTION("""COMPUTED_VALUE"""),44631.0)</f>
        <v>44631</v>
      </c>
      <c r="C739" s="250">
        <f>IFERROR(__xludf.DUMMYFUNCTION("""COMPUTED_VALUE"""),0.30194444444444446)</f>
        <v>0.3019444444</v>
      </c>
      <c r="D739" s="6" t="str">
        <f>IFERROR(__xludf.DUMMYFUNCTION("""COMPUTED_VALUE"""),"SpBEND435789")</f>
        <v>SpBEND435789</v>
      </c>
      <c r="E739" s="251"/>
      <c r="F739" s="251"/>
      <c r="G739" s="251" t="str">
        <f>IFERROR(__xludf.DUMMYFUNCTION("""COMPUTED_VALUE"""),"Negative")</f>
        <v>Negative</v>
      </c>
      <c r="H739" s="262" t="str">
        <f>IFERROR(__xludf.DUMMYFUNCTION("""COMPUTED_VALUE"""),"Negative")</f>
        <v>Negative</v>
      </c>
      <c r="I739" s="204">
        <f>IFERROR(__xludf.DUMMYFUNCTION("""COMPUTED_VALUE"""),44631.0)</f>
        <v>44631</v>
      </c>
      <c r="J739" s="252">
        <f>IFERROR(__xludf.DUMMYFUNCTION("""COMPUTED_VALUE"""),0.48608796296296297)</f>
        <v>0.486087963</v>
      </c>
      <c r="K739" s="56"/>
      <c r="L739" s="6"/>
      <c r="M739" s="61"/>
      <c r="N739" s="61">
        <f>IFERROR(__xludf.DUMMYFUNCTION("""COMPUTED_VALUE"""),1.0)</f>
        <v>1</v>
      </c>
      <c r="O739" s="61"/>
      <c r="P739" s="253">
        <f>IFERROR(__xludf.DUMMYFUNCTION("""COMPUTED_VALUE"""),0.0)</f>
        <v>0</v>
      </c>
      <c r="Q739" s="254" t="b">
        <f>VLOOKUP($B739,'Run Reconcile'!B$2:O799,14,FALSE)</f>
        <v>1</v>
      </c>
      <c r="R739" s="255" t="str">
        <f t="array" ref="R739">IF($Q739, INDEX('Run Reconcile'!A$2:A799,MATCH(B739,'Run Reconcile'!B$2:B799,0),1),IFERROR(0/0,""))</f>
        <v>RUN-BEND_2022-03-11_RFR-050</v>
      </c>
      <c r="S739" s="261" t="str">
        <f t="shared" ref="S739:T739" si="1485">IF(COUNTIF(W$2:W799, $A739) &gt; 0,TRUE,IFERROR(0/0,""))</f>
        <v/>
      </c>
      <c r="T739" s="261" t="str">
        <f t="shared" si="1485"/>
        <v/>
      </c>
      <c r="U739" s="257" t="str">
        <f t="array" ref="U739">IF(ISBLANK($R739), INDEX('Run Reconcile'!A$2:A799, MATCH($B739, 'Run Reconcile'!B$2:B799, 0)+Z739, 1), IFERROR(0/0,""))
</f>
        <v/>
      </c>
      <c r="V739" s="258" t="str">
        <f t="shared" si="480"/>
        <v>RUN-BEND_2022-03-11_RFR-050</v>
      </c>
      <c r="Y739" s="130" t="str">
        <f t="shared" si="487"/>
        <v/>
      </c>
      <c r="Z739" s="49" t="str">
        <f t="shared" si="7"/>
        <v/>
      </c>
      <c r="AA739" s="49" t="str">
        <f t="shared" si="8"/>
        <v/>
      </c>
      <c r="AB739" s="49" t="str">
        <f t="shared" si="9"/>
        <v/>
      </c>
      <c r="AC739" s="20" t="str">
        <f t="shared" ref="AC739:AD739" si="1486">IF(_xlfn.ISFORMULA(S739),IFERROR(0/0,""),TRUE)</f>
        <v/>
      </c>
      <c r="AD739" s="20" t="str">
        <f t="shared" si="1486"/>
        <v/>
      </c>
      <c r="AE739" s="43"/>
      <c r="AF739" s="62" t="s">
        <v>69</v>
      </c>
      <c r="AG739" s="57" t="str">
        <f t="shared" si="11"/>
        <v/>
      </c>
    </row>
    <row r="740">
      <c r="A740" s="6" t="str">
        <f>IFERROR(__xludf.DUMMYFUNCTION("""COMPUTED_VALUE"""),"MA325")</f>
        <v>MA325</v>
      </c>
      <c r="B740" s="204">
        <f>IFERROR(__xludf.DUMMYFUNCTION("""COMPUTED_VALUE"""),44631.0)</f>
        <v>44631</v>
      </c>
      <c r="C740" s="250">
        <f>IFERROR(__xludf.DUMMYFUNCTION("""COMPUTED_VALUE"""),0.3019560185185185)</f>
        <v>0.3019560185</v>
      </c>
      <c r="D740" s="6" t="str">
        <f>IFERROR(__xludf.DUMMYFUNCTION("""COMPUTED_VALUE"""),"SpBEND824412")</f>
        <v>SpBEND824412</v>
      </c>
      <c r="E740" s="251"/>
      <c r="F740" s="251"/>
      <c r="G740" s="251" t="str">
        <f>IFERROR(__xludf.DUMMYFUNCTION("""COMPUTED_VALUE"""),"Negative")</f>
        <v>Negative</v>
      </c>
      <c r="H740" s="262" t="str">
        <f>IFERROR(__xludf.DUMMYFUNCTION("""COMPUTED_VALUE"""),"Negative")</f>
        <v>Negative</v>
      </c>
      <c r="I740" s="204">
        <f>IFERROR(__xludf.DUMMYFUNCTION("""COMPUTED_VALUE"""),44631.0)</f>
        <v>44631</v>
      </c>
      <c r="J740" s="252">
        <f>IFERROR(__xludf.DUMMYFUNCTION("""COMPUTED_VALUE"""),0.48608796296296297)</f>
        <v>0.486087963</v>
      </c>
      <c r="K740" s="56"/>
      <c r="L740" s="6"/>
      <c r="M740" s="61"/>
      <c r="N740" s="61">
        <f>IFERROR(__xludf.DUMMYFUNCTION("""COMPUTED_VALUE"""),1.0)</f>
        <v>1</v>
      </c>
      <c r="O740" s="61"/>
      <c r="P740" s="253">
        <f>IFERROR(__xludf.DUMMYFUNCTION("""COMPUTED_VALUE"""),0.0)</f>
        <v>0</v>
      </c>
      <c r="Q740" s="254" t="b">
        <f>VLOOKUP($B740,'Run Reconcile'!B$2:O799,14,FALSE)</f>
        <v>1</v>
      </c>
      <c r="R740" s="255" t="str">
        <f t="array" ref="R740">IF($Q740, INDEX('Run Reconcile'!A$2:A799,MATCH(B740,'Run Reconcile'!B$2:B799,0),1),IFERROR(0/0,""))</f>
        <v>RUN-BEND_2022-03-11_RFR-050</v>
      </c>
      <c r="S740" s="261" t="str">
        <f t="shared" ref="S740:T740" si="1487">IF(COUNTIF(W$2:W799, $A740) &gt; 0,TRUE,IFERROR(0/0,""))</f>
        <v/>
      </c>
      <c r="T740" s="261" t="str">
        <f t="shared" si="1487"/>
        <v/>
      </c>
      <c r="U740" s="257" t="str">
        <f t="array" ref="U740">IF(ISBLANK($R740), INDEX('Run Reconcile'!A$2:A799, MATCH($B740, 'Run Reconcile'!B$2:B799, 0)+Z740, 1), IFERROR(0/0,""))
</f>
        <v/>
      </c>
      <c r="V740" s="258" t="str">
        <f t="shared" si="480"/>
        <v>RUN-BEND_2022-03-11_RFR-050</v>
      </c>
      <c r="Y740" s="130" t="str">
        <f t="shared" si="487"/>
        <v/>
      </c>
      <c r="Z740" s="49" t="str">
        <f t="shared" si="7"/>
        <v/>
      </c>
      <c r="AA740" s="49" t="str">
        <f t="shared" si="8"/>
        <v/>
      </c>
      <c r="AB740" s="49" t="str">
        <f t="shared" si="9"/>
        <v/>
      </c>
      <c r="AC740" s="20" t="str">
        <f t="shared" ref="AC740:AD740" si="1488">IF(_xlfn.ISFORMULA(S740),IFERROR(0/0,""),TRUE)</f>
        <v/>
      </c>
      <c r="AD740" s="20" t="str">
        <f t="shared" si="1488"/>
        <v/>
      </c>
      <c r="AE740" s="43"/>
      <c r="AF740" s="62" t="s">
        <v>69</v>
      </c>
      <c r="AG740" s="57" t="str">
        <f t="shared" si="11"/>
        <v/>
      </c>
    </row>
    <row r="741">
      <c r="A741" s="6" t="str">
        <f>IFERROR(__xludf.DUMMYFUNCTION("""COMPUTED_VALUE"""),"FM17")</f>
        <v>FM17</v>
      </c>
      <c r="B741" s="204">
        <f>IFERROR(__xludf.DUMMYFUNCTION("""COMPUTED_VALUE"""),44631.0)</f>
        <v>44631</v>
      </c>
      <c r="C741" s="250">
        <f>IFERROR(__xludf.DUMMYFUNCTION("""COMPUTED_VALUE"""),0.30644675925925924)</f>
        <v>0.3064467593</v>
      </c>
      <c r="D741" s="6" t="str">
        <f>IFERROR(__xludf.DUMMYFUNCTION("""COMPUTED_VALUE"""),"SpBEND842248")</f>
        <v>SpBEND842248</v>
      </c>
      <c r="E741" s="251"/>
      <c r="F741" s="251"/>
      <c r="G741" s="251" t="str">
        <f>IFERROR(__xludf.DUMMYFUNCTION("""COMPUTED_VALUE"""),"Negative")</f>
        <v>Negative</v>
      </c>
      <c r="H741" s="262" t="str">
        <f>IFERROR(__xludf.DUMMYFUNCTION("""COMPUTED_VALUE"""),"Negative")</f>
        <v>Negative</v>
      </c>
      <c r="I741" s="204">
        <f>IFERROR(__xludf.DUMMYFUNCTION("""COMPUTED_VALUE"""),44631.0)</f>
        <v>44631</v>
      </c>
      <c r="J741" s="252">
        <f>IFERROR(__xludf.DUMMYFUNCTION("""COMPUTED_VALUE"""),0.48608796296296297)</f>
        <v>0.486087963</v>
      </c>
      <c r="K741" s="56"/>
      <c r="L741" s="6"/>
      <c r="M741" s="61"/>
      <c r="N741" s="61">
        <f>IFERROR(__xludf.DUMMYFUNCTION("""COMPUTED_VALUE"""),1.0)</f>
        <v>1</v>
      </c>
      <c r="O741" s="61"/>
      <c r="P741" s="253">
        <f>IFERROR(__xludf.DUMMYFUNCTION("""COMPUTED_VALUE"""),0.0)</f>
        <v>0</v>
      </c>
      <c r="Q741" s="254" t="b">
        <f>VLOOKUP($B741,'Run Reconcile'!B$2:O799,14,FALSE)</f>
        <v>1</v>
      </c>
      <c r="R741" s="255" t="str">
        <f t="array" ref="R741">IF($Q741, INDEX('Run Reconcile'!A$2:A799,MATCH(B741,'Run Reconcile'!B$2:B799,0),1),IFERROR(0/0,""))</f>
        <v>RUN-BEND_2022-03-11_RFR-050</v>
      </c>
      <c r="S741" s="261" t="str">
        <f t="shared" ref="S741:T741" si="1489">IF(COUNTIF(W$2:W799, $A741) &gt; 0,TRUE,IFERROR(0/0,""))</f>
        <v/>
      </c>
      <c r="T741" s="261" t="str">
        <f t="shared" si="1489"/>
        <v/>
      </c>
      <c r="U741" s="257" t="str">
        <f t="array" ref="U741">IF(ISBLANK($R741), INDEX('Run Reconcile'!A$2:A799, MATCH($B741, 'Run Reconcile'!B$2:B799, 0)+Z741, 1), IFERROR(0/0,""))
</f>
        <v/>
      </c>
      <c r="V741" s="258" t="str">
        <f t="shared" si="480"/>
        <v>RUN-BEND_2022-03-11_RFR-050</v>
      </c>
      <c r="Y741" s="130" t="str">
        <f t="shared" si="487"/>
        <v/>
      </c>
      <c r="Z741" s="49" t="str">
        <f t="shared" si="7"/>
        <v/>
      </c>
      <c r="AA741" s="49" t="str">
        <f t="shared" si="8"/>
        <v/>
      </c>
      <c r="AB741" s="49" t="str">
        <f t="shared" si="9"/>
        <v/>
      </c>
      <c r="AC741" s="20" t="str">
        <f t="shared" ref="AC741:AD741" si="1490">IF(_xlfn.ISFORMULA(S741),IFERROR(0/0,""),TRUE)</f>
        <v/>
      </c>
      <c r="AD741" s="20" t="str">
        <f t="shared" si="1490"/>
        <v/>
      </c>
      <c r="AE741" s="43"/>
      <c r="AF741" s="62" t="s">
        <v>69</v>
      </c>
      <c r="AG741" s="57" t="str">
        <f t="shared" si="11"/>
        <v/>
      </c>
    </row>
    <row r="742">
      <c r="A742" s="6" t="str">
        <f>IFERROR(__xludf.DUMMYFUNCTION("""COMPUTED_VALUE"""),"FM105")</f>
        <v>FM105</v>
      </c>
      <c r="B742" s="204">
        <f>IFERROR(__xludf.DUMMYFUNCTION("""COMPUTED_VALUE"""),44631.0)</f>
        <v>44631</v>
      </c>
      <c r="C742" s="250">
        <f>IFERROR(__xludf.DUMMYFUNCTION("""COMPUTED_VALUE"""),0.30668981481481483)</f>
        <v>0.3066898148</v>
      </c>
      <c r="D742" s="6" t="str">
        <f>IFERROR(__xludf.DUMMYFUNCTION("""COMPUTED_VALUE"""),"SpBEND868438")</f>
        <v>SpBEND868438</v>
      </c>
      <c r="E742" s="251"/>
      <c r="F742" s="251"/>
      <c r="G742" s="251" t="str">
        <f>IFERROR(__xludf.DUMMYFUNCTION("""COMPUTED_VALUE"""),"Negative")</f>
        <v>Negative</v>
      </c>
      <c r="H742" s="262" t="str">
        <f>IFERROR(__xludf.DUMMYFUNCTION("""COMPUTED_VALUE"""),"Negative")</f>
        <v>Negative</v>
      </c>
      <c r="I742" s="204">
        <f>IFERROR(__xludf.DUMMYFUNCTION("""COMPUTED_VALUE"""),44631.0)</f>
        <v>44631</v>
      </c>
      <c r="J742" s="252">
        <f>IFERROR(__xludf.DUMMYFUNCTION("""COMPUTED_VALUE"""),0.48608796296296297)</f>
        <v>0.486087963</v>
      </c>
      <c r="K742" s="56"/>
      <c r="L742" s="6"/>
      <c r="M742" s="61"/>
      <c r="N742" s="61">
        <f>IFERROR(__xludf.DUMMYFUNCTION("""COMPUTED_VALUE"""),1.0)</f>
        <v>1</v>
      </c>
      <c r="O742" s="61"/>
      <c r="P742" s="253">
        <f>IFERROR(__xludf.DUMMYFUNCTION("""COMPUTED_VALUE"""),0.0)</f>
        <v>0</v>
      </c>
      <c r="Q742" s="254" t="b">
        <f>VLOOKUP($B742,'Run Reconcile'!B$2:O799,14,FALSE)</f>
        <v>1</v>
      </c>
      <c r="R742" s="255" t="str">
        <f t="array" ref="R742">IF($Q742, INDEX('Run Reconcile'!A$2:A799,MATCH(B742,'Run Reconcile'!B$2:B799,0),1),IFERROR(0/0,""))</f>
        <v>RUN-BEND_2022-03-11_RFR-050</v>
      </c>
      <c r="S742" s="261" t="str">
        <f t="shared" ref="S742:T742" si="1491">IF(COUNTIF(W$2:W799, $A742) &gt; 0,TRUE,IFERROR(0/0,""))</f>
        <v/>
      </c>
      <c r="T742" s="261" t="str">
        <f t="shared" si="1491"/>
        <v/>
      </c>
      <c r="U742" s="257" t="str">
        <f t="array" ref="U742">IF(ISBLANK($R742), INDEX('Run Reconcile'!A$2:A799, MATCH($B742, 'Run Reconcile'!B$2:B799, 0)+Z742, 1), IFERROR(0/0,""))
</f>
        <v/>
      </c>
      <c r="V742" s="258" t="str">
        <f t="shared" si="480"/>
        <v>RUN-BEND_2022-03-11_RFR-050</v>
      </c>
      <c r="Y742" s="130" t="str">
        <f t="shared" si="487"/>
        <v/>
      </c>
      <c r="Z742" s="49" t="str">
        <f t="shared" si="7"/>
        <v/>
      </c>
      <c r="AA742" s="49" t="str">
        <f t="shared" si="8"/>
        <v/>
      </c>
      <c r="AB742" s="49" t="str">
        <f t="shared" si="9"/>
        <v/>
      </c>
      <c r="AC742" s="20" t="str">
        <f t="shared" ref="AC742:AD742" si="1492">IF(_xlfn.ISFORMULA(S742),IFERROR(0/0,""),TRUE)</f>
        <v/>
      </c>
      <c r="AD742" s="20" t="str">
        <f t="shared" si="1492"/>
        <v/>
      </c>
      <c r="AE742" s="43"/>
      <c r="AF742" s="62" t="s">
        <v>69</v>
      </c>
      <c r="AG742" s="57" t="str">
        <f t="shared" si="11"/>
        <v/>
      </c>
    </row>
    <row r="743">
      <c r="A743" s="6" t="str">
        <f>IFERROR(__xludf.DUMMYFUNCTION("""COMPUTED_VALUE"""),"FM1870")</f>
        <v>FM1870</v>
      </c>
      <c r="B743" s="204">
        <f>IFERROR(__xludf.DUMMYFUNCTION("""COMPUTED_VALUE"""),44631.0)</f>
        <v>44631</v>
      </c>
      <c r="C743" s="250">
        <f>IFERROR(__xludf.DUMMYFUNCTION("""COMPUTED_VALUE"""),0.3084953703703704)</f>
        <v>0.3084953704</v>
      </c>
      <c r="D743" s="6" t="str">
        <f>IFERROR(__xludf.DUMMYFUNCTION("""COMPUTED_VALUE"""),"SpBEND904348")</f>
        <v>SpBEND904348</v>
      </c>
      <c r="E743" s="251"/>
      <c r="F743" s="251"/>
      <c r="G743" s="251" t="str">
        <f>IFERROR(__xludf.DUMMYFUNCTION("""COMPUTED_VALUE"""),"Negative")</f>
        <v>Negative</v>
      </c>
      <c r="H743" s="262" t="str">
        <f>IFERROR(__xludf.DUMMYFUNCTION("""COMPUTED_VALUE"""),"Negative")</f>
        <v>Negative</v>
      </c>
      <c r="I743" s="204">
        <f>IFERROR(__xludf.DUMMYFUNCTION("""COMPUTED_VALUE"""),44631.0)</f>
        <v>44631</v>
      </c>
      <c r="J743" s="252">
        <f>IFERROR(__xludf.DUMMYFUNCTION("""COMPUTED_VALUE"""),0.48608796296296297)</f>
        <v>0.486087963</v>
      </c>
      <c r="K743" s="56"/>
      <c r="L743" s="6"/>
      <c r="M743" s="61"/>
      <c r="N743" s="61">
        <f>IFERROR(__xludf.DUMMYFUNCTION("""COMPUTED_VALUE"""),1.0)</f>
        <v>1</v>
      </c>
      <c r="O743" s="61"/>
      <c r="P743" s="253">
        <f>IFERROR(__xludf.DUMMYFUNCTION("""COMPUTED_VALUE"""),0.0)</f>
        <v>0</v>
      </c>
      <c r="Q743" s="254" t="b">
        <f>VLOOKUP($B743,'Run Reconcile'!B$2:O799,14,FALSE)</f>
        <v>1</v>
      </c>
      <c r="R743" s="255" t="str">
        <f t="array" ref="R743">IF($Q743, INDEX('Run Reconcile'!A$2:A799,MATCH(B743,'Run Reconcile'!B$2:B799,0),1),IFERROR(0/0,""))</f>
        <v>RUN-BEND_2022-03-11_RFR-050</v>
      </c>
      <c r="S743" s="261" t="str">
        <f t="shared" ref="S743:T743" si="1493">IF(COUNTIF(W$2:W799, $A743) &gt; 0,TRUE,IFERROR(0/0,""))</f>
        <v/>
      </c>
      <c r="T743" s="261" t="str">
        <f t="shared" si="1493"/>
        <v/>
      </c>
      <c r="U743" s="257" t="str">
        <f t="array" ref="U743">IF(ISBLANK($R743), INDEX('Run Reconcile'!A$2:A799, MATCH($B743, 'Run Reconcile'!B$2:B799, 0)+Z743, 1), IFERROR(0/0,""))
</f>
        <v/>
      </c>
      <c r="V743" s="258" t="str">
        <f t="shared" si="480"/>
        <v>RUN-BEND_2022-03-11_RFR-050</v>
      </c>
      <c r="Y743" s="130" t="str">
        <f t="shared" si="487"/>
        <v/>
      </c>
      <c r="Z743" s="49" t="str">
        <f t="shared" si="7"/>
        <v/>
      </c>
      <c r="AA743" s="49" t="str">
        <f t="shared" si="8"/>
        <v/>
      </c>
      <c r="AB743" s="49" t="str">
        <f t="shared" si="9"/>
        <v/>
      </c>
      <c r="AC743" s="20" t="str">
        <f t="shared" ref="AC743:AD743" si="1494">IF(_xlfn.ISFORMULA(S743),IFERROR(0/0,""),TRUE)</f>
        <v/>
      </c>
      <c r="AD743" s="20" t="str">
        <f t="shared" si="1494"/>
        <v/>
      </c>
      <c r="AE743" s="43"/>
      <c r="AF743" s="62" t="s">
        <v>69</v>
      </c>
      <c r="AG743" s="57" t="str">
        <f t="shared" si="11"/>
        <v/>
      </c>
    </row>
    <row r="744">
      <c r="A744" s="6" t="str">
        <f>IFERROR(__xludf.DUMMYFUNCTION("""COMPUTED_VALUE"""),"FM1786")</f>
        <v>FM1786</v>
      </c>
      <c r="B744" s="204">
        <f>IFERROR(__xludf.DUMMYFUNCTION("""COMPUTED_VALUE"""),44631.0)</f>
        <v>44631</v>
      </c>
      <c r="C744" s="250">
        <f>IFERROR(__xludf.DUMMYFUNCTION("""COMPUTED_VALUE"""),0.30917824074074074)</f>
        <v>0.3091782407</v>
      </c>
      <c r="D744" s="6" t="str">
        <f>IFERROR(__xludf.DUMMYFUNCTION("""COMPUTED_VALUE"""),"SpBEND904348")</f>
        <v>SpBEND904348</v>
      </c>
      <c r="E744" s="251"/>
      <c r="F744" s="251"/>
      <c r="G744" s="251" t="str">
        <f>IFERROR(__xludf.DUMMYFUNCTION("""COMPUTED_VALUE"""),"Negative")</f>
        <v>Negative</v>
      </c>
      <c r="H744" s="262" t="str">
        <f>IFERROR(__xludf.DUMMYFUNCTION("""COMPUTED_VALUE"""),"Negative")</f>
        <v>Negative</v>
      </c>
      <c r="I744" s="204">
        <f>IFERROR(__xludf.DUMMYFUNCTION("""COMPUTED_VALUE"""),44631.0)</f>
        <v>44631</v>
      </c>
      <c r="J744" s="252">
        <f>IFERROR(__xludf.DUMMYFUNCTION("""COMPUTED_VALUE"""),0.48608796296296297)</f>
        <v>0.486087963</v>
      </c>
      <c r="K744" s="56"/>
      <c r="L744" s="6"/>
      <c r="M744" s="61"/>
      <c r="N744" s="61">
        <f>IFERROR(__xludf.DUMMYFUNCTION("""COMPUTED_VALUE"""),1.0)</f>
        <v>1</v>
      </c>
      <c r="O744" s="61"/>
      <c r="P744" s="253">
        <f>IFERROR(__xludf.DUMMYFUNCTION("""COMPUTED_VALUE"""),0.0)</f>
        <v>0</v>
      </c>
      <c r="Q744" s="254" t="b">
        <f>VLOOKUP($B744,'Run Reconcile'!B$2:O799,14,FALSE)</f>
        <v>1</v>
      </c>
      <c r="R744" s="255" t="str">
        <f t="array" ref="R744">IF($Q744, INDEX('Run Reconcile'!A$2:A799,MATCH(B744,'Run Reconcile'!B$2:B799,0),1),IFERROR(0/0,""))</f>
        <v>RUN-BEND_2022-03-11_RFR-050</v>
      </c>
      <c r="S744" s="261" t="str">
        <f t="shared" ref="S744:T744" si="1495">IF(COUNTIF(W$2:W799, $A744) &gt; 0,TRUE,IFERROR(0/0,""))</f>
        <v/>
      </c>
      <c r="T744" s="261" t="str">
        <f t="shared" si="1495"/>
        <v/>
      </c>
      <c r="U744" s="257" t="str">
        <f t="array" ref="U744">IF(ISBLANK($R744), INDEX('Run Reconcile'!A$2:A799, MATCH($B744, 'Run Reconcile'!B$2:B799, 0)+Z744, 1), IFERROR(0/0,""))
</f>
        <v/>
      </c>
      <c r="V744" s="258" t="str">
        <f t="shared" si="480"/>
        <v>RUN-BEND_2022-03-11_RFR-050</v>
      </c>
      <c r="Y744" s="130" t="str">
        <f t="shared" si="487"/>
        <v/>
      </c>
      <c r="Z744" s="49" t="str">
        <f t="shared" si="7"/>
        <v/>
      </c>
      <c r="AA744" s="49" t="str">
        <f t="shared" si="8"/>
        <v/>
      </c>
      <c r="AB744" s="49" t="str">
        <f t="shared" si="9"/>
        <v/>
      </c>
      <c r="AC744" s="20" t="str">
        <f t="shared" ref="AC744:AD744" si="1496">IF(_xlfn.ISFORMULA(S744),IFERROR(0/0,""),TRUE)</f>
        <v/>
      </c>
      <c r="AD744" s="20" t="str">
        <f t="shared" si="1496"/>
        <v/>
      </c>
      <c r="AE744" s="43"/>
      <c r="AF744" s="62" t="s">
        <v>69</v>
      </c>
      <c r="AG744" s="57" t="str">
        <f t="shared" si="11"/>
        <v/>
      </c>
    </row>
    <row r="745">
      <c r="A745" s="6" t="str">
        <f>IFERROR(__xludf.DUMMYFUNCTION("""COMPUTED_VALUE"""),"FM2063")</f>
        <v>FM2063</v>
      </c>
      <c r="B745" s="204">
        <f>IFERROR(__xludf.DUMMYFUNCTION("""COMPUTED_VALUE"""),44631.0)</f>
        <v>44631</v>
      </c>
      <c r="C745" s="250">
        <f>IFERROR(__xludf.DUMMYFUNCTION("""COMPUTED_VALUE"""),0.31730324074074073)</f>
        <v>0.3173032407</v>
      </c>
      <c r="D745" s="6" t="str">
        <f>IFERROR(__xludf.DUMMYFUNCTION("""COMPUTED_VALUE"""),"SpBEND387578")</f>
        <v>SpBEND387578</v>
      </c>
      <c r="E745" s="251"/>
      <c r="F745" s="251"/>
      <c r="G745" s="251" t="str">
        <f>IFERROR(__xludf.DUMMYFUNCTION("""COMPUTED_VALUE"""),"Negative")</f>
        <v>Negative</v>
      </c>
      <c r="H745" s="262" t="str">
        <f>IFERROR(__xludf.DUMMYFUNCTION("""COMPUTED_VALUE"""),"Negative")</f>
        <v>Negative</v>
      </c>
      <c r="I745" s="204">
        <f>IFERROR(__xludf.DUMMYFUNCTION("""COMPUTED_VALUE"""),44631.0)</f>
        <v>44631</v>
      </c>
      <c r="J745" s="252">
        <f>IFERROR(__xludf.DUMMYFUNCTION("""COMPUTED_VALUE"""),0.48608796296296297)</f>
        <v>0.486087963</v>
      </c>
      <c r="K745" s="56"/>
      <c r="L745" s="6"/>
      <c r="M745" s="61"/>
      <c r="N745" s="61">
        <f>IFERROR(__xludf.DUMMYFUNCTION("""COMPUTED_VALUE"""),1.0)</f>
        <v>1</v>
      </c>
      <c r="O745" s="61"/>
      <c r="P745" s="253">
        <f>IFERROR(__xludf.DUMMYFUNCTION("""COMPUTED_VALUE"""),0.0)</f>
        <v>0</v>
      </c>
      <c r="Q745" s="254" t="b">
        <f>VLOOKUP($B745,'Run Reconcile'!B$2:O799,14,FALSE)</f>
        <v>1</v>
      </c>
      <c r="R745" s="255" t="str">
        <f t="array" ref="R745">IF($Q745, INDEX('Run Reconcile'!A$2:A799,MATCH(B745,'Run Reconcile'!B$2:B799,0),1),IFERROR(0/0,""))</f>
        <v>RUN-BEND_2022-03-11_RFR-050</v>
      </c>
      <c r="S745" s="261" t="str">
        <f t="shared" ref="S745:T745" si="1497">IF(COUNTIF(W$2:W799, $A745) &gt; 0,TRUE,IFERROR(0/0,""))</f>
        <v/>
      </c>
      <c r="T745" s="261" t="str">
        <f t="shared" si="1497"/>
        <v/>
      </c>
      <c r="U745" s="257" t="str">
        <f t="array" ref="U745">IF(ISBLANK($R745), INDEX('Run Reconcile'!A$2:A799, MATCH($B745, 'Run Reconcile'!B$2:B799, 0)+Z745, 1), IFERROR(0/0,""))
</f>
        <v/>
      </c>
      <c r="V745" s="258" t="str">
        <f t="shared" si="480"/>
        <v>RUN-BEND_2022-03-11_RFR-050</v>
      </c>
      <c r="Y745" s="130" t="str">
        <f t="shared" si="487"/>
        <v/>
      </c>
      <c r="Z745" s="49" t="str">
        <f t="shared" si="7"/>
        <v/>
      </c>
      <c r="AA745" s="49" t="str">
        <f t="shared" si="8"/>
        <v/>
      </c>
      <c r="AB745" s="49" t="str">
        <f t="shared" si="9"/>
        <v/>
      </c>
      <c r="AC745" s="20" t="str">
        <f t="shared" ref="AC745:AD745" si="1498">IF(_xlfn.ISFORMULA(S745),IFERROR(0/0,""),TRUE)</f>
        <v/>
      </c>
      <c r="AD745" s="20" t="str">
        <f t="shared" si="1498"/>
        <v/>
      </c>
      <c r="AE745" s="43"/>
      <c r="AF745" s="62" t="s">
        <v>69</v>
      </c>
      <c r="AG745" s="57" t="str">
        <f t="shared" si="11"/>
        <v/>
      </c>
    </row>
    <row r="746">
      <c r="A746" s="6" t="str">
        <f>IFERROR(__xludf.DUMMYFUNCTION("""COMPUTED_VALUE"""),"FM39")</f>
        <v>FM39</v>
      </c>
      <c r="B746" s="204">
        <f>IFERROR(__xludf.DUMMYFUNCTION("""COMPUTED_VALUE"""),44631.0)</f>
        <v>44631</v>
      </c>
      <c r="C746" s="250">
        <f>IFERROR(__xludf.DUMMYFUNCTION("""COMPUTED_VALUE"""),0.3235763888888889)</f>
        <v>0.3235763889</v>
      </c>
      <c r="D746" s="6" t="str">
        <f>IFERROR(__xludf.DUMMYFUNCTION("""COMPUTED_VALUE"""),"SpBEND643855")</f>
        <v>SpBEND643855</v>
      </c>
      <c r="E746" s="251"/>
      <c r="F746" s="251"/>
      <c r="G746" s="251" t="str">
        <f>IFERROR(__xludf.DUMMYFUNCTION("""COMPUTED_VALUE"""),"Negative")</f>
        <v>Negative</v>
      </c>
      <c r="H746" s="262" t="str">
        <f>IFERROR(__xludf.DUMMYFUNCTION("""COMPUTED_VALUE"""),"Negative")</f>
        <v>Negative</v>
      </c>
      <c r="I746" s="204">
        <f>IFERROR(__xludf.DUMMYFUNCTION("""COMPUTED_VALUE"""),44631.0)</f>
        <v>44631</v>
      </c>
      <c r="J746" s="252">
        <f>IFERROR(__xludf.DUMMYFUNCTION("""COMPUTED_VALUE"""),0.48608796296296297)</f>
        <v>0.486087963</v>
      </c>
      <c r="K746" s="56"/>
      <c r="L746" s="6"/>
      <c r="M746" s="61"/>
      <c r="N746" s="61">
        <f>IFERROR(__xludf.DUMMYFUNCTION("""COMPUTED_VALUE"""),1.0)</f>
        <v>1</v>
      </c>
      <c r="O746" s="61"/>
      <c r="P746" s="253">
        <f>IFERROR(__xludf.DUMMYFUNCTION("""COMPUTED_VALUE"""),0.0)</f>
        <v>0</v>
      </c>
      <c r="Q746" s="254" t="b">
        <f>VLOOKUP($B746,'Run Reconcile'!B$2:O799,14,FALSE)</f>
        <v>1</v>
      </c>
      <c r="R746" s="255" t="str">
        <f t="array" ref="R746">IF($Q746, INDEX('Run Reconcile'!A$2:A799,MATCH(B746,'Run Reconcile'!B$2:B799,0),1),IFERROR(0/0,""))</f>
        <v>RUN-BEND_2022-03-11_RFR-050</v>
      </c>
      <c r="S746" s="261" t="str">
        <f t="shared" ref="S746:T746" si="1499">IF(COUNTIF(W$2:W799, $A746) &gt; 0,TRUE,IFERROR(0/0,""))</f>
        <v/>
      </c>
      <c r="T746" s="261" t="str">
        <f t="shared" si="1499"/>
        <v/>
      </c>
      <c r="U746" s="257" t="str">
        <f t="array" ref="U746">IF(ISBLANK($R746), INDEX('Run Reconcile'!A$2:A799, MATCH($B746, 'Run Reconcile'!B$2:B799, 0)+Z746, 1), IFERROR(0/0,""))
</f>
        <v/>
      </c>
      <c r="V746" s="258" t="str">
        <f t="shared" si="480"/>
        <v>RUN-BEND_2022-03-11_RFR-050</v>
      </c>
      <c r="Y746" s="130" t="str">
        <f t="shared" si="487"/>
        <v/>
      </c>
      <c r="Z746" s="49" t="str">
        <f t="shared" si="7"/>
        <v/>
      </c>
      <c r="AA746" s="49" t="str">
        <f t="shared" si="8"/>
        <v/>
      </c>
      <c r="AB746" s="49" t="str">
        <f t="shared" si="9"/>
        <v/>
      </c>
      <c r="AC746" s="20" t="str">
        <f t="shared" ref="AC746:AD746" si="1500">IF(_xlfn.ISFORMULA(S746),IFERROR(0/0,""),TRUE)</f>
        <v/>
      </c>
      <c r="AD746" s="20" t="str">
        <f t="shared" si="1500"/>
        <v/>
      </c>
      <c r="AE746" s="43"/>
      <c r="AF746" s="62" t="s">
        <v>69</v>
      </c>
      <c r="AG746" s="57" t="str">
        <f t="shared" si="11"/>
        <v/>
      </c>
    </row>
    <row r="747">
      <c r="A747" s="6" t="str">
        <f>IFERROR(__xludf.DUMMYFUNCTION("""COMPUTED_VALUE"""),"FM15")</f>
        <v>FM15</v>
      </c>
      <c r="B747" s="204">
        <f>IFERROR(__xludf.DUMMYFUNCTION("""COMPUTED_VALUE"""),44631.0)</f>
        <v>44631</v>
      </c>
      <c r="C747" s="250">
        <f>IFERROR(__xludf.DUMMYFUNCTION("""COMPUTED_VALUE"""),0.32358796296296294)</f>
        <v>0.323587963</v>
      </c>
      <c r="D747" s="6" t="str">
        <f>IFERROR(__xludf.DUMMYFUNCTION("""COMPUTED_VALUE"""),"SpBEND481988")</f>
        <v>SpBEND481988</v>
      </c>
      <c r="E747" s="251"/>
      <c r="F747" s="251"/>
      <c r="G747" s="251" t="str">
        <f>IFERROR(__xludf.DUMMYFUNCTION("""COMPUTED_VALUE"""),"Negative")</f>
        <v>Negative</v>
      </c>
      <c r="H747" s="262" t="str">
        <f>IFERROR(__xludf.DUMMYFUNCTION("""COMPUTED_VALUE"""),"Negative")</f>
        <v>Negative</v>
      </c>
      <c r="I747" s="204">
        <f>IFERROR(__xludf.DUMMYFUNCTION("""COMPUTED_VALUE"""),44631.0)</f>
        <v>44631</v>
      </c>
      <c r="J747" s="252">
        <f>IFERROR(__xludf.DUMMYFUNCTION("""COMPUTED_VALUE"""),0.48608796296296297)</f>
        <v>0.486087963</v>
      </c>
      <c r="K747" s="56"/>
      <c r="L747" s="6"/>
      <c r="M747" s="61"/>
      <c r="N747" s="61">
        <f>IFERROR(__xludf.DUMMYFUNCTION("""COMPUTED_VALUE"""),1.0)</f>
        <v>1</v>
      </c>
      <c r="O747" s="61"/>
      <c r="P747" s="253">
        <f>IFERROR(__xludf.DUMMYFUNCTION("""COMPUTED_VALUE"""),0.0)</f>
        <v>0</v>
      </c>
      <c r="Q747" s="254" t="b">
        <f>VLOOKUP($B747,'Run Reconcile'!B$2:O799,14,FALSE)</f>
        <v>1</v>
      </c>
      <c r="R747" s="255" t="str">
        <f t="array" ref="R747">IF($Q747, INDEX('Run Reconcile'!A$2:A799,MATCH(B747,'Run Reconcile'!B$2:B799,0),1),IFERROR(0/0,""))</f>
        <v>RUN-BEND_2022-03-11_RFR-050</v>
      </c>
      <c r="S747" s="261" t="str">
        <f t="shared" ref="S747:T747" si="1501">IF(COUNTIF(W$2:W799, $A747) &gt; 0,TRUE,IFERROR(0/0,""))</f>
        <v/>
      </c>
      <c r="T747" s="261" t="str">
        <f t="shared" si="1501"/>
        <v/>
      </c>
      <c r="U747" s="257" t="str">
        <f t="array" ref="U747">IF(ISBLANK($R747), INDEX('Run Reconcile'!A$2:A799, MATCH($B747, 'Run Reconcile'!B$2:B799, 0)+Z747, 1), IFERROR(0/0,""))
</f>
        <v/>
      </c>
      <c r="V747" s="258" t="str">
        <f t="shared" si="480"/>
        <v>RUN-BEND_2022-03-11_RFR-050</v>
      </c>
      <c r="Y747" s="130" t="str">
        <f t="shared" si="487"/>
        <v/>
      </c>
      <c r="Z747" s="49" t="str">
        <f t="shared" si="7"/>
        <v/>
      </c>
      <c r="AA747" s="49" t="str">
        <f t="shared" si="8"/>
        <v/>
      </c>
      <c r="AB747" s="49" t="str">
        <f t="shared" si="9"/>
        <v/>
      </c>
      <c r="AC747" s="20" t="str">
        <f t="shared" ref="AC747:AD747" si="1502">IF(_xlfn.ISFORMULA(S747),IFERROR(0/0,""),TRUE)</f>
        <v/>
      </c>
      <c r="AD747" s="20" t="str">
        <f t="shared" si="1502"/>
        <v/>
      </c>
      <c r="AE747" s="43"/>
      <c r="AF747" s="62" t="s">
        <v>69</v>
      </c>
      <c r="AG747" s="57" t="str">
        <f t="shared" si="11"/>
        <v/>
      </c>
    </row>
    <row r="748">
      <c r="A748" s="6" t="str">
        <f>IFERROR(__xludf.DUMMYFUNCTION("""COMPUTED_VALUE"""),"FM113")</f>
        <v>FM113</v>
      </c>
      <c r="B748" s="204">
        <f>IFERROR(__xludf.DUMMYFUNCTION("""COMPUTED_VALUE"""),44631.0)</f>
        <v>44631</v>
      </c>
      <c r="C748" s="250">
        <f>IFERROR(__xludf.DUMMYFUNCTION("""COMPUTED_VALUE"""),0.32407407407407407)</f>
        <v>0.3240740741</v>
      </c>
      <c r="D748" s="6" t="str">
        <f>IFERROR(__xludf.DUMMYFUNCTION("""COMPUTED_VALUE"""),"SpBEND136234")</f>
        <v>SpBEND136234</v>
      </c>
      <c r="E748" s="251"/>
      <c r="F748" s="251"/>
      <c r="G748" s="251" t="str">
        <f>IFERROR(__xludf.DUMMYFUNCTION("""COMPUTED_VALUE"""),"Negative")</f>
        <v>Negative</v>
      </c>
      <c r="H748" s="262" t="str">
        <f>IFERROR(__xludf.DUMMYFUNCTION("""COMPUTED_VALUE"""),"Negative")</f>
        <v>Negative</v>
      </c>
      <c r="I748" s="204">
        <f>IFERROR(__xludf.DUMMYFUNCTION("""COMPUTED_VALUE"""),44631.0)</f>
        <v>44631</v>
      </c>
      <c r="J748" s="252">
        <f>IFERROR(__xludf.DUMMYFUNCTION("""COMPUTED_VALUE"""),0.486099537037037)</f>
        <v>0.486099537</v>
      </c>
      <c r="K748" s="56"/>
      <c r="L748" s="6"/>
      <c r="M748" s="61"/>
      <c r="N748" s="61">
        <f>IFERROR(__xludf.DUMMYFUNCTION("""COMPUTED_VALUE"""),1.0)</f>
        <v>1</v>
      </c>
      <c r="O748" s="61"/>
      <c r="P748" s="253">
        <f>IFERROR(__xludf.DUMMYFUNCTION("""COMPUTED_VALUE"""),0.0)</f>
        <v>0</v>
      </c>
      <c r="Q748" s="254" t="b">
        <f>VLOOKUP($B748,'Run Reconcile'!B$2:O799,14,FALSE)</f>
        <v>1</v>
      </c>
      <c r="R748" s="255" t="str">
        <f t="array" ref="R748">IF($Q748, INDEX('Run Reconcile'!A$2:A799,MATCH(B748,'Run Reconcile'!B$2:B799,0),1),IFERROR(0/0,""))</f>
        <v>RUN-BEND_2022-03-11_RFR-050</v>
      </c>
      <c r="S748" s="261" t="str">
        <f t="shared" ref="S748:T748" si="1503">IF(COUNTIF(W$2:W799, $A748) &gt; 0,TRUE,IFERROR(0/0,""))</f>
        <v/>
      </c>
      <c r="T748" s="261" t="str">
        <f t="shared" si="1503"/>
        <v/>
      </c>
      <c r="U748" s="257" t="str">
        <f t="array" ref="U748">IF(ISBLANK($R748), INDEX('Run Reconcile'!A$2:A799, MATCH($B748, 'Run Reconcile'!B$2:B799, 0)+Z748, 1), IFERROR(0/0,""))
</f>
        <v/>
      </c>
      <c r="V748" s="258" t="str">
        <f t="shared" si="480"/>
        <v>RUN-BEND_2022-03-11_RFR-050</v>
      </c>
      <c r="Y748" s="130" t="str">
        <f t="shared" si="487"/>
        <v/>
      </c>
      <c r="Z748" s="49" t="str">
        <f t="shared" si="7"/>
        <v/>
      </c>
      <c r="AA748" s="49" t="str">
        <f t="shared" si="8"/>
        <v/>
      </c>
      <c r="AB748" s="49" t="str">
        <f t="shared" si="9"/>
        <v/>
      </c>
      <c r="AC748" s="20" t="str">
        <f t="shared" ref="AC748:AD748" si="1504">IF(_xlfn.ISFORMULA(S748),IFERROR(0/0,""),TRUE)</f>
        <v/>
      </c>
      <c r="AD748" s="20" t="str">
        <f t="shared" si="1504"/>
        <v/>
      </c>
      <c r="AE748" s="43"/>
      <c r="AF748" s="62" t="s">
        <v>69</v>
      </c>
      <c r="AG748" s="57" t="str">
        <f t="shared" si="11"/>
        <v/>
      </c>
    </row>
    <row r="749">
      <c r="A749" s="6" t="str">
        <f>IFERROR(__xludf.DUMMYFUNCTION("""COMPUTED_VALUE"""),"FM404")</f>
        <v>FM404</v>
      </c>
      <c r="B749" s="204">
        <f>IFERROR(__xludf.DUMMYFUNCTION("""COMPUTED_VALUE"""),44631.0)</f>
        <v>44631</v>
      </c>
      <c r="C749" s="250">
        <f>IFERROR(__xludf.DUMMYFUNCTION("""COMPUTED_VALUE"""),0.32710648148148147)</f>
        <v>0.3271064815</v>
      </c>
      <c r="D749" s="6" t="str">
        <f>IFERROR(__xludf.DUMMYFUNCTION("""COMPUTED_VALUE"""),"SpBEND672680")</f>
        <v>SpBEND672680</v>
      </c>
      <c r="E749" s="251"/>
      <c r="F749" s="251"/>
      <c r="G749" s="251" t="str">
        <f>IFERROR(__xludf.DUMMYFUNCTION("""COMPUTED_VALUE"""),"Negative")</f>
        <v>Negative</v>
      </c>
      <c r="H749" s="262" t="str">
        <f>IFERROR(__xludf.DUMMYFUNCTION("""COMPUTED_VALUE"""),"Negative")</f>
        <v>Negative</v>
      </c>
      <c r="I749" s="204">
        <f>IFERROR(__xludf.DUMMYFUNCTION("""COMPUTED_VALUE"""),44631.0)</f>
        <v>44631</v>
      </c>
      <c r="J749" s="252">
        <f>IFERROR(__xludf.DUMMYFUNCTION("""COMPUTED_VALUE"""),0.486099537037037)</f>
        <v>0.486099537</v>
      </c>
      <c r="K749" s="56"/>
      <c r="L749" s="6"/>
      <c r="M749" s="61"/>
      <c r="N749" s="61">
        <f>IFERROR(__xludf.DUMMYFUNCTION("""COMPUTED_VALUE"""),1.0)</f>
        <v>1</v>
      </c>
      <c r="O749" s="61"/>
      <c r="P749" s="253">
        <f>IFERROR(__xludf.DUMMYFUNCTION("""COMPUTED_VALUE"""),0.0)</f>
        <v>0</v>
      </c>
      <c r="Q749" s="254" t="b">
        <f>VLOOKUP($B749,'Run Reconcile'!B$2:O799,14,FALSE)</f>
        <v>1</v>
      </c>
      <c r="R749" s="255" t="str">
        <f t="array" ref="R749">IF($Q749, INDEX('Run Reconcile'!A$2:A799,MATCH(B749,'Run Reconcile'!B$2:B799,0),1),IFERROR(0/0,""))</f>
        <v>RUN-BEND_2022-03-11_RFR-050</v>
      </c>
      <c r="S749" s="261" t="str">
        <f t="shared" ref="S749:T749" si="1505">IF(COUNTIF(W$2:W799, $A749) &gt; 0,TRUE,IFERROR(0/0,""))</f>
        <v/>
      </c>
      <c r="T749" s="261" t="str">
        <f t="shared" si="1505"/>
        <v/>
      </c>
      <c r="U749" s="257" t="str">
        <f t="array" ref="U749">IF(ISBLANK($R749), INDEX('Run Reconcile'!A$2:A799, MATCH($B749, 'Run Reconcile'!B$2:B799, 0)+Z749, 1), IFERROR(0/0,""))
</f>
        <v/>
      </c>
      <c r="V749" s="258" t="str">
        <f t="shared" si="480"/>
        <v>RUN-BEND_2022-03-11_RFR-050</v>
      </c>
      <c r="Y749" s="130" t="str">
        <f t="shared" si="487"/>
        <v/>
      </c>
      <c r="Z749" s="49" t="str">
        <f t="shared" si="7"/>
        <v/>
      </c>
      <c r="AA749" s="49" t="str">
        <f t="shared" si="8"/>
        <v/>
      </c>
      <c r="AB749" s="49" t="str">
        <f t="shared" si="9"/>
        <v/>
      </c>
      <c r="AC749" s="20" t="str">
        <f t="shared" ref="AC749:AD749" si="1506">IF(_xlfn.ISFORMULA(S749),IFERROR(0/0,""),TRUE)</f>
        <v/>
      </c>
      <c r="AD749" s="20" t="str">
        <f t="shared" si="1506"/>
        <v/>
      </c>
      <c r="AE749" s="43"/>
      <c r="AF749" s="62" t="s">
        <v>69</v>
      </c>
      <c r="AG749" s="57" t="str">
        <f t="shared" si="11"/>
        <v/>
      </c>
    </row>
    <row r="750">
      <c r="A750" s="6" t="str">
        <f>IFERROR(__xludf.DUMMYFUNCTION("""COMPUTED_VALUE"""),"FM464")</f>
        <v>FM464</v>
      </c>
      <c r="B750" s="204">
        <f>IFERROR(__xludf.DUMMYFUNCTION("""COMPUTED_VALUE"""),44631.0)</f>
        <v>44631</v>
      </c>
      <c r="C750" s="250">
        <f>IFERROR(__xludf.DUMMYFUNCTION("""COMPUTED_VALUE"""),0.3299884259259259)</f>
        <v>0.3299884259</v>
      </c>
      <c r="D750" s="6" t="str">
        <f>IFERROR(__xludf.DUMMYFUNCTION("""COMPUTED_VALUE"""),"SpBEND642175")</f>
        <v>SpBEND642175</v>
      </c>
      <c r="E750" s="251"/>
      <c r="F750" s="251"/>
      <c r="G750" s="251" t="str">
        <f>IFERROR(__xludf.DUMMYFUNCTION("""COMPUTED_VALUE"""),"Negative")</f>
        <v>Negative</v>
      </c>
      <c r="H750" s="262" t="str">
        <f>IFERROR(__xludf.DUMMYFUNCTION("""COMPUTED_VALUE"""),"Negative")</f>
        <v>Negative</v>
      </c>
      <c r="I750" s="204">
        <f>IFERROR(__xludf.DUMMYFUNCTION("""COMPUTED_VALUE"""),44631.0)</f>
        <v>44631</v>
      </c>
      <c r="J750" s="252">
        <f>IFERROR(__xludf.DUMMYFUNCTION("""COMPUTED_VALUE"""),0.486099537037037)</f>
        <v>0.486099537</v>
      </c>
      <c r="K750" s="56"/>
      <c r="L750" s="6"/>
      <c r="M750" s="61"/>
      <c r="N750" s="61">
        <f>IFERROR(__xludf.DUMMYFUNCTION("""COMPUTED_VALUE"""),1.0)</f>
        <v>1</v>
      </c>
      <c r="O750" s="61"/>
      <c r="P750" s="253">
        <f>IFERROR(__xludf.DUMMYFUNCTION("""COMPUTED_VALUE"""),0.0)</f>
        <v>0</v>
      </c>
      <c r="Q750" s="254" t="b">
        <f>VLOOKUP($B750,'Run Reconcile'!B$2:O799,14,FALSE)</f>
        <v>1</v>
      </c>
      <c r="R750" s="255" t="str">
        <f t="array" ref="R750">IF($Q750, INDEX('Run Reconcile'!A$2:A799,MATCH(B750,'Run Reconcile'!B$2:B799,0),1),IFERROR(0/0,""))</f>
        <v>RUN-BEND_2022-03-11_RFR-050</v>
      </c>
      <c r="S750" s="261" t="str">
        <f t="shared" ref="S750:T750" si="1507">IF(COUNTIF(W$2:W799, $A750) &gt; 0,TRUE,IFERROR(0/0,""))</f>
        <v/>
      </c>
      <c r="T750" s="261" t="str">
        <f t="shared" si="1507"/>
        <v/>
      </c>
      <c r="U750" s="257" t="str">
        <f t="array" ref="U750">IF(ISBLANK($R750), INDEX('Run Reconcile'!A$2:A799, MATCH($B750, 'Run Reconcile'!B$2:B799, 0)+Z750, 1), IFERROR(0/0,""))
</f>
        <v/>
      </c>
      <c r="V750" s="258" t="str">
        <f t="shared" si="480"/>
        <v>RUN-BEND_2022-03-11_RFR-050</v>
      </c>
      <c r="Y750" s="130" t="str">
        <f t="shared" si="487"/>
        <v/>
      </c>
      <c r="Z750" s="49" t="str">
        <f t="shared" si="7"/>
        <v/>
      </c>
      <c r="AA750" s="49" t="str">
        <f t="shared" si="8"/>
        <v/>
      </c>
      <c r="AB750" s="49" t="str">
        <f t="shared" si="9"/>
        <v/>
      </c>
      <c r="AC750" s="20" t="str">
        <f t="shared" ref="AC750:AD750" si="1508">IF(_xlfn.ISFORMULA(S750),IFERROR(0/0,""),TRUE)</f>
        <v/>
      </c>
      <c r="AD750" s="20" t="str">
        <f t="shared" si="1508"/>
        <v/>
      </c>
      <c r="AE750" s="43"/>
      <c r="AF750" s="62" t="s">
        <v>69</v>
      </c>
      <c r="AG750" s="57" t="str">
        <f t="shared" si="11"/>
        <v/>
      </c>
    </row>
    <row r="751">
      <c r="A751" s="6" t="str">
        <f>IFERROR(__xludf.DUMMYFUNCTION("""COMPUTED_VALUE"""),"FM360")</f>
        <v>FM360</v>
      </c>
      <c r="B751" s="204">
        <f>IFERROR(__xludf.DUMMYFUNCTION("""COMPUTED_VALUE"""),44631.0)</f>
        <v>44631</v>
      </c>
      <c r="C751" s="250">
        <f>IFERROR(__xludf.DUMMYFUNCTION("""COMPUTED_VALUE"""),0.3314236111111111)</f>
        <v>0.3314236111</v>
      </c>
      <c r="D751" s="6" t="str">
        <f>IFERROR(__xludf.DUMMYFUNCTION("""COMPUTED_VALUE"""),"SpBEND634692")</f>
        <v>SpBEND634692</v>
      </c>
      <c r="E751" s="251"/>
      <c r="F751" s="251"/>
      <c r="G751" s="251" t="str">
        <f>IFERROR(__xludf.DUMMYFUNCTION("""COMPUTED_VALUE"""),"Negative")</f>
        <v>Negative</v>
      </c>
      <c r="H751" s="262" t="str">
        <f>IFERROR(__xludf.DUMMYFUNCTION("""COMPUTED_VALUE"""),"Negative")</f>
        <v>Negative</v>
      </c>
      <c r="I751" s="204">
        <f>IFERROR(__xludf.DUMMYFUNCTION("""COMPUTED_VALUE"""),44631.0)</f>
        <v>44631</v>
      </c>
      <c r="J751" s="252">
        <f>IFERROR(__xludf.DUMMYFUNCTION("""COMPUTED_VALUE"""),0.486099537037037)</f>
        <v>0.486099537</v>
      </c>
      <c r="K751" s="56"/>
      <c r="L751" s="6"/>
      <c r="M751" s="61"/>
      <c r="N751" s="61">
        <f>IFERROR(__xludf.DUMMYFUNCTION("""COMPUTED_VALUE"""),1.0)</f>
        <v>1</v>
      </c>
      <c r="O751" s="61"/>
      <c r="P751" s="253">
        <f>IFERROR(__xludf.DUMMYFUNCTION("""COMPUTED_VALUE"""),0.0)</f>
        <v>0</v>
      </c>
      <c r="Q751" s="254" t="b">
        <f>VLOOKUP($B751,'Run Reconcile'!B$2:O799,14,FALSE)</f>
        <v>1</v>
      </c>
      <c r="R751" s="255" t="str">
        <f t="array" ref="R751">IF($Q751, INDEX('Run Reconcile'!A$2:A799,MATCH(B751,'Run Reconcile'!B$2:B799,0),1),IFERROR(0/0,""))</f>
        <v>RUN-BEND_2022-03-11_RFR-050</v>
      </c>
      <c r="S751" s="261" t="str">
        <f t="shared" ref="S751:T751" si="1509">IF(COUNTIF(W$2:W799, $A751) &gt; 0,TRUE,IFERROR(0/0,""))</f>
        <v/>
      </c>
      <c r="T751" s="261" t="str">
        <f t="shared" si="1509"/>
        <v/>
      </c>
      <c r="U751" s="257" t="str">
        <f t="array" ref="U751">IF(ISBLANK($R751), INDEX('Run Reconcile'!A$2:A799, MATCH($B751, 'Run Reconcile'!B$2:B799, 0)+Z751, 1), IFERROR(0/0,""))
</f>
        <v/>
      </c>
      <c r="V751" s="258" t="str">
        <f t="shared" si="480"/>
        <v>RUN-BEND_2022-03-11_RFR-050</v>
      </c>
      <c r="Y751" s="130" t="str">
        <f t="shared" si="487"/>
        <v/>
      </c>
      <c r="Z751" s="49" t="str">
        <f t="shared" si="7"/>
        <v/>
      </c>
      <c r="AA751" s="49" t="str">
        <f t="shared" si="8"/>
        <v/>
      </c>
      <c r="AB751" s="49" t="str">
        <f t="shared" si="9"/>
        <v/>
      </c>
      <c r="AC751" s="20" t="str">
        <f t="shared" ref="AC751:AD751" si="1510">IF(_xlfn.ISFORMULA(S751),IFERROR(0/0,""),TRUE)</f>
        <v/>
      </c>
      <c r="AD751" s="20" t="str">
        <f t="shared" si="1510"/>
        <v/>
      </c>
      <c r="AE751" s="43"/>
      <c r="AF751" s="62" t="s">
        <v>69</v>
      </c>
      <c r="AG751" s="57" t="str">
        <f t="shared" si="11"/>
        <v/>
      </c>
    </row>
    <row r="752">
      <c r="A752" s="6" t="str">
        <f>IFERROR(__xludf.DUMMYFUNCTION("""COMPUTED_VALUE"""),"FM65")</f>
        <v>FM65</v>
      </c>
      <c r="B752" s="204">
        <f>IFERROR(__xludf.DUMMYFUNCTION("""COMPUTED_VALUE"""),44631.0)</f>
        <v>44631</v>
      </c>
      <c r="C752" s="250">
        <f>IFERROR(__xludf.DUMMYFUNCTION("""COMPUTED_VALUE"""),0.3362962962962963)</f>
        <v>0.3362962963</v>
      </c>
      <c r="D752" s="6" t="str">
        <f>IFERROR(__xludf.DUMMYFUNCTION("""COMPUTED_VALUE"""),"SpBEND899578")</f>
        <v>SpBEND899578</v>
      </c>
      <c r="E752" s="251"/>
      <c r="F752" s="251"/>
      <c r="G752" s="251" t="str">
        <f>IFERROR(__xludf.DUMMYFUNCTION("""COMPUTED_VALUE"""),"Negative")</f>
        <v>Negative</v>
      </c>
      <c r="H752" s="262" t="str">
        <f>IFERROR(__xludf.DUMMYFUNCTION("""COMPUTED_VALUE"""),"Negative")</f>
        <v>Negative</v>
      </c>
      <c r="I752" s="204">
        <f>IFERROR(__xludf.DUMMYFUNCTION("""COMPUTED_VALUE"""),44631.0)</f>
        <v>44631</v>
      </c>
      <c r="J752" s="252">
        <f>IFERROR(__xludf.DUMMYFUNCTION("""COMPUTED_VALUE"""),0.486099537037037)</f>
        <v>0.486099537</v>
      </c>
      <c r="K752" s="56"/>
      <c r="L752" s="6"/>
      <c r="M752" s="61"/>
      <c r="N752" s="61">
        <f>IFERROR(__xludf.DUMMYFUNCTION("""COMPUTED_VALUE"""),1.0)</f>
        <v>1</v>
      </c>
      <c r="O752" s="61"/>
      <c r="P752" s="253">
        <f>IFERROR(__xludf.DUMMYFUNCTION("""COMPUTED_VALUE"""),0.0)</f>
        <v>0</v>
      </c>
      <c r="Q752" s="254" t="b">
        <f>VLOOKUP($B752,'Run Reconcile'!B$2:O799,14,FALSE)</f>
        <v>1</v>
      </c>
      <c r="R752" s="255" t="str">
        <f t="array" ref="R752">IF($Q752, INDEX('Run Reconcile'!A$2:A799,MATCH(B752,'Run Reconcile'!B$2:B799,0),1),IFERROR(0/0,""))</f>
        <v>RUN-BEND_2022-03-11_RFR-050</v>
      </c>
      <c r="S752" s="261" t="str">
        <f t="shared" ref="S752:T752" si="1511">IF(COUNTIF(W$2:W799, $A752) &gt; 0,TRUE,IFERROR(0/0,""))</f>
        <v/>
      </c>
      <c r="T752" s="261" t="str">
        <f t="shared" si="1511"/>
        <v/>
      </c>
      <c r="U752" s="257" t="str">
        <f t="array" ref="U752">IF(ISBLANK($R752), INDEX('Run Reconcile'!A$2:A799, MATCH($B752, 'Run Reconcile'!B$2:B799, 0)+Z752, 1), IFERROR(0/0,""))
</f>
        <v/>
      </c>
      <c r="V752" s="258" t="str">
        <f t="shared" si="480"/>
        <v>RUN-BEND_2022-03-11_RFR-050</v>
      </c>
      <c r="Y752" s="130" t="str">
        <f t="shared" si="487"/>
        <v/>
      </c>
      <c r="Z752" s="49" t="str">
        <f t="shared" si="7"/>
        <v/>
      </c>
      <c r="AA752" s="49" t="str">
        <f t="shared" si="8"/>
        <v/>
      </c>
      <c r="AB752" s="49" t="str">
        <f t="shared" si="9"/>
        <v/>
      </c>
      <c r="AC752" s="20" t="str">
        <f t="shared" ref="AC752:AD752" si="1512">IF(_xlfn.ISFORMULA(S752),IFERROR(0/0,""),TRUE)</f>
        <v/>
      </c>
      <c r="AD752" s="20" t="str">
        <f t="shared" si="1512"/>
        <v/>
      </c>
      <c r="AE752" s="43"/>
      <c r="AF752" s="62" t="s">
        <v>69</v>
      </c>
      <c r="AG752" s="57" t="str">
        <f t="shared" si="11"/>
        <v/>
      </c>
    </row>
    <row r="753">
      <c r="A753" s="6" t="str">
        <f>IFERROR(__xludf.DUMMYFUNCTION("""COMPUTED_VALUE"""),"FM599")</f>
        <v>FM599</v>
      </c>
      <c r="B753" s="204">
        <f>IFERROR(__xludf.DUMMYFUNCTION("""COMPUTED_VALUE"""),44631.0)</f>
        <v>44631</v>
      </c>
      <c r="C753" s="250">
        <f>IFERROR(__xludf.DUMMYFUNCTION("""COMPUTED_VALUE"""),0.340625)</f>
        <v>0.340625</v>
      </c>
      <c r="D753" s="6" t="str">
        <f>IFERROR(__xludf.DUMMYFUNCTION("""COMPUTED_VALUE"""),"SpBEND372845")</f>
        <v>SpBEND372845</v>
      </c>
      <c r="E753" s="251"/>
      <c r="F753" s="251"/>
      <c r="G753" s="251" t="str">
        <f>IFERROR(__xludf.DUMMYFUNCTION("""COMPUTED_VALUE"""),"Negative")</f>
        <v>Negative</v>
      </c>
      <c r="H753" s="262" t="str">
        <f>IFERROR(__xludf.DUMMYFUNCTION("""COMPUTED_VALUE"""),"Negative")</f>
        <v>Negative</v>
      </c>
      <c r="I753" s="204">
        <f>IFERROR(__xludf.DUMMYFUNCTION("""COMPUTED_VALUE"""),44631.0)</f>
        <v>44631</v>
      </c>
      <c r="J753" s="252">
        <f>IFERROR(__xludf.DUMMYFUNCTION("""COMPUTED_VALUE"""),0.486099537037037)</f>
        <v>0.486099537</v>
      </c>
      <c r="K753" s="56"/>
      <c r="L753" s="6"/>
      <c r="M753" s="61"/>
      <c r="N753" s="61">
        <f>IFERROR(__xludf.DUMMYFUNCTION("""COMPUTED_VALUE"""),1.0)</f>
        <v>1</v>
      </c>
      <c r="O753" s="61"/>
      <c r="P753" s="253">
        <f>IFERROR(__xludf.DUMMYFUNCTION("""COMPUTED_VALUE"""),0.0)</f>
        <v>0</v>
      </c>
      <c r="Q753" s="254" t="b">
        <f>VLOOKUP($B753,'Run Reconcile'!B$2:O799,14,FALSE)</f>
        <v>1</v>
      </c>
      <c r="R753" s="255" t="str">
        <f t="array" ref="R753">IF($Q753, INDEX('Run Reconcile'!A$2:A799,MATCH(B753,'Run Reconcile'!B$2:B799,0),1),IFERROR(0/0,""))</f>
        <v>RUN-BEND_2022-03-11_RFR-050</v>
      </c>
      <c r="S753" s="261" t="str">
        <f t="shared" ref="S753:T753" si="1513">IF(COUNTIF(W$2:W799, $A753) &gt; 0,TRUE,IFERROR(0/0,""))</f>
        <v/>
      </c>
      <c r="T753" s="261" t="str">
        <f t="shared" si="1513"/>
        <v/>
      </c>
      <c r="U753" s="257" t="str">
        <f t="array" ref="U753">IF(ISBLANK($R753), INDEX('Run Reconcile'!A$2:A799, MATCH($B753, 'Run Reconcile'!B$2:B799, 0)+Z753, 1), IFERROR(0/0,""))
</f>
        <v/>
      </c>
      <c r="V753" s="258" t="str">
        <f t="shared" si="480"/>
        <v>RUN-BEND_2022-03-11_RFR-050</v>
      </c>
      <c r="Y753" s="130" t="str">
        <f t="shared" si="487"/>
        <v/>
      </c>
      <c r="Z753" s="49" t="str">
        <f t="shared" si="7"/>
        <v/>
      </c>
      <c r="AA753" s="49" t="str">
        <f t="shared" si="8"/>
        <v/>
      </c>
      <c r="AB753" s="49" t="str">
        <f t="shared" si="9"/>
        <v/>
      </c>
      <c r="AC753" s="20" t="str">
        <f t="shared" ref="AC753:AD753" si="1514">IF(_xlfn.ISFORMULA(S753),IFERROR(0/0,""),TRUE)</f>
        <v/>
      </c>
      <c r="AD753" s="20" t="str">
        <f t="shared" si="1514"/>
        <v/>
      </c>
      <c r="AE753" s="43"/>
      <c r="AF753" s="62" t="s">
        <v>69</v>
      </c>
      <c r="AG753" s="57" t="str">
        <f t="shared" si="11"/>
        <v/>
      </c>
    </row>
    <row r="754">
      <c r="A754" s="6" t="str">
        <f>IFERROR(__xludf.DUMMYFUNCTION("""COMPUTED_VALUE"""),"FM569")</f>
        <v>FM569</v>
      </c>
      <c r="B754" s="204">
        <f>IFERROR(__xludf.DUMMYFUNCTION("""COMPUTED_VALUE"""),44631.0)</f>
        <v>44631</v>
      </c>
      <c r="C754" s="250">
        <f>IFERROR(__xludf.DUMMYFUNCTION("""COMPUTED_VALUE"""),0.34096064814814814)</f>
        <v>0.3409606481</v>
      </c>
      <c r="D754" s="6" t="str">
        <f>IFERROR(__xludf.DUMMYFUNCTION("""COMPUTED_VALUE"""),"SpBEND279112")</f>
        <v>SpBEND279112</v>
      </c>
      <c r="E754" s="251"/>
      <c r="F754" s="251"/>
      <c r="G754" s="251" t="str">
        <f>IFERROR(__xludf.DUMMYFUNCTION("""COMPUTED_VALUE"""),"Negative")</f>
        <v>Negative</v>
      </c>
      <c r="H754" s="262" t="str">
        <f>IFERROR(__xludf.DUMMYFUNCTION("""COMPUTED_VALUE"""),"Negative")</f>
        <v>Negative</v>
      </c>
      <c r="I754" s="204">
        <f>IFERROR(__xludf.DUMMYFUNCTION("""COMPUTED_VALUE"""),44631.0)</f>
        <v>44631</v>
      </c>
      <c r="J754" s="252">
        <f>IFERROR(__xludf.DUMMYFUNCTION("""COMPUTED_VALUE"""),0.486099537037037)</f>
        <v>0.486099537</v>
      </c>
      <c r="K754" s="56"/>
      <c r="L754" s="6"/>
      <c r="M754" s="61"/>
      <c r="N754" s="61">
        <f>IFERROR(__xludf.DUMMYFUNCTION("""COMPUTED_VALUE"""),1.0)</f>
        <v>1</v>
      </c>
      <c r="O754" s="61"/>
      <c r="P754" s="253">
        <f>IFERROR(__xludf.DUMMYFUNCTION("""COMPUTED_VALUE"""),0.0)</f>
        <v>0</v>
      </c>
      <c r="Q754" s="254" t="b">
        <f>VLOOKUP($B754,'Run Reconcile'!B$2:O799,14,FALSE)</f>
        <v>1</v>
      </c>
      <c r="R754" s="255" t="str">
        <f t="array" ref="R754">IF($Q754, INDEX('Run Reconcile'!A$2:A799,MATCH(B754,'Run Reconcile'!B$2:B799,0),1),IFERROR(0/0,""))</f>
        <v>RUN-BEND_2022-03-11_RFR-050</v>
      </c>
      <c r="S754" s="261" t="str">
        <f t="shared" ref="S754:T754" si="1515">IF(COUNTIF(W$2:W799, $A754) &gt; 0,TRUE,IFERROR(0/0,""))</f>
        <v/>
      </c>
      <c r="T754" s="261" t="str">
        <f t="shared" si="1515"/>
        <v/>
      </c>
      <c r="U754" s="257" t="str">
        <f t="array" ref="U754">IF(ISBLANK($R754), INDEX('Run Reconcile'!A$2:A799, MATCH($B754, 'Run Reconcile'!B$2:B799, 0)+Z754, 1), IFERROR(0/0,""))
</f>
        <v/>
      </c>
      <c r="V754" s="258" t="str">
        <f t="shared" si="480"/>
        <v>RUN-BEND_2022-03-11_RFR-050</v>
      </c>
      <c r="Y754" s="130" t="str">
        <f t="shared" si="487"/>
        <v/>
      </c>
      <c r="Z754" s="49" t="str">
        <f t="shared" si="7"/>
        <v/>
      </c>
      <c r="AA754" s="49" t="str">
        <f t="shared" si="8"/>
        <v/>
      </c>
      <c r="AB754" s="49" t="str">
        <f t="shared" si="9"/>
        <v/>
      </c>
      <c r="AC754" s="20" t="str">
        <f t="shared" ref="AC754:AD754" si="1516">IF(_xlfn.ISFORMULA(S754),IFERROR(0/0,""),TRUE)</f>
        <v/>
      </c>
      <c r="AD754" s="20" t="str">
        <f t="shared" si="1516"/>
        <v/>
      </c>
      <c r="AE754" s="43"/>
      <c r="AF754" s="62" t="s">
        <v>69</v>
      </c>
      <c r="AG754" s="57" t="str">
        <f t="shared" si="11"/>
        <v/>
      </c>
    </row>
    <row r="755">
      <c r="A755" s="6" t="str">
        <f>IFERROR(__xludf.DUMMYFUNCTION("""COMPUTED_VALUE"""),"FM2044")</f>
        <v>FM2044</v>
      </c>
      <c r="B755" s="204">
        <f>IFERROR(__xludf.DUMMYFUNCTION("""COMPUTED_VALUE"""),44631.0)</f>
        <v>44631</v>
      </c>
      <c r="C755" s="250">
        <f>IFERROR(__xludf.DUMMYFUNCTION("""COMPUTED_VALUE"""),0.34293981481481484)</f>
        <v>0.3429398148</v>
      </c>
      <c r="D755" s="6" t="str">
        <f>IFERROR(__xludf.DUMMYFUNCTION("""COMPUTED_VALUE"""),"SpBEND985296")</f>
        <v>SpBEND985296</v>
      </c>
      <c r="E755" s="251"/>
      <c r="F755" s="251"/>
      <c r="G755" s="251" t="str">
        <f>IFERROR(__xludf.DUMMYFUNCTION("""COMPUTED_VALUE"""),"Negative")</f>
        <v>Negative</v>
      </c>
      <c r="H755" s="262" t="str">
        <f>IFERROR(__xludf.DUMMYFUNCTION("""COMPUTED_VALUE"""),"Negative")</f>
        <v>Negative</v>
      </c>
      <c r="I755" s="204">
        <f>IFERROR(__xludf.DUMMYFUNCTION("""COMPUTED_VALUE"""),44631.0)</f>
        <v>44631</v>
      </c>
      <c r="J755" s="252">
        <f>IFERROR(__xludf.DUMMYFUNCTION("""COMPUTED_VALUE"""),0.486099537037037)</f>
        <v>0.486099537</v>
      </c>
      <c r="K755" s="56"/>
      <c r="L755" s="6"/>
      <c r="M755" s="61"/>
      <c r="N755" s="61">
        <f>IFERROR(__xludf.DUMMYFUNCTION("""COMPUTED_VALUE"""),1.0)</f>
        <v>1</v>
      </c>
      <c r="O755" s="61"/>
      <c r="P755" s="253">
        <f>IFERROR(__xludf.DUMMYFUNCTION("""COMPUTED_VALUE"""),0.0)</f>
        <v>0</v>
      </c>
      <c r="Q755" s="254" t="b">
        <f>VLOOKUP($B755,'Run Reconcile'!B$2:O799,14,FALSE)</f>
        <v>1</v>
      </c>
      <c r="R755" s="255" t="str">
        <f t="array" ref="R755">IF($Q755, INDEX('Run Reconcile'!A$2:A799,MATCH(B755,'Run Reconcile'!B$2:B799,0),1),IFERROR(0/0,""))</f>
        <v>RUN-BEND_2022-03-11_RFR-050</v>
      </c>
      <c r="S755" s="261" t="str">
        <f t="shared" ref="S755:T755" si="1517">IF(COUNTIF(W$2:W799, $A755) &gt; 0,TRUE,IFERROR(0/0,""))</f>
        <v/>
      </c>
      <c r="T755" s="261" t="str">
        <f t="shared" si="1517"/>
        <v/>
      </c>
      <c r="U755" s="257" t="str">
        <f t="array" ref="U755">IF(ISBLANK($R755), INDEX('Run Reconcile'!A$2:A799, MATCH($B755, 'Run Reconcile'!B$2:B799, 0)+Z755, 1), IFERROR(0/0,""))
</f>
        <v/>
      </c>
      <c r="V755" s="258" t="str">
        <f t="shared" si="480"/>
        <v>RUN-BEND_2022-03-11_RFR-050</v>
      </c>
      <c r="Y755" s="130" t="str">
        <f t="shared" si="487"/>
        <v/>
      </c>
      <c r="Z755" s="49" t="str">
        <f t="shared" si="7"/>
        <v/>
      </c>
      <c r="AA755" s="49" t="str">
        <f t="shared" si="8"/>
        <v/>
      </c>
      <c r="AB755" s="49" t="str">
        <f t="shared" si="9"/>
        <v/>
      </c>
      <c r="AC755" s="20" t="str">
        <f t="shared" ref="AC755:AD755" si="1518">IF(_xlfn.ISFORMULA(S755),IFERROR(0/0,""),TRUE)</f>
        <v/>
      </c>
      <c r="AD755" s="20" t="str">
        <f t="shared" si="1518"/>
        <v/>
      </c>
      <c r="AE755" s="43"/>
      <c r="AF755" s="62" t="s">
        <v>69</v>
      </c>
      <c r="AG755" s="57" t="str">
        <f t="shared" si="11"/>
        <v/>
      </c>
    </row>
    <row r="756">
      <c r="A756" s="6" t="str">
        <f>IFERROR(__xludf.DUMMYFUNCTION("""COMPUTED_VALUE"""),"MA375")</f>
        <v>MA375</v>
      </c>
      <c r="B756" s="204">
        <f>IFERROR(__xludf.DUMMYFUNCTION("""COMPUTED_VALUE"""),44631.0)</f>
        <v>44631</v>
      </c>
      <c r="C756" s="250">
        <f>IFERROR(__xludf.DUMMYFUNCTION("""COMPUTED_VALUE"""),0.34501157407407407)</f>
        <v>0.3450115741</v>
      </c>
      <c r="D756" s="6" t="str">
        <f>IFERROR(__xludf.DUMMYFUNCTION("""COMPUTED_VALUE"""),"SpBEND977859")</f>
        <v>SpBEND977859</v>
      </c>
      <c r="E756" s="251"/>
      <c r="F756" s="251"/>
      <c r="G756" s="251" t="str">
        <f>IFERROR(__xludf.DUMMYFUNCTION("""COMPUTED_VALUE"""),"Negative")</f>
        <v>Negative</v>
      </c>
      <c r="H756" s="262" t="str">
        <f>IFERROR(__xludf.DUMMYFUNCTION("""COMPUTED_VALUE"""),"Negative")</f>
        <v>Negative</v>
      </c>
      <c r="I756" s="204">
        <f>IFERROR(__xludf.DUMMYFUNCTION("""COMPUTED_VALUE"""),44631.0)</f>
        <v>44631</v>
      </c>
      <c r="J756" s="252">
        <f>IFERROR(__xludf.DUMMYFUNCTION("""COMPUTED_VALUE"""),0.486099537037037)</f>
        <v>0.486099537</v>
      </c>
      <c r="K756" s="56"/>
      <c r="L756" s="6"/>
      <c r="M756" s="61"/>
      <c r="N756" s="61">
        <f>IFERROR(__xludf.DUMMYFUNCTION("""COMPUTED_VALUE"""),1.0)</f>
        <v>1</v>
      </c>
      <c r="O756" s="61"/>
      <c r="P756" s="253">
        <f>IFERROR(__xludf.DUMMYFUNCTION("""COMPUTED_VALUE"""),0.0)</f>
        <v>0</v>
      </c>
      <c r="Q756" s="254" t="b">
        <f>VLOOKUP($B756,'Run Reconcile'!B$2:O799,14,FALSE)</f>
        <v>1</v>
      </c>
      <c r="R756" s="255" t="str">
        <f t="array" ref="R756">IF($Q756, INDEX('Run Reconcile'!A$2:A799,MATCH(B756,'Run Reconcile'!B$2:B799,0),1),IFERROR(0/0,""))</f>
        <v>RUN-BEND_2022-03-11_RFR-050</v>
      </c>
      <c r="S756" s="261" t="str">
        <f t="shared" ref="S756:T756" si="1519">IF(COUNTIF(W$2:W799, $A756) &gt; 0,TRUE,IFERROR(0/0,""))</f>
        <v/>
      </c>
      <c r="T756" s="261" t="str">
        <f t="shared" si="1519"/>
        <v/>
      </c>
      <c r="U756" s="257" t="str">
        <f t="array" ref="U756">IF(ISBLANK($R756), INDEX('Run Reconcile'!A$2:A799, MATCH($B756, 'Run Reconcile'!B$2:B799, 0)+Z756, 1), IFERROR(0/0,""))
</f>
        <v/>
      </c>
      <c r="V756" s="258" t="str">
        <f t="shared" si="480"/>
        <v>RUN-BEND_2022-03-11_RFR-050</v>
      </c>
      <c r="Y756" s="130" t="str">
        <f t="shared" si="487"/>
        <v/>
      </c>
      <c r="Z756" s="49" t="str">
        <f t="shared" si="7"/>
        <v/>
      </c>
      <c r="AA756" s="49" t="str">
        <f t="shared" si="8"/>
        <v/>
      </c>
      <c r="AB756" s="49" t="str">
        <f t="shared" si="9"/>
        <v/>
      </c>
      <c r="AC756" s="20" t="str">
        <f t="shared" ref="AC756:AD756" si="1520">IF(_xlfn.ISFORMULA(S756),IFERROR(0/0,""),TRUE)</f>
        <v/>
      </c>
      <c r="AD756" s="20" t="str">
        <f t="shared" si="1520"/>
        <v/>
      </c>
      <c r="AE756" s="43"/>
      <c r="AF756" s="62" t="s">
        <v>69</v>
      </c>
      <c r="AG756" s="57" t="str">
        <f t="shared" si="11"/>
        <v/>
      </c>
    </row>
    <row r="757">
      <c r="A757" s="6" t="str">
        <f>IFERROR(__xludf.DUMMYFUNCTION("""COMPUTED_VALUE"""),"FM339")</f>
        <v>FM339</v>
      </c>
      <c r="B757" s="204">
        <f>IFERROR(__xludf.DUMMYFUNCTION("""COMPUTED_VALUE"""),44631.0)</f>
        <v>44631</v>
      </c>
      <c r="C757" s="250">
        <f>IFERROR(__xludf.DUMMYFUNCTION("""COMPUTED_VALUE"""),0.39895833333333336)</f>
        <v>0.3989583333</v>
      </c>
      <c r="D757" s="6" t="str">
        <f>IFERROR(__xludf.DUMMYFUNCTION("""COMPUTED_VALUE"""),"SpBEND269695")</f>
        <v>SpBEND269695</v>
      </c>
      <c r="E757" s="251"/>
      <c r="F757" s="251"/>
      <c r="G757" s="251" t="str">
        <f>IFERROR(__xludf.DUMMYFUNCTION("""COMPUTED_VALUE"""),"Negative")</f>
        <v>Negative</v>
      </c>
      <c r="H757" s="262" t="str">
        <f>IFERROR(__xludf.DUMMYFUNCTION("""COMPUTED_VALUE"""),"Negative")</f>
        <v>Negative</v>
      </c>
      <c r="I757" s="204">
        <f>IFERROR(__xludf.DUMMYFUNCTION("""COMPUTED_VALUE"""),44631.0)</f>
        <v>44631</v>
      </c>
      <c r="J757" s="252">
        <f>IFERROR(__xludf.DUMMYFUNCTION("""COMPUTED_VALUE"""),0.486099537037037)</f>
        <v>0.486099537</v>
      </c>
      <c r="K757" s="56"/>
      <c r="L757" s="6"/>
      <c r="M757" s="61"/>
      <c r="N757" s="61">
        <f>IFERROR(__xludf.DUMMYFUNCTION("""COMPUTED_VALUE"""),1.0)</f>
        <v>1</v>
      </c>
      <c r="O757" s="61"/>
      <c r="P757" s="253">
        <f>IFERROR(__xludf.DUMMYFUNCTION("""COMPUTED_VALUE"""),0.0)</f>
        <v>0</v>
      </c>
      <c r="Q757" s="254" t="b">
        <f>VLOOKUP($B757,'Run Reconcile'!B$2:O799,14,FALSE)</f>
        <v>1</v>
      </c>
      <c r="R757" s="255" t="str">
        <f t="array" ref="R757">IF($Q757, INDEX('Run Reconcile'!A$2:A799,MATCH(B757,'Run Reconcile'!B$2:B799,0),1),IFERROR(0/0,""))</f>
        <v>RUN-BEND_2022-03-11_RFR-050</v>
      </c>
      <c r="S757" s="261" t="str">
        <f t="shared" ref="S757:T757" si="1521">IF(COUNTIF(W$2:W799, $A757) &gt; 0,TRUE,IFERROR(0/0,""))</f>
        <v/>
      </c>
      <c r="T757" s="261" t="str">
        <f t="shared" si="1521"/>
        <v/>
      </c>
      <c r="U757" s="257" t="str">
        <f t="array" ref="U757">IF(ISBLANK($R757), INDEX('Run Reconcile'!A$2:A799, MATCH($B757, 'Run Reconcile'!B$2:B799, 0)+Z757, 1), IFERROR(0/0,""))
</f>
        <v/>
      </c>
      <c r="V757" s="258" t="str">
        <f t="shared" si="480"/>
        <v>RUN-BEND_2022-03-11_RFR-050</v>
      </c>
      <c r="Y757" s="130" t="str">
        <f t="shared" si="487"/>
        <v/>
      </c>
      <c r="Z757" s="49" t="str">
        <f t="shared" si="7"/>
        <v/>
      </c>
      <c r="AA757" s="49" t="str">
        <f t="shared" si="8"/>
        <v/>
      </c>
      <c r="AB757" s="49" t="str">
        <f t="shared" si="9"/>
        <v/>
      </c>
      <c r="AC757" s="20" t="str">
        <f t="shared" ref="AC757:AD757" si="1522">IF(_xlfn.ISFORMULA(S757),IFERROR(0/0,""),TRUE)</f>
        <v/>
      </c>
      <c r="AD757" s="20" t="str">
        <f t="shared" si="1522"/>
        <v/>
      </c>
      <c r="AE757" s="43"/>
      <c r="AF757" s="62" t="s">
        <v>69</v>
      </c>
      <c r="AG757" s="57" t="str">
        <f t="shared" si="11"/>
        <v/>
      </c>
    </row>
    <row r="758">
      <c r="A758" s="6" t="str">
        <f>IFERROR(__xludf.DUMMYFUNCTION("""COMPUTED_VALUE"""),"FM371")</f>
        <v>FM371</v>
      </c>
      <c r="B758" s="204">
        <f>IFERROR(__xludf.DUMMYFUNCTION("""COMPUTED_VALUE"""),44631.0)</f>
        <v>44631</v>
      </c>
      <c r="C758" s="250">
        <f>IFERROR(__xludf.DUMMYFUNCTION("""COMPUTED_VALUE"""),0.4051388888888889)</f>
        <v>0.4051388889</v>
      </c>
      <c r="D758" s="6" t="str">
        <f>IFERROR(__xludf.DUMMYFUNCTION("""COMPUTED_VALUE"""),"SpBEND382241")</f>
        <v>SpBEND382241</v>
      </c>
      <c r="E758" s="251"/>
      <c r="F758" s="251"/>
      <c r="G758" s="251" t="str">
        <f>IFERROR(__xludf.DUMMYFUNCTION("""COMPUTED_VALUE"""),"Negative")</f>
        <v>Negative</v>
      </c>
      <c r="H758" s="262" t="str">
        <f>IFERROR(__xludf.DUMMYFUNCTION("""COMPUTED_VALUE"""),"Negative")</f>
        <v>Negative</v>
      </c>
      <c r="I758" s="204">
        <f>IFERROR(__xludf.DUMMYFUNCTION("""COMPUTED_VALUE"""),44631.0)</f>
        <v>44631</v>
      </c>
      <c r="J758" s="252">
        <f>IFERROR(__xludf.DUMMYFUNCTION("""COMPUTED_VALUE"""),0.486099537037037)</f>
        <v>0.486099537</v>
      </c>
      <c r="K758" s="56"/>
      <c r="L758" s="6"/>
      <c r="M758" s="61"/>
      <c r="N758" s="61">
        <f>IFERROR(__xludf.DUMMYFUNCTION("""COMPUTED_VALUE"""),1.0)</f>
        <v>1</v>
      </c>
      <c r="O758" s="61"/>
      <c r="P758" s="253">
        <f>IFERROR(__xludf.DUMMYFUNCTION("""COMPUTED_VALUE"""),0.0)</f>
        <v>0</v>
      </c>
      <c r="Q758" s="254" t="b">
        <f>VLOOKUP($B758,'Run Reconcile'!B$2:O799,14,FALSE)</f>
        <v>1</v>
      </c>
      <c r="R758" s="255" t="str">
        <f t="array" ref="R758">IF($Q758, INDEX('Run Reconcile'!A$2:A799,MATCH(B758,'Run Reconcile'!B$2:B799,0),1),IFERROR(0/0,""))</f>
        <v>RUN-BEND_2022-03-11_RFR-050</v>
      </c>
      <c r="S758" s="261" t="str">
        <f t="shared" ref="S758:T758" si="1523">IF(COUNTIF(W$2:W799, $A758) &gt; 0,TRUE,IFERROR(0/0,""))</f>
        <v/>
      </c>
      <c r="T758" s="261" t="str">
        <f t="shared" si="1523"/>
        <v/>
      </c>
      <c r="U758" s="257" t="str">
        <f t="array" ref="U758">IF(ISBLANK($R758), INDEX('Run Reconcile'!A$2:A799, MATCH($B758, 'Run Reconcile'!B$2:B799, 0)+Z758, 1), IFERROR(0/0,""))
</f>
        <v/>
      </c>
      <c r="V758" s="258" t="str">
        <f t="shared" si="480"/>
        <v>RUN-BEND_2022-03-11_RFR-050</v>
      </c>
      <c r="Y758" s="130" t="str">
        <f t="shared" si="487"/>
        <v/>
      </c>
      <c r="Z758" s="49" t="str">
        <f t="shared" si="7"/>
        <v/>
      </c>
      <c r="AA758" s="49" t="str">
        <f t="shared" si="8"/>
        <v/>
      </c>
      <c r="AB758" s="49" t="str">
        <f t="shared" si="9"/>
        <v/>
      </c>
      <c r="AC758" s="20" t="str">
        <f t="shared" ref="AC758:AD758" si="1524">IF(_xlfn.ISFORMULA(S758),IFERROR(0/0,""),TRUE)</f>
        <v/>
      </c>
      <c r="AD758" s="20" t="str">
        <f t="shared" si="1524"/>
        <v/>
      </c>
      <c r="AE758" s="43"/>
      <c r="AF758" s="62" t="s">
        <v>69</v>
      </c>
      <c r="AG758" s="57" t="str">
        <f t="shared" si="11"/>
        <v/>
      </c>
    </row>
    <row r="759">
      <c r="A759" s="6" t="str">
        <f>IFERROR(__xludf.DUMMYFUNCTION("""COMPUTED_VALUE"""),"FM532")</f>
        <v>FM532</v>
      </c>
      <c r="B759" s="204">
        <f>IFERROR(__xludf.DUMMYFUNCTION("""COMPUTED_VALUE"""),44665.0)</f>
        <v>44665</v>
      </c>
      <c r="C759" s="250">
        <f>IFERROR(__xludf.DUMMYFUNCTION("""COMPUTED_VALUE"""),0.32200231481481484)</f>
        <v>0.3220023148</v>
      </c>
      <c r="D759" s="6" t="str">
        <f>IFERROR(__xludf.DUMMYFUNCTION("""COMPUTED_VALUE"""),"SpBEND394154")</f>
        <v>SpBEND394154</v>
      </c>
      <c r="E759" s="251"/>
      <c r="F759" s="251"/>
      <c r="G759" s="251" t="str">
        <f>IFERROR(__xludf.DUMMYFUNCTION("""COMPUTED_VALUE"""),"Negative")</f>
        <v>Negative</v>
      </c>
      <c r="H759" s="262" t="str">
        <f>IFERROR(__xludf.DUMMYFUNCTION("""COMPUTED_VALUE"""),"Negative")</f>
        <v>Negative</v>
      </c>
      <c r="I759" s="204">
        <f>IFERROR(__xludf.DUMMYFUNCTION("""COMPUTED_VALUE"""),44665.0)</f>
        <v>44665</v>
      </c>
      <c r="J759" s="252">
        <f>IFERROR(__xludf.DUMMYFUNCTION("""COMPUTED_VALUE"""),0.36649305555555556)</f>
        <v>0.3664930556</v>
      </c>
      <c r="K759" s="56"/>
      <c r="L759" s="6"/>
      <c r="M759" s="61"/>
      <c r="N759" s="61">
        <f>IFERROR(__xludf.DUMMYFUNCTION("""COMPUTED_VALUE"""),1.0)</f>
        <v>1</v>
      </c>
      <c r="O759" s="61"/>
      <c r="P759" s="253">
        <f>IFERROR(__xludf.DUMMYFUNCTION("""COMPUTED_VALUE"""),0.0)</f>
        <v>0</v>
      </c>
      <c r="Q759" s="254" t="b">
        <f>VLOOKUP($B759,'Run Reconcile'!B$2:O799,14,FALSE)</f>
        <v>1</v>
      </c>
      <c r="R759" s="255" t="str">
        <f t="array" ref="R759">IF($Q759, INDEX('Run Reconcile'!A$2:A799,MATCH(B759,'Run Reconcile'!B$2:B799,0),1),IFERROR(0/0,""))</f>
        <v>RUN-BEND_2022-04-14_RFR-051</v>
      </c>
      <c r="S759" s="261" t="str">
        <f t="shared" ref="S759:T759" si="1525">IF(COUNTIF(W$2:W799, $A759) &gt; 0,TRUE,IFERROR(0/0,""))</f>
        <v/>
      </c>
      <c r="T759" s="261" t="str">
        <f t="shared" si="1525"/>
        <v/>
      </c>
      <c r="U759" s="257" t="str">
        <f t="array" ref="U759">IF(ISBLANK($R759), INDEX('Run Reconcile'!A$2:A799, MATCH($B759, 'Run Reconcile'!B$2:B799, 0)+Z759, 1), IFERROR(0/0,""))
</f>
        <v/>
      </c>
      <c r="V759" s="258" t="str">
        <f t="shared" si="480"/>
        <v>RUN-BEND_2022-04-14_RFR-051</v>
      </c>
      <c r="Y759" s="130" t="str">
        <f t="shared" si="487"/>
        <v/>
      </c>
      <c r="Z759" s="49" t="str">
        <f t="shared" si="7"/>
        <v/>
      </c>
      <c r="AA759" s="49" t="str">
        <f t="shared" si="8"/>
        <v/>
      </c>
      <c r="AB759" s="49" t="str">
        <f t="shared" si="9"/>
        <v/>
      </c>
      <c r="AC759" s="20" t="str">
        <f t="shared" ref="AC759:AD759" si="1526">IF(_xlfn.ISFORMULA(S759),IFERROR(0/0,""),TRUE)</f>
        <v/>
      </c>
      <c r="AD759" s="20" t="str">
        <f t="shared" si="1526"/>
        <v/>
      </c>
      <c r="AE759" s="43"/>
      <c r="AF759" s="62" t="s">
        <v>70</v>
      </c>
      <c r="AG759" s="57" t="str">
        <f t="shared" si="11"/>
        <v/>
      </c>
    </row>
    <row r="760">
      <c r="A760" s="6" t="str">
        <f>IFERROR(__xludf.DUMMYFUNCTION("""COMPUTED_VALUE"""),"MA1405")</f>
        <v>MA1405</v>
      </c>
      <c r="B760" s="204">
        <f>IFERROR(__xludf.DUMMYFUNCTION("""COMPUTED_VALUE"""),44692.0)</f>
        <v>44692</v>
      </c>
      <c r="C760" s="250">
        <f>IFERROR(__xludf.DUMMYFUNCTION("""COMPUTED_VALUE"""),0.2778703703703704)</f>
        <v>0.2778703704</v>
      </c>
      <c r="D760" s="6" t="str">
        <f>IFERROR(__xludf.DUMMYFUNCTION("""COMPUTED_VALUE"""),"SpBEND394154")</f>
        <v>SpBEND394154</v>
      </c>
      <c r="E760" s="251"/>
      <c r="F760" s="251"/>
      <c r="G760" s="251" t="str">
        <f>IFERROR(__xludf.DUMMYFUNCTION("""COMPUTED_VALUE"""),"Negative")</f>
        <v>Negative</v>
      </c>
      <c r="H760" s="262" t="str">
        <f>IFERROR(__xludf.DUMMYFUNCTION("""COMPUTED_VALUE"""),"Negative")</f>
        <v>Negative</v>
      </c>
      <c r="I760" s="204">
        <f>IFERROR(__xludf.DUMMYFUNCTION("""COMPUTED_VALUE"""),44692.0)</f>
        <v>44692</v>
      </c>
      <c r="J760" s="252">
        <f>IFERROR(__xludf.DUMMYFUNCTION("""COMPUTED_VALUE"""),0.5025115740740741)</f>
        <v>0.5025115741</v>
      </c>
      <c r="K760" s="56"/>
      <c r="L760" s="6"/>
      <c r="M760" s="61"/>
      <c r="N760" s="61">
        <f>IFERROR(__xludf.DUMMYFUNCTION("""COMPUTED_VALUE"""),1.0)</f>
        <v>1</v>
      </c>
      <c r="O760" s="61"/>
      <c r="P760" s="253">
        <f>IFERROR(__xludf.DUMMYFUNCTION("""COMPUTED_VALUE"""),0.0)</f>
        <v>0</v>
      </c>
      <c r="Q760" s="254" t="b">
        <f>VLOOKUP($B760,'Run Reconcile'!B$2:O799,14,FALSE)</f>
        <v>1</v>
      </c>
      <c r="R760" s="255" t="str">
        <f t="array" ref="R760">IF($Q760, INDEX('Run Reconcile'!A$2:A799,MATCH(B760,'Run Reconcile'!B$2:B799,0),1),IFERROR(0/0,""))</f>
        <v>RUN-BEND_2022-05-11_RFR-052</v>
      </c>
      <c r="S760" s="261" t="str">
        <f t="shared" ref="S760:T760" si="1527">IF(COUNTIF(W$2:W799, $A760) &gt; 0,TRUE,IFERROR(0/0,""))</f>
        <v/>
      </c>
      <c r="T760" s="261" t="str">
        <f t="shared" si="1527"/>
        <v/>
      </c>
      <c r="U760" s="257" t="str">
        <f t="array" ref="U760">IF(ISBLANK($R760), INDEX('Run Reconcile'!A$2:A799, MATCH($B760, 'Run Reconcile'!B$2:B799, 0)+Z760, 1), IFERROR(0/0,""))
</f>
        <v/>
      </c>
      <c r="V760" s="258" t="str">
        <f t="shared" si="480"/>
        <v>RUN-BEND_2022-05-11_RFR-052</v>
      </c>
      <c r="Y760" s="130" t="str">
        <f t="shared" si="487"/>
        <v/>
      </c>
      <c r="Z760" s="49" t="str">
        <f t="shared" si="7"/>
        <v/>
      </c>
      <c r="AA760" s="49" t="str">
        <f t="shared" si="8"/>
        <v/>
      </c>
      <c r="AB760" s="49" t="str">
        <f t="shared" si="9"/>
        <v/>
      </c>
      <c r="AC760" s="20" t="str">
        <f t="shared" ref="AC760:AD760" si="1528">IF(_xlfn.ISFORMULA(S760),IFERROR(0/0,""),TRUE)</f>
        <v/>
      </c>
      <c r="AD760" s="20" t="str">
        <f t="shared" si="1528"/>
        <v/>
      </c>
      <c r="AE760" s="43"/>
      <c r="AF760" s="62" t="s">
        <v>71</v>
      </c>
      <c r="AG760" s="57" t="str">
        <f t="shared" si="11"/>
        <v/>
      </c>
    </row>
    <row r="761">
      <c r="A761" s="6" t="str">
        <f>IFERROR(__xludf.DUMMYFUNCTION("""COMPUTED_VALUE"""),"MA1453")</f>
        <v>MA1453</v>
      </c>
      <c r="B761" s="204">
        <f>IFERROR(__xludf.DUMMYFUNCTION("""COMPUTED_VALUE"""),44692.0)</f>
        <v>44692</v>
      </c>
      <c r="C761" s="250">
        <f>IFERROR(__xludf.DUMMYFUNCTION("""COMPUTED_VALUE"""),0.2784259259259259)</f>
        <v>0.2784259259</v>
      </c>
      <c r="D761" s="6" t="str">
        <f>IFERROR(__xludf.DUMMYFUNCTION("""COMPUTED_VALUE"""),"SpBEND394154")</f>
        <v>SpBEND394154</v>
      </c>
      <c r="E761" s="251"/>
      <c r="F761" s="251"/>
      <c r="G761" s="251" t="str">
        <f>IFERROR(__xludf.DUMMYFUNCTION("""COMPUTED_VALUE"""),"Negative")</f>
        <v>Negative</v>
      </c>
      <c r="H761" s="262" t="str">
        <f>IFERROR(__xludf.DUMMYFUNCTION("""COMPUTED_VALUE"""),"Negative")</f>
        <v>Negative</v>
      </c>
      <c r="I761" s="204">
        <f>IFERROR(__xludf.DUMMYFUNCTION("""COMPUTED_VALUE"""),44692.0)</f>
        <v>44692</v>
      </c>
      <c r="J761" s="252">
        <f>IFERROR(__xludf.DUMMYFUNCTION("""COMPUTED_VALUE"""),0.5025115740740741)</f>
        <v>0.5025115741</v>
      </c>
      <c r="K761" s="56"/>
      <c r="L761" s="6"/>
      <c r="M761" s="61"/>
      <c r="N761" s="61">
        <f>IFERROR(__xludf.DUMMYFUNCTION("""COMPUTED_VALUE"""),1.0)</f>
        <v>1</v>
      </c>
      <c r="O761" s="61"/>
      <c r="P761" s="253">
        <f>IFERROR(__xludf.DUMMYFUNCTION("""COMPUTED_VALUE"""),0.0)</f>
        <v>0</v>
      </c>
      <c r="Q761" s="254" t="b">
        <f>VLOOKUP($B761,'Run Reconcile'!B$2:O799,14,FALSE)</f>
        <v>1</v>
      </c>
      <c r="R761" s="255" t="str">
        <f t="array" ref="R761">IF($Q761, INDEX('Run Reconcile'!A$2:A799,MATCH(B761,'Run Reconcile'!B$2:B799,0),1),IFERROR(0/0,""))</f>
        <v>RUN-BEND_2022-05-11_RFR-052</v>
      </c>
      <c r="S761" s="261" t="str">
        <f t="shared" ref="S761:T761" si="1529">IF(COUNTIF(W$2:W799, $A761) &gt; 0,TRUE,IFERROR(0/0,""))</f>
        <v/>
      </c>
      <c r="T761" s="261" t="str">
        <f t="shared" si="1529"/>
        <v/>
      </c>
      <c r="U761" s="257" t="str">
        <f t="array" ref="U761">IF(ISBLANK($R761), INDEX('Run Reconcile'!A$2:A799, MATCH($B761, 'Run Reconcile'!B$2:B799, 0)+Z761, 1), IFERROR(0/0,""))
</f>
        <v/>
      </c>
      <c r="V761" s="258" t="str">
        <f t="shared" si="480"/>
        <v>RUN-BEND_2022-05-11_RFR-052</v>
      </c>
      <c r="Y761" s="130" t="str">
        <f t="shared" si="487"/>
        <v/>
      </c>
      <c r="Z761" s="49" t="str">
        <f t="shared" si="7"/>
        <v/>
      </c>
      <c r="AA761" s="49" t="str">
        <f t="shared" si="8"/>
        <v/>
      </c>
      <c r="AB761" s="49" t="str">
        <f t="shared" si="9"/>
        <v/>
      </c>
      <c r="AC761" s="20" t="str">
        <f t="shared" ref="AC761:AD761" si="1530">IF(_xlfn.ISFORMULA(S761),IFERROR(0/0,""),TRUE)</f>
        <v/>
      </c>
      <c r="AD761" s="20" t="str">
        <f t="shared" si="1530"/>
        <v/>
      </c>
      <c r="AE761" s="43"/>
      <c r="AF761" s="62" t="s">
        <v>71</v>
      </c>
      <c r="AG761" s="57" t="str">
        <f t="shared" si="11"/>
        <v/>
      </c>
    </row>
    <row r="762">
      <c r="A762" s="6" t="str">
        <f>IFERROR(__xludf.DUMMYFUNCTION("""COMPUTED_VALUE"""),"MA1397")</f>
        <v>MA1397</v>
      </c>
      <c r="B762" s="204">
        <f>IFERROR(__xludf.DUMMYFUNCTION("""COMPUTED_VALUE"""),44692.0)</f>
        <v>44692</v>
      </c>
      <c r="C762" s="250">
        <f>IFERROR(__xludf.DUMMYFUNCTION("""COMPUTED_VALUE"""),0.2788773148148148)</f>
        <v>0.2788773148</v>
      </c>
      <c r="D762" s="6" t="str">
        <f>IFERROR(__xludf.DUMMYFUNCTION("""COMPUTED_VALUE"""),"SpBEND394154")</f>
        <v>SpBEND394154</v>
      </c>
      <c r="E762" s="251"/>
      <c r="F762" s="251"/>
      <c r="G762" s="251" t="str">
        <f>IFERROR(__xludf.DUMMYFUNCTION("""COMPUTED_VALUE"""),"Negative")</f>
        <v>Negative</v>
      </c>
      <c r="H762" s="262" t="str">
        <f>IFERROR(__xludf.DUMMYFUNCTION("""COMPUTED_VALUE"""),"Negative")</f>
        <v>Negative</v>
      </c>
      <c r="I762" s="204">
        <f>IFERROR(__xludf.DUMMYFUNCTION("""COMPUTED_VALUE"""),44692.0)</f>
        <v>44692</v>
      </c>
      <c r="J762" s="252">
        <f>IFERROR(__xludf.DUMMYFUNCTION("""COMPUTED_VALUE"""),0.5025231481481481)</f>
        <v>0.5025231481</v>
      </c>
      <c r="K762" s="56"/>
      <c r="L762" s="6"/>
      <c r="M762" s="61"/>
      <c r="N762" s="61">
        <f>IFERROR(__xludf.DUMMYFUNCTION("""COMPUTED_VALUE"""),1.0)</f>
        <v>1</v>
      </c>
      <c r="O762" s="61"/>
      <c r="P762" s="253">
        <f>IFERROR(__xludf.DUMMYFUNCTION("""COMPUTED_VALUE"""),0.0)</f>
        <v>0</v>
      </c>
      <c r="Q762" s="254" t="b">
        <f>VLOOKUP($B762,'Run Reconcile'!B$2:O799,14,FALSE)</f>
        <v>1</v>
      </c>
      <c r="R762" s="255" t="str">
        <f t="array" ref="R762">IF($Q762, INDEX('Run Reconcile'!A$2:A799,MATCH(B762,'Run Reconcile'!B$2:B799,0),1),IFERROR(0/0,""))</f>
        <v>RUN-BEND_2022-05-11_RFR-052</v>
      </c>
      <c r="S762" s="261" t="str">
        <f t="shared" ref="S762:T762" si="1531">IF(COUNTIF(W$2:W799, $A762) &gt; 0,TRUE,IFERROR(0/0,""))</f>
        <v/>
      </c>
      <c r="T762" s="261" t="str">
        <f t="shared" si="1531"/>
        <v/>
      </c>
      <c r="U762" s="257" t="str">
        <f t="array" ref="U762">IF(ISBLANK($R762), INDEX('Run Reconcile'!A$2:A799, MATCH($B762, 'Run Reconcile'!B$2:B799, 0)+Z762, 1), IFERROR(0/0,""))
</f>
        <v/>
      </c>
      <c r="V762" s="258" t="str">
        <f t="shared" si="480"/>
        <v>RUN-BEND_2022-05-11_RFR-052</v>
      </c>
      <c r="Y762" s="130" t="str">
        <f t="shared" si="487"/>
        <v/>
      </c>
      <c r="Z762" s="49" t="str">
        <f t="shared" si="7"/>
        <v/>
      </c>
      <c r="AA762" s="49" t="str">
        <f t="shared" si="8"/>
        <v/>
      </c>
      <c r="AB762" s="49" t="str">
        <f t="shared" si="9"/>
        <v/>
      </c>
      <c r="AC762" s="20" t="str">
        <f t="shared" ref="AC762:AD762" si="1532">IF(_xlfn.ISFORMULA(S762),IFERROR(0/0,""),TRUE)</f>
        <v/>
      </c>
      <c r="AD762" s="20" t="str">
        <f t="shared" si="1532"/>
        <v/>
      </c>
      <c r="AE762" s="43"/>
      <c r="AF762" s="62" t="s">
        <v>71</v>
      </c>
      <c r="AG762" s="57" t="str">
        <f t="shared" si="11"/>
        <v/>
      </c>
    </row>
    <row r="763">
      <c r="A763" s="6" t="str">
        <f>IFERROR(__xludf.DUMMYFUNCTION("""COMPUTED_VALUE"""),"MA1392")</f>
        <v>MA1392</v>
      </c>
      <c r="B763" s="204">
        <f>IFERROR(__xludf.DUMMYFUNCTION("""COMPUTED_VALUE"""),44692.0)</f>
        <v>44692</v>
      </c>
      <c r="C763" s="250">
        <f>IFERROR(__xludf.DUMMYFUNCTION("""COMPUTED_VALUE"""),0.2888541666666667)</f>
        <v>0.2888541667</v>
      </c>
      <c r="D763" s="6" t="str">
        <f>IFERROR(__xludf.DUMMYFUNCTION("""COMPUTED_VALUE"""),"SpBEND394154")</f>
        <v>SpBEND394154</v>
      </c>
      <c r="E763" s="251"/>
      <c r="F763" s="251"/>
      <c r="G763" s="251" t="str">
        <f>IFERROR(__xludf.DUMMYFUNCTION("""COMPUTED_VALUE"""),"Negative")</f>
        <v>Negative</v>
      </c>
      <c r="H763" s="262" t="str">
        <f>IFERROR(__xludf.DUMMYFUNCTION("""COMPUTED_VALUE"""),"Negative")</f>
        <v>Negative</v>
      </c>
      <c r="I763" s="204">
        <f>IFERROR(__xludf.DUMMYFUNCTION("""COMPUTED_VALUE"""),44692.0)</f>
        <v>44692</v>
      </c>
      <c r="J763" s="252">
        <f>IFERROR(__xludf.DUMMYFUNCTION("""COMPUTED_VALUE"""),0.5025231481481481)</f>
        <v>0.5025231481</v>
      </c>
      <c r="K763" s="56"/>
      <c r="L763" s="6"/>
      <c r="M763" s="61"/>
      <c r="N763" s="61">
        <f>IFERROR(__xludf.DUMMYFUNCTION("""COMPUTED_VALUE"""),1.0)</f>
        <v>1</v>
      </c>
      <c r="O763" s="61"/>
      <c r="P763" s="253">
        <f>IFERROR(__xludf.DUMMYFUNCTION("""COMPUTED_VALUE"""),0.0)</f>
        <v>0</v>
      </c>
      <c r="Q763" s="254" t="b">
        <f>VLOOKUP($B763,'Run Reconcile'!B$2:O799,14,FALSE)</f>
        <v>1</v>
      </c>
      <c r="R763" s="255" t="str">
        <f t="array" ref="R763">IF($Q763, INDEX('Run Reconcile'!A$2:A799,MATCH(B763,'Run Reconcile'!B$2:B799,0),1),IFERROR(0/0,""))</f>
        <v>RUN-BEND_2022-05-11_RFR-052</v>
      </c>
      <c r="S763" s="261" t="str">
        <f t="shared" ref="S763:T763" si="1533">IF(COUNTIF(W$2:W799, $A763) &gt; 0,TRUE,IFERROR(0/0,""))</f>
        <v/>
      </c>
      <c r="T763" s="261" t="str">
        <f t="shared" si="1533"/>
        <v/>
      </c>
      <c r="U763" s="257" t="str">
        <f t="array" ref="U763">IF(ISBLANK($R763), INDEX('Run Reconcile'!A$2:A799, MATCH($B763, 'Run Reconcile'!B$2:B799, 0)+Z763, 1), IFERROR(0/0,""))
</f>
        <v/>
      </c>
      <c r="V763" s="258" t="str">
        <f t="shared" si="480"/>
        <v>RUN-BEND_2022-05-11_RFR-052</v>
      </c>
      <c r="Y763" s="130" t="str">
        <f t="shared" si="487"/>
        <v/>
      </c>
      <c r="Z763" s="49" t="str">
        <f t="shared" si="7"/>
        <v/>
      </c>
      <c r="AA763" s="49" t="str">
        <f t="shared" si="8"/>
        <v/>
      </c>
      <c r="AB763" s="49" t="str">
        <f t="shared" si="9"/>
        <v/>
      </c>
      <c r="AC763" s="20" t="str">
        <f t="shared" ref="AC763:AD763" si="1534">IF(_xlfn.ISFORMULA(S763),IFERROR(0/0,""),TRUE)</f>
        <v/>
      </c>
      <c r="AD763" s="20" t="str">
        <f t="shared" si="1534"/>
        <v/>
      </c>
      <c r="AE763" s="43"/>
      <c r="AF763" s="62" t="s">
        <v>71</v>
      </c>
      <c r="AG763" s="57" t="str">
        <f t="shared" si="11"/>
        <v/>
      </c>
    </row>
    <row r="764">
      <c r="A764" s="6" t="str">
        <f>IFERROR(__xludf.DUMMYFUNCTION("""COMPUTED_VALUE"""),"MA1497")</f>
        <v>MA1497</v>
      </c>
      <c r="B764" s="204">
        <f>IFERROR(__xludf.DUMMYFUNCTION("""COMPUTED_VALUE"""),44692.0)</f>
        <v>44692</v>
      </c>
      <c r="C764" s="250">
        <f>IFERROR(__xludf.DUMMYFUNCTION("""COMPUTED_VALUE"""),0.29189814814814813)</f>
        <v>0.2918981481</v>
      </c>
      <c r="D764" s="6" t="str">
        <f>IFERROR(__xludf.DUMMYFUNCTION("""COMPUTED_VALUE"""),"SpBEND394154")</f>
        <v>SpBEND394154</v>
      </c>
      <c r="E764" s="251"/>
      <c r="F764" s="251"/>
      <c r="G764" s="251" t="str">
        <f>IFERROR(__xludf.DUMMYFUNCTION("""COMPUTED_VALUE"""),"Negative")</f>
        <v>Negative</v>
      </c>
      <c r="H764" s="262" t="str">
        <f>IFERROR(__xludf.DUMMYFUNCTION("""COMPUTED_VALUE"""),"Negative")</f>
        <v>Negative</v>
      </c>
      <c r="I764" s="204">
        <f>IFERROR(__xludf.DUMMYFUNCTION("""COMPUTED_VALUE"""),44692.0)</f>
        <v>44692</v>
      </c>
      <c r="J764" s="252">
        <f>IFERROR(__xludf.DUMMYFUNCTION("""COMPUTED_VALUE"""),0.5025231481481481)</f>
        <v>0.5025231481</v>
      </c>
      <c r="K764" s="56"/>
      <c r="L764" s="6"/>
      <c r="M764" s="61"/>
      <c r="N764" s="61">
        <f>IFERROR(__xludf.DUMMYFUNCTION("""COMPUTED_VALUE"""),1.0)</f>
        <v>1</v>
      </c>
      <c r="O764" s="61"/>
      <c r="P764" s="253">
        <f>IFERROR(__xludf.DUMMYFUNCTION("""COMPUTED_VALUE"""),0.0)</f>
        <v>0</v>
      </c>
      <c r="Q764" s="254" t="b">
        <f>VLOOKUP($B764,'Run Reconcile'!B$2:O799,14,FALSE)</f>
        <v>1</v>
      </c>
      <c r="R764" s="255" t="str">
        <f t="array" ref="R764">IF($Q764, INDEX('Run Reconcile'!A$2:A799,MATCH(B764,'Run Reconcile'!B$2:B799,0),1),IFERROR(0/0,""))</f>
        <v>RUN-BEND_2022-05-11_RFR-052</v>
      </c>
      <c r="S764" s="261" t="str">
        <f t="shared" ref="S764:T764" si="1535">IF(COUNTIF(W$2:W799, $A764) &gt; 0,TRUE,IFERROR(0/0,""))</f>
        <v/>
      </c>
      <c r="T764" s="261" t="str">
        <f t="shared" si="1535"/>
        <v/>
      </c>
      <c r="U764" s="257" t="str">
        <f t="array" ref="U764">IF(ISBLANK($R764), INDEX('Run Reconcile'!A$2:A799, MATCH($B764, 'Run Reconcile'!B$2:B799, 0)+Z764, 1), IFERROR(0/0,""))
</f>
        <v/>
      </c>
      <c r="V764" s="258" t="str">
        <f t="shared" si="480"/>
        <v>RUN-BEND_2022-05-11_RFR-052</v>
      </c>
      <c r="Y764" s="130" t="str">
        <f t="shared" si="487"/>
        <v/>
      </c>
      <c r="Z764" s="49" t="str">
        <f t="shared" si="7"/>
        <v/>
      </c>
      <c r="AA764" s="49" t="str">
        <f t="shared" si="8"/>
        <v/>
      </c>
      <c r="AB764" s="49" t="str">
        <f t="shared" si="9"/>
        <v/>
      </c>
      <c r="AC764" s="20" t="str">
        <f t="shared" ref="AC764:AD764" si="1536">IF(_xlfn.ISFORMULA(S764),IFERROR(0/0,""),TRUE)</f>
        <v/>
      </c>
      <c r="AD764" s="20" t="str">
        <f t="shared" si="1536"/>
        <v/>
      </c>
      <c r="AE764" s="43"/>
      <c r="AF764" s="62" t="s">
        <v>71</v>
      </c>
      <c r="AG764" s="57" t="str">
        <f t="shared" si="11"/>
        <v/>
      </c>
    </row>
    <row r="765">
      <c r="A765" s="6" t="str">
        <f>IFERROR(__xludf.DUMMYFUNCTION("""COMPUTED_VALUE"""),"MA1429")</f>
        <v>MA1429</v>
      </c>
      <c r="B765" s="204">
        <f>IFERROR(__xludf.DUMMYFUNCTION("""COMPUTED_VALUE"""),44692.0)</f>
        <v>44692</v>
      </c>
      <c r="C765" s="250">
        <f>IFERROR(__xludf.DUMMYFUNCTION("""COMPUTED_VALUE"""),0.30863425925925925)</f>
        <v>0.3086342593</v>
      </c>
      <c r="D765" s="6" t="str">
        <f>IFERROR(__xludf.DUMMYFUNCTION("""COMPUTED_VALUE"""),"SpBEND394154")</f>
        <v>SpBEND394154</v>
      </c>
      <c r="E765" s="251"/>
      <c r="F765" s="251"/>
      <c r="G765" s="251" t="str">
        <f>IFERROR(__xludf.DUMMYFUNCTION("""COMPUTED_VALUE"""),"Negative")</f>
        <v>Negative</v>
      </c>
      <c r="H765" s="262" t="str">
        <f>IFERROR(__xludf.DUMMYFUNCTION("""COMPUTED_VALUE"""),"Negative")</f>
        <v>Negative</v>
      </c>
      <c r="I765" s="204">
        <f>IFERROR(__xludf.DUMMYFUNCTION("""COMPUTED_VALUE"""),44692.0)</f>
        <v>44692</v>
      </c>
      <c r="J765" s="252">
        <f>IFERROR(__xludf.DUMMYFUNCTION("""COMPUTED_VALUE"""),0.5025231481481481)</f>
        <v>0.5025231481</v>
      </c>
      <c r="K765" s="56"/>
      <c r="L765" s="6"/>
      <c r="M765" s="61"/>
      <c r="N765" s="61">
        <f>IFERROR(__xludf.DUMMYFUNCTION("""COMPUTED_VALUE"""),1.0)</f>
        <v>1</v>
      </c>
      <c r="O765" s="61"/>
      <c r="P765" s="253">
        <f>IFERROR(__xludf.DUMMYFUNCTION("""COMPUTED_VALUE"""),0.0)</f>
        <v>0</v>
      </c>
      <c r="Q765" s="254" t="b">
        <f>VLOOKUP($B765,'Run Reconcile'!B$2:O799,14,FALSE)</f>
        <v>1</v>
      </c>
      <c r="R765" s="255" t="str">
        <f t="array" ref="R765">IF($Q765, INDEX('Run Reconcile'!A$2:A799,MATCH(B765,'Run Reconcile'!B$2:B799,0),1),IFERROR(0/0,""))</f>
        <v>RUN-BEND_2022-05-11_RFR-052</v>
      </c>
      <c r="S765" s="261" t="str">
        <f t="shared" ref="S765:T765" si="1537">IF(COUNTIF(W$2:W799, $A765) &gt; 0,TRUE,IFERROR(0/0,""))</f>
        <v/>
      </c>
      <c r="T765" s="261" t="str">
        <f t="shared" si="1537"/>
        <v/>
      </c>
      <c r="U765" s="257" t="str">
        <f t="array" ref="U765">IF(ISBLANK($R765), INDEX('Run Reconcile'!A$2:A799, MATCH($B765, 'Run Reconcile'!B$2:B799, 0)+Z765, 1), IFERROR(0/0,""))
</f>
        <v/>
      </c>
      <c r="V765" s="258" t="str">
        <f t="shared" si="480"/>
        <v>RUN-BEND_2022-05-11_RFR-052</v>
      </c>
      <c r="Y765" s="130" t="str">
        <f t="shared" si="487"/>
        <v/>
      </c>
      <c r="Z765" s="49" t="str">
        <f t="shared" si="7"/>
        <v/>
      </c>
      <c r="AA765" s="49" t="str">
        <f t="shared" si="8"/>
        <v/>
      </c>
      <c r="AB765" s="49" t="str">
        <f t="shared" si="9"/>
        <v/>
      </c>
      <c r="AC765" s="20" t="str">
        <f t="shared" ref="AC765:AD765" si="1538">IF(_xlfn.ISFORMULA(S765),IFERROR(0/0,""),TRUE)</f>
        <v/>
      </c>
      <c r="AD765" s="20" t="str">
        <f t="shared" si="1538"/>
        <v/>
      </c>
      <c r="AE765" s="43"/>
      <c r="AF765" s="62" t="s">
        <v>71</v>
      </c>
      <c r="AG765" s="57" t="str">
        <f t="shared" si="11"/>
        <v/>
      </c>
    </row>
    <row r="766">
      <c r="A766" s="6" t="str">
        <f>IFERROR(__xludf.DUMMYFUNCTION("""COMPUTED_VALUE"""),"MA1398")</f>
        <v>MA1398</v>
      </c>
      <c r="B766" s="204">
        <f>IFERROR(__xludf.DUMMYFUNCTION("""COMPUTED_VALUE"""),44692.0)</f>
        <v>44692</v>
      </c>
      <c r="C766" s="250">
        <f>IFERROR(__xludf.DUMMYFUNCTION("""COMPUTED_VALUE"""),0.30903935185185183)</f>
        <v>0.3090393519</v>
      </c>
      <c r="D766" s="6" t="str">
        <f>IFERROR(__xludf.DUMMYFUNCTION("""COMPUTED_VALUE"""),"SpBEND394154")</f>
        <v>SpBEND394154</v>
      </c>
      <c r="E766" s="251"/>
      <c r="F766" s="251"/>
      <c r="G766" s="251" t="str">
        <f>IFERROR(__xludf.DUMMYFUNCTION("""COMPUTED_VALUE"""),"Negative")</f>
        <v>Negative</v>
      </c>
      <c r="H766" s="262" t="str">
        <f>IFERROR(__xludf.DUMMYFUNCTION("""COMPUTED_VALUE"""),"Negative")</f>
        <v>Negative</v>
      </c>
      <c r="I766" s="204">
        <f>IFERROR(__xludf.DUMMYFUNCTION("""COMPUTED_VALUE"""),44692.0)</f>
        <v>44692</v>
      </c>
      <c r="J766" s="252">
        <f>IFERROR(__xludf.DUMMYFUNCTION("""COMPUTED_VALUE"""),0.5025231481481481)</f>
        <v>0.5025231481</v>
      </c>
      <c r="K766" s="56"/>
      <c r="L766" s="6"/>
      <c r="M766" s="61"/>
      <c r="N766" s="61">
        <f>IFERROR(__xludf.DUMMYFUNCTION("""COMPUTED_VALUE"""),1.0)</f>
        <v>1</v>
      </c>
      <c r="O766" s="61"/>
      <c r="P766" s="253">
        <f>IFERROR(__xludf.DUMMYFUNCTION("""COMPUTED_VALUE"""),0.0)</f>
        <v>0</v>
      </c>
      <c r="Q766" s="254" t="b">
        <f>VLOOKUP($B766,'Run Reconcile'!B$2:O799,14,FALSE)</f>
        <v>1</v>
      </c>
      <c r="R766" s="255" t="str">
        <f t="array" ref="R766">IF($Q766, INDEX('Run Reconcile'!A$2:A799,MATCH(B766,'Run Reconcile'!B$2:B799,0),1),IFERROR(0/0,""))</f>
        <v>RUN-BEND_2022-05-11_RFR-052</v>
      </c>
      <c r="S766" s="261" t="str">
        <f t="shared" ref="S766:T766" si="1539">IF(COUNTIF(W$2:W799, $A766) &gt; 0,TRUE,IFERROR(0/0,""))</f>
        <v/>
      </c>
      <c r="T766" s="261" t="str">
        <f t="shared" si="1539"/>
        <v/>
      </c>
      <c r="U766" s="257" t="str">
        <f t="array" ref="U766">IF(ISBLANK($R766), INDEX('Run Reconcile'!A$2:A799, MATCH($B766, 'Run Reconcile'!B$2:B799, 0)+Z766, 1), IFERROR(0/0,""))
</f>
        <v/>
      </c>
      <c r="V766" s="258" t="str">
        <f t="shared" si="480"/>
        <v>RUN-BEND_2022-05-11_RFR-052</v>
      </c>
      <c r="Y766" s="130" t="str">
        <f t="shared" si="487"/>
        <v/>
      </c>
      <c r="Z766" s="49" t="str">
        <f t="shared" si="7"/>
        <v/>
      </c>
      <c r="AA766" s="49" t="str">
        <f t="shared" si="8"/>
        <v/>
      </c>
      <c r="AB766" s="49" t="str">
        <f t="shared" si="9"/>
        <v/>
      </c>
      <c r="AC766" s="20" t="str">
        <f t="shared" ref="AC766:AD766" si="1540">IF(_xlfn.ISFORMULA(S766),IFERROR(0/0,""),TRUE)</f>
        <v/>
      </c>
      <c r="AD766" s="20" t="str">
        <f t="shared" si="1540"/>
        <v/>
      </c>
      <c r="AE766" s="43"/>
      <c r="AF766" s="62" t="s">
        <v>71</v>
      </c>
      <c r="AG766" s="57" t="str">
        <f t="shared" si="11"/>
        <v/>
      </c>
    </row>
    <row r="767">
      <c r="A767" s="6" t="str">
        <f>IFERROR(__xludf.DUMMYFUNCTION("""COMPUTED_VALUE"""),"MA1384")</f>
        <v>MA1384</v>
      </c>
      <c r="B767" s="204">
        <f>IFERROR(__xludf.DUMMYFUNCTION("""COMPUTED_VALUE"""),44692.0)</f>
        <v>44692</v>
      </c>
      <c r="C767" s="250">
        <f>IFERROR(__xludf.DUMMYFUNCTION("""COMPUTED_VALUE"""),0.3093634259259259)</f>
        <v>0.3093634259</v>
      </c>
      <c r="D767" s="6" t="str">
        <f>IFERROR(__xludf.DUMMYFUNCTION("""COMPUTED_VALUE"""),"SpBEND394154")</f>
        <v>SpBEND394154</v>
      </c>
      <c r="E767" s="251"/>
      <c r="F767" s="251"/>
      <c r="G767" s="251" t="str">
        <f>IFERROR(__xludf.DUMMYFUNCTION("""COMPUTED_VALUE"""),"Negative")</f>
        <v>Negative</v>
      </c>
      <c r="H767" s="262" t="str">
        <f>IFERROR(__xludf.DUMMYFUNCTION("""COMPUTED_VALUE"""),"Negative")</f>
        <v>Negative</v>
      </c>
      <c r="I767" s="204">
        <f>IFERROR(__xludf.DUMMYFUNCTION("""COMPUTED_VALUE"""),44692.0)</f>
        <v>44692</v>
      </c>
      <c r="J767" s="252">
        <f>IFERROR(__xludf.DUMMYFUNCTION("""COMPUTED_VALUE"""),0.5025231481481481)</f>
        <v>0.5025231481</v>
      </c>
      <c r="K767" s="56"/>
      <c r="L767" s="6"/>
      <c r="M767" s="61"/>
      <c r="N767" s="61">
        <f>IFERROR(__xludf.DUMMYFUNCTION("""COMPUTED_VALUE"""),1.0)</f>
        <v>1</v>
      </c>
      <c r="O767" s="61"/>
      <c r="P767" s="253">
        <f>IFERROR(__xludf.DUMMYFUNCTION("""COMPUTED_VALUE"""),0.0)</f>
        <v>0</v>
      </c>
      <c r="Q767" s="254" t="b">
        <f>VLOOKUP($B767,'Run Reconcile'!B$2:O799,14,FALSE)</f>
        <v>1</v>
      </c>
      <c r="R767" s="255" t="str">
        <f t="array" ref="R767">IF($Q767, INDEX('Run Reconcile'!A$2:A799,MATCH(B767,'Run Reconcile'!B$2:B799,0),1),IFERROR(0/0,""))</f>
        <v>RUN-BEND_2022-05-11_RFR-052</v>
      </c>
      <c r="S767" s="261" t="str">
        <f t="shared" ref="S767:T767" si="1541">IF(COUNTIF(W$2:W799, $A767) &gt; 0,TRUE,IFERROR(0/0,""))</f>
        <v/>
      </c>
      <c r="T767" s="261" t="str">
        <f t="shared" si="1541"/>
        <v/>
      </c>
      <c r="U767" s="257" t="str">
        <f t="array" ref="U767">IF(ISBLANK($R767), INDEX('Run Reconcile'!A$2:A799, MATCH($B767, 'Run Reconcile'!B$2:B799, 0)+Z767, 1), IFERROR(0/0,""))
</f>
        <v/>
      </c>
      <c r="V767" s="258" t="str">
        <f t="shared" si="480"/>
        <v>RUN-BEND_2022-05-11_RFR-052</v>
      </c>
      <c r="Y767" s="130" t="str">
        <f t="shared" si="487"/>
        <v/>
      </c>
      <c r="Z767" s="49" t="str">
        <f t="shared" si="7"/>
        <v/>
      </c>
      <c r="AA767" s="49" t="str">
        <f t="shared" si="8"/>
        <v/>
      </c>
      <c r="AB767" s="49" t="str">
        <f t="shared" si="9"/>
        <v/>
      </c>
      <c r="AC767" s="20" t="str">
        <f t="shared" ref="AC767:AD767" si="1542">IF(_xlfn.ISFORMULA(S767),IFERROR(0/0,""),TRUE)</f>
        <v/>
      </c>
      <c r="AD767" s="20" t="str">
        <f t="shared" si="1542"/>
        <v/>
      </c>
      <c r="AE767" s="43"/>
      <c r="AF767" s="62" t="s">
        <v>71</v>
      </c>
      <c r="AG767" s="57" t="str">
        <f t="shared" si="11"/>
        <v/>
      </c>
    </row>
    <row r="768">
      <c r="A768" s="6" t="str">
        <f>IFERROR(__xludf.DUMMYFUNCTION("""COMPUTED_VALUE"""),"FM512")</f>
        <v>FM512</v>
      </c>
      <c r="B768" s="204">
        <f>IFERROR(__xludf.DUMMYFUNCTION("""COMPUTED_VALUE"""),44692.0)</f>
        <v>44692</v>
      </c>
      <c r="C768" s="250">
        <f>IFERROR(__xludf.DUMMYFUNCTION("""COMPUTED_VALUE"""),0.34565972222222224)</f>
        <v>0.3456597222</v>
      </c>
      <c r="D768" s="6" t="str">
        <f>IFERROR(__xludf.DUMMYFUNCTION("""COMPUTED_VALUE"""),"SpBEND918395")</f>
        <v>SpBEND918395</v>
      </c>
      <c r="E768" s="251"/>
      <c r="F768" s="251"/>
      <c r="G768" s="251" t="str">
        <f>IFERROR(__xludf.DUMMYFUNCTION("""COMPUTED_VALUE"""),"Negative")</f>
        <v>Negative</v>
      </c>
      <c r="H768" s="262" t="str">
        <f>IFERROR(__xludf.DUMMYFUNCTION("""COMPUTED_VALUE"""),"Negative")</f>
        <v>Negative</v>
      </c>
      <c r="I768" s="204">
        <f>IFERROR(__xludf.DUMMYFUNCTION("""COMPUTED_VALUE"""),44692.0)</f>
        <v>44692</v>
      </c>
      <c r="J768" s="252">
        <f>IFERROR(__xludf.DUMMYFUNCTION("""COMPUTED_VALUE"""),0.5025231481481481)</f>
        <v>0.5025231481</v>
      </c>
      <c r="K768" s="56"/>
      <c r="L768" s="6"/>
      <c r="M768" s="61"/>
      <c r="N768" s="61">
        <f>IFERROR(__xludf.DUMMYFUNCTION("""COMPUTED_VALUE"""),1.0)</f>
        <v>1</v>
      </c>
      <c r="O768" s="61"/>
      <c r="P768" s="253">
        <f>IFERROR(__xludf.DUMMYFUNCTION("""COMPUTED_VALUE"""),0.0)</f>
        <v>0</v>
      </c>
      <c r="Q768" s="254" t="b">
        <f>VLOOKUP($B768,'Run Reconcile'!B$2:O799,14,FALSE)</f>
        <v>1</v>
      </c>
      <c r="R768" s="255" t="str">
        <f t="array" ref="R768">IF($Q768, INDEX('Run Reconcile'!A$2:A799,MATCH(B768,'Run Reconcile'!B$2:B799,0),1),IFERROR(0/0,""))</f>
        <v>RUN-BEND_2022-05-11_RFR-052</v>
      </c>
      <c r="S768" s="261" t="str">
        <f t="shared" ref="S768:T768" si="1543">IF(COUNTIF(W$2:W799, $A768) &gt; 0,TRUE,IFERROR(0/0,""))</f>
        <v/>
      </c>
      <c r="T768" s="261" t="str">
        <f t="shared" si="1543"/>
        <v/>
      </c>
      <c r="U768" s="257" t="str">
        <f t="array" ref="U768">IF(ISBLANK($R768), INDEX('Run Reconcile'!A$2:A799, MATCH($B768, 'Run Reconcile'!B$2:B799, 0)+Z768, 1), IFERROR(0/0,""))
</f>
        <v/>
      </c>
      <c r="V768" s="258" t="str">
        <f t="shared" si="480"/>
        <v>RUN-BEND_2022-05-11_RFR-052</v>
      </c>
      <c r="Y768" s="130" t="str">
        <f t="shared" si="487"/>
        <v/>
      </c>
      <c r="Z768" s="49" t="str">
        <f t="shared" si="7"/>
        <v/>
      </c>
      <c r="AA768" s="49" t="str">
        <f t="shared" si="8"/>
        <v/>
      </c>
      <c r="AB768" s="49" t="str">
        <f t="shared" si="9"/>
        <v/>
      </c>
      <c r="AC768" s="20" t="str">
        <f t="shared" ref="AC768:AD768" si="1544">IF(_xlfn.ISFORMULA(S768),IFERROR(0/0,""),TRUE)</f>
        <v/>
      </c>
      <c r="AD768" s="20" t="str">
        <f t="shared" si="1544"/>
        <v/>
      </c>
      <c r="AE768" s="43"/>
      <c r="AF768" s="62" t="s">
        <v>71</v>
      </c>
      <c r="AG768" s="57" t="str">
        <f t="shared" si="11"/>
        <v/>
      </c>
    </row>
    <row r="769">
      <c r="A769" s="6"/>
      <c r="B769" s="262"/>
      <c r="C769" s="262"/>
      <c r="D769" s="6"/>
      <c r="E769" s="251"/>
      <c r="F769" s="251"/>
      <c r="G769" s="251"/>
      <c r="H769" s="262"/>
      <c r="I769" s="262"/>
      <c r="J769" s="56"/>
      <c r="K769" s="56"/>
      <c r="L769" s="6"/>
      <c r="M769" s="61"/>
      <c r="N769" s="61"/>
      <c r="O769" s="61"/>
      <c r="P769" s="292"/>
      <c r="Q769" s="254"/>
      <c r="R769" s="255"/>
      <c r="S769" s="261" t="str">
        <f t="shared" ref="S769:T769" si="1545">IF(COUNTIF(W$2:W799, $A769) &gt; 0,TRUE,IFERROR(0/0,""))</f>
        <v/>
      </c>
      <c r="T769" s="261" t="str">
        <f t="shared" si="1545"/>
        <v/>
      </c>
      <c r="U769" s="257"/>
      <c r="V769" s="258"/>
      <c r="Y769" s="130" t="str">
        <f t="shared" si="487"/>
        <v/>
      </c>
      <c r="Z769" s="49" t="str">
        <f t="shared" si="7"/>
        <v/>
      </c>
      <c r="AA769" s="49" t="str">
        <f t="shared" si="8"/>
        <v/>
      </c>
      <c r="AB769" s="49" t="str">
        <f t="shared" si="9"/>
        <v/>
      </c>
      <c r="AC769" s="20" t="str">
        <f t="shared" ref="AC769:AD769" si="1546">IF(_xlfn.ISFORMULA(S769),IFERROR(0/0,""),TRUE)</f>
        <v/>
      </c>
      <c r="AD769" s="20" t="str">
        <f t="shared" si="1546"/>
        <v/>
      </c>
      <c r="AE769" s="43"/>
      <c r="AG769" s="57" t="str">
        <f t="shared" si="11"/>
        <v/>
      </c>
    </row>
    <row r="770">
      <c r="A770" s="6"/>
      <c r="B770" s="262"/>
      <c r="C770" s="262"/>
      <c r="D770" s="6"/>
      <c r="E770" s="251"/>
      <c r="F770" s="251"/>
      <c r="G770" s="251"/>
      <c r="H770" s="262"/>
      <c r="I770" s="262"/>
      <c r="J770" s="56"/>
      <c r="K770" s="56"/>
      <c r="L770" s="6"/>
      <c r="M770" s="61"/>
      <c r="N770" s="61"/>
      <c r="O770" s="61"/>
      <c r="P770" s="292"/>
      <c r="Q770" s="254"/>
      <c r="R770" s="255"/>
      <c r="S770" s="261" t="str">
        <f t="shared" ref="S770:T770" si="1547">IF(COUNTIF(W$2:W799, $A770) &gt; 0,TRUE,IFERROR(0/0,""))</f>
        <v/>
      </c>
      <c r="T770" s="261" t="str">
        <f t="shared" si="1547"/>
        <v/>
      </c>
      <c r="U770" s="257"/>
      <c r="V770" s="258"/>
      <c r="Y770" s="130" t="str">
        <f t="shared" si="487"/>
        <v/>
      </c>
      <c r="Z770" s="49" t="str">
        <f t="shared" si="7"/>
        <v/>
      </c>
      <c r="AA770" s="49" t="str">
        <f t="shared" si="8"/>
        <v/>
      </c>
      <c r="AB770" s="49" t="str">
        <f t="shared" si="9"/>
        <v/>
      </c>
      <c r="AC770" s="20"/>
      <c r="AD770" s="20"/>
      <c r="AE770" s="43"/>
      <c r="AG770" s="57" t="str">
        <f t="shared" si="11"/>
        <v/>
      </c>
    </row>
    <row r="771">
      <c r="A771" s="6"/>
      <c r="B771" s="262"/>
      <c r="C771" s="262"/>
      <c r="D771" s="6"/>
      <c r="E771" s="251"/>
      <c r="F771" s="251"/>
      <c r="G771" s="251"/>
      <c r="H771" s="262"/>
      <c r="I771" s="262"/>
      <c r="J771" s="56"/>
      <c r="K771" s="56"/>
      <c r="L771" s="6"/>
      <c r="M771" s="61"/>
      <c r="N771" s="61"/>
      <c r="O771" s="61"/>
      <c r="P771" s="292"/>
      <c r="Q771" s="254"/>
      <c r="R771" s="255"/>
      <c r="S771" s="261" t="str">
        <f t="shared" ref="S771:T771" si="1548">IF(COUNTIF(W$2:W799, $A771) &gt; 0,TRUE,IFERROR(0/0,""))</f>
        <v/>
      </c>
      <c r="T771" s="261" t="str">
        <f t="shared" si="1548"/>
        <v/>
      </c>
      <c r="U771" s="257"/>
      <c r="V771" s="258"/>
      <c r="Y771" s="130" t="str">
        <f t="shared" si="487"/>
        <v/>
      </c>
      <c r="Z771" s="49" t="str">
        <f t="shared" si="7"/>
        <v/>
      </c>
      <c r="AA771" s="49" t="str">
        <f t="shared" si="8"/>
        <v/>
      </c>
      <c r="AB771" s="49" t="str">
        <f t="shared" si="9"/>
        <v/>
      </c>
      <c r="AC771" s="20"/>
      <c r="AD771" s="20"/>
      <c r="AE771" s="43"/>
      <c r="AG771" s="57" t="str">
        <f t="shared" si="11"/>
        <v/>
      </c>
    </row>
    <row r="772">
      <c r="A772" s="6"/>
      <c r="B772" s="262"/>
      <c r="C772" s="262"/>
      <c r="D772" s="6"/>
      <c r="E772" s="251"/>
      <c r="F772" s="251"/>
      <c r="G772" s="251"/>
      <c r="H772" s="262"/>
      <c r="I772" s="262"/>
      <c r="J772" s="56"/>
      <c r="K772" s="56"/>
      <c r="L772" s="6"/>
      <c r="M772" s="61"/>
      <c r="N772" s="61"/>
      <c r="O772" s="61"/>
      <c r="P772" s="293"/>
      <c r="Q772" s="60"/>
      <c r="R772" s="294"/>
      <c r="S772" s="261"/>
      <c r="T772" s="261"/>
      <c r="U772" s="257"/>
      <c r="V772" s="260"/>
      <c r="Y772" s="130" t="str">
        <f t="shared" si="487"/>
        <v/>
      </c>
      <c r="Z772" s="49" t="str">
        <f t="shared" si="7"/>
        <v/>
      </c>
      <c r="AA772" s="49" t="str">
        <f t="shared" si="8"/>
        <v/>
      </c>
      <c r="AB772" s="49" t="str">
        <f t="shared" si="9"/>
        <v/>
      </c>
      <c r="AE772" s="43"/>
      <c r="AG772" s="57" t="str">
        <f t="shared" si="11"/>
        <v/>
      </c>
    </row>
    <row r="773">
      <c r="A773" s="6"/>
      <c r="B773" s="262"/>
      <c r="C773" s="262"/>
      <c r="D773" s="6"/>
      <c r="E773" s="251"/>
      <c r="F773" s="251"/>
      <c r="G773" s="251"/>
      <c r="H773" s="262"/>
      <c r="I773" s="262"/>
      <c r="J773" s="56"/>
      <c r="K773" s="56"/>
      <c r="L773" s="6"/>
      <c r="M773" s="61"/>
      <c r="N773" s="61"/>
      <c r="O773" s="61"/>
      <c r="P773" s="293"/>
      <c r="Q773" s="60"/>
      <c r="R773" s="294"/>
      <c r="S773" s="261"/>
      <c r="T773" s="261"/>
      <c r="U773" s="257"/>
      <c r="V773" s="260"/>
      <c r="Y773" s="130" t="str">
        <f t="shared" si="487"/>
        <v/>
      </c>
      <c r="Z773" s="49" t="str">
        <f t="shared" si="7"/>
        <v/>
      </c>
      <c r="AA773" s="49" t="str">
        <f t="shared" si="8"/>
        <v/>
      </c>
      <c r="AB773" s="49" t="str">
        <f t="shared" si="9"/>
        <v/>
      </c>
      <c r="AE773" s="43"/>
      <c r="AG773" s="57" t="str">
        <f t="shared" si="11"/>
        <v/>
      </c>
    </row>
    <row r="774">
      <c r="A774" s="6"/>
      <c r="B774" s="262"/>
      <c r="C774" s="262"/>
      <c r="D774" s="6"/>
      <c r="E774" s="251"/>
      <c r="F774" s="251"/>
      <c r="G774" s="251"/>
      <c r="H774" s="262"/>
      <c r="I774" s="262"/>
      <c r="J774" s="56"/>
      <c r="K774" s="56"/>
      <c r="L774" s="6"/>
      <c r="M774" s="61"/>
      <c r="N774" s="61"/>
      <c r="O774" s="61"/>
      <c r="P774" s="293"/>
      <c r="Q774" s="60"/>
      <c r="R774" s="294"/>
      <c r="S774" s="261"/>
      <c r="T774" s="261"/>
      <c r="U774" s="257"/>
      <c r="V774" s="260"/>
      <c r="Y774" s="130" t="str">
        <f t="shared" si="487"/>
        <v/>
      </c>
      <c r="Z774" s="49" t="str">
        <f t="shared" si="7"/>
        <v/>
      </c>
      <c r="AA774" s="49" t="str">
        <f t="shared" si="8"/>
        <v/>
      </c>
      <c r="AB774" s="49" t="str">
        <f t="shared" si="9"/>
        <v/>
      </c>
      <c r="AE774" s="43"/>
      <c r="AG774" s="57" t="str">
        <f t="shared" si="11"/>
        <v/>
      </c>
    </row>
    <row r="775">
      <c r="A775" s="6"/>
      <c r="B775" s="262"/>
      <c r="C775" s="262"/>
      <c r="D775" s="6"/>
      <c r="E775" s="251"/>
      <c r="F775" s="251"/>
      <c r="G775" s="251"/>
      <c r="H775" s="262"/>
      <c r="I775" s="262"/>
      <c r="J775" s="56"/>
      <c r="K775" s="56"/>
      <c r="L775" s="6"/>
      <c r="M775" s="61"/>
      <c r="N775" s="61"/>
      <c r="O775" s="61"/>
      <c r="P775" s="293"/>
      <c r="Q775" s="60"/>
      <c r="R775" s="294"/>
      <c r="S775" s="261"/>
      <c r="T775" s="261"/>
      <c r="U775" s="257"/>
      <c r="V775" s="260"/>
      <c r="Y775" s="130" t="str">
        <f t="shared" si="487"/>
        <v/>
      </c>
      <c r="Z775" s="49" t="str">
        <f t="shared" si="7"/>
        <v/>
      </c>
      <c r="AA775" s="49" t="str">
        <f t="shared" si="8"/>
        <v/>
      </c>
      <c r="AB775" s="49" t="str">
        <f t="shared" si="9"/>
        <v/>
      </c>
      <c r="AE775" s="43"/>
      <c r="AG775" s="57" t="str">
        <f t="shared" si="11"/>
        <v/>
      </c>
    </row>
    <row r="776">
      <c r="A776" s="6"/>
      <c r="B776" s="262"/>
      <c r="C776" s="262"/>
      <c r="D776" s="6"/>
      <c r="E776" s="251"/>
      <c r="F776" s="251"/>
      <c r="G776" s="251"/>
      <c r="H776" s="262"/>
      <c r="I776" s="262"/>
      <c r="J776" s="56"/>
      <c r="K776" s="56"/>
      <c r="L776" s="6"/>
      <c r="M776" s="61"/>
      <c r="N776" s="61"/>
      <c r="O776" s="61"/>
      <c r="P776" s="293"/>
      <c r="Q776" s="60"/>
      <c r="R776" s="294"/>
      <c r="S776" s="261"/>
      <c r="T776" s="261"/>
      <c r="U776" s="257"/>
      <c r="V776" s="260"/>
      <c r="Y776" s="130" t="str">
        <f t="shared" si="487"/>
        <v/>
      </c>
      <c r="Z776" s="49" t="str">
        <f t="shared" si="7"/>
        <v/>
      </c>
      <c r="AA776" s="49" t="str">
        <f t="shared" si="8"/>
        <v/>
      </c>
      <c r="AB776" s="49" t="str">
        <f t="shared" si="9"/>
        <v/>
      </c>
      <c r="AE776" s="43"/>
      <c r="AG776" s="57" t="str">
        <f t="shared" si="11"/>
        <v/>
      </c>
    </row>
    <row r="777">
      <c r="A777" s="6"/>
      <c r="B777" s="262"/>
      <c r="C777" s="262"/>
      <c r="D777" s="6"/>
      <c r="E777" s="251"/>
      <c r="F777" s="251"/>
      <c r="G777" s="251"/>
      <c r="H777" s="262"/>
      <c r="I777" s="262"/>
      <c r="J777" s="56"/>
      <c r="K777" s="56"/>
      <c r="L777" s="6"/>
      <c r="M777" s="61"/>
      <c r="N777" s="61"/>
      <c r="O777" s="61"/>
      <c r="P777" s="293"/>
      <c r="Q777" s="60"/>
      <c r="R777" s="294"/>
      <c r="S777" s="261"/>
      <c r="T777" s="261"/>
      <c r="U777" s="257"/>
      <c r="V777" s="260"/>
      <c r="Y777" s="130" t="str">
        <f t="shared" si="487"/>
        <v/>
      </c>
      <c r="Z777" s="49" t="str">
        <f t="shared" si="7"/>
        <v/>
      </c>
      <c r="AA777" s="49" t="str">
        <f t="shared" si="8"/>
        <v/>
      </c>
      <c r="AB777" s="49" t="str">
        <f t="shared" si="9"/>
        <v/>
      </c>
      <c r="AE777" s="43"/>
      <c r="AG777" s="57" t="str">
        <f t="shared" si="11"/>
        <v/>
      </c>
    </row>
    <row r="778">
      <c r="A778" s="6"/>
      <c r="B778" s="262"/>
      <c r="C778" s="262"/>
      <c r="D778" s="6"/>
      <c r="E778" s="251"/>
      <c r="F778" s="251"/>
      <c r="G778" s="251"/>
      <c r="H778" s="262"/>
      <c r="I778" s="262"/>
      <c r="J778" s="56"/>
      <c r="K778" s="56"/>
      <c r="L778" s="6"/>
      <c r="M778" s="61"/>
      <c r="N778" s="61"/>
      <c r="O778" s="61"/>
      <c r="P778" s="293"/>
      <c r="Q778" s="60"/>
      <c r="R778" s="294"/>
      <c r="S778" s="261"/>
      <c r="T778" s="261"/>
      <c r="U778" s="257"/>
      <c r="V778" s="260"/>
      <c r="Y778" s="130" t="str">
        <f t="shared" si="487"/>
        <v/>
      </c>
      <c r="Z778" s="49" t="str">
        <f t="shared" si="7"/>
        <v/>
      </c>
      <c r="AA778" s="49" t="str">
        <f t="shared" si="8"/>
        <v/>
      </c>
      <c r="AB778" s="49" t="str">
        <f t="shared" si="9"/>
        <v/>
      </c>
      <c r="AE778" s="43"/>
      <c r="AG778" s="57" t="str">
        <f t="shared" si="11"/>
        <v/>
      </c>
    </row>
    <row r="779">
      <c r="A779" s="6"/>
      <c r="B779" s="262"/>
      <c r="C779" s="262"/>
      <c r="D779" s="6"/>
      <c r="E779" s="251"/>
      <c r="F779" s="251"/>
      <c r="G779" s="251"/>
      <c r="H779" s="262"/>
      <c r="I779" s="262"/>
      <c r="J779" s="56"/>
      <c r="K779" s="56"/>
      <c r="L779" s="6"/>
      <c r="M779" s="61"/>
      <c r="N779" s="61"/>
      <c r="O779" s="61"/>
      <c r="P779" s="293"/>
      <c r="Q779" s="60"/>
      <c r="R779" s="294"/>
      <c r="S779" s="261"/>
      <c r="T779" s="261"/>
      <c r="U779" s="257"/>
      <c r="V779" s="260"/>
      <c r="Y779" s="130" t="str">
        <f t="shared" si="487"/>
        <v/>
      </c>
      <c r="Z779" s="49" t="str">
        <f t="shared" si="7"/>
        <v/>
      </c>
      <c r="AA779" s="49" t="str">
        <f t="shared" si="8"/>
        <v/>
      </c>
      <c r="AB779" s="49" t="str">
        <f t="shared" si="9"/>
        <v/>
      </c>
      <c r="AE779" s="43"/>
      <c r="AG779" s="57" t="str">
        <f t="shared" si="11"/>
        <v/>
      </c>
    </row>
    <row r="780">
      <c r="A780" s="6"/>
      <c r="B780" s="262"/>
      <c r="C780" s="262"/>
      <c r="D780" s="6"/>
      <c r="E780" s="251"/>
      <c r="F780" s="251"/>
      <c r="G780" s="251"/>
      <c r="H780" s="262"/>
      <c r="I780" s="262"/>
      <c r="J780" s="56"/>
      <c r="K780" s="56"/>
      <c r="L780" s="6"/>
      <c r="M780" s="61"/>
      <c r="N780" s="61"/>
      <c r="O780" s="61"/>
      <c r="P780" s="293"/>
      <c r="Q780" s="60"/>
      <c r="R780" s="294"/>
      <c r="S780" s="261"/>
      <c r="T780" s="261"/>
      <c r="U780" s="257"/>
      <c r="V780" s="260"/>
      <c r="Y780" s="130" t="str">
        <f t="shared" si="487"/>
        <v/>
      </c>
      <c r="Z780" s="49" t="str">
        <f t="shared" si="7"/>
        <v/>
      </c>
      <c r="AA780" s="49" t="str">
        <f t="shared" si="8"/>
        <v/>
      </c>
      <c r="AB780" s="49" t="str">
        <f t="shared" si="9"/>
        <v/>
      </c>
      <c r="AE780" s="43"/>
      <c r="AG780" s="57" t="str">
        <f t="shared" si="11"/>
        <v/>
      </c>
    </row>
    <row r="781">
      <c r="A781" s="6"/>
      <c r="B781" s="262"/>
      <c r="C781" s="262"/>
      <c r="D781" s="6"/>
      <c r="E781" s="251"/>
      <c r="F781" s="251"/>
      <c r="G781" s="251"/>
      <c r="H781" s="262"/>
      <c r="I781" s="262"/>
      <c r="J781" s="56"/>
      <c r="K781" s="56"/>
      <c r="L781" s="6"/>
      <c r="M781" s="61"/>
      <c r="N781" s="61"/>
      <c r="O781" s="61"/>
      <c r="P781" s="293"/>
      <c r="Q781" s="60"/>
      <c r="R781" s="294"/>
      <c r="S781" s="261"/>
      <c r="T781" s="261"/>
      <c r="U781" s="257"/>
      <c r="V781" s="260"/>
      <c r="Y781" s="130" t="str">
        <f t="shared" si="487"/>
        <v/>
      </c>
      <c r="Z781" s="49" t="str">
        <f t="shared" si="7"/>
        <v/>
      </c>
      <c r="AA781" s="49" t="str">
        <f t="shared" si="8"/>
        <v/>
      </c>
      <c r="AB781" s="49" t="str">
        <f t="shared" si="9"/>
        <v/>
      </c>
      <c r="AE781" s="43"/>
      <c r="AG781" s="57" t="str">
        <f t="shared" si="11"/>
        <v/>
      </c>
    </row>
    <row r="782">
      <c r="A782" s="6"/>
      <c r="B782" s="262"/>
      <c r="C782" s="262"/>
      <c r="D782" s="6"/>
      <c r="E782" s="251"/>
      <c r="F782" s="251"/>
      <c r="G782" s="251"/>
      <c r="H782" s="262"/>
      <c r="I782" s="262"/>
      <c r="J782" s="56"/>
      <c r="K782" s="56"/>
      <c r="L782" s="6"/>
      <c r="M782" s="61"/>
      <c r="N782" s="61"/>
      <c r="O782" s="61"/>
      <c r="P782" s="293"/>
      <c r="Q782" s="60"/>
      <c r="R782" s="294"/>
      <c r="S782" s="261"/>
      <c r="T782" s="261"/>
      <c r="U782" s="257"/>
      <c r="V782" s="260"/>
      <c r="Y782" s="130" t="str">
        <f t="shared" si="487"/>
        <v/>
      </c>
      <c r="Z782" s="49" t="str">
        <f t="shared" si="7"/>
        <v/>
      </c>
      <c r="AA782" s="49" t="str">
        <f t="shared" si="8"/>
        <v/>
      </c>
      <c r="AB782" s="49" t="str">
        <f t="shared" si="9"/>
        <v/>
      </c>
      <c r="AE782" s="43"/>
      <c r="AG782" s="57" t="str">
        <f t="shared" si="11"/>
        <v/>
      </c>
    </row>
    <row r="783">
      <c r="A783" s="6"/>
      <c r="B783" s="262"/>
      <c r="C783" s="262"/>
      <c r="D783" s="6"/>
      <c r="E783" s="251"/>
      <c r="F783" s="251"/>
      <c r="G783" s="251"/>
      <c r="H783" s="262"/>
      <c r="I783" s="262"/>
      <c r="J783" s="56"/>
      <c r="K783" s="56"/>
      <c r="L783" s="6"/>
      <c r="M783" s="61"/>
      <c r="N783" s="61"/>
      <c r="O783" s="61"/>
      <c r="P783" s="293"/>
      <c r="Q783" s="60"/>
      <c r="R783" s="294"/>
      <c r="S783" s="261"/>
      <c r="T783" s="261"/>
      <c r="U783" s="257"/>
      <c r="V783" s="260"/>
      <c r="Y783" s="130" t="str">
        <f t="shared" si="487"/>
        <v/>
      </c>
      <c r="Z783" s="49" t="str">
        <f t="shared" si="7"/>
        <v/>
      </c>
      <c r="AA783" s="49" t="str">
        <f t="shared" si="8"/>
        <v/>
      </c>
      <c r="AB783" s="49" t="str">
        <f t="shared" si="9"/>
        <v/>
      </c>
      <c r="AE783" s="43"/>
      <c r="AG783" s="57" t="str">
        <f t="shared" si="11"/>
        <v/>
      </c>
    </row>
    <row r="784">
      <c r="A784" s="6"/>
      <c r="B784" s="262"/>
      <c r="C784" s="262"/>
      <c r="D784" s="6"/>
      <c r="E784" s="251"/>
      <c r="F784" s="251"/>
      <c r="G784" s="251"/>
      <c r="H784" s="262"/>
      <c r="I784" s="262"/>
      <c r="J784" s="56"/>
      <c r="K784" s="56"/>
      <c r="L784" s="6"/>
      <c r="M784" s="61"/>
      <c r="N784" s="61"/>
      <c r="O784" s="61"/>
      <c r="P784" s="293"/>
      <c r="Q784" s="60"/>
      <c r="R784" s="294"/>
      <c r="S784" s="261"/>
      <c r="T784" s="261"/>
      <c r="U784" s="257"/>
      <c r="V784" s="260"/>
      <c r="Y784" s="130" t="str">
        <f t="shared" si="487"/>
        <v/>
      </c>
      <c r="Z784" s="49" t="str">
        <f t="shared" si="7"/>
        <v/>
      </c>
      <c r="AA784" s="49" t="str">
        <f t="shared" si="8"/>
        <v/>
      </c>
      <c r="AB784" s="49" t="str">
        <f t="shared" si="9"/>
        <v/>
      </c>
      <c r="AE784" s="43"/>
      <c r="AG784" s="57" t="str">
        <f t="shared" si="11"/>
        <v/>
      </c>
    </row>
    <row r="785">
      <c r="A785" s="6"/>
      <c r="B785" s="262"/>
      <c r="C785" s="262"/>
      <c r="D785" s="6"/>
      <c r="E785" s="251"/>
      <c r="F785" s="251"/>
      <c r="G785" s="251"/>
      <c r="H785" s="262"/>
      <c r="I785" s="262"/>
      <c r="J785" s="56"/>
      <c r="K785" s="56"/>
      <c r="L785" s="6"/>
      <c r="M785" s="61"/>
      <c r="N785" s="61"/>
      <c r="O785" s="61"/>
      <c r="P785" s="293"/>
      <c r="Q785" s="60"/>
      <c r="R785" s="294"/>
      <c r="S785" s="261"/>
      <c r="T785" s="261"/>
      <c r="U785" s="257"/>
      <c r="V785" s="260"/>
      <c r="Y785" s="130" t="str">
        <f t="shared" si="487"/>
        <v/>
      </c>
      <c r="Z785" s="49" t="str">
        <f t="shared" si="7"/>
        <v/>
      </c>
      <c r="AA785" s="49" t="str">
        <f t="shared" si="8"/>
        <v/>
      </c>
      <c r="AB785" s="49" t="str">
        <f t="shared" si="9"/>
        <v/>
      </c>
      <c r="AE785" s="43"/>
      <c r="AG785" s="57" t="str">
        <f t="shared" si="11"/>
        <v/>
      </c>
    </row>
    <row r="786">
      <c r="A786" s="6"/>
      <c r="B786" s="262"/>
      <c r="C786" s="262"/>
      <c r="D786" s="6"/>
      <c r="E786" s="251"/>
      <c r="F786" s="251"/>
      <c r="G786" s="251"/>
      <c r="H786" s="262"/>
      <c r="I786" s="262"/>
      <c r="J786" s="56"/>
      <c r="K786" s="56"/>
      <c r="L786" s="6"/>
      <c r="M786" s="61"/>
      <c r="N786" s="61"/>
      <c r="O786" s="61"/>
      <c r="P786" s="293"/>
      <c r="Q786" s="60"/>
      <c r="R786" s="294"/>
      <c r="S786" s="261"/>
      <c r="T786" s="261"/>
      <c r="U786" s="257"/>
      <c r="V786" s="260"/>
      <c r="Y786" s="130" t="str">
        <f t="shared" si="487"/>
        <v/>
      </c>
      <c r="Z786" s="49" t="str">
        <f t="shared" si="7"/>
        <v/>
      </c>
      <c r="AA786" s="49" t="str">
        <f t="shared" si="8"/>
        <v/>
      </c>
      <c r="AB786" s="49" t="str">
        <f t="shared" si="9"/>
        <v/>
      </c>
      <c r="AE786" s="43"/>
      <c r="AG786" s="57" t="str">
        <f t="shared" si="11"/>
        <v/>
      </c>
    </row>
    <row r="787">
      <c r="A787" s="6"/>
      <c r="B787" s="262"/>
      <c r="C787" s="262"/>
      <c r="D787" s="6"/>
      <c r="E787" s="251"/>
      <c r="F787" s="251"/>
      <c r="G787" s="251"/>
      <c r="H787" s="262"/>
      <c r="I787" s="262"/>
      <c r="J787" s="56"/>
      <c r="K787" s="56"/>
      <c r="L787" s="6"/>
      <c r="M787" s="61"/>
      <c r="N787" s="61"/>
      <c r="O787" s="61"/>
      <c r="P787" s="293"/>
      <c r="Q787" s="60"/>
      <c r="R787" s="294"/>
      <c r="S787" s="261"/>
      <c r="T787" s="261"/>
      <c r="U787" s="257"/>
      <c r="V787" s="260"/>
      <c r="Y787" s="130" t="str">
        <f t="shared" si="487"/>
        <v/>
      </c>
      <c r="Z787" s="49" t="str">
        <f t="shared" si="7"/>
        <v/>
      </c>
      <c r="AA787" s="49" t="str">
        <f t="shared" si="8"/>
        <v/>
      </c>
      <c r="AB787" s="49" t="str">
        <f t="shared" si="9"/>
        <v/>
      </c>
      <c r="AE787" s="43"/>
      <c r="AG787" s="57" t="str">
        <f t="shared" si="11"/>
        <v/>
      </c>
    </row>
    <row r="788">
      <c r="A788" s="6"/>
      <c r="B788" s="262"/>
      <c r="C788" s="262"/>
      <c r="D788" s="6"/>
      <c r="E788" s="251"/>
      <c r="F788" s="251"/>
      <c r="G788" s="251"/>
      <c r="H788" s="262"/>
      <c r="I788" s="262"/>
      <c r="J788" s="56"/>
      <c r="K788" s="56"/>
      <c r="L788" s="6"/>
      <c r="M788" s="61"/>
      <c r="N788" s="61"/>
      <c r="O788" s="61"/>
      <c r="P788" s="293"/>
      <c r="Q788" s="60"/>
      <c r="R788" s="294"/>
      <c r="S788" s="261"/>
      <c r="T788" s="261"/>
      <c r="U788" s="257"/>
      <c r="V788" s="260"/>
      <c r="Y788" s="130" t="str">
        <f t="shared" si="487"/>
        <v/>
      </c>
      <c r="Z788" s="49" t="str">
        <f t="shared" si="7"/>
        <v/>
      </c>
      <c r="AA788" s="49" t="str">
        <f t="shared" si="8"/>
        <v/>
      </c>
      <c r="AB788" s="49" t="str">
        <f t="shared" si="9"/>
        <v/>
      </c>
      <c r="AE788" s="43"/>
      <c r="AG788" s="57" t="str">
        <f t="shared" si="11"/>
        <v/>
      </c>
    </row>
    <row r="789">
      <c r="A789" s="6"/>
      <c r="B789" s="262"/>
      <c r="C789" s="262"/>
      <c r="D789" s="6"/>
      <c r="E789" s="251"/>
      <c r="F789" s="251"/>
      <c r="G789" s="251"/>
      <c r="H789" s="262"/>
      <c r="I789" s="262"/>
      <c r="J789" s="56"/>
      <c r="K789" s="56"/>
      <c r="L789" s="6"/>
      <c r="M789" s="61"/>
      <c r="N789" s="61"/>
      <c r="O789" s="61"/>
      <c r="P789" s="293"/>
      <c r="Q789" s="60"/>
      <c r="R789" s="294"/>
      <c r="S789" s="261"/>
      <c r="T789" s="261"/>
      <c r="U789" s="257"/>
      <c r="V789" s="260"/>
      <c r="Y789" s="130" t="str">
        <f t="shared" si="487"/>
        <v/>
      </c>
      <c r="Z789" s="49" t="str">
        <f t="shared" si="7"/>
        <v/>
      </c>
      <c r="AA789" s="49" t="str">
        <f t="shared" si="8"/>
        <v/>
      </c>
      <c r="AB789" s="49" t="str">
        <f t="shared" si="9"/>
        <v/>
      </c>
      <c r="AE789" s="43"/>
      <c r="AG789" s="57" t="str">
        <f t="shared" si="11"/>
        <v/>
      </c>
    </row>
    <row r="790">
      <c r="A790" s="6"/>
      <c r="B790" s="262"/>
      <c r="C790" s="262"/>
      <c r="D790" s="6"/>
      <c r="E790" s="251"/>
      <c r="F790" s="251"/>
      <c r="G790" s="251"/>
      <c r="H790" s="262"/>
      <c r="I790" s="262"/>
      <c r="J790" s="56"/>
      <c r="K790" s="56"/>
      <c r="L790" s="6"/>
      <c r="M790" s="61"/>
      <c r="N790" s="61"/>
      <c r="O790" s="61"/>
      <c r="P790" s="293"/>
      <c r="Q790" s="60"/>
      <c r="R790" s="294"/>
      <c r="S790" s="261"/>
      <c r="T790" s="261"/>
      <c r="U790" s="257"/>
      <c r="V790" s="260"/>
      <c r="Y790" s="130" t="str">
        <f t="shared" si="487"/>
        <v/>
      </c>
      <c r="Z790" s="49" t="str">
        <f t="shared" si="7"/>
        <v/>
      </c>
      <c r="AA790" s="49" t="str">
        <f t="shared" si="8"/>
        <v/>
      </c>
      <c r="AB790" s="49" t="str">
        <f t="shared" si="9"/>
        <v/>
      </c>
      <c r="AE790" s="43"/>
      <c r="AG790" s="57" t="str">
        <f t="shared" si="11"/>
        <v/>
      </c>
    </row>
    <row r="791">
      <c r="A791" s="6"/>
      <c r="B791" s="262"/>
      <c r="C791" s="262"/>
      <c r="D791" s="6"/>
      <c r="E791" s="251"/>
      <c r="F791" s="251"/>
      <c r="G791" s="251"/>
      <c r="H791" s="262"/>
      <c r="I791" s="262"/>
      <c r="J791" s="56"/>
      <c r="K791" s="56"/>
      <c r="L791" s="6"/>
      <c r="M791" s="61"/>
      <c r="N791" s="61"/>
      <c r="O791" s="61"/>
      <c r="P791" s="293"/>
      <c r="Q791" s="60"/>
      <c r="R791" s="294"/>
      <c r="S791" s="261"/>
      <c r="T791" s="261"/>
      <c r="U791" s="257"/>
      <c r="V791" s="260"/>
      <c r="Y791" s="130" t="str">
        <f t="shared" si="487"/>
        <v/>
      </c>
      <c r="Z791" s="49" t="str">
        <f t="shared" si="7"/>
        <v/>
      </c>
      <c r="AA791" s="49" t="str">
        <f t="shared" si="8"/>
        <v/>
      </c>
      <c r="AB791" s="49" t="str">
        <f t="shared" si="9"/>
        <v/>
      </c>
      <c r="AE791" s="43"/>
      <c r="AG791" s="57" t="str">
        <f t="shared" si="11"/>
        <v/>
      </c>
    </row>
    <row r="792">
      <c r="A792" s="6"/>
      <c r="B792" s="262"/>
      <c r="C792" s="262"/>
      <c r="D792" s="6"/>
      <c r="E792" s="251"/>
      <c r="F792" s="251"/>
      <c r="G792" s="251"/>
      <c r="H792" s="262"/>
      <c r="I792" s="262"/>
      <c r="J792" s="56"/>
      <c r="K792" s="56"/>
      <c r="L792" s="6"/>
      <c r="M792" s="61"/>
      <c r="N792" s="61"/>
      <c r="O792" s="61"/>
      <c r="P792" s="293"/>
      <c r="Q792" s="60"/>
      <c r="R792" s="294"/>
      <c r="S792" s="261"/>
      <c r="T792" s="261"/>
      <c r="U792" s="257"/>
      <c r="V792" s="260"/>
      <c r="Y792" s="130" t="str">
        <f t="shared" si="487"/>
        <v/>
      </c>
      <c r="Z792" s="49" t="str">
        <f t="shared" si="7"/>
        <v/>
      </c>
      <c r="AA792" s="49" t="str">
        <f t="shared" si="8"/>
        <v/>
      </c>
      <c r="AB792" s="49" t="str">
        <f t="shared" si="9"/>
        <v/>
      </c>
      <c r="AE792" s="43"/>
      <c r="AG792" s="57" t="str">
        <f t="shared" si="11"/>
        <v/>
      </c>
    </row>
    <row r="793">
      <c r="A793" s="6"/>
      <c r="B793" s="262"/>
      <c r="C793" s="262"/>
      <c r="D793" s="6"/>
      <c r="E793" s="251"/>
      <c r="F793" s="251"/>
      <c r="G793" s="251"/>
      <c r="H793" s="262"/>
      <c r="I793" s="262"/>
      <c r="J793" s="56"/>
      <c r="K793" s="56"/>
      <c r="L793" s="6"/>
      <c r="M793" s="61"/>
      <c r="N793" s="61"/>
      <c r="O793" s="61"/>
      <c r="P793" s="293"/>
      <c r="Q793" s="60"/>
      <c r="R793" s="294"/>
      <c r="S793" s="261"/>
      <c r="T793" s="261"/>
      <c r="U793" s="257"/>
      <c r="V793" s="260"/>
      <c r="Y793" s="130" t="str">
        <f t="shared" si="487"/>
        <v/>
      </c>
      <c r="Z793" s="49" t="str">
        <f t="shared" si="7"/>
        <v/>
      </c>
      <c r="AA793" s="49" t="str">
        <f t="shared" si="8"/>
        <v/>
      </c>
      <c r="AB793" s="49" t="str">
        <f t="shared" si="9"/>
        <v/>
      </c>
      <c r="AE793" s="43"/>
      <c r="AG793" s="57" t="str">
        <f t="shared" si="11"/>
        <v/>
      </c>
    </row>
    <row r="794">
      <c r="A794" s="6"/>
      <c r="B794" s="262"/>
      <c r="C794" s="262"/>
      <c r="D794" s="6"/>
      <c r="E794" s="251"/>
      <c r="F794" s="251"/>
      <c r="G794" s="251"/>
      <c r="H794" s="262"/>
      <c r="I794" s="262"/>
      <c r="J794" s="56"/>
      <c r="K794" s="56"/>
      <c r="L794" s="6"/>
      <c r="M794" s="61"/>
      <c r="N794" s="61"/>
      <c r="O794" s="61"/>
      <c r="P794" s="293"/>
      <c r="Q794" s="60"/>
      <c r="R794" s="294"/>
      <c r="S794" s="261"/>
      <c r="T794" s="261"/>
      <c r="U794" s="257"/>
      <c r="V794" s="260"/>
      <c r="Y794" s="130" t="str">
        <f t="shared" si="487"/>
        <v/>
      </c>
      <c r="Z794" s="49" t="str">
        <f t="shared" si="7"/>
        <v/>
      </c>
      <c r="AA794" s="49" t="str">
        <f t="shared" si="8"/>
        <v/>
      </c>
      <c r="AB794" s="49" t="str">
        <f t="shared" si="9"/>
        <v/>
      </c>
      <c r="AE794" s="43"/>
      <c r="AG794" s="57" t="str">
        <f t="shared" si="11"/>
        <v/>
      </c>
    </row>
    <row r="795">
      <c r="A795" s="6"/>
      <c r="B795" s="262"/>
      <c r="C795" s="262"/>
      <c r="D795" s="6"/>
      <c r="E795" s="251"/>
      <c r="F795" s="251"/>
      <c r="G795" s="251"/>
      <c r="H795" s="262"/>
      <c r="I795" s="262"/>
      <c r="J795" s="56"/>
      <c r="K795" s="56"/>
      <c r="L795" s="6"/>
      <c r="M795" s="61"/>
      <c r="N795" s="61"/>
      <c r="O795" s="61"/>
      <c r="P795" s="293"/>
      <c r="Q795" s="60"/>
      <c r="R795" s="294"/>
      <c r="S795" s="261"/>
      <c r="T795" s="261"/>
      <c r="U795" s="257"/>
      <c r="V795" s="260"/>
      <c r="Y795" s="130" t="str">
        <f t="shared" si="487"/>
        <v/>
      </c>
      <c r="Z795" s="49" t="str">
        <f t="shared" si="7"/>
        <v/>
      </c>
      <c r="AA795" s="49" t="str">
        <f t="shared" si="8"/>
        <v/>
      </c>
      <c r="AB795" s="49" t="str">
        <f t="shared" si="9"/>
        <v/>
      </c>
      <c r="AE795" s="43"/>
      <c r="AG795" s="57" t="str">
        <f t="shared" si="11"/>
        <v/>
      </c>
    </row>
    <row r="796">
      <c r="A796" s="6"/>
      <c r="B796" s="262"/>
      <c r="C796" s="262"/>
      <c r="D796" s="6"/>
      <c r="E796" s="251"/>
      <c r="F796" s="251"/>
      <c r="G796" s="251"/>
      <c r="H796" s="262"/>
      <c r="I796" s="262"/>
      <c r="J796" s="56"/>
      <c r="K796" s="56"/>
      <c r="L796" s="6"/>
      <c r="M796" s="61"/>
      <c r="N796" s="61"/>
      <c r="O796" s="61"/>
      <c r="P796" s="293"/>
      <c r="Q796" s="60"/>
      <c r="R796" s="294"/>
      <c r="S796" s="261"/>
      <c r="T796" s="261"/>
      <c r="U796" s="257"/>
      <c r="V796" s="260"/>
      <c r="Y796" s="130" t="str">
        <f t="shared" si="487"/>
        <v/>
      </c>
      <c r="Z796" s="49" t="str">
        <f t="shared" si="7"/>
        <v/>
      </c>
      <c r="AA796" s="49" t="str">
        <f t="shared" si="8"/>
        <v/>
      </c>
      <c r="AB796" s="49" t="str">
        <f t="shared" si="9"/>
        <v/>
      </c>
      <c r="AE796" s="43"/>
      <c r="AG796" s="57" t="str">
        <f t="shared" si="11"/>
        <v/>
      </c>
    </row>
    <row r="797">
      <c r="A797" s="6"/>
      <c r="B797" s="262"/>
      <c r="C797" s="262"/>
      <c r="D797" s="6"/>
      <c r="E797" s="251"/>
      <c r="F797" s="251"/>
      <c r="G797" s="251"/>
      <c r="H797" s="262"/>
      <c r="I797" s="262"/>
      <c r="J797" s="56"/>
      <c r="K797" s="56"/>
      <c r="L797" s="6"/>
      <c r="M797" s="61"/>
      <c r="N797" s="61"/>
      <c r="O797" s="61"/>
      <c r="P797" s="293"/>
      <c r="Q797" s="60"/>
      <c r="R797" s="294"/>
      <c r="S797" s="261"/>
      <c r="T797" s="261"/>
      <c r="U797" s="257"/>
      <c r="V797" s="260"/>
      <c r="Y797" s="130" t="str">
        <f t="shared" si="487"/>
        <v/>
      </c>
      <c r="Z797" s="49" t="str">
        <f t="shared" si="7"/>
        <v/>
      </c>
      <c r="AA797" s="49" t="str">
        <f t="shared" si="8"/>
        <v/>
      </c>
      <c r="AB797" s="49" t="str">
        <f t="shared" si="9"/>
        <v/>
      </c>
      <c r="AE797" s="43"/>
      <c r="AG797" s="57" t="str">
        <f t="shared" si="11"/>
        <v/>
      </c>
    </row>
    <row r="798">
      <c r="A798" s="6"/>
      <c r="B798" s="262"/>
      <c r="C798" s="262"/>
      <c r="D798" s="6"/>
      <c r="E798" s="251"/>
      <c r="F798" s="251"/>
      <c r="G798" s="251"/>
      <c r="H798" s="262"/>
      <c r="I798" s="262"/>
      <c r="J798" s="56"/>
      <c r="K798" s="56"/>
      <c r="L798" s="6"/>
      <c r="M798" s="61"/>
      <c r="N798" s="61"/>
      <c r="O798" s="61"/>
      <c r="P798" s="293"/>
      <c r="Q798" s="60"/>
      <c r="R798" s="294"/>
      <c r="S798" s="261"/>
      <c r="T798" s="261"/>
      <c r="U798" s="257"/>
      <c r="V798" s="260"/>
      <c r="Y798" s="130" t="str">
        <f t="shared" si="487"/>
        <v/>
      </c>
      <c r="Z798" s="49" t="str">
        <f t="shared" si="7"/>
        <v/>
      </c>
      <c r="AA798" s="49" t="str">
        <f t="shared" si="8"/>
        <v/>
      </c>
      <c r="AB798" s="49" t="str">
        <f t="shared" si="9"/>
        <v/>
      </c>
      <c r="AE798" s="43"/>
      <c r="AG798" s="57" t="str">
        <f t="shared" si="11"/>
        <v/>
      </c>
    </row>
    <row r="799">
      <c r="A799" s="6"/>
      <c r="B799" s="262"/>
      <c r="C799" s="262"/>
      <c r="D799" s="6"/>
      <c r="E799" s="251"/>
      <c r="F799" s="251"/>
      <c r="G799" s="251"/>
      <c r="H799" s="262"/>
      <c r="I799" s="262"/>
      <c r="J799" s="56"/>
      <c r="K799" s="56"/>
      <c r="L799" s="6"/>
      <c r="M799" s="61"/>
      <c r="N799" s="61"/>
      <c r="O799" s="61"/>
      <c r="P799" s="293"/>
      <c r="Q799" s="60"/>
      <c r="R799" s="294"/>
      <c r="S799" s="261"/>
      <c r="T799" s="261"/>
      <c r="U799" s="257"/>
      <c r="V799" s="260"/>
      <c r="Y799" s="130" t="str">
        <f t="shared" si="487"/>
        <v/>
      </c>
      <c r="Z799" s="49" t="str">
        <f t="shared" si="7"/>
        <v/>
      </c>
      <c r="AA799" s="49" t="str">
        <f t="shared" si="8"/>
        <v/>
      </c>
      <c r="AB799" s="49" t="str">
        <f t="shared" si="9"/>
        <v/>
      </c>
      <c r="AE799" s="43"/>
      <c r="AG799" s="57" t="str">
        <f t="shared" si="11"/>
        <v/>
      </c>
    </row>
  </sheetData>
  <conditionalFormatting sqref="A2:C799 M2:O799">
    <cfRule type="expression" dxfId="14" priority="1">
      <formula>$O2</formula>
    </cfRule>
  </conditionalFormatting>
  <conditionalFormatting sqref="AC1">
    <cfRule type="expression" dxfId="0" priority="2">
      <formula>AD1&gt;0</formula>
    </cfRule>
  </conditionalFormatting>
  <conditionalFormatting sqref="AC1">
    <cfRule type="expression" dxfId="15" priority="3">
      <formula>AD1=0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4.63"/>
    <col customWidth="1" min="3" max="3" width="7.5"/>
    <col customWidth="1" min="4" max="4" width="7.13"/>
    <col customWidth="1" min="5" max="5" width="6.13"/>
    <col customWidth="1" min="6" max="6" width="5.13"/>
    <col customWidth="1" min="7" max="7" width="6.0"/>
    <col customWidth="1" min="8" max="8" width="5.88"/>
    <col customWidth="1" min="9" max="9" width="5.75"/>
    <col customWidth="1" min="10" max="10" width="14.75"/>
    <col customWidth="1" min="11" max="11" width="2.63"/>
    <col customWidth="1" min="12" max="12" width="11.63" outlineLevel="1"/>
    <col customWidth="1" min="13" max="14" width="7.13" outlineLevel="1"/>
    <col customWidth="1" min="15" max="15" width="6.75" outlineLevel="1"/>
    <col customWidth="1" min="16" max="16" width="4.63" outlineLevel="1"/>
    <col customWidth="1" min="17" max="17" width="6.25" outlineLevel="1"/>
    <col customWidth="1" min="18" max="18" width="5.0" outlineLevel="1"/>
    <col customWidth="1" min="19" max="19" width="6.0" outlineLevel="1"/>
    <col customWidth="1" min="20" max="20" width="9.13" outlineLevel="1"/>
    <col customWidth="1" min="21" max="21" width="11.75" outlineLevel="1"/>
    <col customWidth="1" min="22" max="22" width="2.63"/>
    <col customWidth="1" min="23" max="23" width="10.38"/>
    <col customWidth="1" min="24" max="24" width="7.88"/>
    <col customWidth="1" min="25" max="25" width="6.0"/>
    <col customWidth="1" min="26" max="26" width="5.63"/>
    <col customWidth="1" min="27" max="27" width="5.13"/>
    <col customWidth="1" min="28" max="28" width="5.88"/>
    <col customWidth="1" min="29" max="29" width="6.25"/>
    <col customWidth="1" min="30" max="30" width="2.38"/>
    <col customWidth="1" min="31" max="31" width="12.75"/>
    <col customWidth="1" min="32" max="32" width="12.0"/>
    <col customWidth="1" min="33" max="33" width="11.13"/>
    <col customWidth="1" min="34" max="34" width="2.5"/>
    <col customWidth="1" min="37" max="37" width="2.38"/>
    <col customWidth="1" min="44" max="44" width="6.0"/>
    <col customWidth="1" min="45" max="45" width="55.13"/>
    <col customWidth="1" min="46" max="46" width="40.75"/>
    <col customWidth="1" min="47" max="53" width="6.63"/>
  </cols>
  <sheetData>
    <row r="1">
      <c r="A1" s="295" t="s">
        <v>425</v>
      </c>
      <c r="B1" s="296" t="str">
        <f>IFERROR(__xludf.DUMMYFUNCTION("IMPORTRANGE($A$2,""APS Tubes by Date!$A1:$H"")"),"APS
COLLECT DATE")</f>
        <v>APS
COLLECT DATE</v>
      </c>
      <c r="C1" s="297" t="str">
        <f>IFERROR(__xludf.DUMMYFUNCTION("""COMPUTED_VALUE"""),"NUM TUBES 767")</f>
        <v>NUM TUBES 767</v>
      </c>
      <c r="D1" s="39" t="str">
        <f>IFERROR(__xludf.DUMMYFUNCTION("""COMPUTED_VALUE"""),"NEG 694")</f>
        <v>NEG 694</v>
      </c>
      <c r="E1" s="39" t="str">
        <f>IFERROR(__xludf.DUMMYFUNCTION("""COMPUTED_VALUE"""),"POS  71")</f>
        <v>POS  71</v>
      </c>
      <c r="F1" s="39" t="str">
        <f>IFERROR(__xludf.DUMMYFUNCTION("""COMPUTED_VALUE"""),"INC  2")</f>
        <v>INC  2</v>
      </c>
      <c r="G1" s="39" t="str">
        <f>IFERROR(__xludf.DUMMYFUNCTION("""COMPUTED_VALUE"""),"NULL  0")</f>
        <v>NULL  0</v>
      </c>
      <c r="H1" s="39" t="str">
        <f>IFERROR(__xludf.DUMMYFUNCTION("""COMPUTED_VALUE"""),"INVL  0")</f>
        <v>INVL  0</v>
      </c>
      <c r="I1" s="39" t="str">
        <f>IFERROR(__xludf.DUMMYFUNCTION("""COMPUTED_VALUE"""),"FAIL  0")</f>
        <v>FAIL  0</v>
      </c>
      <c r="J1" s="296" t="str">
        <f>IFERROR(__xludf.DUMMYFUNCTION("IMPORTRANGE($A$2,""APS Tubes by Date!$O1:$O"")"),"All Non-Null Tubes Resulted Same Day?")</f>
        <v>All Non-Null Tubes Resulted Same Day?</v>
      </c>
      <c r="K1" s="298"/>
      <c r="L1" s="296" t="str">
        <f>IFERROR(__xludf.DUMMYFUNCTION("IMPORTRANGE($A$2,""APS Tubes by Date!$T1:$AB"")"),"APS
RESULT DATE")</f>
        <v>APS
RESULT DATE</v>
      </c>
      <c r="M1" s="299" t="str">
        <f>IFERROR(__xludf.DUMMYFUNCTION("""COMPUTED_VALUE"""),"NUM TUBES 763")</f>
        <v>NUM TUBES 763</v>
      </c>
      <c r="N1" s="16" t="str">
        <f>IFERROR(__xludf.DUMMYFUNCTION("""COMPUTED_VALUE"""),"NEG 690")</f>
        <v>NEG 690</v>
      </c>
      <c r="O1" s="16" t="str">
        <f>IFERROR(__xludf.DUMMYFUNCTION("""COMPUTED_VALUE"""),"POS  71")</f>
        <v>POS  71</v>
      </c>
      <c r="P1" s="16" t="str">
        <f>IFERROR(__xludf.DUMMYFUNCTION("""COMPUTED_VALUE"""),"INC  2")</f>
        <v>INC  2</v>
      </c>
      <c r="Q1" s="16" t="str">
        <f>IFERROR(__xludf.DUMMYFUNCTION("""COMPUTED_VALUE"""),"NULL  0")</f>
        <v>NULL  0</v>
      </c>
      <c r="R1" s="16" t="str">
        <f>IFERROR(__xludf.DUMMYFUNCTION("""COMPUTED_VALUE"""),"INVL  0")</f>
        <v>INVL  0</v>
      </c>
      <c r="S1" s="16" t="str">
        <f>IFERROR(__xludf.DUMMYFUNCTION("""COMPUTED_VALUE"""),"FAIL  0")</f>
        <v>FAIL  0</v>
      </c>
      <c r="T1" s="16" t="str">
        <f>IFERROR(__xludf.DUMMYFUNCTION("""COMPUTED_VALUE"""),"SUM RESULTS")</f>
        <v>SUM RESULTS</v>
      </c>
      <c r="U1" s="300" t="s">
        <v>426</v>
      </c>
      <c r="V1" s="301"/>
      <c r="W1" s="5" t="str">
        <f t="shared" ref="W1:AC1" si="1">L1</f>
        <v>APS
RESULT DATE</v>
      </c>
      <c r="X1" s="302" t="str">
        <f t="shared" si="1"/>
        <v>NUM TUBES 763</v>
      </c>
      <c r="Y1" s="5" t="str">
        <f t="shared" si="1"/>
        <v>NEG 690</v>
      </c>
      <c r="Z1" s="5" t="str">
        <f t="shared" si="1"/>
        <v>POS  71</v>
      </c>
      <c r="AA1" s="5" t="str">
        <f t="shared" si="1"/>
        <v>INC  2</v>
      </c>
      <c r="AB1" s="5" t="str">
        <f t="shared" si="1"/>
        <v>NULL  0</v>
      </c>
      <c r="AC1" s="5" t="str">
        <f t="shared" si="1"/>
        <v>INVL  0</v>
      </c>
      <c r="AD1" s="43"/>
      <c r="AE1" s="73" t="s">
        <v>427</v>
      </c>
      <c r="AF1" s="303" t="str">
        <f>CONCATENATE("APS COLLECT NUM TUBES ",SUM(AF2:AF59))</f>
        <v>APS COLLECT NUM TUBES 767</v>
      </c>
      <c r="AG1" s="304" t="str">
        <f>CONCATENATE("APS RESULT NUM TUBES ",SUM(AG2:AG59))</f>
        <v>APS RESULT NUM TUBES 763</v>
      </c>
      <c r="AH1" s="43"/>
      <c r="AI1" s="73" t="s">
        <v>428</v>
      </c>
      <c r="AJ1" s="305" t="str">
        <f>CONCATENATE("RFR AUDIT NUM TUBES ",SUM(AJ2:AJ59))</f>
        <v>RFR AUDIT NUM TUBES 535</v>
      </c>
      <c r="AK1" s="43"/>
      <c r="AL1" s="15" t="s">
        <v>429</v>
      </c>
      <c r="AM1" s="303" t="str">
        <f>CONCATENATE("APS COLLECT NUM TUBES ",SUM(AM2:AM59))</f>
        <v>APS COLLECT NUM TUBES 767</v>
      </c>
      <c r="AN1" s="304" t="str">
        <f>CONCATENATE("APS RESULT NUM TUBES ",SUM(AN2:AN59))</f>
        <v>APS RESULT NUM TUBES 763</v>
      </c>
      <c r="AO1" s="305" t="str">
        <f>CONCATENATE("RFR AUDIT NUM TUBES ",SUM(AO2:AO59))</f>
        <v>RFR AUDIT NUM TUBES 519</v>
      </c>
      <c r="AP1" s="15" t="s">
        <v>430</v>
      </c>
      <c r="AQ1" s="306" t="str">
        <f>CONCATENATE("RFR PLUS ADD RUNS AND DELTAS ",SUM(AQ2:AQ59))</f>
        <v>RFR PLUS ADD RUNS AND DELTAS 635</v>
      </c>
      <c r="AR1" s="307"/>
      <c r="AS1" s="73" t="s">
        <v>81</v>
      </c>
      <c r="AT1" s="73" t="s">
        <v>431</v>
      </c>
      <c r="AU1" s="73"/>
      <c r="AV1" s="73"/>
      <c r="AW1" s="73"/>
      <c r="AX1" s="73"/>
      <c r="AY1" s="73"/>
      <c r="AZ1" s="73"/>
      <c r="BA1" s="73"/>
    </row>
    <row r="2">
      <c r="A2" s="308" t="s">
        <v>432</v>
      </c>
      <c r="B2" s="14">
        <f>IFERROR(__xludf.DUMMYFUNCTION("""COMPUTED_VALUE"""),44540.0)</f>
        <v>44540</v>
      </c>
      <c r="C2" s="56">
        <f>IFERROR(__xludf.DUMMYFUNCTION("""COMPUTED_VALUE"""),5.0)</f>
        <v>5</v>
      </c>
      <c r="D2" s="56">
        <f>IFERROR(__xludf.DUMMYFUNCTION("""COMPUTED_VALUE"""),5.0)</f>
        <v>5</v>
      </c>
      <c r="E2" s="56">
        <f>IFERROR(__xludf.DUMMYFUNCTION("""COMPUTED_VALUE"""),0.0)</f>
        <v>0</v>
      </c>
      <c r="F2" s="56">
        <f>IFERROR(__xludf.DUMMYFUNCTION("""COMPUTED_VALUE"""),0.0)</f>
        <v>0</v>
      </c>
      <c r="G2" s="56">
        <f>IFERROR(__xludf.DUMMYFUNCTION("""COMPUTED_VALUE"""),0.0)</f>
        <v>0</v>
      </c>
      <c r="H2" s="56">
        <f>IFERROR(__xludf.DUMMYFUNCTION("""COMPUTED_VALUE"""),0.0)</f>
        <v>0</v>
      </c>
      <c r="I2" s="56">
        <f>IFERROR(__xludf.DUMMYFUNCTION("""COMPUTED_VALUE"""),0.0)</f>
        <v>0</v>
      </c>
      <c r="J2" s="56"/>
      <c r="K2" s="309"/>
      <c r="L2" s="55">
        <f>IFERROR(__xludf.DUMMYFUNCTION("""COMPUTED_VALUE"""),44543.0)</f>
        <v>44543</v>
      </c>
      <c r="M2" s="56">
        <f>IFERROR(__xludf.DUMMYFUNCTION("""COMPUTED_VALUE"""),12.0)</f>
        <v>12</v>
      </c>
      <c r="N2" s="56">
        <f>IFERROR(__xludf.DUMMYFUNCTION("""COMPUTED_VALUE"""),12.0)</f>
        <v>12</v>
      </c>
      <c r="O2" s="56">
        <f>IFERROR(__xludf.DUMMYFUNCTION("""COMPUTED_VALUE"""),0.0)</f>
        <v>0</v>
      </c>
      <c r="P2" s="56">
        <f>IFERROR(__xludf.DUMMYFUNCTION("""COMPUTED_VALUE"""),0.0)</f>
        <v>0</v>
      </c>
      <c r="Q2" s="56">
        <f>IFERROR(__xludf.DUMMYFUNCTION("""COMPUTED_VALUE"""),0.0)</f>
        <v>0</v>
      </c>
      <c r="R2" s="56">
        <f>IFERROR(__xludf.DUMMYFUNCTION("""COMPUTED_VALUE"""),0.0)</f>
        <v>0</v>
      </c>
      <c r="S2" s="56">
        <f>IFERROR(__xludf.DUMMYFUNCTION("""COMPUTED_VALUE"""),0.0)</f>
        <v>0</v>
      </c>
      <c r="T2" s="56">
        <f>IFERROR(__xludf.DUMMYFUNCTION("""COMPUTED_VALUE"""),12.0)</f>
        <v>12</v>
      </c>
      <c r="V2" s="43"/>
      <c r="W2" s="55">
        <f t="shared" ref="W2:AC2" si="2">L2</f>
        <v>44543</v>
      </c>
      <c r="X2" s="56">
        <f t="shared" si="2"/>
        <v>12</v>
      </c>
      <c r="Y2" s="56">
        <f t="shared" si="2"/>
        <v>12</v>
      </c>
      <c r="Z2" s="56">
        <f t="shared" si="2"/>
        <v>0</v>
      </c>
      <c r="AA2" s="56">
        <f t="shared" si="2"/>
        <v>0</v>
      </c>
      <c r="AB2" s="56">
        <f t="shared" si="2"/>
        <v>0</v>
      </c>
      <c r="AC2" s="56">
        <f t="shared" si="2"/>
        <v>0</v>
      </c>
      <c r="AD2" s="43"/>
      <c r="AE2" s="310">
        <f t="array" ref="AE2:AE54">SORT(UNIQUE({B2:B59; W2:W59}), 1, TRUE)</f>
        <v>44540</v>
      </c>
      <c r="AF2" s="84">
        <f t="shared" ref="AF2:AF59" si="4">IFERROR(VLOOKUP(AE2, $B$2:$C59, 2, FALSE), IFERROR(0/0,""))</f>
        <v>5</v>
      </c>
      <c r="AG2" s="134" t="str">
        <f t="shared" ref="AG2:AG59" si="5">IFERROR(VLOOKUP(AE2, $W$2:$X59, 2, FALSE), IFERROR(0/0,""))</f>
        <v/>
      </c>
      <c r="AH2" s="43"/>
      <c r="AI2" s="6" t="str">
        <f>IF(EXACT('RFR Data - preExcl'!W2,"Initial"),'RFR Data - preExcl'!U2,IFERROR(0/0,""))</f>
        <v/>
      </c>
      <c r="AJ2" s="103" t="str">
        <f>IF(EXACT('RFR Data - preExcl'!$W2,"Initial"),'RFR Data - preExcl'!$AK2,IFERROR(0/0,""))</f>
        <v/>
      </c>
      <c r="AK2" s="43"/>
      <c r="AL2" s="55">
        <f t="array" ref="AL2:AL54">SORT(UNIQUE({AE2:AE59; AI2:AI59}), 1, TRUE)</f>
        <v>44540</v>
      </c>
      <c r="AM2" s="84">
        <f t="shared" ref="AM2:AM53" si="6">IFERROR(VLOOKUP(AL2, $B$2:$C59, 2, FALSE), IFERROR(0/0,""))</f>
        <v>5</v>
      </c>
      <c r="AN2" s="134" t="str">
        <f t="shared" ref="AN2:AN53" si="7">IFERROR(VLOOKUP(AL2, $W$2:$X59, 2, FALSE), IFERROR(0/0,""))</f>
        <v/>
      </c>
      <c r="AO2" s="103" t="str">
        <f t="shared" ref="AO2:AO53" si="8">IFERROR(VLOOKUP(AL2, $AI$2:$AJ59, 2, FALSE), IFERROR(0/0,""))</f>
        <v/>
      </c>
      <c r="AP2" s="84">
        <f>AM2</f>
        <v>5</v>
      </c>
      <c r="AQ2" s="56">
        <f t="shared" ref="AQ2:AQ53" si="9">IF(AP2+AO2&gt;0,AP2+AO2,IFERROR(0/0,""))</f>
        <v>5</v>
      </c>
      <c r="AR2" s="85">
        <v>3.4</v>
      </c>
      <c r="AS2" s="6" t="str">
        <f>IFERROR(VLOOKUP(AR2, 'Process Ref'!$A$76:$D$114, 2, FALSE), IFERROR(0/0,""))</f>
        <v>Add Run from APS with no RFR (assume run on same day as Collect, ignore Result day)</v>
      </c>
      <c r="AT2" s="86" t="s">
        <v>433</v>
      </c>
    </row>
    <row r="3">
      <c r="B3" s="55">
        <f>IFERROR(__xludf.DUMMYFUNCTION("""COMPUTED_VALUE"""),44543.0)</f>
        <v>44543</v>
      </c>
      <c r="C3" s="56">
        <f>IFERROR(__xludf.DUMMYFUNCTION("""COMPUTED_VALUE"""),7.0)</f>
        <v>7</v>
      </c>
      <c r="D3" s="56">
        <f>IFERROR(__xludf.DUMMYFUNCTION("""COMPUTED_VALUE"""),7.0)</f>
        <v>7</v>
      </c>
      <c r="E3" s="56">
        <f>IFERROR(__xludf.DUMMYFUNCTION("""COMPUTED_VALUE"""),0.0)</f>
        <v>0</v>
      </c>
      <c r="F3" s="56">
        <f>IFERROR(__xludf.DUMMYFUNCTION("""COMPUTED_VALUE"""),0.0)</f>
        <v>0</v>
      </c>
      <c r="G3" s="56">
        <f>IFERROR(__xludf.DUMMYFUNCTION("""COMPUTED_VALUE"""),0.0)</f>
        <v>0</v>
      </c>
      <c r="H3" s="56">
        <f>IFERROR(__xludf.DUMMYFUNCTION("""COMPUTED_VALUE"""),0.0)</f>
        <v>0</v>
      </c>
      <c r="I3" s="56">
        <f>IFERROR(__xludf.DUMMYFUNCTION("""COMPUTED_VALUE"""),0.0)</f>
        <v>0</v>
      </c>
      <c r="J3" s="6" t="b">
        <f>IFERROR(__xludf.DUMMYFUNCTION("""COMPUTED_VALUE"""),TRUE)</f>
        <v>1</v>
      </c>
      <c r="K3" s="43"/>
      <c r="L3" s="55">
        <f>IFERROR(__xludf.DUMMYFUNCTION("""COMPUTED_VALUE"""),44545.0)</f>
        <v>44545</v>
      </c>
      <c r="M3" s="56">
        <f>IFERROR(__xludf.DUMMYFUNCTION("""COMPUTED_VALUE"""),3.0)</f>
        <v>3</v>
      </c>
      <c r="N3" s="56">
        <f>IFERROR(__xludf.DUMMYFUNCTION("""COMPUTED_VALUE"""),3.0)</f>
        <v>3</v>
      </c>
      <c r="O3" s="56">
        <f>IFERROR(__xludf.DUMMYFUNCTION("""COMPUTED_VALUE"""),0.0)</f>
        <v>0</v>
      </c>
      <c r="P3" s="56">
        <f>IFERROR(__xludf.DUMMYFUNCTION("""COMPUTED_VALUE"""),0.0)</f>
        <v>0</v>
      </c>
      <c r="Q3" s="56">
        <f>IFERROR(__xludf.DUMMYFUNCTION("""COMPUTED_VALUE"""),0.0)</f>
        <v>0</v>
      </c>
      <c r="R3" s="56">
        <f>IFERROR(__xludf.DUMMYFUNCTION("""COMPUTED_VALUE"""),0.0)</f>
        <v>0</v>
      </c>
      <c r="S3" s="56">
        <f>IFERROR(__xludf.DUMMYFUNCTION("""COMPUTED_VALUE"""),0.0)</f>
        <v>0</v>
      </c>
      <c r="T3" s="56">
        <f>IFERROR(__xludf.DUMMYFUNCTION("""COMPUTED_VALUE"""),3.0)</f>
        <v>3</v>
      </c>
      <c r="V3" s="43"/>
      <c r="W3" s="55">
        <f t="shared" ref="W3:AC3" si="3">L3</f>
        <v>44545</v>
      </c>
      <c r="X3" s="56">
        <f t="shared" si="3"/>
        <v>3</v>
      </c>
      <c r="Y3" s="56">
        <f t="shared" si="3"/>
        <v>3</v>
      </c>
      <c r="Z3" s="56">
        <f t="shared" si="3"/>
        <v>0</v>
      </c>
      <c r="AA3" s="56">
        <f t="shared" si="3"/>
        <v>0</v>
      </c>
      <c r="AB3" s="56">
        <f t="shared" si="3"/>
        <v>0</v>
      </c>
      <c r="AC3" s="56">
        <f t="shared" si="3"/>
        <v>0</v>
      </c>
      <c r="AD3" s="43"/>
      <c r="AE3" s="55">
        <v>44543.0</v>
      </c>
      <c r="AF3" s="84">
        <f t="shared" si="4"/>
        <v>7</v>
      </c>
      <c r="AG3" s="134">
        <f t="shared" si="5"/>
        <v>12</v>
      </c>
      <c r="AH3" s="43"/>
      <c r="AI3" s="55">
        <f>IF(EXACT('RFR Data - preExcl'!W3,"Initial"),'RFR Data - preExcl'!U3,IFERROR(0/0,""))</f>
        <v>44543</v>
      </c>
      <c r="AJ3" s="103">
        <f>IF(EXACT('RFR Data - preExcl'!$W3,"Initial"),'RFR Data - preExcl'!$AK3,IFERROR(0/0,""))</f>
        <v>7</v>
      </c>
      <c r="AK3" s="43"/>
      <c r="AL3" s="55">
        <v>44543.0</v>
      </c>
      <c r="AM3" s="84">
        <f t="shared" si="6"/>
        <v>7</v>
      </c>
      <c r="AN3" s="134">
        <f t="shared" si="7"/>
        <v>12</v>
      </c>
      <c r="AO3" s="103">
        <f t="shared" si="8"/>
        <v>7</v>
      </c>
      <c r="AQ3" s="56">
        <f t="shared" si="9"/>
        <v>7</v>
      </c>
      <c r="AR3" s="91">
        <v>0.3</v>
      </c>
      <c r="AS3" s="6" t="str">
        <f>IFERROR(VLOOKUP(AR3, 'Process Ref'!$A$76:$D$114, 2, FALSE), IFERROR(0/0,""))</f>
        <v>ALL 3 COUNTS SAME after Null called Neg with APS Collect on previous days</v>
      </c>
    </row>
    <row r="4">
      <c r="B4" s="55">
        <f>IFERROR(__xludf.DUMMYFUNCTION("""COMPUTED_VALUE"""),44545.0)</f>
        <v>44545</v>
      </c>
      <c r="C4" s="56">
        <f>IFERROR(__xludf.DUMMYFUNCTION("""COMPUTED_VALUE"""),4.0)</f>
        <v>4</v>
      </c>
      <c r="D4" s="56">
        <f>IFERROR(__xludf.DUMMYFUNCTION("""COMPUTED_VALUE"""),4.0)</f>
        <v>4</v>
      </c>
      <c r="E4" s="56">
        <f>IFERROR(__xludf.DUMMYFUNCTION("""COMPUTED_VALUE"""),0.0)</f>
        <v>0</v>
      </c>
      <c r="F4" s="56">
        <f>IFERROR(__xludf.DUMMYFUNCTION("""COMPUTED_VALUE"""),0.0)</f>
        <v>0</v>
      </c>
      <c r="G4" s="56">
        <f>IFERROR(__xludf.DUMMYFUNCTION("""COMPUTED_VALUE"""),0.0)</f>
        <v>0</v>
      </c>
      <c r="H4" s="56">
        <f>IFERROR(__xludf.DUMMYFUNCTION("""COMPUTED_VALUE"""),0.0)</f>
        <v>0</v>
      </c>
      <c r="I4" s="56">
        <f>IFERROR(__xludf.DUMMYFUNCTION("""COMPUTED_VALUE"""),0.0)</f>
        <v>0</v>
      </c>
      <c r="J4" s="6"/>
      <c r="K4" s="43"/>
      <c r="L4" s="55">
        <f>IFERROR(__xludf.DUMMYFUNCTION("""COMPUTED_VALUE"""),44547.0)</f>
        <v>44547</v>
      </c>
      <c r="M4" s="56">
        <f>IFERROR(__xludf.DUMMYFUNCTION("""COMPUTED_VALUE"""),2.0)</f>
        <v>2</v>
      </c>
      <c r="N4" s="56">
        <f>IFERROR(__xludf.DUMMYFUNCTION("""COMPUTED_VALUE"""),1.0)</f>
        <v>1</v>
      </c>
      <c r="O4" s="56">
        <f>IFERROR(__xludf.DUMMYFUNCTION("""COMPUTED_VALUE"""),1.0)</f>
        <v>1</v>
      </c>
      <c r="P4" s="56">
        <f>IFERROR(__xludf.DUMMYFUNCTION("""COMPUTED_VALUE"""),0.0)</f>
        <v>0</v>
      </c>
      <c r="Q4" s="56">
        <f>IFERROR(__xludf.DUMMYFUNCTION("""COMPUTED_VALUE"""),0.0)</f>
        <v>0</v>
      </c>
      <c r="R4" s="56">
        <f>IFERROR(__xludf.DUMMYFUNCTION("""COMPUTED_VALUE"""),0.0)</f>
        <v>0</v>
      </c>
      <c r="S4" s="56">
        <f>IFERROR(__xludf.DUMMYFUNCTION("""COMPUTED_VALUE"""),0.0)</f>
        <v>0</v>
      </c>
      <c r="T4" s="56">
        <f>IFERROR(__xludf.DUMMYFUNCTION("""COMPUTED_VALUE"""),2.0)</f>
        <v>2</v>
      </c>
      <c r="V4" s="43"/>
      <c r="W4" s="55">
        <f t="shared" ref="W4:AC4" si="10">L4</f>
        <v>44547</v>
      </c>
      <c r="X4" s="56">
        <f t="shared" si="10"/>
        <v>2</v>
      </c>
      <c r="Y4" s="56">
        <f t="shared" si="10"/>
        <v>1</v>
      </c>
      <c r="Z4" s="56">
        <f t="shared" si="10"/>
        <v>1</v>
      </c>
      <c r="AA4" s="56">
        <f t="shared" si="10"/>
        <v>0</v>
      </c>
      <c r="AB4" s="56">
        <f t="shared" si="10"/>
        <v>0</v>
      </c>
      <c r="AC4" s="56">
        <f t="shared" si="10"/>
        <v>0</v>
      </c>
      <c r="AD4" s="43"/>
      <c r="AE4" s="55">
        <v>44545.0</v>
      </c>
      <c r="AF4" s="84">
        <f t="shared" si="4"/>
        <v>4</v>
      </c>
      <c r="AG4" s="134">
        <f t="shared" si="5"/>
        <v>3</v>
      </c>
      <c r="AH4" s="43"/>
      <c r="AI4" s="55">
        <f>IF(EXACT('RFR Data - preExcl'!W4,"Initial"),'RFR Data - preExcl'!U4,IFERROR(0/0,""))</f>
        <v>44550</v>
      </c>
      <c r="AJ4" s="103">
        <f>IF(EXACT('RFR Data - preExcl'!$W4,"Initial"),'RFR Data - preExcl'!$AK4,IFERROR(0/0,""))</f>
        <v>7</v>
      </c>
      <c r="AK4" s="43"/>
      <c r="AL4" s="55">
        <v>44545.0</v>
      </c>
      <c r="AM4" s="84">
        <f t="shared" si="6"/>
        <v>4</v>
      </c>
      <c r="AN4" s="134">
        <f t="shared" si="7"/>
        <v>3</v>
      </c>
      <c r="AO4" s="103" t="str">
        <f t="shared" si="8"/>
        <v/>
      </c>
      <c r="AP4" s="84">
        <f t="shared" ref="AP4:AP5" si="12">AM4</f>
        <v>4</v>
      </c>
      <c r="AQ4" s="56">
        <f t="shared" si="9"/>
        <v>4</v>
      </c>
      <c r="AR4" s="85">
        <v>3.4</v>
      </c>
      <c r="AS4" s="6" t="str">
        <f>IFERROR(VLOOKUP(AR4, 'Process Ref'!$A$76:$D$114, 2, FALSE), IFERROR(0/0,""))</f>
        <v>Add Run from APS with no RFR (assume run on same day as Collect, ignore Result day)</v>
      </c>
      <c r="AT4" s="86" t="s">
        <v>434</v>
      </c>
    </row>
    <row r="5">
      <c r="B5" s="55">
        <f>IFERROR(__xludf.DUMMYFUNCTION("""COMPUTED_VALUE"""),44547.0)</f>
        <v>44547</v>
      </c>
      <c r="C5" s="56">
        <f>IFERROR(__xludf.DUMMYFUNCTION("""COMPUTED_VALUE"""),2.0)</f>
        <v>2</v>
      </c>
      <c r="D5" s="56">
        <f>IFERROR(__xludf.DUMMYFUNCTION("""COMPUTED_VALUE"""),1.0)</f>
        <v>1</v>
      </c>
      <c r="E5" s="56">
        <f>IFERROR(__xludf.DUMMYFUNCTION("""COMPUTED_VALUE"""),1.0)</f>
        <v>1</v>
      </c>
      <c r="F5" s="56">
        <f>IFERROR(__xludf.DUMMYFUNCTION("""COMPUTED_VALUE"""),0.0)</f>
        <v>0</v>
      </c>
      <c r="G5" s="56">
        <f>IFERROR(__xludf.DUMMYFUNCTION("""COMPUTED_VALUE"""),0.0)</f>
        <v>0</v>
      </c>
      <c r="H5" s="56">
        <f>IFERROR(__xludf.DUMMYFUNCTION("""COMPUTED_VALUE"""),0.0)</f>
        <v>0</v>
      </c>
      <c r="I5" s="56">
        <f>IFERROR(__xludf.DUMMYFUNCTION("""COMPUTED_VALUE"""),0.0)</f>
        <v>0</v>
      </c>
      <c r="J5" s="6" t="b">
        <f>IFERROR(__xludf.DUMMYFUNCTION("""COMPUTED_VALUE"""),TRUE)</f>
        <v>1</v>
      </c>
      <c r="K5" s="43"/>
      <c r="L5" s="55">
        <f>IFERROR(__xludf.DUMMYFUNCTION("""COMPUTED_VALUE"""),44550.0)</f>
        <v>44550</v>
      </c>
      <c r="M5" s="56">
        <f>IFERROR(__xludf.DUMMYFUNCTION("""COMPUTED_VALUE"""),8.0)</f>
        <v>8</v>
      </c>
      <c r="N5" s="56">
        <f>IFERROR(__xludf.DUMMYFUNCTION("""COMPUTED_VALUE"""),8.0)</f>
        <v>8</v>
      </c>
      <c r="O5" s="56">
        <f>IFERROR(__xludf.DUMMYFUNCTION("""COMPUTED_VALUE"""),0.0)</f>
        <v>0</v>
      </c>
      <c r="P5" s="56">
        <f>IFERROR(__xludf.DUMMYFUNCTION("""COMPUTED_VALUE"""),0.0)</f>
        <v>0</v>
      </c>
      <c r="Q5" s="56">
        <f>IFERROR(__xludf.DUMMYFUNCTION("""COMPUTED_VALUE"""),0.0)</f>
        <v>0</v>
      </c>
      <c r="R5" s="56">
        <f>IFERROR(__xludf.DUMMYFUNCTION("""COMPUTED_VALUE"""),0.0)</f>
        <v>0</v>
      </c>
      <c r="S5" s="56">
        <f>IFERROR(__xludf.DUMMYFUNCTION("""COMPUTED_VALUE"""),0.0)</f>
        <v>0</v>
      </c>
      <c r="T5" s="56">
        <f>IFERROR(__xludf.DUMMYFUNCTION("""COMPUTED_VALUE"""),8.0)</f>
        <v>8</v>
      </c>
      <c r="V5" s="43"/>
      <c r="W5" s="55">
        <f t="shared" ref="W5:AC5" si="11">L5</f>
        <v>44550</v>
      </c>
      <c r="X5" s="56">
        <f t="shared" si="11"/>
        <v>8</v>
      </c>
      <c r="Y5" s="56">
        <f t="shared" si="11"/>
        <v>8</v>
      </c>
      <c r="Z5" s="56">
        <f t="shared" si="11"/>
        <v>0</v>
      </c>
      <c r="AA5" s="56">
        <f t="shared" si="11"/>
        <v>0</v>
      </c>
      <c r="AB5" s="56">
        <f t="shared" si="11"/>
        <v>0</v>
      </c>
      <c r="AC5" s="56">
        <f t="shared" si="11"/>
        <v>0</v>
      </c>
      <c r="AD5" s="43"/>
      <c r="AE5" s="55">
        <v>44547.0</v>
      </c>
      <c r="AF5" s="84">
        <f t="shared" si="4"/>
        <v>2</v>
      </c>
      <c r="AG5" s="134">
        <f t="shared" si="5"/>
        <v>2</v>
      </c>
      <c r="AH5" s="43"/>
      <c r="AI5" s="55">
        <f>IF(EXACT('RFR Data - preExcl'!W5,"Initial"),'RFR Data - preExcl'!U5,IFERROR(0/0,""))</f>
        <v>44552</v>
      </c>
      <c r="AJ5" s="103">
        <f>IF(EXACT('RFR Data - preExcl'!$W5,"Initial"),'RFR Data - preExcl'!$AK5,IFERROR(0/0,""))</f>
        <v>5</v>
      </c>
      <c r="AK5" s="43"/>
      <c r="AL5" s="55">
        <v>44547.0</v>
      </c>
      <c r="AM5" s="311">
        <f t="shared" si="6"/>
        <v>2</v>
      </c>
      <c r="AN5" s="134">
        <f t="shared" si="7"/>
        <v>2</v>
      </c>
      <c r="AO5" s="103" t="str">
        <f t="shared" si="8"/>
        <v/>
      </c>
      <c r="AP5" s="84">
        <f t="shared" si="12"/>
        <v>2</v>
      </c>
      <c r="AQ5" s="56">
        <f t="shared" si="9"/>
        <v>2</v>
      </c>
      <c r="AR5" s="85">
        <v>3.4</v>
      </c>
      <c r="AS5" s="6" t="str">
        <f>IFERROR(VLOOKUP(AR5, 'Process Ref'!$A$76:$D$114, 2, FALSE), IFERROR(0/0,""))</f>
        <v>Add Run from APS with no RFR (assume run on same day as Collect, ignore Result day)</v>
      </c>
    </row>
    <row r="6">
      <c r="B6" s="55">
        <f>IFERROR(__xludf.DUMMYFUNCTION("""COMPUTED_VALUE"""),44549.0)</f>
        <v>44549</v>
      </c>
      <c r="C6" s="56">
        <f>IFERROR(__xludf.DUMMYFUNCTION("""COMPUTED_VALUE"""),1.0)</f>
        <v>1</v>
      </c>
      <c r="D6" s="56">
        <f>IFERROR(__xludf.DUMMYFUNCTION("""COMPUTED_VALUE"""),1.0)</f>
        <v>1</v>
      </c>
      <c r="E6" s="56">
        <f>IFERROR(__xludf.DUMMYFUNCTION("""COMPUTED_VALUE"""),0.0)</f>
        <v>0</v>
      </c>
      <c r="F6" s="56">
        <f>IFERROR(__xludf.DUMMYFUNCTION("""COMPUTED_VALUE"""),0.0)</f>
        <v>0</v>
      </c>
      <c r="G6" s="56">
        <f>IFERROR(__xludf.DUMMYFUNCTION("""COMPUTED_VALUE"""),0.0)</f>
        <v>0</v>
      </c>
      <c r="H6" s="56">
        <f>IFERROR(__xludf.DUMMYFUNCTION("""COMPUTED_VALUE"""),0.0)</f>
        <v>0</v>
      </c>
      <c r="I6" s="56">
        <f>IFERROR(__xludf.DUMMYFUNCTION("""COMPUTED_VALUE"""),0.0)</f>
        <v>0</v>
      </c>
      <c r="J6" s="6"/>
      <c r="K6" s="43"/>
      <c r="L6" s="55">
        <f>IFERROR(__xludf.DUMMYFUNCTION("""COMPUTED_VALUE"""),44552.0)</f>
        <v>44552</v>
      </c>
      <c r="M6" s="56">
        <f>IFERROR(__xludf.DUMMYFUNCTION("""COMPUTED_VALUE"""),4.0)</f>
        <v>4</v>
      </c>
      <c r="N6" s="56">
        <f>IFERROR(__xludf.DUMMYFUNCTION("""COMPUTED_VALUE"""),4.0)</f>
        <v>4</v>
      </c>
      <c r="O6" s="56">
        <f>IFERROR(__xludf.DUMMYFUNCTION("""COMPUTED_VALUE"""),0.0)</f>
        <v>0</v>
      </c>
      <c r="P6" s="56">
        <f>IFERROR(__xludf.DUMMYFUNCTION("""COMPUTED_VALUE"""),0.0)</f>
        <v>0</v>
      </c>
      <c r="Q6" s="56">
        <f>IFERROR(__xludf.DUMMYFUNCTION("""COMPUTED_VALUE"""),0.0)</f>
        <v>0</v>
      </c>
      <c r="R6" s="56">
        <f>IFERROR(__xludf.DUMMYFUNCTION("""COMPUTED_VALUE"""),0.0)</f>
        <v>0</v>
      </c>
      <c r="S6" s="56">
        <f>IFERROR(__xludf.DUMMYFUNCTION("""COMPUTED_VALUE"""),0.0)</f>
        <v>0</v>
      </c>
      <c r="T6" s="56">
        <f>IFERROR(__xludf.DUMMYFUNCTION("""COMPUTED_VALUE"""),4.0)</f>
        <v>4</v>
      </c>
      <c r="V6" s="43"/>
      <c r="W6" s="55">
        <f t="shared" ref="W6:AC6" si="13">L6</f>
        <v>44552</v>
      </c>
      <c r="X6" s="56">
        <f t="shared" si="13"/>
        <v>4</v>
      </c>
      <c r="Y6" s="56">
        <f t="shared" si="13"/>
        <v>4</v>
      </c>
      <c r="Z6" s="56">
        <f t="shared" si="13"/>
        <v>0</v>
      </c>
      <c r="AA6" s="56">
        <f t="shared" si="13"/>
        <v>0</v>
      </c>
      <c r="AB6" s="56">
        <f t="shared" si="13"/>
        <v>0</v>
      </c>
      <c r="AC6" s="56">
        <f t="shared" si="13"/>
        <v>0</v>
      </c>
      <c r="AD6" s="43"/>
      <c r="AE6" s="55">
        <v>44549.0</v>
      </c>
      <c r="AF6" s="84">
        <f t="shared" si="4"/>
        <v>1</v>
      </c>
      <c r="AG6" s="134" t="str">
        <f t="shared" si="5"/>
        <v/>
      </c>
      <c r="AH6" s="43"/>
      <c r="AI6" s="55">
        <f>IF(EXACT('RFR Data - preExcl'!W6,"Initial"),'RFR Data - preExcl'!U6,IFERROR(0/0,""))</f>
        <v>44557</v>
      </c>
      <c r="AJ6" s="103">
        <f>IF(EXACT('RFR Data - preExcl'!$W6,"Initial"),'RFR Data - preExcl'!$AK6,IFERROR(0/0,""))</f>
        <v>15</v>
      </c>
      <c r="AK6" s="43"/>
      <c r="AL6" s="55">
        <v>44549.0</v>
      </c>
      <c r="AM6" s="312">
        <f t="shared" si="6"/>
        <v>1</v>
      </c>
      <c r="AN6" s="99" t="str">
        <f t="shared" si="7"/>
        <v/>
      </c>
      <c r="AO6" s="99" t="str">
        <f t="shared" si="8"/>
        <v/>
      </c>
      <c r="AP6" s="97"/>
      <c r="AQ6" s="99" t="str">
        <f t="shared" si="9"/>
        <v/>
      </c>
      <c r="AR6" s="98">
        <v>6.1</v>
      </c>
      <c r="AS6" s="6" t="str">
        <f>IFERROR(VLOOKUP(AR6, 'Process Ref'!$A$76:$D$114, 2, FALSE), IFERROR(0/0,""))</f>
        <v>No Run - APS Collect run next day</v>
      </c>
    </row>
    <row r="7">
      <c r="B7" s="55">
        <f>IFERROR(__xludf.DUMMYFUNCTION("""COMPUTED_VALUE"""),44550.0)</f>
        <v>44550</v>
      </c>
      <c r="C7" s="56">
        <f>IFERROR(__xludf.DUMMYFUNCTION("""COMPUTED_VALUE"""),6.0)</f>
        <v>6</v>
      </c>
      <c r="D7" s="56">
        <f>IFERROR(__xludf.DUMMYFUNCTION("""COMPUTED_VALUE"""),6.0)</f>
        <v>6</v>
      </c>
      <c r="E7" s="56">
        <f>IFERROR(__xludf.DUMMYFUNCTION("""COMPUTED_VALUE"""),0.0)</f>
        <v>0</v>
      </c>
      <c r="F7" s="56">
        <f>IFERROR(__xludf.DUMMYFUNCTION("""COMPUTED_VALUE"""),0.0)</f>
        <v>0</v>
      </c>
      <c r="G7" s="56">
        <f>IFERROR(__xludf.DUMMYFUNCTION("""COMPUTED_VALUE"""),0.0)</f>
        <v>0</v>
      </c>
      <c r="H7" s="56">
        <f>IFERROR(__xludf.DUMMYFUNCTION("""COMPUTED_VALUE"""),0.0)</f>
        <v>0</v>
      </c>
      <c r="I7" s="56">
        <f>IFERROR(__xludf.DUMMYFUNCTION("""COMPUTED_VALUE"""),0.0)</f>
        <v>0</v>
      </c>
      <c r="J7" s="6" t="b">
        <f>IFERROR(__xludf.DUMMYFUNCTION("""COMPUTED_VALUE"""),TRUE)</f>
        <v>1</v>
      </c>
      <c r="K7" s="43"/>
      <c r="L7" s="55">
        <f>IFERROR(__xludf.DUMMYFUNCTION("""COMPUTED_VALUE"""),44557.0)</f>
        <v>44557</v>
      </c>
      <c r="M7" s="56">
        <f>IFERROR(__xludf.DUMMYFUNCTION("""COMPUTED_VALUE"""),15.0)</f>
        <v>15</v>
      </c>
      <c r="N7" s="56">
        <f>IFERROR(__xludf.DUMMYFUNCTION("""COMPUTED_VALUE"""),15.0)</f>
        <v>15</v>
      </c>
      <c r="O7" s="56">
        <f>IFERROR(__xludf.DUMMYFUNCTION("""COMPUTED_VALUE"""),0.0)</f>
        <v>0</v>
      </c>
      <c r="P7" s="56">
        <f>IFERROR(__xludf.DUMMYFUNCTION("""COMPUTED_VALUE"""),0.0)</f>
        <v>0</v>
      </c>
      <c r="Q7" s="56">
        <f>IFERROR(__xludf.DUMMYFUNCTION("""COMPUTED_VALUE"""),0.0)</f>
        <v>0</v>
      </c>
      <c r="R7" s="56">
        <f>IFERROR(__xludf.DUMMYFUNCTION("""COMPUTED_VALUE"""),0.0)</f>
        <v>0</v>
      </c>
      <c r="S7" s="56">
        <f>IFERROR(__xludf.DUMMYFUNCTION("""COMPUTED_VALUE"""),0.0)</f>
        <v>0</v>
      </c>
      <c r="T7" s="56">
        <f>IFERROR(__xludf.DUMMYFUNCTION("""COMPUTED_VALUE"""),15.0)</f>
        <v>15</v>
      </c>
      <c r="V7" s="43"/>
      <c r="W7" s="55">
        <f t="shared" ref="W7:AC7" si="14">L7</f>
        <v>44557</v>
      </c>
      <c r="X7" s="56">
        <f t="shared" si="14"/>
        <v>15</v>
      </c>
      <c r="Y7" s="56">
        <f t="shared" si="14"/>
        <v>15</v>
      </c>
      <c r="Z7" s="56">
        <f t="shared" si="14"/>
        <v>0</v>
      </c>
      <c r="AA7" s="56">
        <f t="shared" si="14"/>
        <v>0</v>
      </c>
      <c r="AB7" s="56">
        <f t="shared" si="14"/>
        <v>0</v>
      </c>
      <c r="AC7" s="56">
        <f t="shared" si="14"/>
        <v>0</v>
      </c>
      <c r="AD7" s="43"/>
      <c r="AE7" s="55">
        <v>44550.0</v>
      </c>
      <c r="AF7" s="84">
        <f t="shared" si="4"/>
        <v>6</v>
      </c>
      <c r="AG7" s="134">
        <f t="shared" si="5"/>
        <v>8</v>
      </c>
      <c r="AH7" s="43"/>
      <c r="AI7" s="55">
        <f>IF(EXACT('RFR Data - preExcl'!W7,"Initial"),'RFR Data - preExcl'!U7,IFERROR(0/0,""))</f>
        <v>44559</v>
      </c>
      <c r="AJ7" s="103">
        <f>IF(EXACT('RFR Data - preExcl'!$W7,"Initial"),'RFR Data - preExcl'!$AK7,IFERROR(0/0,""))</f>
        <v>5</v>
      </c>
      <c r="AK7" s="43"/>
      <c r="AL7" s="55">
        <v>44550.0</v>
      </c>
      <c r="AM7" s="313">
        <f t="shared" si="6"/>
        <v>6</v>
      </c>
      <c r="AN7" s="134">
        <f t="shared" si="7"/>
        <v>8</v>
      </c>
      <c r="AO7" s="103">
        <f t="shared" si="8"/>
        <v>7</v>
      </c>
      <c r="AQ7" s="56">
        <f t="shared" si="9"/>
        <v>7</v>
      </c>
      <c r="AR7" s="91">
        <v>1.1</v>
      </c>
      <c r="AS7" s="6" t="str">
        <f>IFERROR(VLOOKUP(AR7, 'Process Ref'!$A$76:$D$114, 2, FALSE), IFERROR(0/0,""))</f>
        <v>Use APS Collect = RFR (diff APS Result count but nets out) after Null called Neg</v>
      </c>
      <c r="AT7" s="86" t="s">
        <v>435</v>
      </c>
    </row>
    <row r="8">
      <c r="B8" s="55">
        <f>IFERROR(__xludf.DUMMYFUNCTION("""COMPUTED_VALUE"""),44551.0)</f>
        <v>44551</v>
      </c>
      <c r="C8" s="56">
        <f>IFERROR(__xludf.DUMMYFUNCTION("""COMPUTED_VALUE"""),2.0)</f>
        <v>2</v>
      </c>
      <c r="D8" s="56">
        <f>IFERROR(__xludf.DUMMYFUNCTION("""COMPUTED_VALUE"""),2.0)</f>
        <v>2</v>
      </c>
      <c r="E8" s="56">
        <f>IFERROR(__xludf.DUMMYFUNCTION("""COMPUTED_VALUE"""),0.0)</f>
        <v>0</v>
      </c>
      <c r="F8" s="56">
        <f>IFERROR(__xludf.DUMMYFUNCTION("""COMPUTED_VALUE"""),0.0)</f>
        <v>0</v>
      </c>
      <c r="G8" s="56">
        <f>IFERROR(__xludf.DUMMYFUNCTION("""COMPUTED_VALUE"""),0.0)</f>
        <v>0</v>
      </c>
      <c r="H8" s="56">
        <f>IFERROR(__xludf.DUMMYFUNCTION("""COMPUTED_VALUE"""),0.0)</f>
        <v>0</v>
      </c>
      <c r="I8" s="56">
        <f>IFERROR(__xludf.DUMMYFUNCTION("""COMPUTED_VALUE"""),0.0)</f>
        <v>0</v>
      </c>
      <c r="J8" s="6"/>
      <c r="K8" s="43"/>
      <c r="L8" s="55">
        <f>IFERROR(__xludf.DUMMYFUNCTION("""COMPUTED_VALUE"""),44559.0)</f>
        <v>44559</v>
      </c>
      <c r="M8" s="56">
        <f>IFERROR(__xludf.DUMMYFUNCTION("""COMPUTED_VALUE"""),4.0)</f>
        <v>4</v>
      </c>
      <c r="N8" s="56">
        <f>IFERROR(__xludf.DUMMYFUNCTION("""COMPUTED_VALUE"""),4.0)</f>
        <v>4</v>
      </c>
      <c r="O8" s="56">
        <f>IFERROR(__xludf.DUMMYFUNCTION("""COMPUTED_VALUE"""),0.0)</f>
        <v>0</v>
      </c>
      <c r="P8" s="56">
        <f>IFERROR(__xludf.DUMMYFUNCTION("""COMPUTED_VALUE"""),0.0)</f>
        <v>0</v>
      </c>
      <c r="Q8" s="56">
        <f>IFERROR(__xludf.DUMMYFUNCTION("""COMPUTED_VALUE"""),0.0)</f>
        <v>0</v>
      </c>
      <c r="R8" s="56">
        <f>IFERROR(__xludf.DUMMYFUNCTION("""COMPUTED_VALUE"""),0.0)</f>
        <v>0</v>
      </c>
      <c r="S8" s="56">
        <f>IFERROR(__xludf.DUMMYFUNCTION("""COMPUTED_VALUE"""),0.0)</f>
        <v>0</v>
      </c>
      <c r="T8" s="56">
        <f>IFERROR(__xludf.DUMMYFUNCTION("""COMPUTED_VALUE"""),4.0)</f>
        <v>4</v>
      </c>
      <c r="V8" s="43"/>
      <c r="W8" s="55">
        <f t="shared" ref="W8:AC8" si="15">L8</f>
        <v>44559</v>
      </c>
      <c r="X8" s="56">
        <f t="shared" si="15"/>
        <v>4</v>
      </c>
      <c r="Y8" s="56">
        <f t="shared" si="15"/>
        <v>4</v>
      </c>
      <c r="Z8" s="56">
        <f t="shared" si="15"/>
        <v>0</v>
      </c>
      <c r="AA8" s="56">
        <f t="shared" si="15"/>
        <v>0</v>
      </c>
      <c r="AB8" s="56">
        <f t="shared" si="15"/>
        <v>0</v>
      </c>
      <c r="AC8" s="56">
        <f t="shared" si="15"/>
        <v>0</v>
      </c>
      <c r="AD8" s="43"/>
      <c r="AE8" s="55">
        <v>44551.0</v>
      </c>
      <c r="AF8" s="84">
        <f t="shared" si="4"/>
        <v>2</v>
      </c>
      <c r="AG8" s="134" t="str">
        <f t="shared" si="5"/>
        <v/>
      </c>
      <c r="AH8" s="43"/>
      <c r="AI8" s="55">
        <f>IF(EXACT('RFR Data - preExcl'!W8,"Initial"),'RFR Data - preExcl'!U8,IFERROR(0/0,""))</f>
        <v>44561</v>
      </c>
      <c r="AJ8" s="103">
        <f>IF(EXACT('RFR Data - preExcl'!$W8,"Initial"),'RFR Data - preExcl'!$AK8,IFERROR(0/0,""))</f>
        <v>8</v>
      </c>
      <c r="AK8" s="43"/>
      <c r="AL8" s="55">
        <v>44551.0</v>
      </c>
      <c r="AM8" s="312">
        <f t="shared" si="6"/>
        <v>2</v>
      </c>
      <c r="AN8" s="99" t="str">
        <f t="shared" si="7"/>
        <v/>
      </c>
      <c r="AO8" s="99" t="str">
        <f t="shared" si="8"/>
        <v/>
      </c>
      <c r="AP8" s="97"/>
      <c r="AQ8" s="99" t="str">
        <f t="shared" si="9"/>
        <v/>
      </c>
      <c r="AR8" s="98">
        <v>6.1</v>
      </c>
      <c r="AS8" s="6" t="str">
        <f>IFERROR(VLOOKUP(AR8, 'Process Ref'!$A$76:$D$114, 2, FALSE), IFERROR(0/0,""))</f>
        <v>No Run - APS Collect run next day</v>
      </c>
    </row>
    <row r="9">
      <c r="B9" s="55">
        <f>IFERROR(__xludf.DUMMYFUNCTION("""COMPUTED_VALUE"""),44552.0)</f>
        <v>44552</v>
      </c>
      <c r="C9" s="56">
        <f>IFERROR(__xludf.DUMMYFUNCTION("""COMPUTED_VALUE"""),3.0)</f>
        <v>3</v>
      </c>
      <c r="D9" s="56">
        <f>IFERROR(__xludf.DUMMYFUNCTION("""COMPUTED_VALUE"""),3.0)</f>
        <v>3</v>
      </c>
      <c r="E9" s="56">
        <f>IFERROR(__xludf.DUMMYFUNCTION("""COMPUTED_VALUE"""),0.0)</f>
        <v>0</v>
      </c>
      <c r="F9" s="56">
        <f>IFERROR(__xludf.DUMMYFUNCTION("""COMPUTED_VALUE"""),0.0)</f>
        <v>0</v>
      </c>
      <c r="G9" s="56">
        <f>IFERROR(__xludf.DUMMYFUNCTION("""COMPUTED_VALUE"""),0.0)</f>
        <v>0</v>
      </c>
      <c r="H9" s="56">
        <f>IFERROR(__xludf.DUMMYFUNCTION("""COMPUTED_VALUE"""),0.0)</f>
        <v>0</v>
      </c>
      <c r="I9" s="56">
        <f>IFERROR(__xludf.DUMMYFUNCTION("""COMPUTED_VALUE"""),0.0)</f>
        <v>0</v>
      </c>
      <c r="J9" s="6" t="b">
        <f>IFERROR(__xludf.DUMMYFUNCTION("""COMPUTED_VALUE"""),TRUE)</f>
        <v>1</v>
      </c>
      <c r="K9" s="43"/>
      <c r="L9" s="55">
        <f>IFERROR(__xludf.DUMMYFUNCTION("""COMPUTED_VALUE"""),44561.0)</f>
        <v>44561</v>
      </c>
      <c r="M9" s="56">
        <f>IFERROR(__xludf.DUMMYFUNCTION("""COMPUTED_VALUE"""),8.0)</f>
        <v>8</v>
      </c>
      <c r="N9" s="56">
        <f>IFERROR(__xludf.DUMMYFUNCTION("""COMPUTED_VALUE"""),6.0)</f>
        <v>6</v>
      </c>
      <c r="O9" s="56">
        <f>IFERROR(__xludf.DUMMYFUNCTION("""COMPUTED_VALUE"""),2.0)</f>
        <v>2</v>
      </c>
      <c r="P9" s="56">
        <f>IFERROR(__xludf.DUMMYFUNCTION("""COMPUTED_VALUE"""),0.0)</f>
        <v>0</v>
      </c>
      <c r="Q9" s="56">
        <f>IFERROR(__xludf.DUMMYFUNCTION("""COMPUTED_VALUE"""),0.0)</f>
        <v>0</v>
      </c>
      <c r="R9" s="56">
        <f>IFERROR(__xludf.DUMMYFUNCTION("""COMPUTED_VALUE"""),0.0)</f>
        <v>0</v>
      </c>
      <c r="S9" s="56">
        <f>IFERROR(__xludf.DUMMYFUNCTION("""COMPUTED_VALUE"""),0.0)</f>
        <v>0</v>
      </c>
      <c r="T9" s="56">
        <f>IFERROR(__xludf.DUMMYFUNCTION("""COMPUTED_VALUE"""),8.0)</f>
        <v>8</v>
      </c>
      <c r="V9" s="43"/>
      <c r="W9" s="55">
        <f t="shared" ref="W9:AC9" si="16">L9</f>
        <v>44561</v>
      </c>
      <c r="X9" s="56">
        <f t="shared" si="16"/>
        <v>8</v>
      </c>
      <c r="Y9" s="56">
        <f t="shared" si="16"/>
        <v>6</v>
      </c>
      <c r="Z9" s="56">
        <f t="shared" si="16"/>
        <v>2</v>
      </c>
      <c r="AA9" s="56">
        <f t="shared" si="16"/>
        <v>0</v>
      </c>
      <c r="AB9" s="56">
        <f t="shared" si="16"/>
        <v>0</v>
      </c>
      <c r="AC9" s="56">
        <f t="shared" si="16"/>
        <v>0</v>
      </c>
      <c r="AD9" s="43"/>
      <c r="AE9" s="55">
        <v>44552.0</v>
      </c>
      <c r="AF9" s="84">
        <f t="shared" si="4"/>
        <v>3</v>
      </c>
      <c r="AG9" s="134">
        <f t="shared" si="5"/>
        <v>4</v>
      </c>
      <c r="AH9" s="43"/>
      <c r="AI9" s="6" t="str">
        <f>IF(EXACT('RFR Data - preExcl'!W9,"Initial"),'RFR Data - preExcl'!U9,IFERROR(0/0,""))</f>
        <v/>
      </c>
      <c r="AJ9" s="103" t="str">
        <f>IF(EXACT('RFR Data - preExcl'!$W9,"Initial"),'RFR Data - preExcl'!$AK9,IFERROR(0/0,""))</f>
        <v/>
      </c>
      <c r="AK9" s="43"/>
      <c r="AL9" s="55">
        <v>44552.0</v>
      </c>
      <c r="AM9" s="313">
        <f t="shared" si="6"/>
        <v>3</v>
      </c>
      <c r="AN9" s="134">
        <f t="shared" si="7"/>
        <v>4</v>
      </c>
      <c r="AO9" s="103">
        <f t="shared" si="8"/>
        <v>5</v>
      </c>
      <c r="AQ9" s="56">
        <f t="shared" si="9"/>
        <v>5</v>
      </c>
      <c r="AR9" s="91">
        <v>1.1</v>
      </c>
      <c r="AS9" s="6" t="str">
        <f>IFERROR(VLOOKUP(AR9, 'Process Ref'!$A$76:$D$114, 2, FALSE), IFERROR(0/0,""))</f>
        <v>Use APS Collect = RFR (diff APS Result count but nets out) after Null called Neg</v>
      </c>
      <c r="AT9" s="86" t="s">
        <v>436</v>
      </c>
    </row>
    <row r="10">
      <c r="B10" s="55">
        <f>IFERROR(__xludf.DUMMYFUNCTION("""COMPUTED_VALUE"""),44556.0)</f>
        <v>44556</v>
      </c>
      <c r="C10" s="56">
        <f>IFERROR(__xludf.DUMMYFUNCTION("""COMPUTED_VALUE"""),1.0)</f>
        <v>1</v>
      </c>
      <c r="D10" s="56">
        <f>IFERROR(__xludf.DUMMYFUNCTION("""COMPUTED_VALUE"""),1.0)</f>
        <v>1</v>
      </c>
      <c r="E10" s="56">
        <f>IFERROR(__xludf.DUMMYFUNCTION("""COMPUTED_VALUE"""),0.0)</f>
        <v>0</v>
      </c>
      <c r="F10" s="56">
        <f>IFERROR(__xludf.DUMMYFUNCTION("""COMPUTED_VALUE"""),0.0)</f>
        <v>0</v>
      </c>
      <c r="G10" s="56">
        <f>IFERROR(__xludf.DUMMYFUNCTION("""COMPUTED_VALUE"""),0.0)</f>
        <v>0</v>
      </c>
      <c r="H10" s="56">
        <f>IFERROR(__xludf.DUMMYFUNCTION("""COMPUTED_VALUE"""),0.0)</f>
        <v>0</v>
      </c>
      <c r="I10" s="56">
        <f>IFERROR(__xludf.DUMMYFUNCTION("""COMPUTED_VALUE"""),0.0)</f>
        <v>0</v>
      </c>
      <c r="J10" s="6"/>
      <c r="K10" s="43"/>
      <c r="L10" s="55">
        <f>IFERROR(__xludf.DUMMYFUNCTION("""COMPUTED_VALUE"""),44564.0)</f>
        <v>44564</v>
      </c>
      <c r="M10" s="56">
        <f>IFERROR(__xludf.DUMMYFUNCTION("""COMPUTED_VALUE"""),14.0)</f>
        <v>14</v>
      </c>
      <c r="N10" s="56">
        <f>IFERROR(__xludf.DUMMYFUNCTION("""COMPUTED_VALUE"""),10.0)</f>
        <v>10</v>
      </c>
      <c r="O10" s="56">
        <f>IFERROR(__xludf.DUMMYFUNCTION("""COMPUTED_VALUE"""),4.0)</f>
        <v>4</v>
      </c>
      <c r="P10" s="56">
        <f>IFERROR(__xludf.DUMMYFUNCTION("""COMPUTED_VALUE"""),0.0)</f>
        <v>0</v>
      </c>
      <c r="Q10" s="56">
        <f>IFERROR(__xludf.DUMMYFUNCTION("""COMPUTED_VALUE"""),0.0)</f>
        <v>0</v>
      </c>
      <c r="R10" s="56">
        <f>IFERROR(__xludf.DUMMYFUNCTION("""COMPUTED_VALUE"""),0.0)</f>
        <v>0</v>
      </c>
      <c r="S10" s="56">
        <f>IFERROR(__xludf.DUMMYFUNCTION("""COMPUTED_VALUE"""),0.0)</f>
        <v>0</v>
      </c>
      <c r="T10" s="56">
        <f>IFERROR(__xludf.DUMMYFUNCTION("""COMPUTED_VALUE"""),14.0)</f>
        <v>14</v>
      </c>
      <c r="V10" s="43"/>
      <c r="W10" s="55">
        <f t="shared" ref="W10:AC10" si="17">L10</f>
        <v>44564</v>
      </c>
      <c r="X10" s="56">
        <f t="shared" si="17"/>
        <v>14</v>
      </c>
      <c r="Y10" s="56">
        <f t="shared" si="17"/>
        <v>10</v>
      </c>
      <c r="Z10" s="56">
        <f t="shared" si="17"/>
        <v>4</v>
      </c>
      <c r="AA10" s="56">
        <f t="shared" si="17"/>
        <v>0</v>
      </c>
      <c r="AB10" s="56">
        <f t="shared" si="17"/>
        <v>0</v>
      </c>
      <c r="AC10" s="56">
        <f t="shared" si="17"/>
        <v>0</v>
      </c>
      <c r="AD10" s="43"/>
      <c r="AE10" s="55">
        <v>44556.0</v>
      </c>
      <c r="AF10" s="84">
        <f t="shared" si="4"/>
        <v>1</v>
      </c>
      <c r="AG10" s="134" t="str">
        <f t="shared" si="5"/>
        <v/>
      </c>
      <c r="AH10" s="43"/>
      <c r="AI10" s="55">
        <f>IF(EXACT('RFR Data - preExcl'!W10,"Initial"),'RFR Data - preExcl'!U10,IFERROR(0/0,""))</f>
        <v>44564</v>
      </c>
      <c r="AJ10" s="103">
        <f>IF(EXACT('RFR Data - preExcl'!$W10,"Initial"),'RFR Data - preExcl'!$AK10,IFERROR(0/0,""))</f>
        <v>14</v>
      </c>
      <c r="AK10" s="43"/>
      <c r="AL10" s="55">
        <v>44556.0</v>
      </c>
      <c r="AM10" s="312">
        <f t="shared" si="6"/>
        <v>1</v>
      </c>
      <c r="AN10" s="99" t="str">
        <f t="shared" si="7"/>
        <v/>
      </c>
      <c r="AO10" s="99" t="str">
        <f t="shared" si="8"/>
        <v/>
      </c>
      <c r="AP10" s="97"/>
      <c r="AQ10" s="99" t="str">
        <f t="shared" si="9"/>
        <v/>
      </c>
      <c r="AR10" s="98">
        <v>6.1</v>
      </c>
      <c r="AS10" s="6" t="str">
        <f>IFERROR(VLOOKUP(AR10, 'Process Ref'!$A$76:$D$114, 2, FALSE), IFERROR(0/0,""))</f>
        <v>No Run - APS Collect run next day</v>
      </c>
    </row>
    <row r="11">
      <c r="B11" s="55">
        <f>IFERROR(__xludf.DUMMYFUNCTION("""COMPUTED_VALUE"""),44557.0)</f>
        <v>44557</v>
      </c>
      <c r="C11" s="56">
        <f>IFERROR(__xludf.DUMMYFUNCTION("""COMPUTED_VALUE"""),14.0)</f>
        <v>14</v>
      </c>
      <c r="D11" s="56">
        <f>IFERROR(__xludf.DUMMYFUNCTION("""COMPUTED_VALUE"""),14.0)</f>
        <v>14</v>
      </c>
      <c r="E11" s="56">
        <f>IFERROR(__xludf.DUMMYFUNCTION("""COMPUTED_VALUE"""),0.0)</f>
        <v>0</v>
      </c>
      <c r="F11" s="56">
        <f>IFERROR(__xludf.DUMMYFUNCTION("""COMPUTED_VALUE"""),0.0)</f>
        <v>0</v>
      </c>
      <c r="G11" s="56">
        <f>IFERROR(__xludf.DUMMYFUNCTION("""COMPUTED_VALUE"""),0.0)</f>
        <v>0</v>
      </c>
      <c r="H11" s="56">
        <f>IFERROR(__xludf.DUMMYFUNCTION("""COMPUTED_VALUE"""),0.0)</f>
        <v>0</v>
      </c>
      <c r="I11" s="56">
        <f>IFERROR(__xludf.DUMMYFUNCTION("""COMPUTED_VALUE"""),0.0)</f>
        <v>0</v>
      </c>
      <c r="J11" s="6" t="b">
        <f>IFERROR(__xludf.DUMMYFUNCTION("""COMPUTED_VALUE"""),TRUE)</f>
        <v>1</v>
      </c>
      <c r="K11" s="43"/>
      <c r="L11" s="55">
        <f>IFERROR(__xludf.DUMMYFUNCTION("""COMPUTED_VALUE"""),44566.0)</f>
        <v>44566</v>
      </c>
      <c r="M11" s="56">
        <f>IFERROR(__xludf.DUMMYFUNCTION("""COMPUTED_VALUE"""),17.0)</f>
        <v>17</v>
      </c>
      <c r="N11" s="56">
        <f>IFERROR(__xludf.DUMMYFUNCTION("""COMPUTED_VALUE"""),17.0)</f>
        <v>17</v>
      </c>
      <c r="O11" s="56">
        <f>IFERROR(__xludf.DUMMYFUNCTION("""COMPUTED_VALUE"""),0.0)</f>
        <v>0</v>
      </c>
      <c r="P11" s="56">
        <f>IFERROR(__xludf.DUMMYFUNCTION("""COMPUTED_VALUE"""),0.0)</f>
        <v>0</v>
      </c>
      <c r="Q11" s="56">
        <f>IFERROR(__xludf.DUMMYFUNCTION("""COMPUTED_VALUE"""),0.0)</f>
        <v>0</v>
      </c>
      <c r="R11" s="56">
        <f>IFERROR(__xludf.DUMMYFUNCTION("""COMPUTED_VALUE"""),0.0)</f>
        <v>0</v>
      </c>
      <c r="S11" s="56">
        <f>IFERROR(__xludf.DUMMYFUNCTION("""COMPUTED_VALUE"""),0.0)</f>
        <v>0</v>
      </c>
      <c r="T11" s="56">
        <f>IFERROR(__xludf.DUMMYFUNCTION("""COMPUTED_VALUE"""),17.0)</f>
        <v>17</v>
      </c>
      <c r="V11" s="43"/>
      <c r="W11" s="55">
        <f t="shared" ref="W11:AC11" si="18">L11</f>
        <v>44566</v>
      </c>
      <c r="X11" s="56">
        <f t="shared" si="18"/>
        <v>17</v>
      </c>
      <c r="Y11" s="56">
        <f t="shared" si="18"/>
        <v>17</v>
      </c>
      <c r="Z11" s="56">
        <f t="shared" si="18"/>
        <v>0</v>
      </c>
      <c r="AA11" s="56">
        <f t="shared" si="18"/>
        <v>0</v>
      </c>
      <c r="AB11" s="56">
        <f t="shared" si="18"/>
        <v>0</v>
      </c>
      <c r="AC11" s="56">
        <f t="shared" si="18"/>
        <v>0</v>
      </c>
      <c r="AD11" s="43"/>
      <c r="AE11" s="55">
        <v>44557.0</v>
      </c>
      <c r="AF11" s="84">
        <f t="shared" si="4"/>
        <v>14</v>
      </c>
      <c r="AG11" s="134">
        <f t="shared" si="5"/>
        <v>15</v>
      </c>
      <c r="AH11" s="43"/>
      <c r="AI11" s="55">
        <f>IF(EXACT('RFR Data - preExcl'!W11,"Initial"),'RFR Data - preExcl'!U11,IFERROR(0/0,""))</f>
        <v>44566</v>
      </c>
      <c r="AJ11" s="103">
        <f>IF(EXACT('RFR Data - preExcl'!$W11,"Initial"),'RFR Data - preExcl'!$AK11,IFERROR(0/0,""))</f>
        <v>21</v>
      </c>
      <c r="AK11" s="43"/>
      <c r="AL11" s="55">
        <v>44557.0</v>
      </c>
      <c r="AM11" s="313">
        <f t="shared" si="6"/>
        <v>14</v>
      </c>
      <c r="AN11" s="134">
        <f t="shared" si="7"/>
        <v>15</v>
      </c>
      <c r="AO11" s="103">
        <f t="shared" si="8"/>
        <v>15</v>
      </c>
      <c r="AQ11" s="314">
        <f t="shared" si="9"/>
        <v>15</v>
      </c>
      <c r="AR11" s="91">
        <v>0.2</v>
      </c>
      <c r="AS11" s="6" t="str">
        <f>IFERROR(VLOOKUP(AR11, 'Process Ref'!$A$76:$D$114, 2, FALSE), IFERROR(0/0,""))</f>
        <v>ALL 3 COUNTS SAME with APS Collect on previous days</v>
      </c>
    </row>
    <row r="12">
      <c r="B12" s="55">
        <f>IFERROR(__xludf.DUMMYFUNCTION("""COMPUTED_VALUE"""),44559.0)</f>
        <v>44559</v>
      </c>
      <c r="C12" s="56">
        <f>IFERROR(__xludf.DUMMYFUNCTION("""COMPUTED_VALUE"""),4.0)</f>
        <v>4</v>
      </c>
      <c r="D12" s="56">
        <f>IFERROR(__xludf.DUMMYFUNCTION("""COMPUTED_VALUE"""),4.0)</f>
        <v>4</v>
      </c>
      <c r="E12" s="56">
        <f>IFERROR(__xludf.DUMMYFUNCTION("""COMPUTED_VALUE"""),0.0)</f>
        <v>0</v>
      </c>
      <c r="F12" s="56">
        <f>IFERROR(__xludf.DUMMYFUNCTION("""COMPUTED_VALUE"""),0.0)</f>
        <v>0</v>
      </c>
      <c r="G12" s="56">
        <f>IFERROR(__xludf.DUMMYFUNCTION("""COMPUTED_VALUE"""),0.0)</f>
        <v>0</v>
      </c>
      <c r="H12" s="56">
        <f>IFERROR(__xludf.DUMMYFUNCTION("""COMPUTED_VALUE"""),0.0)</f>
        <v>0</v>
      </c>
      <c r="I12" s="56">
        <f>IFERROR(__xludf.DUMMYFUNCTION("""COMPUTED_VALUE"""),0.0)</f>
        <v>0</v>
      </c>
      <c r="J12" s="6" t="b">
        <f>IFERROR(__xludf.DUMMYFUNCTION("""COMPUTED_VALUE"""),TRUE)</f>
        <v>1</v>
      </c>
      <c r="K12" s="43"/>
      <c r="L12" s="55">
        <f>IFERROR(__xludf.DUMMYFUNCTION("""COMPUTED_VALUE"""),44568.0)</f>
        <v>44568</v>
      </c>
      <c r="M12" s="56">
        <f>IFERROR(__xludf.DUMMYFUNCTION("""COMPUTED_VALUE"""),23.0)</f>
        <v>23</v>
      </c>
      <c r="N12" s="56">
        <f>IFERROR(__xludf.DUMMYFUNCTION("""COMPUTED_VALUE"""),16.0)</f>
        <v>16</v>
      </c>
      <c r="O12" s="56">
        <f>IFERROR(__xludf.DUMMYFUNCTION("""COMPUTED_VALUE"""),6.0)</f>
        <v>6</v>
      </c>
      <c r="P12" s="56">
        <f>IFERROR(__xludf.DUMMYFUNCTION("""COMPUTED_VALUE"""),1.0)</f>
        <v>1</v>
      </c>
      <c r="Q12" s="56">
        <f>IFERROR(__xludf.DUMMYFUNCTION("""COMPUTED_VALUE"""),0.0)</f>
        <v>0</v>
      </c>
      <c r="R12" s="56">
        <f>IFERROR(__xludf.DUMMYFUNCTION("""COMPUTED_VALUE"""),0.0)</f>
        <v>0</v>
      </c>
      <c r="S12" s="56">
        <f>IFERROR(__xludf.DUMMYFUNCTION("""COMPUTED_VALUE"""),0.0)</f>
        <v>0</v>
      </c>
      <c r="T12" s="56">
        <f>IFERROR(__xludf.DUMMYFUNCTION("""COMPUTED_VALUE"""),23.0)</f>
        <v>23</v>
      </c>
      <c r="V12" s="43"/>
      <c r="W12" s="55">
        <f t="shared" ref="W12:AC12" si="19">L12</f>
        <v>44568</v>
      </c>
      <c r="X12" s="56">
        <f t="shared" si="19"/>
        <v>23</v>
      </c>
      <c r="Y12" s="56">
        <f t="shared" si="19"/>
        <v>16</v>
      </c>
      <c r="Z12" s="56">
        <f t="shared" si="19"/>
        <v>6</v>
      </c>
      <c r="AA12" s="56">
        <f t="shared" si="19"/>
        <v>1</v>
      </c>
      <c r="AB12" s="56">
        <f t="shared" si="19"/>
        <v>0</v>
      </c>
      <c r="AC12" s="56">
        <f t="shared" si="19"/>
        <v>0</v>
      </c>
      <c r="AD12" s="43"/>
      <c r="AE12" s="55">
        <v>44559.0</v>
      </c>
      <c r="AF12" s="84">
        <f t="shared" si="4"/>
        <v>4</v>
      </c>
      <c r="AG12" s="134">
        <f t="shared" si="5"/>
        <v>4</v>
      </c>
      <c r="AH12" s="43"/>
      <c r="AI12" s="55">
        <f>IF(EXACT('RFR Data - preExcl'!W12,"Initial"),'RFR Data - preExcl'!U12,IFERROR(0/0,""))</f>
        <v>44568</v>
      </c>
      <c r="AJ12" s="103">
        <f>IF(EXACT('RFR Data - preExcl'!$W12,"Initial"),'RFR Data - preExcl'!$AK12,IFERROR(0/0,""))</f>
        <v>21</v>
      </c>
      <c r="AK12" s="43"/>
      <c r="AL12" s="55">
        <v>44559.0</v>
      </c>
      <c r="AM12" s="311">
        <f t="shared" si="6"/>
        <v>4</v>
      </c>
      <c r="AN12" s="134">
        <f t="shared" si="7"/>
        <v>4</v>
      </c>
      <c r="AO12" s="103">
        <f t="shared" si="8"/>
        <v>5</v>
      </c>
      <c r="AP12" s="56">
        <f>AM12-AO12</f>
        <v>-1</v>
      </c>
      <c r="AQ12" s="56">
        <f t="shared" si="9"/>
        <v>4</v>
      </c>
      <c r="AR12" s="315">
        <v>3.6</v>
      </c>
      <c r="AS12" s="6" t="str">
        <f>IFERROR(VLOOKUP(AR12, 'Process Ref'!$A$76:$D$114, 2, FALSE), IFERROR(0/0,""))</f>
        <v>RFR Raw Num Samples Gform = APS Collect</v>
      </c>
    </row>
    <row r="13">
      <c r="B13" s="55">
        <f>IFERROR(__xludf.DUMMYFUNCTION("""COMPUTED_VALUE"""),44561.0)</f>
        <v>44561</v>
      </c>
      <c r="C13" s="56">
        <f>IFERROR(__xludf.DUMMYFUNCTION("""COMPUTED_VALUE"""),8.0)</f>
        <v>8</v>
      </c>
      <c r="D13" s="56">
        <f>IFERROR(__xludf.DUMMYFUNCTION("""COMPUTED_VALUE"""),6.0)</f>
        <v>6</v>
      </c>
      <c r="E13" s="56">
        <f>IFERROR(__xludf.DUMMYFUNCTION("""COMPUTED_VALUE"""),2.0)</f>
        <v>2</v>
      </c>
      <c r="F13" s="56">
        <f>IFERROR(__xludf.DUMMYFUNCTION("""COMPUTED_VALUE"""),0.0)</f>
        <v>0</v>
      </c>
      <c r="G13" s="56">
        <f>IFERROR(__xludf.DUMMYFUNCTION("""COMPUTED_VALUE"""),0.0)</f>
        <v>0</v>
      </c>
      <c r="H13" s="56">
        <f>IFERROR(__xludf.DUMMYFUNCTION("""COMPUTED_VALUE"""),0.0)</f>
        <v>0</v>
      </c>
      <c r="I13" s="56">
        <f>IFERROR(__xludf.DUMMYFUNCTION("""COMPUTED_VALUE"""),0.0)</f>
        <v>0</v>
      </c>
      <c r="J13" s="6" t="b">
        <f>IFERROR(__xludf.DUMMYFUNCTION("""COMPUTED_VALUE"""),TRUE)</f>
        <v>1</v>
      </c>
      <c r="K13" s="43"/>
      <c r="L13" s="55">
        <f>IFERROR(__xludf.DUMMYFUNCTION("""COMPUTED_VALUE"""),44571.0)</f>
        <v>44571</v>
      </c>
      <c r="M13" s="56">
        <f>IFERROR(__xludf.DUMMYFUNCTION("""COMPUTED_VALUE"""),24.0)</f>
        <v>24</v>
      </c>
      <c r="N13" s="56">
        <f>IFERROR(__xludf.DUMMYFUNCTION("""COMPUTED_VALUE"""),24.0)</f>
        <v>24</v>
      </c>
      <c r="O13" s="56">
        <f>IFERROR(__xludf.DUMMYFUNCTION("""COMPUTED_VALUE"""),0.0)</f>
        <v>0</v>
      </c>
      <c r="P13" s="56">
        <f>IFERROR(__xludf.DUMMYFUNCTION("""COMPUTED_VALUE"""),0.0)</f>
        <v>0</v>
      </c>
      <c r="Q13" s="56">
        <f>IFERROR(__xludf.DUMMYFUNCTION("""COMPUTED_VALUE"""),0.0)</f>
        <v>0</v>
      </c>
      <c r="R13" s="56">
        <f>IFERROR(__xludf.DUMMYFUNCTION("""COMPUTED_VALUE"""),0.0)</f>
        <v>0</v>
      </c>
      <c r="S13" s="56">
        <f>IFERROR(__xludf.DUMMYFUNCTION("""COMPUTED_VALUE"""),0.0)</f>
        <v>0</v>
      </c>
      <c r="T13" s="56">
        <f>IFERROR(__xludf.DUMMYFUNCTION("""COMPUTED_VALUE"""),24.0)</f>
        <v>24</v>
      </c>
      <c r="V13" s="43"/>
      <c r="W13" s="55">
        <f t="shared" ref="W13:AC13" si="20">L13</f>
        <v>44571</v>
      </c>
      <c r="X13" s="56">
        <f t="shared" si="20"/>
        <v>24</v>
      </c>
      <c r="Y13" s="56">
        <f t="shared" si="20"/>
        <v>24</v>
      </c>
      <c r="Z13" s="56">
        <f t="shared" si="20"/>
        <v>0</v>
      </c>
      <c r="AA13" s="56">
        <f t="shared" si="20"/>
        <v>0</v>
      </c>
      <c r="AB13" s="56">
        <f t="shared" si="20"/>
        <v>0</v>
      </c>
      <c r="AC13" s="56">
        <f t="shared" si="20"/>
        <v>0</v>
      </c>
      <c r="AD13" s="43"/>
      <c r="AE13" s="55">
        <v>44561.0</v>
      </c>
      <c r="AF13" s="84">
        <f t="shared" si="4"/>
        <v>8</v>
      </c>
      <c r="AG13" s="134">
        <f t="shared" si="5"/>
        <v>8</v>
      </c>
      <c r="AH13" s="43"/>
      <c r="AI13" s="55">
        <f>IF(EXACT('RFR Data - preExcl'!W13,"Initial"),'RFR Data - preExcl'!U13,IFERROR(0/0,""))</f>
        <v>44571</v>
      </c>
      <c r="AJ13" s="103">
        <f>IF(EXACT('RFR Data - preExcl'!$W13,"Initial"),'RFR Data - preExcl'!$AK13,IFERROR(0/0,""))</f>
        <v>31</v>
      </c>
      <c r="AK13" s="43"/>
      <c r="AL13" s="55">
        <v>44561.0</v>
      </c>
      <c r="AM13" s="311">
        <f t="shared" si="6"/>
        <v>8</v>
      </c>
      <c r="AN13" s="134">
        <f t="shared" si="7"/>
        <v>8</v>
      </c>
      <c r="AO13" s="103">
        <f t="shared" si="8"/>
        <v>8</v>
      </c>
      <c r="AQ13" s="56">
        <f t="shared" si="9"/>
        <v>8</v>
      </c>
      <c r="AR13" s="91">
        <v>3.0</v>
      </c>
      <c r="AS13" s="6" t="str">
        <f>IFERROR(VLOOKUP(AR13, 'Process Ref'!$A$76:$D$114, 2, FALSE), IFERROR(0/0,""))</f>
        <v>ALL 3 COUNTS SAME after Null deleted</v>
      </c>
    </row>
    <row r="14">
      <c r="B14" s="55">
        <f>IFERROR(__xludf.DUMMYFUNCTION("""COMPUTED_VALUE"""),44564.0)</f>
        <v>44564</v>
      </c>
      <c r="C14" s="56">
        <f>IFERROR(__xludf.DUMMYFUNCTION("""COMPUTED_VALUE"""),14.0)</f>
        <v>14</v>
      </c>
      <c r="D14" s="56">
        <f>IFERROR(__xludf.DUMMYFUNCTION("""COMPUTED_VALUE"""),10.0)</f>
        <v>10</v>
      </c>
      <c r="E14" s="56">
        <f>IFERROR(__xludf.DUMMYFUNCTION("""COMPUTED_VALUE"""),4.0)</f>
        <v>4</v>
      </c>
      <c r="F14" s="56">
        <f>IFERROR(__xludf.DUMMYFUNCTION("""COMPUTED_VALUE"""),0.0)</f>
        <v>0</v>
      </c>
      <c r="G14" s="56">
        <f>IFERROR(__xludf.DUMMYFUNCTION("""COMPUTED_VALUE"""),0.0)</f>
        <v>0</v>
      </c>
      <c r="H14" s="56">
        <f>IFERROR(__xludf.DUMMYFUNCTION("""COMPUTED_VALUE"""),0.0)</f>
        <v>0</v>
      </c>
      <c r="I14" s="56">
        <f>IFERROR(__xludf.DUMMYFUNCTION("""COMPUTED_VALUE"""),0.0)</f>
        <v>0</v>
      </c>
      <c r="J14" s="6" t="b">
        <f>IFERROR(__xludf.DUMMYFUNCTION("""COMPUTED_VALUE"""),TRUE)</f>
        <v>1</v>
      </c>
      <c r="K14" s="43"/>
      <c r="L14" s="55">
        <f>IFERROR(__xludf.DUMMYFUNCTION("""COMPUTED_VALUE"""),44575.0)</f>
        <v>44575</v>
      </c>
      <c r="M14" s="56">
        <f>IFERROR(__xludf.DUMMYFUNCTION("""COMPUTED_VALUE"""),33.0)</f>
        <v>33</v>
      </c>
      <c r="N14" s="56">
        <f>IFERROR(__xludf.DUMMYFUNCTION("""COMPUTED_VALUE"""),33.0)</f>
        <v>33</v>
      </c>
      <c r="O14" s="56">
        <f>IFERROR(__xludf.DUMMYFUNCTION("""COMPUTED_VALUE"""),0.0)</f>
        <v>0</v>
      </c>
      <c r="P14" s="56">
        <f>IFERROR(__xludf.DUMMYFUNCTION("""COMPUTED_VALUE"""),0.0)</f>
        <v>0</v>
      </c>
      <c r="Q14" s="56">
        <f>IFERROR(__xludf.DUMMYFUNCTION("""COMPUTED_VALUE"""),0.0)</f>
        <v>0</v>
      </c>
      <c r="R14" s="56">
        <f>IFERROR(__xludf.DUMMYFUNCTION("""COMPUTED_VALUE"""),0.0)</f>
        <v>0</v>
      </c>
      <c r="S14" s="56">
        <f>IFERROR(__xludf.DUMMYFUNCTION("""COMPUTED_VALUE"""),0.0)</f>
        <v>0</v>
      </c>
      <c r="T14" s="56">
        <f>IFERROR(__xludf.DUMMYFUNCTION("""COMPUTED_VALUE"""),33.0)</f>
        <v>33</v>
      </c>
      <c r="V14" s="43"/>
      <c r="W14" s="55">
        <f t="shared" ref="W14:AC14" si="21">L14</f>
        <v>44575</v>
      </c>
      <c r="X14" s="56">
        <f t="shared" si="21"/>
        <v>33</v>
      </c>
      <c r="Y14" s="56">
        <f t="shared" si="21"/>
        <v>33</v>
      </c>
      <c r="Z14" s="56">
        <f t="shared" si="21"/>
        <v>0</v>
      </c>
      <c r="AA14" s="56">
        <f t="shared" si="21"/>
        <v>0</v>
      </c>
      <c r="AB14" s="56">
        <f t="shared" si="21"/>
        <v>0</v>
      </c>
      <c r="AC14" s="56">
        <f t="shared" si="21"/>
        <v>0</v>
      </c>
      <c r="AD14" s="43"/>
      <c r="AE14" s="55">
        <v>44564.0</v>
      </c>
      <c r="AF14" s="84">
        <f t="shared" si="4"/>
        <v>14</v>
      </c>
      <c r="AG14" s="134">
        <f t="shared" si="5"/>
        <v>14</v>
      </c>
      <c r="AH14" s="43"/>
      <c r="AI14" s="55">
        <f>IF(EXACT('RFR Data - preExcl'!W14,"Initial"),'RFR Data - preExcl'!U14,IFERROR(0/0,""))</f>
        <v>44573</v>
      </c>
      <c r="AJ14" s="103">
        <f>IF(EXACT('RFR Data - preExcl'!$W14,"Initial"),'RFR Data - preExcl'!$AK14,IFERROR(0/0,""))</f>
        <v>22</v>
      </c>
      <c r="AK14" s="43"/>
      <c r="AL14" s="55">
        <v>44564.0</v>
      </c>
      <c r="AM14" s="311">
        <f t="shared" si="6"/>
        <v>14</v>
      </c>
      <c r="AN14" s="134">
        <f t="shared" si="7"/>
        <v>14</v>
      </c>
      <c r="AO14" s="103">
        <f t="shared" si="8"/>
        <v>14</v>
      </c>
      <c r="AQ14" s="56">
        <f t="shared" si="9"/>
        <v>14</v>
      </c>
      <c r="AR14" s="91">
        <v>0.0</v>
      </c>
      <c r="AS14" s="6" t="str">
        <f>IFERROR(VLOOKUP(AR14, 'Process Ref'!$A$76:$D$114, 2, FALSE), IFERROR(0/0,""))</f>
        <v>ALL 3 COUNTS SAME meaning APS Collect = APS Result = RFR</v>
      </c>
    </row>
    <row r="15">
      <c r="B15" s="55">
        <f>IFERROR(__xludf.DUMMYFUNCTION("""COMPUTED_VALUE"""),44565.0)</f>
        <v>44565</v>
      </c>
      <c r="C15" s="56">
        <f>IFERROR(__xludf.DUMMYFUNCTION("""COMPUTED_VALUE"""),2.0)</f>
        <v>2</v>
      </c>
      <c r="D15" s="56">
        <f>IFERROR(__xludf.DUMMYFUNCTION("""COMPUTED_VALUE"""),2.0)</f>
        <v>2</v>
      </c>
      <c r="E15" s="56">
        <f>IFERROR(__xludf.DUMMYFUNCTION("""COMPUTED_VALUE"""),0.0)</f>
        <v>0</v>
      </c>
      <c r="F15" s="56">
        <f>IFERROR(__xludf.DUMMYFUNCTION("""COMPUTED_VALUE"""),0.0)</f>
        <v>0</v>
      </c>
      <c r="G15" s="56">
        <f>IFERROR(__xludf.DUMMYFUNCTION("""COMPUTED_VALUE"""),0.0)</f>
        <v>0</v>
      </c>
      <c r="H15" s="56">
        <f>IFERROR(__xludf.DUMMYFUNCTION("""COMPUTED_VALUE"""),0.0)</f>
        <v>0</v>
      </c>
      <c r="I15" s="56">
        <f>IFERROR(__xludf.DUMMYFUNCTION("""COMPUTED_VALUE"""),0.0)</f>
        <v>0</v>
      </c>
      <c r="J15" s="6"/>
      <c r="K15" s="43"/>
      <c r="L15" s="55">
        <f>IFERROR(__xludf.DUMMYFUNCTION("""COMPUTED_VALUE"""),44579.0)</f>
        <v>44579</v>
      </c>
      <c r="M15" s="56">
        <f>IFERROR(__xludf.DUMMYFUNCTION("""COMPUTED_VALUE"""),28.0)</f>
        <v>28</v>
      </c>
      <c r="N15" s="56">
        <f>IFERROR(__xludf.DUMMYFUNCTION("""COMPUTED_VALUE"""),1.0)</f>
        <v>1</v>
      </c>
      <c r="O15" s="56">
        <f>IFERROR(__xludf.DUMMYFUNCTION("""COMPUTED_VALUE"""),27.0)</f>
        <v>27</v>
      </c>
      <c r="P15" s="56">
        <f>IFERROR(__xludf.DUMMYFUNCTION("""COMPUTED_VALUE"""),0.0)</f>
        <v>0</v>
      </c>
      <c r="Q15" s="56">
        <f>IFERROR(__xludf.DUMMYFUNCTION("""COMPUTED_VALUE"""),0.0)</f>
        <v>0</v>
      </c>
      <c r="R15" s="56">
        <f>IFERROR(__xludf.DUMMYFUNCTION("""COMPUTED_VALUE"""),0.0)</f>
        <v>0</v>
      </c>
      <c r="S15" s="56">
        <f>IFERROR(__xludf.DUMMYFUNCTION("""COMPUTED_VALUE"""),0.0)</f>
        <v>0</v>
      </c>
      <c r="T15" s="56">
        <f>IFERROR(__xludf.DUMMYFUNCTION("""COMPUTED_VALUE"""),28.0)</f>
        <v>28</v>
      </c>
      <c r="V15" s="43"/>
      <c r="W15" s="55">
        <f t="shared" ref="W15:AC15" si="22">L15</f>
        <v>44579</v>
      </c>
      <c r="X15" s="56">
        <f t="shared" si="22"/>
        <v>28</v>
      </c>
      <c r="Y15" s="56">
        <f t="shared" si="22"/>
        <v>1</v>
      </c>
      <c r="Z15" s="56">
        <f t="shared" si="22"/>
        <v>27</v>
      </c>
      <c r="AA15" s="56">
        <f t="shared" si="22"/>
        <v>0</v>
      </c>
      <c r="AB15" s="56">
        <f t="shared" si="22"/>
        <v>0</v>
      </c>
      <c r="AC15" s="56">
        <f t="shared" si="22"/>
        <v>0</v>
      </c>
      <c r="AD15" s="43"/>
      <c r="AE15" s="55">
        <v>44565.0</v>
      </c>
      <c r="AF15" s="84">
        <f t="shared" si="4"/>
        <v>2</v>
      </c>
      <c r="AG15" s="134" t="str">
        <f t="shared" si="5"/>
        <v/>
      </c>
      <c r="AH15" s="43"/>
      <c r="AI15" s="55">
        <f>IF(EXACT('RFR Data - preExcl'!W15,"Initial"),'RFR Data - preExcl'!U15,IFERROR(0/0,""))</f>
        <v>44575</v>
      </c>
      <c r="AJ15" s="103">
        <f>IF(EXACT('RFR Data - preExcl'!$W15,"Initial"),'RFR Data - preExcl'!$AK15,IFERROR(0/0,""))</f>
        <v>22</v>
      </c>
      <c r="AK15" s="43"/>
      <c r="AL15" s="55">
        <v>44565.0</v>
      </c>
      <c r="AM15" s="312">
        <f t="shared" si="6"/>
        <v>2</v>
      </c>
      <c r="AN15" s="99" t="str">
        <f t="shared" si="7"/>
        <v/>
      </c>
      <c r="AO15" s="99" t="str">
        <f t="shared" si="8"/>
        <v/>
      </c>
      <c r="AP15" s="97"/>
      <c r="AQ15" s="99" t="str">
        <f t="shared" si="9"/>
        <v/>
      </c>
      <c r="AR15" s="98">
        <v>6.1</v>
      </c>
      <c r="AS15" s="6" t="str">
        <f>IFERROR(VLOOKUP(AR15, 'Process Ref'!$A$76:$D$114, 2, FALSE), IFERROR(0/0,""))</f>
        <v>No Run - APS Collect run next day</v>
      </c>
    </row>
    <row r="16">
      <c r="B16" s="55">
        <f>IFERROR(__xludf.DUMMYFUNCTION("""COMPUTED_VALUE"""),44566.0)</f>
        <v>44566</v>
      </c>
      <c r="C16" s="56">
        <f>IFERROR(__xludf.DUMMYFUNCTION("""COMPUTED_VALUE"""),18.0)</f>
        <v>18</v>
      </c>
      <c r="D16" s="56">
        <f>IFERROR(__xludf.DUMMYFUNCTION("""COMPUTED_VALUE"""),15.0)</f>
        <v>15</v>
      </c>
      <c r="E16" s="56">
        <f>IFERROR(__xludf.DUMMYFUNCTION("""COMPUTED_VALUE"""),3.0)</f>
        <v>3</v>
      </c>
      <c r="F16" s="56">
        <f>IFERROR(__xludf.DUMMYFUNCTION("""COMPUTED_VALUE"""),0.0)</f>
        <v>0</v>
      </c>
      <c r="G16" s="56">
        <f>IFERROR(__xludf.DUMMYFUNCTION("""COMPUTED_VALUE"""),0.0)</f>
        <v>0</v>
      </c>
      <c r="H16" s="56">
        <f>IFERROR(__xludf.DUMMYFUNCTION("""COMPUTED_VALUE"""),0.0)</f>
        <v>0</v>
      </c>
      <c r="I16" s="56">
        <f>IFERROR(__xludf.DUMMYFUNCTION("""COMPUTED_VALUE"""),0.0)</f>
        <v>0</v>
      </c>
      <c r="J16" s="6"/>
      <c r="K16" s="43"/>
      <c r="L16" s="55">
        <f>IFERROR(__xludf.DUMMYFUNCTION("""COMPUTED_VALUE"""),44580.0)</f>
        <v>44580</v>
      </c>
      <c r="M16" s="56">
        <f>IFERROR(__xludf.DUMMYFUNCTION("""COMPUTED_VALUE"""),38.0)</f>
        <v>38</v>
      </c>
      <c r="N16" s="56">
        <f>IFERROR(__xludf.DUMMYFUNCTION("""COMPUTED_VALUE"""),32.0)</f>
        <v>32</v>
      </c>
      <c r="O16" s="56">
        <f>IFERROR(__xludf.DUMMYFUNCTION("""COMPUTED_VALUE"""),6.0)</f>
        <v>6</v>
      </c>
      <c r="P16" s="56">
        <f>IFERROR(__xludf.DUMMYFUNCTION("""COMPUTED_VALUE"""),0.0)</f>
        <v>0</v>
      </c>
      <c r="Q16" s="56">
        <f>IFERROR(__xludf.DUMMYFUNCTION("""COMPUTED_VALUE"""),0.0)</f>
        <v>0</v>
      </c>
      <c r="R16" s="56">
        <f>IFERROR(__xludf.DUMMYFUNCTION("""COMPUTED_VALUE"""),0.0)</f>
        <v>0</v>
      </c>
      <c r="S16" s="56">
        <f>IFERROR(__xludf.DUMMYFUNCTION("""COMPUTED_VALUE"""),0.0)</f>
        <v>0</v>
      </c>
      <c r="T16" s="56">
        <f>IFERROR(__xludf.DUMMYFUNCTION("""COMPUTED_VALUE"""),38.0)</f>
        <v>38</v>
      </c>
      <c r="V16" s="43"/>
      <c r="W16" s="55">
        <f t="shared" ref="W16:AC16" si="23">L16</f>
        <v>44580</v>
      </c>
      <c r="X16" s="56">
        <f t="shared" si="23"/>
        <v>38</v>
      </c>
      <c r="Y16" s="56">
        <f t="shared" si="23"/>
        <v>32</v>
      </c>
      <c r="Z16" s="56">
        <f t="shared" si="23"/>
        <v>6</v>
      </c>
      <c r="AA16" s="56">
        <f t="shared" si="23"/>
        <v>0</v>
      </c>
      <c r="AB16" s="56">
        <f t="shared" si="23"/>
        <v>0</v>
      </c>
      <c r="AC16" s="56">
        <f t="shared" si="23"/>
        <v>0</v>
      </c>
      <c r="AD16" s="43"/>
      <c r="AE16" s="55">
        <v>44566.0</v>
      </c>
      <c r="AF16" s="84">
        <f t="shared" si="4"/>
        <v>18</v>
      </c>
      <c r="AG16" s="134">
        <f t="shared" si="5"/>
        <v>17</v>
      </c>
      <c r="AH16" s="43"/>
      <c r="AI16" s="55">
        <f>IF(EXACT('RFR Data - preExcl'!W16,"Initial"),'RFR Data - preExcl'!U16,IFERROR(0/0,""))</f>
        <v>44580</v>
      </c>
      <c r="AJ16" s="103">
        <f>IF(EXACT('RFR Data - preExcl'!$W16,"Initial"),'RFR Data - preExcl'!$AK16,IFERROR(0/0,""))</f>
        <v>33</v>
      </c>
      <c r="AK16" s="43"/>
      <c r="AL16" s="55">
        <v>44566.0</v>
      </c>
      <c r="AM16" s="313">
        <f t="shared" si="6"/>
        <v>18</v>
      </c>
      <c r="AN16" s="134">
        <f t="shared" si="7"/>
        <v>17</v>
      </c>
      <c r="AO16" s="103">
        <f t="shared" si="8"/>
        <v>21</v>
      </c>
      <c r="AP16" s="56"/>
      <c r="AQ16" s="56">
        <f t="shared" si="9"/>
        <v>21</v>
      </c>
      <c r="AR16" s="132">
        <v>2.0</v>
      </c>
      <c r="AS16" s="6" t="str">
        <f>IFERROR(VLOOKUP(AR16, 'Process Ref'!$A$76:$D$114, 2, FALSE), IFERROR(0/0,""))</f>
        <v>Use Audit RFR count (extra tubes in RFR not in Appivo)</v>
      </c>
      <c r="AT16" s="86" t="s">
        <v>437</v>
      </c>
    </row>
    <row r="17">
      <c r="B17" s="55">
        <f>IFERROR(__xludf.DUMMYFUNCTION("""COMPUTED_VALUE"""),44567.0)</f>
        <v>44567</v>
      </c>
      <c r="C17" s="56">
        <f>IFERROR(__xludf.DUMMYFUNCTION("""COMPUTED_VALUE"""),4.0)</f>
        <v>4</v>
      </c>
      <c r="D17" s="56">
        <f>IFERROR(__xludf.DUMMYFUNCTION("""COMPUTED_VALUE"""),4.0)</f>
        <v>4</v>
      </c>
      <c r="E17" s="56">
        <f>IFERROR(__xludf.DUMMYFUNCTION("""COMPUTED_VALUE"""),0.0)</f>
        <v>0</v>
      </c>
      <c r="F17" s="56">
        <f>IFERROR(__xludf.DUMMYFUNCTION("""COMPUTED_VALUE"""),0.0)</f>
        <v>0</v>
      </c>
      <c r="G17" s="56">
        <f>IFERROR(__xludf.DUMMYFUNCTION("""COMPUTED_VALUE"""),0.0)</f>
        <v>0</v>
      </c>
      <c r="H17" s="56">
        <f>IFERROR(__xludf.DUMMYFUNCTION("""COMPUTED_VALUE"""),0.0)</f>
        <v>0</v>
      </c>
      <c r="I17" s="56">
        <f>IFERROR(__xludf.DUMMYFUNCTION("""COMPUTED_VALUE"""),0.0)</f>
        <v>0</v>
      </c>
      <c r="J17" s="6"/>
      <c r="K17" s="43"/>
      <c r="L17" s="55">
        <f>IFERROR(__xludf.DUMMYFUNCTION("""COMPUTED_VALUE"""),44582.0)</f>
        <v>44582</v>
      </c>
      <c r="M17" s="56">
        <f>IFERROR(__xludf.DUMMYFUNCTION("""COMPUTED_VALUE"""),15.0)</f>
        <v>15</v>
      </c>
      <c r="N17" s="56">
        <f>IFERROR(__xludf.DUMMYFUNCTION("""COMPUTED_VALUE"""),7.0)</f>
        <v>7</v>
      </c>
      <c r="O17" s="56">
        <f>IFERROR(__xludf.DUMMYFUNCTION("""COMPUTED_VALUE"""),8.0)</f>
        <v>8</v>
      </c>
      <c r="P17" s="56">
        <f>IFERROR(__xludf.DUMMYFUNCTION("""COMPUTED_VALUE"""),0.0)</f>
        <v>0</v>
      </c>
      <c r="Q17" s="56">
        <f>IFERROR(__xludf.DUMMYFUNCTION("""COMPUTED_VALUE"""),0.0)</f>
        <v>0</v>
      </c>
      <c r="R17" s="56">
        <f>IFERROR(__xludf.DUMMYFUNCTION("""COMPUTED_VALUE"""),0.0)</f>
        <v>0</v>
      </c>
      <c r="S17" s="56">
        <f>IFERROR(__xludf.DUMMYFUNCTION("""COMPUTED_VALUE"""),0.0)</f>
        <v>0</v>
      </c>
      <c r="T17" s="56">
        <f>IFERROR(__xludf.DUMMYFUNCTION("""COMPUTED_VALUE"""),15.0)</f>
        <v>15</v>
      </c>
      <c r="V17" s="43"/>
      <c r="W17" s="55">
        <f t="shared" ref="W17:AC17" si="24">L17</f>
        <v>44582</v>
      </c>
      <c r="X17" s="56">
        <f t="shared" si="24"/>
        <v>15</v>
      </c>
      <c r="Y17" s="56">
        <f t="shared" si="24"/>
        <v>7</v>
      </c>
      <c r="Z17" s="56">
        <f t="shared" si="24"/>
        <v>8</v>
      </c>
      <c r="AA17" s="56">
        <f t="shared" si="24"/>
        <v>0</v>
      </c>
      <c r="AB17" s="56">
        <f t="shared" si="24"/>
        <v>0</v>
      </c>
      <c r="AC17" s="56">
        <f t="shared" si="24"/>
        <v>0</v>
      </c>
      <c r="AD17" s="43"/>
      <c r="AE17" s="55">
        <v>44567.0</v>
      </c>
      <c r="AF17" s="84">
        <f t="shared" si="4"/>
        <v>4</v>
      </c>
      <c r="AG17" s="134" t="str">
        <f t="shared" si="5"/>
        <v/>
      </c>
      <c r="AH17" s="43"/>
      <c r="AI17" s="55">
        <f>IF(EXACT('RFR Data - preExcl'!W17,"Initial"),'RFR Data - preExcl'!U17,IFERROR(0/0,""))</f>
        <v>44580</v>
      </c>
      <c r="AJ17" s="103">
        <f>IF(EXACT('RFR Data - preExcl'!$W17,"Initial"),'RFR Data - preExcl'!$AK17,IFERROR(0/0,""))</f>
        <v>16</v>
      </c>
      <c r="AK17" s="43"/>
      <c r="AL17" s="55">
        <v>44567.0</v>
      </c>
      <c r="AM17" s="312">
        <f t="shared" si="6"/>
        <v>4</v>
      </c>
      <c r="AN17" s="99" t="str">
        <f t="shared" si="7"/>
        <v/>
      </c>
      <c r="AO17" s="99" t="str">
        <f t="shared" si="8"/>
        <v/>
      </c>
      <c r="AP17" s="97"/>
      <c r="AQ17" s="99" t="str">
        <f t="shared" si="9"/>
        <v/>
      </c>
      <c r="AR17" s="98">
        <v>6.1</v>
      </c>
      <c r="AS17" s="6" t="str">
        <f>IFERROR(VLOOKUP(AR17, 'Process Ref'!$A$76:$D$114, 2, FALSE), IFERROR(0/0,""))</f>
        <v>No Run - APS Collect run next day</v>
      </c>
    </row>
    <row r="18">
      <c r="B18" s="55">
        <f>IFERROR(__xludf.DUMMYFUNCTION("""COMPUTED_VALUE"""),44568.0)</f>
        <v>44568</v>
      </c>
      <c r="C18" s="56">
        <f>IFERROR(__xludf.DUMMYFUNCTION("""COMPUTED_VALUE"""),16.0)</f>
        <v>16</v>
      </c>
      <c r="D18" s="56">
        <f>IFERROR(__xludf.DUMMYFUNCTION("""COMPUTED_VALUE"""),12.0)</f>
        <v>12</v>
      </c>
      <c r="E18" s="56">
        <f>IFERROR(__xludf.DUMMYFUNCTION("""COMPUTED_VALUE"""),3.0)</f>
        <v>3</v>
      </c>
      <c r="F18" s="56">
        <f>IFERROR(__xludf.DUMMYFUNCTION("""COMPUTED_VALUE"""),1.0)</f>
        <v>1</v>
      </c>
      <c r="G18" s="56">
        <f>IFERROR(__xludf.DUMMYFUNCTION("""COMPUTED_VALUE"""),0.0)</f>
        <v>0</v>
      </c>
      <c r="H18" s="56">
        <f>IFERROR(__xludf.DUMMYFUNCTION("""COMPUTED_VALUE"""),0.0)</f>
        <v>0</v>
      </c>
      <c r="I18" s="56">
        <f>IFERROR(__xludf.DUMMYFUNCTION("""COMPUTED_VALUE"""),0.0)</f>
        <v>0</v>
      </c>
      <c r="J18" s="6" t="b">
        <f>IFERROR(__xludf.DUMMYFUNCTION("""COMPUTED_VALUE"""),TRUE)</f>
        <v>1</v>
      </c>
      <c r="K18" s="43"/>
      <c r="L18" s="55">
        <f>IFERROR(__xludf.DUMMYFUNCTION("""COMPUTED_VALUE"""),44585.0)</f>
        <v>44585</v>
      </c>
      <c r="M18" s="56">
        <f>IFERROR(__xludf.DUMMYFUNCTION("""COMPUTED_VALUE"""),12.0)</f>
        <v>12</v>
      </c>
      <c r="N18" s="56">
        <f>IFERROR(__xludf.DUMMYFUNCTION("""COMPUTED_VALUE"""),12.0)</f>
        <v>12</v>
      </c>
      <c r="O18" s="56">
        <f>IFERROR(__xludf.DUMMYFUNCTION("""COMPUTED_VALUE"""),0.0)</f>
        <v>0</v>
      </c>
      <c r="P18" s="56">
        <f>IFERROR(__xludf.DUMMYFUNCTION("""COMPUTED_VALUE"""),0.0)</f>
        <v>0</v>
      </c>
      <c r="Q18" s="56">
        <f>IFERROR(__xludf.DUMMYFUNCTION("""COMPUTED_VALUE"""),0.0)</f>
        <v>0</v>
      </c>
      <c r="R18" s="56">
        <f>IFERROR(__xludf.DUMMYFUNCTION("""COMPUTED_VALUE"""),0.0)</f>
        <v>0</v>
      </c>
      <c r="S18" s="56">
        <f>IFERROR(__xludf.DUMMYFUNCTION("""COMPUTED_VALUE"""),0.0)</f>
        <v>0</v>
      </c>
      <c r="T18" s="56">
        <f>IFERROR(__xludf.DUMMYFUNCTION("""COMPUTED_VALUE"""),12.0)</f>
        <v>12</v>
      </c>
      <c r="V18" s="43"/>
      <c r="W18" s="55">
        <f t="shared" ref="W18:AC18" si="25">L18</f>
        <v>44585</v>
      </c>
      <c r="X18" s="56">
        <f t="shared" si="25"/>
        <v>12</v>
      </c>
      <c r="Y18" s="56">
        <f t="shared" si="25"/>
        <v>12</v>
      </c>
      <c r="Z18" s="56">
        <f t="shared" si="25"/>
        <v>0</v>
      </c>
      <c r="AA18" s="56">
        <f t="shared" si="25"/>
        <v>0</v>
      </c>
      <c r="AB18" s="56">
        <f t="shared" si="25"/>
        <v>0</v>
      </c>
      <c r="AC18" s="56">
        <f t="shared" si="25"/>
        <v>0</v>
      </c>
      <c r="AD18" s="43"/>
      <c r="AE18" s="55">
        <v>44568.0</v>
      </c>
      <c r="AF18" s="84">
        <f t="shared" si="4"/>
        <v>16</v>
      </c>
      <c r="AG18" s="134">
        <f t="shared" si="5"/>
        <v>23</v>
      </c>
      <c r="AH18" s="43"/>
      <c r="AI18" s="55">
        <f>IF(EXACT('RFR Data - preExcl'!W18,"Initial"),'RFR Data - preExcl'!U18,IFERROR(0/0,""))</f>
        <v>44582</v>
      </c>
      <c r="AJ18" s="103">
        <f>IF(EXACT('RFR Data - preExcl'!$W18,"Initial"),'RFR Data - preExcl'!$AK18,IFERROR(0/0,""))</f>
        <v>14</v>
      </c>
      <c r="AK18" s="43"/>
      <c r="AL18" s="55">
        <v>44568.0</v>
      </c>
      <c r="AM18" s="313">
        <f t="shared" si="6"/>
        <v>16</v>
      </c>
      <c r="AN18" s="134">
        <f t="shared" si="7"/>
        <v>23</v>
      </c>
      <c r="AO18" s="103">
        <f t="shared" si="8"/>
        <v>21</v>
      </c>
      <c r="AP18" s="56"/>
      <c r="AQ18" s="56">
        <f t="shared" si="9"/>
        <v>21</v>
      </c>
      <c r="AR18" s="132">
        <v>2.0</v>
      </c>
      <c r="AS18" s="6" t="str">
        <f>IFERROR(VLOOKUP(AR18, 'Process Ref'!$A$76:$D$114, 2, FALSE), IFERROR(0/0,""))</f>
        <v>Use Audit RFR count (extra tubes in RFR not in Appivo)</v>
      </c>
      <c r="AT18" s="86" t="s">
        <v>438</v>
      </c>
    </row>
    <row r="19">
      <c r="B19" s="55">
        <f>IFERROR(__xludf.DUMMYFUNCTION("""COMPUTED_VALUE"""),44571.0)</f>
        <v>44571</v>
      </c>
      <c r="C19" s="56">
        <f>IFERROR(__xludf.DUMMYFUNCTION("""COMPUTED_VALUE"""),31.0)</f>
        <v>31</v>
      </c>
      <c r="D19" s="56">
        <f>IFERROR(__xludf.DUMMYFUNCTION("""COMPUTED_VALUE"""),24.0)</f>
        <v>24</v>
      </c>
      <c r="E19" s="56">
        <f>IFERROR(__xludf.DUMMYFUNCTION("""COMPUTED_VALUE"""),7.0)</f>
        <v>7</v>
      </c>
      <c r="F19" s="56">
        <f>IFERROR(__xludf.DUMMYFUNCTION("""COMPUTED_VALUE"""),0.0)</f>
        <v>0</v>
      </c>
      <c r="G19" s="56">
        <f>IFERROR(__xludf.DUMMYFUNCTION("""COMPUTED_VALUE"""),0.0)</f>
        <v>0</v>
      </c>
      <c r="H19" s="56">
        <f>IFERROR(__xludf.DUMMYFUNCTION("""COMPUTED_VALUE"""),0.0)</f>
        <v>0</v>
      </c>
      <c r="I19" s="56">
        <f>IFERROR(__xludf.DUMMYFUNCTION("""COMPUTED_VALUE"""),0.0)</f>
        <v>0</v>
      </c>
      <c r="J19" s="6"/>
      <c r="K19" s="43"/>
      <c r="L19" s="55">
        <f>IFERROR(__xludf.DUMMYFUNCTION("""COMPUTED_VALUE"""),44587.0)</f>
        <v>44587</v>
      </c>
      <c r="M19" s="56">
        <f>IFERROR(__xludf.DUMMYFUNCTION("""COMPUTED_VALUE"""),17.0)</f>
        <v>17</v>
      </c>
      <c r="N19" s="56">
        <f>IFERROR(__xludf.DUMMYFUNCTION("""COMPUTED_VALUE"""),13.0)</f>
        <v>13</v>
      </c>
      <c r="O19" s="56">
        <f>IFERROR(__xludf.DUMMYFUNCTION("""COMPUTED_VALUE"""),4.0)</f>
        <v>4</v>
      </c>
      <c r="P19" s="56">
        <f>IFERROR(__xludf.DUMMYFUNCTION("""COMPUTED_VALUE"""),0.0)</f>
        <v>0</v>
      </c>
      <c r="Q19" s="56">
        <f>IFERROR(__xludf.DUMMYFUNCTION("""COMPUTED_VALUE"""),0.0)</f>
        <v>0</v>
      </c>
      <c r="R19" s="56">
        <f>IFERROR(__xludf.DUMMYFUNCTION("""COMPUTED_VALUE"""),0.0)</f>
        <v>0</v>
      </c>
      <c r="S19" s="56">
        <f>IFERROR(__xludf.DUMMYFUNCTION("""COMPUTED_VALUE"""),0.0)</f>
        <v>0</v>
      </c>
      <c r="T19" s="56">
        <f>IFERROR(__xludf.DUMMYFUNCTION("""COMPUTED_VALUE"""),17.0)</f>
        <v>17</v>
      </c>
      <c r="V19" s="43"/>
      <c r="W19" s="55">
        <f t="shared" ref="W19:AC19" si="26">L19</f>
        <v>44587</v>
      </c>
      <c r="X19" s="56">
        <f t="shared" si="26"/>
        <v>17</v>
      </c>
      <c r="Y19" s="56">
        <f t="shared" si="26"/>
        <v>13</v>
      </c>
      <c r="Z19" s="56">
        <f t="shared" si="26"/>
        <v>4</v>
      </c>
      <c r="AA19" s="56">
        <f t="shared" si="26"/>
        <v>0</v>
      </c>
      <c r="AB19" s="56">
        <f t="shared" si="26"/>
        <v>0</v>
      </c>
      <c r="AC19" s="56">
        <f t="shared" si="26"/>
        <v>0</v>
      </c>
      <c r="AD19" s="43"/>
      <c r="AE19" s="55">
        <v>44571.0</v>
      </c>
      <c r="AF19" s="84">
        <f t="shared" si="4"/>
        <v>31</v>
      </c>
      <c r="AG19" s="134">
        <f t="shared" si="5"/>
        <v>24</v>
      </c>
      <c r="AH19" s="43"/>
      <c r="AI19" s="6" t="str">
        <f>IF(EXACT('RFR Data - preExcl'!W19,"Initial"),'RFR Data - preExcl'!U19,IFERROR(0/0,""))</f>
        <v/>
      </c>
      <c r="AJ19" s="103" t="str">
        <f>IF(EXACT('RFR Data - preExcl'!$W19,"Initial"),'RFR Data - preExcl'!$AK19,IFERROR(0/0,""))</f>
        <v/>
      </c>
      <c r="AK19" s="43"/>
      <c r="AL19" s="55">
        <v>44571.0</v>
      </c>
      <c r="AM19" s="311">
        <f t="shared" si="6"/>
        <v>31</v>
      </c>
      <c r="AN19" s="134">
        <f t="shared" si="7"/>
        <v>24</v>
      </c>
      <c r="AO19" s="103">
        <f t="shared" si="8"/>
        <v>31</v>
      </c>
      <c r="AP19" s="56"/>
      <c r="AQ19" s="56">
        <f t="shared" si="9"/>
        <v>31</v>
      </c>
      <c r="AR19" s="112">
        <v>8.0</v>
      </c>
      <c r="AS19" s="6" t="str">
        <f>IFERROR(VLOOKUP(AR19, 'Process Ref'!$A$76:$D$114, 2, FALSE), IFERROR(0/0,""))</f>
        <v>Use Audit RFR count (tube in Appivo not in RFR)</v>
      </c>
    </row>
    <row r="20">
      <c r="B20" s="55">
        <f>IFERROR(__xludf.DUMMYFUNCTION("""COMPUTED_VALUE"""),44573.0)</f>
        <v>44573</v>
      </c>
      <c r="C20" s="56">
        <f>IFERROR(__xludf.DUMMYFUNCTION("""COMPUTED_VALUE"""),22.0)</f>
        <v>22</v>
      </c>
      <c r="D20" s="56">
        <f>IFERROR(__xludf.DUMMYFUNCTION("""COMPUTED_VALUE"""),18.0)</f>
        <v>18</v>
      </c>
      <c r="E20" s="56">
        <f>IFERROR(__xludf.DUMMYFUNCTION("""COMPUTED_VALUE"""),4.0)</f>
        <v>4</v>
      </c>
      <c r="F20" s="56">
        <f>IFERROR(__xludf.DUMMYFUNCTION("""COMPUTED_VALUE"""),0.0)</f>
        <v>0</v>
      </c>
      <c r="G20" s="56">
        <f>IFERROR(__xludf.DUMMYFUNCTION("""COMPUTED_VALUE"""),0.0)</f>
        <v>0</v>
      </c>
      <c r="H20" s="56">
        <f>IFERROR(__xludf.DUMMYFUNCTION("""COMPUTED_VALUE"""),0.0)</f>
        <v>0</v>
      </c>
      <c r="I20" s="56">
        <f>IFERROR(__xludf.DUMMYFUNCTION("""COMPUTED_VALUE"""),0.0)</f>
        <v>0</v>
      </c>
      <c r="J20" s="6"/>
      <c r="K20" s="43"/>
      <c r="L20" s="55">
        <f>IFERROR(__xludf.DUMMYFUNCTION("""COMPUTED_VALUE"""),44589.0)</f>
        <v>44589</v>
      </c>
      <c r="M20" s="56">
        <f>IFERROR(__xludf.DUMMYFUNCTION("""COMPUTED_VALUE"""),7.0)</f>
        <v>7</v>
      </c>
      <c r="N20" s="56">
        <f>IFERROR(__xludf.DUMMYFUNCTION("""COMPUTED_VALUE"""),7.0)</f>
        <v>7</v>
      </c>
      <c r="O20" s="56">
        <f>IFERROR(__xludf.DUMMYFUNCTION("""COMPUTED_VALUE"""),0.0)</f>
        <v>0</v>
      </c>
      <c r="P20" s="56">
        <f>IFERROR(__xludf.DUMMYFUNCTION("""COMPUTED_VALUE"""),0.0)</f>
        <v>0</v>
      </c>
      <c r="Q20" s="56">
        <f>IFERROR(__xludf.DUMMYFUNCTION("""COMPUTED_VALUE"""),0.0)</f>
        <v>0</v>
      </c>
      <c r="R20" s="56">
        <f>IFERROR(__xludf.DUMMYFUNCTION("""COMPUTED_VALUE"""),0.0)</f>
        <v>0</v>
      </c>
      <c r="S20" s="56">
        <f>IFERROR(__xludf.DUMMYFUNCTION("""COMPUTED_VALUE"""),0.0)</f>
        <v>0</v>
      </c>
      <c r="T20" s="56">
        <f>IFERROR(__xludf.DUMMYFUNCTION("""COMPUTED_VALUE"""),7.0)</f>
        <v>7</v>
      </c>
      <c r="V20" s="43"/>
      <c r="W20" s="55">
        <f t="shared" ref="W20:AC20" si="27">L20</f>
        <v>44589</v>
      </c>
      <c r="X20" s="56">
        <f t="shared" si="27"/>
        <v>7</v>
      </c>
      <c r="Y20" s="56">
        <f t="shared" si="27"/>
        <v>7</v>
      </c>
      <c r="Z20" s="56">
        <f t="shared" si="27"/>
        <v>0</v>
      </c>
      <c r="AA20" s="56">
        <f t="shared" si="27"/>
        <v>0</v>
      </c>
      <c r="AB20" s="56">
        <f t="shared" si="27"/>
        <v>0</v>
      </c>
      <c r="AC20" s="56">
        <f t="shared" si="27"/>
        <v>0</v>
      </c>
      <c r="AD20" s="43"/>
      <c r="AE20" s="55">
        <v>44573.0</v>
      </c>
      <c r="AF20" s="84">
        <f t="shared" si="4"/>
        <v>22</v>
      </c>
      <c r="AG20" s="134" t="str">
        <f t="shared" si="5"/>
        <v/>
      </c>
      <c r="AH20" s="43"/>
      <c r="AI20" s="55">
        <f>IF(EXACT('RFR Data - preExcl'!W20,"Initial"),'RFR Data - preExcl'!U20,IFERROR(0/0,""))</f>
        <v>44585</v>
      </c>
      <c r="AJ20" s="103">
        <f>IF(EXACT('RFR Data - preExcl'!$W20,"Initial"),'RFR Data - preExcl'!$AK20,IFERROR(0/0,""))</f>
        <v>16</v>
      </c>
      <c r="AK20" s="43"/>
      <c r="AL20" s="55">
        <v>44573.0</v>
      </c>
      <c r="AM20" s="311">
        <f t="shared" si="6"/>
        <v>22</v>
      </c>
      <c r="AN20" s="134" t="str">
        <f t="shared" si="7"/>
        <v/>
      </c>
      <c r="AO20" s="103">
        <f t="shared" si="8"/>
        <v>22</v>
      </c>
      <c r="AP20" s="56"/>
      <c r="AQ20" s="56">
        <f t="shared" si="9"/>
        <v>22</v>
      </c>
      <c r="AR20" s="112">
        <v>8.0</v>
      </c>
      <c r="AS20" s="6" t="str">
        <f>IFERROR(VLOOKUP(AR20, 'Process Ref'!$A$76:$D$114, 2, FALSE), IFERROR(0/0,""))</f>
        <v>Use Audit RFR count (tube in Appivo not in RFR)</v>
      </c>
    </row>
    <row r="21">
      <c r="B21" s="55">
        <f>IFERROR(__xludf.DUMMYFUNCTION("""COMPUTED_VALUE"""),44574.0)</f>
        <v>44574</v>
      </c>
      <c r="C21" s="56">
        <f>IFERROR(__xludf.DUMMYFUNCTION("""COMPUTED_VALUE"""),5.0)</f>
        <v>5</v>
      </c>
      <c r="D21" s="56">
        <f>IFERROR(__xludf.DUMMYFUNCTION("""COMPUTED_VALUE"""),3.0)</f>
        <v>3</v>
      </c>
      <c r="E21" s="56">
        <f>IFERROR(__xludf.DUMMYFUNCTION("""COMPUTED_VALUE"""),2.0)</f>
        <v>2</v>
      </c>
      <c r="F21" s="56">
        <f>IFERROR(__xludf.DUMMYFUNCTION("""COMPUTED_VALUE"""),0.0)</f>
        <v>0</v>
      </c>
      <c r="G21" s="56">
        <f>IFERROR(__xludf.DUMMYFUNCTION("""COMPUTED_VALUE"""),0.0)</f>
        <v>0</v>
      </c>
      <c r="H21" s="56">
        <f>IFERROR(__xludf.DUMMYFUNCTION("""COMPUTED_VALUE"""),0.0)</f>
        <v>0</v>
      </c>
      <c r="I21" s="56">
        <f>IFERROR(__xludf.DUMMYFUNCTION("""COMPUTED_VALUE"""),0.0)</f>
        <v>0</v>
      </c>
      <c r="J21" s="6"/>
      <c r="K21" s="43"/>
      <c r="L21" s="55">
        <f>IFERROR(__xludf.DUMMYFUNCTION("""COMPUTED_VALUE"""),44592.0)</f>
        <v>44592</v>
      </c>
      <c r="M21" s="56">
        <f>IFERROR(__xludf.DUMMYFUNCTION("""COMPUTED_VALUE"""),10.0)</f>
        <v>10</v>
      </c>
      <c r="N21" s="56">
        <f>IFERROR(__xludf.DUMMYFUNCTION("""COMPUTED_VALUE"""),10.0)</f>
        <v>10</v>
      </c>
      <c r="O21" s="56">
        <f>IFERROR(__xludf.DUMMYFUNCTION("""COMPUTED_VALUE"""),0.0)</f>
        <v>0</v>
      </c>
      <c r="P21" s="56">
        <f>IFERROR(__xludf.DUMMYFUNCTION("""COMPUTED_VALUE"""),0.0)</f>
        <v>0</v>
      </c>
      <c r="Q21" s="56">
        <f>IFERROR(__xludf.DUMMYFUNCTION("""COMPUTED_VALUE"""),0.0)</f>
        <v>0</v>
      </c>
      <c r="R21" s="56">
        <f>IFERROR(__xludf.DUMMYFUNCTION("""COMPUTED_VALUE"""),0.0)</f>
        <v>0</v>
      </c>
      <c r="S21" s="56">
        <f>IFERROR(__xludf.DUMMYFUNCTION("""COMPUTED_VALUE"""),0.0)</f>
        <v>0</v>
      </c>
      <c r="T21" s="56">
        <f>IFERROR(__xludf.DUMMYFUNCTION("""COMPUTED_VALUE"""),10.0)</f>
        <v>10</v>
      </c>
      <c r="V21" s="43"/>
      <c r="W21" s="55">
        <f t="shared" ref="W21:AC21" si="28">L21</f>
        <v>44592</v>
      </c>
      <c r="X21" s="56">
        <f t="shared" si="28"/>
        <v>10</v>
      </c>
      <c r="Y21" s="56">
        <f t="shared" si="28"/>
        <v>10</v>
      </c>
      <c r="Z21" s="56">
        <f t="shared" si="28"/>
        <v>0</v>
      </c>
      <c r="AA21" s="56">
        <f t="shared" si="28"/>
        <v>0</v>
      </c>
      <c r="AB21" s="56">
        <f t="shared" si="28"/>
        <v>0</v>
      </c>
      <c r="AC21" s="56">
        <f t="shared" si="28"/>
        <v>0</v>
      </c>
      <c r="AD21" s="43"/>
      <c r="AE21" s="55">
        <v>44574.0</v>
      </c>
      <c r="AF21" s="84">
        <f t="shared" si="4"/>
        <v>5</v>
      </c>
      <c r="AG21" s="134" t="str">
        <f t="shared" si="5"/>
        <v/>
      </c>
      <c r="AH21" s="43"/>
      <c r="AI21" s="55">
        <f>IF(EXACT('RFR Data - preExcl'!W21,"Initial"),'RFR Data - preExcl'!U21,IFERROR(0/0,""))</f>
        <v>44587</v>
      </c>
      <c r="AJ21" s="103">
        <f>IF(EXACT('RFR Data - preExcl'!$W21,"Initial"),'RFR Data - preExcl'!$AK21,IFERROR(0/0,""))</f>
        <v>13</v>
      </c>
      <c r="AK21" s="43"/>
      <c r="AL21" s="55">
        <v>44574.0</v>
      </c>
      <c r="AM21" s="312">
        <f t="shared" si="6"/>
        <v>5</v>
      </c>
      <c r="AN21" s="99" t="str">
        <f t="shared" si="7"/>
        <v/>
      </c>
      <c r="AO21" s="99" t="str">
        <f t="shared" si="8"/>
        <v/>
      </c>
      <c r="AP21" s="97"/>
      <c r="AQ21" s="99" t="str">
        <f t="shared" si="9"/>
        <v/>
      </c>
      <c r="AR21" s="98">
        <v>6.1</v>
      </c>
      <c r="AS21" s="6" t="str">
        <f>IFERROR(VLOOKUP(AR21, 'Process Ref'!$A$76:$D$114, 2, FALSE), IFERROR(0/0,""))</f>
        <v>No Run - APS Collect run next day</v>
      </c>
    </row>
    <row r="22">
      <c r="B22" s="55">
        <f>IFERROR(__xludf.DUMMYFUNCTION("""COMPUTED_VALUE"""),44575.0)</f>
        <v>44575</v>
      </c>
      <c r="C22" s="56">
        <f>IFERROR(__xludf.DUMMYFUNCTION("""COMPUTED_VALUE"""),17.0)</f>
        <v>17</v>
      </c>
      <c r="D22" s="56">
        <f>IFERROR(__xludf.DUMMYFUNCTION("""COMPUTED_VALUE"""),12.0)</f>
        <v>12</v>
      </c>
      <c r="E22" s="56">
        <f>IFERROR(__xludf.DUMMYFUNCTION("""COMPUTED_VALUE"""),5.0)</f>
        <v>5</v>
      </c>
      <c r="F22" s="56">
        <f>IFERROR(__xludf.DUMMYFUNCTION("""COMPUTED_VALUE"""),0.0)</f>
        <v>0</v>
      </c>
      <c r="G22" s="56">
        <f>IFERROR(__xludf.DUMMYFUNCTION("""COMPUTED_VALUE"""),0.0)</f>
        <v>0</v>
      </c>
      <c r="H22" s="56">
        <f>IFERROR(__xludf.DUMMYFUNCTION("""COMPUTED_VALUE"""),0.0)</f>
        <v>0</v>
      </c>
      <c r="I22" s="56">
        <f>IFERROR(__xludf.DUMMYFUNCTION("""COMPUTED_VALUE"""),0.0)</f>
        <v>0</v>
      </c>
      <c r="J22" s="6"/>
      <c r="K22" s="43"/>
      <c r="L22" s="55">
        <f>IFERROR(__xludf.DUMMYFUNCTION("""COMPUTED_VALUE"""),44594.0)</f>
        <v>44594</v>
      </c>
      <c r="M22" s="56">
        <f>IFERROR(__xludf.DUMMYFUNCTION("""COMPUTED_VALUE"""),1.0)</f>
        <v>1</v>
      </c>
      <c r="N22" s="56">
        <f>IFERROR(__xludf.DUMMYFUNCTION("""COMPUTED_VALUE"""),0.0)</f>
        <v>0</v>
      </c>
      <c r="O22" s="56">
        <f>IFERROR(__xludf.DUMMYFUNCTION("""COMPUTED_VALUE"""),1.0)</f>
        <v>1</v>
      </c>
      <c r="P22" s="56">
        <f>IFERROR(__xludf.DUMMYFUNCTION("""COMPUTED_VALUE"""),0.0)</f>
        <v>0</v>
      </c>
      <c r="Q22" s="56">
        <f>IFERROR(__xludf.DUMMYFUNCTION("""COMPUTED_VALUE"""),0.0)</f>
        <v>0</v>
      </c>
      <c r="R22" s="56">
        <f>IFERROR(__xludf.DUMMYFUNCTION("""COMPUTED_VALUE"""),0.0)</f>
        <v>0</v>
      </c>
      <c r="S22" s="56">
        <f>IFERROR(__xludf.DUMMYFUNCTION("""COMPUTED_VALUE"""),0.0)</f>
        <v>0</v>
      </c>
      <c r="T22" s="56">
        <f>IFERROR(__xludf.DUMMYFUNCTION("""COMPUTED_VALUE"""),1.0)</f>
        <v>1</v>
      </c>
      <c r="V22" s="43"/>
      <c r="W22" s="55">
        <f t="shared" ref="W22:AC22" si="29">L22</f>
        <v>44594</v>
      </c>
      <c r="X22" s="56">
        <f t="shared" si="29"/>
        <v>1</v>
      </c>
      <c r="Y22" s="56">
        <f t="shared" si="29"/>
        <v>0</v>
      </c>
      <c r="Z22" s="56">
        <f t="shared" si="29"/>
        <v>1</v>
      </c>
      <c r="AA22" s="56">
        <f t="shared" si="29"/>
        <v>0</v>
      </c>
      <c r="AB22" s="56">
        <f t="shared" si="29"/>
        <v>0</v>
      </c>
      <c r="AC22" s="56">
        <f t="shared" si="29"/>
        <v>0</v>
      </c>
      <c r="AD22" s="43"/>
      <c r="AE22" s="55">
        <v>44575.0</v>
      </c>
      <c r="AF22" s="84">
        <f t="shared" si="4"/>
        <v>17</v>
      </c>
      <c r="AG22" s="134">
        <f t="shared" si="5"/>
        <v>33</v>
      </c>
      <c r="AH22" s="43"/>
      <c r="AI22" s="6" t="str">
        <f>IF(EXACT('RFR Data - preExcl'!W22,"Initial"),'RFR Data - preExcl'!U22,IFERROR(0/0,""))</f>
        <v/>
      </c>
      <c r="AJ22" s="103" t="str">
        <f>IF(EXACT('RFR Data - preExcl'!$W22,"Initial"),'RFR Data - preExcl'!$AK22,IFERROR(0/0,""))</f>
        <v/>
      </c>
      <c r="AK22" s="43"/>
      <c r="AL22" s="55">
        <v>44575.0</v>
      </c>
      <c r="AM22" s="313">
        <f t="shared" si="6"/>
        <v>17</v>
      </c>
      <c r="AN22" s="134">
        <f t="shared" si="7"/>
        <v>33</v>
      </c>
      <c r="AO22" s="103">
        <f t="shared" si="8"/>
        <v>22</v>
      </c>
      <c r="AP22" s="56"/>
      <c r="AQ22" s="56">
        <f t="shared" si="9"/>
        <v>22</v>
      </c>
      <c r="AR22" s="112">
        <v>8.0</v>
      </c>
      <c r="AS22" s="6" t="str">
        <f>IFERROR(VLOOKUP(AR22, 'Process Ref'!$A$76:$D$114, 2, FALSE), IFERROR(0/0,""))</f>
        <v>Use Audit RFR count (tube in Appivo not in RFR)</v>
      </c>
    </row>
    <row r="23">
      <c r="B23" s="55">
        <f>IFERROR(__xludf.DUMMYFUNCTION("""COMPUTED_VALUE"""),44578.0)</f>
        <v>44578</v>
      </c>
      <c r="C23" s="56">
        <f>IFERROR(__xludf.DUMMYFUNCTION("""COMPUTED_VALUE"""),1.0)</f>
        <v>1</v>
      </c>
      <c r="D23" s="56">
        <f>IFERROR(__xludf.DUMMYFUNCTION("""COMPUTED_VALUE"""),1.0)</f>
        <v>1</v>
      </c>
      <c r="E23" s="56">
        <f>IFERROR(__xludf.DUMMYFUNCTION("""COMPUTED_VALUE"""),0.0)</f>
        <v>0</v>
      </c>
      <c r="F23" s="56">
        <f>IFERROR(__xludf.DUMMYFUNCTION("""COMPUTED_VALUE"""),0.0)</f>
        <v>0</v>
      </c>
      <c r="G23" s="56">
        <f>IFERROR(__xludf.DUMMYFUNCTION("""COMPUTED_VALUE"""),0.0)</f>
        <v>0</v>
      </c>
      <c r="H23" s="56">
        <f>IFERROR(__xludf.DUMMYFUNCTION("""COMPUTED_VALUE"""),0.0)</f>
        <v>0</v>
      </c>
      <c r="I23" s="56">
        <f>IFERROR(__xludf.DUMMYFUNCTION("""COMPUTED_VALUE"""),0.0)</f>
        <v>0</v>
      </c>
      <c r="J23" s="6"/>
      <c r="K23" s="43"/>
      <c r="L23" s="55">
        <f>IFERROR(__xludf.DUMMYFUNCTION("""COMPUTED_VALUE"""),44596.0)</f>
        <v>44596</v>
      </c>
      <c r="M23" s="56">
        <f>IFERROR(__xludf.DUMMYFUNCTION("""COMPUTED_VALUE"""),13.0)</f>
        <v>13</v>
      </c>
      <c r="N23" s="56">
        <f>IFERROR(__xludf.DUMMYFUNCTION("""COMPUTED_VALUE"""),13.0)</f>
        <v>13</v>
      </c>
      <c r="O23" s="56">
        <f>IFERROR(__xludf.DUMMYFUNCTION("""COMPUTED_VALUE"""),0.0)</f>
        <v>0</v>
      </c>
      <c r="P23" s="56">
        <f>IFERROR(__xludf.DUMMYFUNCTION("""COMPUTED_VALUE"""),0.0)</f>
        <v>0</v>
      </c>
      <c r="Q23" s="56">
        <f>IFERROR(__xludf.DUMMYFUNCTION("""COMPUTED_VALUE"""),0.0)</f>
        <v>0</v>
      </c>
      <c r="R23" s="56">
        <f>IFERROR(__xludf.DUMMYFUNCTION("""COMPUTED_VALUE"""),0.0)</f>
        <v>0</v>
      </c>
      <c r="S23" s="56">
        <f>IFERROR(__xludf.DUMMYFUNCTION("""COMPUTED_VALUE"""),0.0)</f>
        <v>0</v>
      </c>
      <c r="T23" s="56">
        <f>IFERROR(__xludf.DUMMYFUNCTION("""COMPUTED_VALUE"""),13.0)</f>
        <v>13</v>
      </c>
      <c r="V23" s="43"/>
      <c r="W23" s="55">
        <f t="shared" ref="W23:AC23" si="30">L23</f>
        <v>44596</v>
      </c>
      <c r="X23" s="56">
        <f t="shared" si="30"/>
        <v>13</v>
      </c>
      <c r="Y23" s="56">
        <f t="shared" si="30"/>
        <v>13</v>
      </c>
      <c r="Z23" s="56">
        <f t="shared" si="30"/>
        <v>0</v>
      </c>
      <c r="AA23" s="56">
        <f t="shared" si="30"/>
        <v>0</v>
      </c>
      <c r="AB23" s="56">
        <f t="shared" si="30"/>
        <v>0</v>
      </c>
      <c r="AC23" s="56">
        <f t="shared" si="30"/>
        <v>0</v>
      </c>
      <c r="AD23" s="43"/>
      <c r="AE23" s="55">
        <v>44578.0</v>
      </c>
      <c r="AF23" s="84">
        <f t="shared" si="4"/>
        <v>1</v>
      </c>
      <c r="AG23" s="134" t="str">
        <f t="shared" si="5"/>
        <v/>
      </c>
      <c r="AH23" s="43"/>
      <c r="AI23" s="55">
        <f>IF(EXACT('RFR Data - preExcl'!W23,"Initial"),'RFR Data - preExcl'!U23,IFERROR(0/0,""))</f>
        <v>44589</v>
      </c>
      <c r="AJ23" s="103">
        <f>IF(EXACT('RFR Data - preExcl'!$W23,"Initial"),'RFR Data - preExcl'!$AK23,IFERROR(0/0,""))</f>
        <v>7</v>
      </c>
      <c r="AK23" s="43"/>
      <c r="AL23" s="55">
        <v>44578.0</v>
      </c>
      <c r="AM23" s="312">
        <f t="shared" si="6"/>
        <v>1</v>
      </c>
      <c r="AN23" s="99" t="str">
        <f t="shared" si="7"/>
        <v/>
      </c>
      <c r="AO23" s="99" t="str">
        <f t="shared" si="8"/>
        <v/>
      </c>
      <c r="AP23" s="97"/>
      <c r="AQ23" s="99" t="str">
        <f t="shared" si="9"/>
        <v/>
      </c>
      <c r="AR23" s="98">
        <v>6.2</v>
      </c>
      <c r="AS23" s="6" t="str">
        <f>IFERROR(VLOOKUP(AR23, 'Process Ref'!$A$76:$D$114, 2, FALSE), IFERROR(0/0,""))</f>
        <v>No Run - APS Collect run 2 or more days later</v>
      </c>
      <c r="AT23" s="86" t="s">
        <v>439</v>
      </c>
    </row>
    <row r="24">
      <c r="B24" s="55">
        <f>IFERROR(__xludf.DUMMYFUNCTION("""COMPUTED_VALUE"""),44579.0)</f>
        <v>44579</v>
      </c>
      <c r="C24" s="56">
        <f>IFERROR(__xludf.DUMMYFUNCTION("""COMPUTED_VALUE"""),33.0)</f>
        <v>33</v>
      </c>
      <c r="D24" s="56">
        <f>IFERROR(__xludf.DUMMYFUNCTION("""COMPUTED_VALUE"""),24.0)</f>
        <v>24</v>
      </c>
      <c r="E24" s="56">
        <f>IFERROR(__xludf.DUMMYFUNCTION("""COMPUTED_VALUE"""),9.0)</f>
        <v>9</v>
      </c>
      <c r="F24" s="56">
        <f>IFERROR(__xludf.DUMMYFUNCTION("""COMPUTED_VALUE"""),0.0)</f>
        <v>0</v>
      </c>
      <c r="G24" s="56">
        <f>IFERROR(__xludf.DUMMYFUNCTION("""COMPUTED_VALUE"""),0.0)</f>
        <v>0</v>
      </c>
      <c r="H24" s="56">
        <f>IFERROR(__xludf.DUMMYFUNCTION("""COMPUTED_VALUE"""),0.0)</f>
        <v>0</v>
      </c>
      <c r="I24" s="56">
        <f>IFERROR(__xludf.DUMMYFUNCTION("""COMPUTED_VALUE"""),0.0)</f>
        <v>0</v>
      </c>
      <c r="J24" s="6"/>
      <c r="K24" s="43"/>
      <c r="L24" s="55">
        <f>IFERROR(__xludf.DUMMYFUNCTION("""COMPUTED_VALUE"""),44599.0)</f>
        <v>44599</v>
      </c>
      <c r="M24" s="56">
        <f>IFERROR(__xludf.DUMMYFUNCTION("""COMPUTED_VALUE"""),13.0)</f>
        <v>13</v>
      </c>
      <c r="N24" s="56">
        <f>IFERROR(__xludf.DUMMYFUNCTION("""COMPUTED_VALUE"""),12.0)</f>
        <v>12</v>
      </c>
      <c r="O24" s="56">
        <f>IFERROR(__xludf.DUMMYFUNCTION("""COMPUTED_VALUE"""),1.0)</f>
        <v>1</v>
      </c>
      <c r="P24" s="56">
        <f>IFERROR(__xludf.DUMMYFUNCTION("""COMPUTED_VALUE"""),0.0)</f>
        <v>0</v>
      </c>
      <c r="Q24" s="56">
        <f>IFERROR(__xludf.DUMMYFUNCTION("""COMPUTED_VALUE"""),0.0)</f>
        <v>0</v>
      </c>
      <c r="R24" s="56">
        <f>IFERROR(__xludf.DUMMYFUNCTION("""COMPUTED_VALUE"""),0.0)</f>
        <v>0</v>
      </c>
      <c r="S24" s="56">
        <f>IFERROR(__xludf.DUMMYFUNCTION("""COMPUTED_VALUE"""),0.0)</f>
        <v>0</v>
      </c>
      <c r="T24" s="56">
        <f>IFERROR(__xludf.DUMMYFUNCTION("""COMPUTED_VALUE"""),13.0)</f>
        <v>13</v>
      </c>
      <c r="V24" s="43"/>
      <c r="W24" s="55">
        <f t="shared" ref="W24:AC24" si="31">L24</f>
        <v>44599</v>
      </c>
      <c r="X24" s="56">
        <f t="shared" si="31"/>
        <v>13</v>
      </c>
      <c r="Y24" s="56">
        <f t="shared" si="31"/>
        <v>12</v>
      </c>
      <c r="Z24" s="56">
        <f t="shared" si="31"/>
        <v>1</v>
      </c>
      <c r="AA24" s="56">
        <f t="shared" si="31"/>
        <v>0</v>
      </c>
      <c r="AB24" s="56">
        <f t="shared" si="31"/>
        <v>0</v>
      </c>
      <c r="AC24" s="56">
        <f t="shared" si="31"/>
        <v>0</v>
      </c>
      <c r="AD24" s="43"/>
      <c r="AE24" s="55">
        <v>44579.0</v>
      </c>
      <c r="AF24" s="84">
        <f t="shared" si="4"/>
        <v>33</v>
      </c>
      <c r="AG24" s="134">
        <f t="shared" si="5"/>
        <v>28</v>
      </c>
      <c r="AH24" s="43"/>
      <c r="AI24" s="6" t="str">
        <f>IF(EXACT('RFR Data - preExcl'!W24,"Initial"),'RFR Data - preExcl'!U24,IFERROR(0/0,""))</f>
        <v/>
      </c>
      <c r="AJ24" s="103" t="str">
        <f>IF(EXACT('RFR Data - preExcl'!$W24,"Initial"),'RFR Data - preExcl'!$AK24,IFERROR(0/0,""))</f>
        <v/>
      </c>
      <c r="AK24" s="43"/>
      <c r="AL24" s="55">
        <v>44579.0</v>
      </c>
      <c r="AM24" s="313">
        <f t="shared" si="6"/>
        <v>33</v>
      </c>
      <c r="AN24" s="134">
        <f t="shared" si="7"/>
        <v>28</v>
      </c>
      <c r="AO24" s="103" t="str">
        <f t="shared" si="8"/>
        <v/>
      </c>
      <c r="AP24" s="97"/>
      <c r="AQ24" s="99" t="str">
        <f t="shared" si="9"/>
        <v/>
      </c>
      <c r="AR24" s="98">
        <v>6.1</v>
      </c>
      <c r="AS24" s="6" t="str">
        <f>IFERROR(VLOOKUP(AR24, 'Process Ref'!$A$76:$D$114, 2, FALSE), IFERROR(0/0,""))</f>
        <v>No Run - APS Collect run next day</v>
      </c>
    </row>
    <row r="25">
      <c r="B25" s="55">
        <f>IFERROR(__xludf.DUMMYFUNCTION("""COMPUTED_VALUE"""),44580.0)</f>
        <v>44580</v>
      </c>
      <c r="C25" s="56">
        <f>IFERROR(__xludf.DUMMYFUNCTION("""COMPUTED_VALUE"""),14.0)</f>
        <v>14</v>
      </c>
      <c r="D25" s="56">
        <f>IFERROR(__xludf.DUMMYFUNCTION("""COMPUTED_VALUE"""),8.0)</f>
        <v>8</v>
      </c>
      <c r="E25" s="56">
        <f>IFERROR(__xludf.DUMMYFUNCTION("""COMPUTED_VALUE"""),6.0)</f>
        <v>6</v>
      </c>
      <c r="F25" s="56">
        <f>IFERROR(__xludf.DUMMYFUNCTION("""COMPUTED_VALUE"""),0.0)</f>
        <v>0</v>
      </c>
      <c r="G25" s="56">
        <f>IFERROR(__xludf.DUMMYFUNCTION("""COMPUTED_VALUE"""),0.0)</f>
        <v>0</v>
      </c>
      <c r="H25" s="56">
        <f>IFERROR(__xludf.DUMMYFUNCTION("""COMPUTED_VALUE"""),0.0)</f>
        <v>0</v>
      </c>
      <c r="I25" s="56">
        <f>IFERROR(__xludf.DUMMYFUNCTION("""COMPUTED_VALUE"""),0.0)</f>
        <v>0</v>
      </c>
      <c r="J25" s="6" t="b">
        <f>IFERROR(__xludf.DUMMYFUNCTION("""COMPUTED_VALUE"""),TRUE)</f>
        <v>1</v>
      </c>
      <c r="K25" s="43"/>
      <c r="L25" s="55">
        <f>IFERROR(__xludf.DUMMYFUNCTION("""COMPUTED_VALUE"""),44601.0)</f>
        <v>44601</v>
      </c>
      <c r="M25" s="56">
        <f>IFERROR(__xludf.DUMMYFUNCTION("""COMPUTED_VALUE"""),14.0)</f>
        <v>14</v>
      </c>
      <c r="N25" s="56">
        <f>IFERROR(__xludf.DUMMYFUNCTION("""COMPUTED_VALUE"""),13.0)</f>
        <v>13</v>
      </c>
      <c r="O25" s="56">
        <f>IFERROR(__xludf.DUMMYFUNCTION("""COMPUTED_VALUE"""),1.0)</f>
        <v>1</v>
      </c>
      <c r="P25" s="56">
        <f>IFERROR(__xludf.DUMMYFUNCTION("""COMPUTED_VALUE"""),0.0)</f>
        <v>0</v>
      </c>
      <c r="Q25" s="56">
        <f>IFERROR(__xludf.DUMMYFUNCTION("""COMPUTED_VALUE"""),0.0)</f>
        <v>0</v>
      </c>
      <c r="R25" s="56">
        <f>IFERROR(__xludf.DUMMYFUNCTION("""COMPUTED_VALUE"""),0.0)</f>
        <v>0</v>
      </c>
      <c r="S25" s="56">
        <f>IFERROR(__xludf.DUMMYFUNCTION("""COMPUTED_VALUE"""),0.0)</f>
        <v>0</v>
      </c>
      <c r="T25" s="56">
        <f>IFERROR(__xludf.DUMMYFUNCTION("""COMPUTED_VALUE"""),14.0)</f>
        <v>14</v>
      </c>
      <c r="V25" s="43"/>
      <c r="W25" s="55">
        <f t="shared" ref="W25:AC25" si="32">L25</f>
        <v>44601</v>
      </c>
      <c r="X25" s="56">
        <f t="shared" si="32"/>
        <v>14</v>
      </c>
      <c r="Y25" s="56">
        <f t="shared" si="32"/>
        <v>13</v>
      </c>
      <c r="Z25" s="56">
        <f t="shared" si="32"/>
        <v>1</v>
      </c>
      <c r="AA25" s="56">
        <f t="shared" si="32"/>
        <v>0</v>
      </c>
      <c r="AB25" s="56">
        <f t="shared" si="32"/>
        <v>0</v>
      </c>
      <c r="AC25" s="56">
        <f t="shared" si="32"/>
        <v>0</v>
      </c>
      <c r="AD25" s="43"/>
      <c r="AE25" s="55">
        <v>44580.0</v>
      </c>
      <c r="AF25" s="84">
        <f t="shared" si="4"/>
        <v>14</v>
      </c>
      <c r="AG25" s="134">
        <f t="shared" si="5"/>
        <v>38</v>
      </c>
      <c r="AH25" s="43"/>
      <c r="AI25" s="55">
        <f>IF(EXACT('RFR Data - preExcl'!W25,"Initial"),'RFR Data - preExcl'!U25,IFERROR(0/0,""))</f>
        <v>44592</v>
      </c>
      <c r="AJ25" s="103">
        <f>IF(EXACT('RFR Data - preExcl'!$W25,"Initial"),'RFR Data - preExcl'!$AK25,IFERROR(0/0,""))</f>
        <v>10</v>
      </c>
      <c r="AK25" s="43"/>
      <c r="AL25" s="55">
        <v>44580.0</v>
      </c>
      <c r="AM25" s="311">
        <f t="shared" si="6"/>
        <v>14</v>
      </c>
      <c r="AN25" s="134">
        <f t="shared" si="7"/>
        <v>38</v>
      </c>
      <c r="AO25" s="103">
        <f t="shared" si="8"/>
        <v>33</v>
      </c>
      <c r="AP25" s="316">
        <v>15.0</v>
      </c>
      <c r="AQ25" s="56">
        <f t="shared" si="9"/>
        <v>48</v>
      </c>
      <c r="AR25" s="316" t="s">
        <v>440</v>
      </c>
      <c r="AS25" s="317" t="s">
        <v>441</v>
      </c>
    </row>
    <row r="26">
      <c r="B26" s="55">
        <f>IFERROR(__xludf.DUMMYFUNCTION("""COMPUTED_VALUE"""),44581.0)</f>
        <v>44581</v>
      </c>
      <c r="C26" s="56">
        <f>IFERROR(__xludf.DUMMYFUNCTION("""COMPUTED_VALUE"""),1.0)</f>
        <v>1</v>
      </c>
      <c r="D26" s="56">
        <f>IFERROR(__xludf.DUMMYFUNCTION("""COMPUTED_VALUE"""),0.0)</f>
        <v>0</v>
      </c>
      <c r="E26" s="56">
        <f>IFERROR(__xludf.DUMMYFUNCTION("""COMPUTED_VALUE"""),1.0)</f>
        <v>1</v>
      </c>
      <c r="F26" s="56">
        <f>IFERROR(__xludf.DUMMYFUNCTION("""COMPUTED_VALUE"""),0.0)</f>
        <v>0</v>
      </c>
      <c r="G26" s="56">
        <f>IFERROR(__xludf.DUMMYFUNCTION("""COMPUTED_VALUE"""),0.0)</f>
        <v>0</v>
      </c>
      <c r="H26" s="56">
        <f>IFERROR(__xludf.DUMMYFUNCTION("""COMPUTED_VALUE"""),0.0)</f>
        <v>0</v>
      </c>
      <c r="I26" s="56">
        <f>IFERROR(__xludf.DUMMYFUNCTION("""COMPUTED_VALUE"""),0.0)</f>
        <v>0</v>
      </c>
      <c r="J26" s="6"/>
      <c r="K26" s="43"/>
      <c r="L26" s="55">
        <f>IFERROR(__xludf.DUMMYFUNCTION("""COMPUTED_VALUE"""),44603.0)</f>
        <v>44603</v>
      </c>
      <c r="M26" s="56">
        <f>IFERROR(__xludf.DUMMYFUNCTION("""COMPUTED_VALUE"""),9.0)</f>
        <v>9</v>
      </c>
      <c r="N26" s="56">
        <f>IFERROR(__xludf.DUMMYFUNCTION("""COMPUTED_VALUE"""),7.0)</f>
        <v>7</v>
      </c>
      <c r="O26" s="56">
        <f>IFERROR(__xludf.DUMMYFUNCTION("""COMPUTED_VALUE"""),2.0)</f>
        <v>2</v>
      </c>
      <c r="P26" s="56">
        <f>IFERROR(__xludf.DUMMYFUNCTION("""COMPUTED_VALUE"""),0.0)</f>
        <v>0</v>
      </c>
      <c r="Q26" s="56">
        <f>IFERROR(__xludf.DUMMYFUNCTION("""COMPUTED_VALUE"""),0.0)</f>
        <v>0</v>
      </c>
      <c r="R26" s="56">
        <f>IFERROR(__xludf.DUMMYFUNCTION("""COMPUTED_VALUE"""),0.0)</f>
        <v>0</v>
      </c>
      <c r="S26" s="56">
        <f>IFERROR(__xludf.DUMMYFUNCTION("""COMPUTED_VALUE"""),0.0)</f>
        <v>0</v>
      </c>
      <c r="T26" s="56">
        <f>IFERROR(__xludf.DUMMYFUNCTION("""COMPUTED_VALUE"""),9.0)</f>
        <v>9</v>
      </c>
      <c r="V26" s="43"/>
      <c r="W26" s="55">
        <f t="shared" ref="W26:AC26" si="33">L26</f>
        <v>44603</v>
      </c>
      <c r="X26" s="56">
        <f t="shared" si="33"/>
        <v>9</v>
      </c>
      <c r="Y26" s="56">
        <f t="shared" si="33"/>
        <v>7</v>
      </c>
      <c r="Z26" s="56">
        <f t="shared" si="33"/>
        <v>2</v>
      </c>
      <c r="AA26" s="56">
        <f t="shared" si="33"/>
        <v>0</v>
      </c>
      <c r="AB26" s="56">
        <f t="shared" si="33"/>
        <v>0</v>
      </c>
      <c r="AC26" s="56">
        <f t="shared" si="33"/>
        <v>0</v>
      </c>
      <c r="AD26" s="43"/>
      <c r="AE26" s="55">
        <v>44581.0</v>
      </c>
      <c r="AF26" s="84">
        <f t="shared" si="4"/>
        <v>1</v>
      </c>
      <c r="AG26" s="134" t="str">
        <f t="shared" si="5"/>
        <v/>
      </c>
      <c r="AH26" s="43"/>
      <c r="AI26" s="55">
        <f>IF(EXACT('RFR Data - preExcl'!W26,"Initial"),'RFR Data - preExcl'!U26,IFERROR(0/0,""))</f>
        <v>44594</v>
      </c>
      <c r="AJ26" s="103">
        <f>IF(EXACT('RFR Data - preExcl'!$W26,"Initial"),'RFR Data - preExcl'!$AK26,IFERROR(0/0,""))</f>
        <v>10</v>
      </c>
      <c r="AK26" s="43"/>
      <c r="AL26" s="55">
        <v>44581.0</v>
      </c>
      <c r="AM26" s="312">
        <f t="shared" si="6"/>
        <v>1</v>
      </c>
      <c r="AN26" s="99" t="str">
        <f t="shared" si="7"/>
        <v/>
      </c>
      <c r="AO26" s="99" t="str">
        <f t="shared" si="8"/>
        <v/>
      </c>
      <c r="AP26" s="97"/>
      <c r="AQ26" s="99" t="str">
        <f t="shared" si="9"/>
        <v/>
      </c>
      <c r="AR26" s="98">
        <v>6.1</v>
      </c>
      <c r="AS26" s="6" t="str">
        <f>IFERROR(VLOOKUP(AR26, 'Process Ref'!$A$76:$D$114, 2, FALSE), IFERROR(0/0,""))</f>
        <v>No Run - APS Collect run next day</v>
      </c>
    </row>
    <row r="27">
      <c r="B27" s="55">
        <f>IFERROR(__xludf.DUMMYFUNCTION("""COMPUTED_VALUE"""),44582.0)</f>
        <v>44582</v>
      </c>
      <c r="C27" s="56">
        <f>IFERROR(__xludf.DUMMYFUNCTION("""COMPUTED_VALUE"""),14.0)</f>
        <v>14</v>
      </c>
      <c r="D27" s="56">
        <f>IFERROR(__xludf.DUMMYFUNCTION("""COMPUTED_VALUE"""),7.0)</f>
        <v>7</v>
      </c>
      <c r="E27" s="56">
        <f>IFERROR(__xludf.DUMMYFUNCTION("""COMPUTED_VALUE"""),7.0)</f>
        <v>7</v>
      </c>
      <c r="F27" s="56">
        <f>IFERROR(__xludf.DUMMYFUNCTION("""COMPUTED_VALUE"""),0.0)</f>
        <v>0</v>
      </c>
      <c r="G27" s="56">
        <f>IFERROR(__xludf.DUMMYFUNCTION("""COMPUTED_VALUE"""),0.0)</f>
        <v>0</v>
      </c>
      <c r="H27" s="56">
        <f>IFERROR(__xludf.DUMMYFUNCTION("""COMPUTED_VALUE"""),0.0)</f>
        <v>0</v>
      </c>
      <c r="I27" s="56">
        <f>IFERROR(__xludf.DUMMYFUNCTION("""COMPUTED_VALUE"""),0.0)</f>
        <v>0</v>
      </c>
      <c r="J27" s="6" t="b">
        <f>IFERROR(__xludf.DUMMYFUNCTION("""COMPUTED_VALUE"""),TRUE)</f>
        <v>1</v>
      </c>
      <c r="K27" s="43"/>
      <c r="L27" s="55">
        <f>IFERROR(__xludf.DUMMYFUNCTION("""COMPUTED_VALUE"""),44604.0)</f>
        <v>44604</v>
      </c>
      <c r="M27" s="56">
        <f>IFERROR(__xludf.DUMMYFUNCTION("""COMPUTED_VALUE"""),2.0)</f>
        <v>2</v>
      </c>
      <c r="N27" s="56">
        <f>IFERROR(__xludf.DUMMYFUNCTION("""COMPUTED_VALUE"""),0.0)</f>
        <v>0</v>
      </c>
      <c r="O27" s="56">
        <f>IFERROR(__xludf.DUMMYFUNCTION("""COMPUTED_VALUE"""),2.0)</f>
        <v>2</v>
      </c>
      <c r="P27" s="56">
        <f>IFERROR(__xludf.DUMMYFUNCTION("""COMPUTED_VALUE"""),0.0)</f>
        <v>0</v>
      </c>
      <c r="Q27" s="56">
        <f>IFERROR(__xludf.DUMMYFUNCTION("""COMPUTED_VALUE"""),0.0)</f>
        <v>0</v>
      </c>
      <c r="R27" s="56">
        <f>IFERROR(__xludf.DUMMYFUNCTION("""COMPUTED_VALUE"""),0.0)</f>
        <v>0</v>
      </c>
      <c r="S27" s="56">
        <f>IFERROR(__xludf.DUMMYFUNCTION("""COMPUTED_VALUE"""),0.0)</f>
        <v>0</v>
      </c>
      <c r="T27" s="56">
        <f>IFERROR(__xludf.DUMMYFUNCTION("""COMPUTED_VALUE"""),2.0)</f>
        <v>2</v>
      </c>
      <c r="V27" s="43"/>
      <c r="W27" s="55">
        <f t="shared" ref="W27:AC27" si="34">L27</f>
        <v>44604</v>
      </c>
      <c r="X27" s="56">
        <f t="shared" si="34"/>
        <v>2</v>
      </c>
      <c r="Y27" s="56">
        <f t="shared" si="34"/>
        <v>0</v>
      </c>
      <c r="Z27" s="56">
        <f t="shared" si="34"/>
        <v>2</v>
      </c>
      <c r="AA27" s="56">
        <f t="shared" si="34"/>
        <v>0</v>
      </c>
      <c r="AB27" s="56">
        <f t="shared" si="34"/>
        <v>0</v>
      </c>
      <c r="AC27" s="56">
        <f t="shared" si="34"/>
        <v>0</v>
      </c>
      <c r="AD27" s="43"/>
      <c r="AE27" s="55">
        <v>44582.0</v>
      </c>
      <c r="AF27" s="84">
        <f t="shared" si="4"/>
        <v>14</v>
      </c>
      <c r="AG27" s="134">
        <f t="shared" si="5"/>
        <v>15</v>
      </c>
      <c r="AH27" s="43"/>
      <c r="AI27" s="55">
        <f>IF(EXACT('RFR Data - preExcl'!W27,"Initial"),'RFR Data - preExcl'!U27,IFERROR(0/0,""))</f>
        <v>44596</v>
      </c>
      <c r="AJ27" s="103">
        <f>IF(EXACT('RFR Data - preExcl'!$W27,"Initial"),'RFR Data - preExcl'!$AK27,IFERROR(0/0,""))</f>
        <v>6</v>
      </c>
      <c r="AK27" s="43"/>
      <c r="AL27" s="55">
        <v>44582.0</v>
      </c>
      <c r="AM27" s="313">
        <f t="shared" si="6"/>
        <v>14</v>
      </c>
      <c r="AN27" s="134">
        <f t="shared" si="7"/>
        <v>15</v>
      </c>
      <c r="AO27" s="103">
        <f t="shared" si="8"/>
        <v>14</v>
      </c>
      <c r="AP27" s="56">
        <f>AM27+AM26-AO27</f>
        <v>1</v>
      </c>
      <c r="AQ27" s="56">
        <f t="shared" si="9"/>
        <v>15</v>
      </c>
      <c r="AR27" s="128">
        <v>8.2</v>
      </c>
      <c r="AS27" s="6" t="str">
        <f>IFERROR(VLOOKUP(AR27, 'Process Ref'!$A$76:$D$114, 2, FALSE), IFERROR(0/0,""))</f>
        <v>Use APS Collect count != RFR Audit (with different Collect days)</v>
      </c>
    </row>
    <row r="28">
      <c r="B28" s="55">
        <f>IFERROR(__xludf.DUMMYFUNCTION("""COMPUTED_VALUE"""),44585.0)</f>
        <v>44585</v>
      </c>
      <c r="C28" s="56">
        <f>IFERROR(__xludf.DUMMYFUNCTION("""COMPUTED_VALUE"""),16.0)</f>
        <v>16</v>
      </c>
      <c r="D28" s="56">
        <f>IFERROR(__xludf.DUMMYFUNCTION("""COMPUTED_VALUE"""),12.0)</f>
        <v>12</v>
      </c>
      <c r="E28" s="56">
        <f>IFERROR(__xludf.DUMMYFUNCTION("""COMPUTED_VALUE"""),4.0)</f>
        <v>4</v>
      </c>
      <c r="F28" s="56">
        <f>IFERROR(__xludf.DUMMYFUNCTION("""COMPUTED_VALUE"""),0.0)</f>
        <v>0</v>
      </c>
      <c r="G28" s="56">
        <f>IFERROR(__xludf.DUMMYFUNCTION("""COMPUTED_VALUE"""),0.0)</f>
        <v>0</v>
      </c>
      <c r="H28" s="56">
        <f>IFERROR(__xludf.DUMMYFUNCTION("""COMPUTED_VALUE"""),0.0)</f>
        <v>0</v>
      </c>
      <c r="I28" s="56">
        <f>IFERROR(__xludf.DUMMYFUNCTION("""COMPUTED_VALUE"""),0.0)</f>
        <v>0</v>
      </c>
      <c r="J28" s="6"/>
      <c r="K28" s="43"/>
      <c r="L28" s="55">
        <f>IFERROR(__xludf.DUMMYFUNCTION("""COMPUTED_VALUE"""),44607.0)</f>
        <v>44607</v>
      </c>
      <c r="M28" s="56">
        <f>IFERROR(__xludf.DUMMYFUNCTION("""COMPUTED_VALUE"""),32.0)</f>
        <v>32</v>
      </c>
      <c r="N28" s="56">
        <f>IFERROR(__xludf.DUMMYFUNCTION("""COMPUTED_VALUE"""),32.0)</f>
        <v>32</v>
      </c>
      <c r="O28" s="56">
        <f>IFERROR(__xludf.DUMMYFUNCTION("""COMPUTED_VALUE"""),0.0)</f>
        <v>0</v>
      </c>
      <c r="P28" s="56">
        <f>IFERROR(__xludf.DUMMYFUNCTION("""COMPUTED_VALUE"""),0.0)</f>
        <v>0</v>
      </c>
      <c r="Q28" s="56">
        <f>IFERROR(__xludf.DUMMYFUNCTION("""COMPUTED_VALUE"""),0.0)</f>
        <v>0</v>
      </c>
      <c r="R28" s="56">
        <f>IFERROR(__xludf.DUMMYFUNCTION("""COMPUTED_VALUE"""),0.0)</f>
        <v>0</v>
      </c>
      <c r="S28" s="56">
        <f>IFERROR(__xludf.DUMMYFUNCTION("""COMPUTED_VALUE"""),0.0)</f>
        <v>0</v>
      </c>
      <c r="T28" s="56">
        <f>IFERROR(__xludf.DUMMYFUNCTION("""COMPUTED_VALUE"""),32.0)</f>
        <v>32</v>
      </c>
      <c r="V28" s="43"/>
      <c r="W28" s="55">
        <f t="shared" ref="W28:AC28" si="35">L28</f>
        <v>44607</v>
      </c>
      <c r="X28" s="56">
        <f t="shared" si="35"/>
        <v>32</v>
      </c>
      <c r="Y28" s="56">
        <f t="shared" si="35"/>
        <v>32</v>
      </c>
      <c r="Z28" s="56">
        <f t="shared" si="35"/>
        <v>0</v>
      </c>
      <c r="AA28" s="56">
        <f t="shared" si="35"/>
        <v>0</v>
      </c>
      <c r="AB28" s="56">
        <f t="shared" si="35"/>
        <v>0</v>
      </c>
      <c r="AC28" s="56">
        <f t="shared" si="35"/>
        <v>0</v>
      </c>
      <c r="AD28" s="43"/>
      <c r="AE28" s="55">
        <v>44585.0</v>
      </c>
      <c r="AF28" s="84">
        <f t="shared" si="4"/>
        <v>16</v>
      </c>
      <c r="AG28" s="134">
        <f t="shared" si="5"/>
        <v>12</v>
      </c>
      <c r="AH28" s="43"/>
      <c r="AI28" s="55">
        <f>IF(EXACT('RFR Data - preExcl'!W28,"Initial"),'RFR Data - preExcl'!U28,IFERROR(0/0,""))</f>
        <v>44599</v>
      </c>
      <c r="AJ28" s="103">
        <f>IF(EXACT('RFR Data - preExcl'!$W28,"Initial"),'RFR Data - preExcl'!$AK28,IFERROR(0/0,""))</f>
        <v>14</v>
      </c>
      <c r="AK28" s="43"/>
      <c r="AL28" s="55">
        <v>44585.0</v>
      </c>
      <c r="AM28" s="84">
        <f t="shared" si="6"/>
        <v>16</v>
      </c>
      <c r="AN28" s="134">
        <f t="shared" si="7"/>
        <v>12</v>
      </c>
      <c r="AO28" s="103">
        <f t="shared" si="8"/>
        <v>16</v>
      </c>
      <c r="AQ28" s="56">
        <f t="shared" si="9"/>
        <v>16</v>
      </c>
      <c r="AR28" s="91">
        <v>1.0</v>
      </c>
      <c r="AS28" s="6" t="str">
        <f>IFERROR(VLOOKUP(AR28, 'Process Ref'!$A$76:$D$114, 2, FALSE), IFERROR(0/0,""))</f>
        <v>Use APS Collect = RFR (diff APS Result count but nets out)</v>
      </c>
    </row>
    <row r="29">
      <c r="B29" s="55">
        <f>IFERROR(__xludf.DUMMYFUNCTION("""COMPUTED_VALUE"""),44587.0)</f>
        <v>44587</v>
      </c>
      <c r="C29" s="56">
        <f>IFERROR(__xludf.DUMMYFUNCTION("""COMPUTED_VALUE"""),13.0)</f>
        <v>13</v>
      </c>
      <c r="D29" s="56">
        <f>IFERROR(__xludf.DUMMYFUNCTION("""COMPUTED_VALUE"""),13.0)</f>
        <v>13</v>
      </c>
      <c r="E29" s="56">
        <f>IFERROR(__xludf.DUMMYFUNCTION("""COMPUTED_VALUE"""),0.0)</f>
        <v>0</v>
      </c>
      <c r="F29" s="56">
        <f>IFERROR(__xludf.DUMMYFUNCTION("""COMPUTED_VALUE"""),0.0)</f>
        <v>0</v>
      </c>
      <c r="G29" s="56">
        <f>IFERROR(__xludf.DUMMYFUNCTION("""COMPUTED_VALUE"""),0.0)</f>
        <v>0</v>
      </c>
      <c r="H29" s="56">
        <f>IFERROR(__xludf.DUMMYFUNCTION("""COMPUTED_VALUE"""),0.0)</f>
        <v>0</v>
      </c>
      <c r="I29" s="56">
        <f>IFERROR(__xludf.DUMMYFUNCTION("""COMPUTED_VALUE"""),0.0)</f>
        <v>0</v>
      </c>
      <c r="J29" s="6" t="b">
        <f>IFERROR(__xludf.DUMMYFUNCTION("""COMPUTED_VALUE"""),TRUE)</f>
        <v>1</v>
      </c>
      <c r="K29" s="43"/>
      <c r="L29" s="55">
        <f>IFERROR(__xludf.DUMMYFUNCTION("""COMPUTED_VALUE"""),44611.0)</f>
        <v>44611</v>
      </c>
      <c r="M29" s="56">
        <f>IFERROR(__xludf.DUMMYFUNCTION("""COMPUTED_VALUE"""),64.0)</f>
        <v>64</v>
      </c>
      <c r="N29" s="56">
        <f>IFERROR(__xludf.DUMMYFUNCTION("""COMPUTED_VALUE"""),63.0)</f>
        <v>63</v>
      </c>
      <c r="O29" s="56">
        <f>IFERROR(__xludf.DUMMYFUNCTION("""COMPUTED_VALUE"""),0.0)</f>
        <v>0</v>
      </c>
      <c r="P29" s="56">
        <f>IFERROR(__xludf.DUMMYFUNCTION("""COMPUTED_VALUE"""),1.0)</f>
        <v>1</v>
      </c>
      <c r="Q29" s="56">
        <f>IFERROR(__xludf.DUMMYFUNCTION("""COMPUTED_VALUE"""),0.0)</f>
        <v>0</v>
      </c>
      <c r="R29" s="56">
        <f>IFERROR(__xludf.DUMMYFUNCTION("""COMPUTED_VALUE"""),0.0)</f>
        <v>0</v>
      </c>
      <c r="S29" s="56">
        <f>IFERROR(__xludf.DUMMYFUNCTION("""COMPUTED_VALUE"""),0.0)</f>
        <v>0</v>
      </c>
      <c r="T29" s="56">
        <f>IFERROR(__xludf.DUMMYFUNCTION("""COMPUTED_VALUE"""),64.0)</f>
        <v>64</v>
      </c>
      <c r="V29" s="43"/>
      <c r="W29" s="55">
        <f t="shared" ref="W29:AC29" si="36">L29</f>
        <v>44611</v>
      </c>
      <c r="X29" s="56">
        <f t="shared" si="36"/>
        <v>64</v>
      </c>
      <c r="Y29" s="56">
        <f t="shared" si="36"/>
        <v>63</v>
      </c>
      <c r="Z29" s="56">
        <f t="shared" si="36"/>
        <v>0</v>
      </c>
      <c r="AA29" s="56">
        <f t="shared" si="36"/>
        <v>1</v>
      </c>
      <c r="AB29" s="56">
        <f t="shared" si="36"/>
        <v>0</v>
      </c>
      <c r="AC29" s="56">
        <f t="shared" si="36"/>
        <v>0</v>
      </c>
      <c r="AD29" s="43"/>
      <c r="AE29" s="55">
        <v>44587.0</v>
      </c>
      <c r="AF29" s="84">
        <f t="shared" si="4"/>
        <v>13</v>
      </c>
      <c r="AG29" s="134">
        <f t="shared" si="5"/>
        <v>17</v>
      </c>
      <c r="AH29" s="43"/>
      <c r="AI29" s="55">
        <f>IF(EXACT('RFR Data - preExcl'!W29,"Initial"),'RFR Data - preExcl'!U29,IFERROR(0/0,""))</f>
        <v>44601</v>
      </c>
      <c r="AJ29" s="103">
        <f>IF(EXACT('RFR Data - preExcl'!$W29,"Initial"),'RFR Data - preExcl'!$AK29,IFERROR(0/0,""))</f>
        <v>14</v>
      </c>
      <c r="AK29" s="43"/>
      <c r="AL29" s="55">
        <v>44587.0</v>
      </c>
      <c r="AM29" s="84">
        <f t="shared" si="6"/>
        <v>13</v>
      </c>
      <c r="AN29" s="134">
        <f t="shared" si="7"/>
        <v>17</v>
      </c>
      <c r="AO29" s="103">
        <f t="shared" si="8"/>
        <v>13</v>
      </c>
      <c r="AQ29" s="56">
        <f t="shared" si="9"/>
        <v>13</v>
      </c>
      <c r="AR29" s="91">
        <v>1.0</v>
      </c>
      <c r="AS29" s="6" t="str">
        <f>IFERROR(VLOOKUP(AR29, 'Process Ref'!$A$76:$D$114, 2, FALSE), IFERROR(0/0,""))</f>
        <v>Use APS Collect = RFR (diff APS Result count but nets out)</v>
      </c>
    </row>
    <row r="30">
      <c r="B30" s="55">
        <f>IFERROR(__xludf.DUMMYFUNCTION("""COMPUTED_VALUE"""),44589.0)</f>
        <v>44589</v>
      </c>
      <c r="C30" s="56">
        <f>IFERROR(__xludf.DUMMYFUNCTION("""COMPUTED_VALUE"""),7.0)</f>
        <v>7</v>
      </c>
      <c r="D30" s="56">
        <f>IFERROR(__xludf.DUMMYFUNCTION("""COMPUTED_VALUE"""),7.0)</f>
        <v>7</v>
      </c>
      <c r="E30" s="56">
        <f>IFERROR(__xludf.DUMMYFUNCTION("""COMPUTED_VALUE"""),0.0)</f>
        <v>0</v>
      </c>
      <c r="F30" s="56">
        <f>IFERROR(__xludf.DUMMYFUNCTION("""COMPUTED_VALUE"""),0.0)</f>
        <v>0</v>
      </c>
      <c r="G30" s="56">
        <f>IFERROR(__xludf.DUMMYFUNCTION("""COMPUTED_VALUE"""),0.0)</f>
        <v>0</v>
      </c>
      <c r="H30" s="56">
        <f>IFERROR(__xludf.DUMMYFUNCTION("""COMPUTED_VALUE"""),0.0)</f>
        <v>0</v>
      </c>
      <c r="I30" s="56">
        <f>IFERROR(__xludf.DUMMYFUNCTION("""COMPUTED_VALUE"""),0.0)</f>
        <v>0</v>
      </c>
      <c r="J30" s="6" t="b">
        <f>IFERROR(__xludf.DUMMYFUNCTION("""COMPUTED_VALUE"""),TRUE)</f>
        <v>1</v>
      </c>
      <c r="K30" s="43"/>
      <c r="L30" s="55">
        <f>IFERROR(__xludf.DUMMYFUNCTION("""COMPUTED_VALUE"""),44613.0)</f>
        <v>44613</v>
      </c>
      <c r="M30" s="56">
        <f>IFERROR(__xludf.DUMMYFUNCTION("""COMPUTED_VALUE"""),28.0)</f>
        <v>28</v>
      </c>
      <c r="N30" s="56">
        <f>IFERROR(__xludf.DUMMYFUNCTION("""COMPUTED_VALUE"""),28.0)</f>
        <v>28</v>
      </c>
      <c r="O30" s="56">
        <f>IFERROR(__xludf.DUMMYFUNCTION("""COMPUTED_VALUE"""),0.0)</f>
        <v>0</v>
      </c>
      <c r="P30" s="56">
        <f>IFERROR(__xludf.DUMMYFUNCTION("""COMPUTED_VALUE"""),0.0)</f>
        <v>0</v>
      </c>
      <c r="Q30" s="56">
        <f>IFERROR(__xludf.DUMMYFUNCTION("""COMPUTED_VALUE"""),0.0)</f>
        <v>0</v>
      </c>
      <c r="R30" s="56">
        <f>IFERROR(__xludf.DUMMYFUNCTION("""COMPUTED_VALUE"""),0.0)</f>
        <v>0</v>
      </c>
      <c r="S30" s="56">
        <f>IFERROR(__xludf.DUMMYFUNCTION("""COMPUTED_VALUE"""),0.0)</f>
        <v>0</v>
      </c>
      <c r="T30" s="56">
        <f>IFERROR(__xludf.DUMMYFUNCTION("""COMPUTED_VALUE"""),28.0)</f>
        <v>28</v>
      </c>
      <c r="V30" s="43"/>
      <c r="W30" s="55">
        <f t="shared" ref="W30:AC30" si="37">L30</f>
        <v>44613</v>
      </c>
      <c r="X30" s="56">
        <f t="shared" si="37"/>
        <v>28</v>
      </c>
      <c r="Y30" s="56">
        <f t="shared" si="37"/>
        <v>28</v>
      </c>
      <c r="Z30" s="56">
        <f t="shared" si="37"/>
        <v>0</v>
      </c>
      <c r="AA30" s="56">
        <f t="shared" si="37"/>
        <v>0</v>
      </c>
      <c r="AB30" s="56">
        <f t="shared" si="37"/>
        <v>0</v>
      </c>
      <c r="AC30" s="56">
        <f t="shared" si="37"/>
        <v>0</v>
      </c>
      <c r="AD30" s="43"/>
      <c r="AE30" s="55">
        <v>44589.0</v>
      </c>
      <c r="AF30" s="84">
        <f t="shared" si="4"/>
        <v>7</v>
      </c>
      <c r="AG30" s="134">
        <f t="shared" si="5"/>
        <v>7</v>
      </c>
      <c r="AH30" s="43"/>
      <c r="AI30" s="6" t="str">
        <f>IF(EXACT('RFR Data - preExcl'!W30,"Initial"),'RFR Data - preExcl'!U30,IFERROR(0/0,""))</f>
        <v/>
      </c>
      <c r="AJ30" s="103" t="str">
        <f>IF(EXACT('RFR Data - preExcl'!$W30,"Initial"),'RFR Data - preExcl'!$AK30,IFERROR(0/0,""))</f>
        <v/>
      </c>
      <c r="AK30" s="43"/>
      <c r="AL30" s="55">
        <v>44589.0</v>
      </c>
      <c r="AM30" s="84">
        <f t="shared" si="6"/>
        <v>7</v>
      </c>
      <c r="AN30" s="134">
        <f t="shared" si="7"/>
        <v>7</v>
      </c>
      <c r="AO30" s="103">
        <f t="shared" si="8"/>
        <v>7</v>
      </c>
      <c r="AQ30" s="56">
        <f t="shared" si="9"/>
        <v>7</v>
      </c>
      <c r="AR30" s="91">
        <v>0.0</v>
      </c>
      <c r="AS30" s="6" t="str">
        <f>IFERROR(VLOOKUP(AR30, 'Process Ref'!$A$76:$D$114, 2, FALSE), IFERROR(0/0,""))</f>
        <v>ALL 3 COUNTS SAME meaning APS Collect = APS Result = RFR</v>
      </c>
    </row>
    <row r="31">
      <c r="B31" s="55">
        <f>IFERROR(__xludf.DUMMYFUNCTION("""COMPUTED_VALUE"""),44592.0)</f>
        <v>44592</v>
      </c>
      <c r="C31" s="56">
        <f>IFERROR(__xludf.DUMMYFUNCTION("""COMPUTED_VALUE"""),10.0)</f>
        <v>10</v>
      </c>
      <c r="D31" s="56">
        <f>IFERROR(__xludf.DUMMYFUNCTION("""COMPUTED_VALUE"""),10.0)</f>
        <v>10</v>
      </c>
      <c r="E31" s="56">
        <f>IFERROR(__xludf.DUMMYFUNCTION("""COMPUTED_VALUE"""),0.0)</f>
        <v>0</v>
      </c>
      <c r="F31" s="56">
        <f>IFERROR(__xludf.DUMMYFUNCTION("""COMPUTED_VALUE"""),0.0)</f>
        <v>0</v>
      </c>
      <c r="G31" s="56">
        <f>IFERROR(__xludf.DUMMYFUNCTION("""COMPUTED_VALUE"""),0.0)</f>
        <v>0</v>
      </c>
      <c r="H31" s="56">
        <f>IFERROR(__xludf.DUMMYFUNCTION("""COMPUTED_VALUE"""),0.0)</f>
        <v>0</v>
      </c>
      <c r="I31" s="56">
        <f>IFERROR(__xludf.DUMMYFUNCTION("""COMPUTED_VALUE"""),0.0)</f>
        <v>0</v>
      </c>
      <c r="J31" s="6" t="b">
        <f>IFERROR(__xludf.DUMMYFUNCTION("""COMPUTED_VALUE"""),TRUE)</f>
        <v>1</v>
      </c>
      <c r="K31" s="43"/>
      <c r="L31" s="55">
        <f>IFERROR(__xludf.DUMMYFUNCTION("""COMPUTED_VALUE"""),44614.0)</f>
        <v>44614</v>
      </c>
      <c r="M31" s="56">
        <f>IFERROR(__xludf.DUMMYFUNCTION("""COMPUTED_VALUE"""),1.0)</f>
        <v>1</v>
      </c>
      <c r="N31" s="56">
        <f>IFERROR(__xludf.DUMMYFUNCTION("""COMPUTED_VALUE"""),0.0)</f>
        <v>0</v>
      </c>
      <c r="O31" s="56">
        <f>IFERROR(__xludf.DUMMYFUNCTION("""COMPUTED_VALUE"""),1.0)</f>
        <v>1</v>
      </c>
      <c r="P31" s="56">
        <f>IFERROR(__xludf.DUMMYFUNCTION("""COMPUTED_VALUE"""),0.0)</f>
        <v>0</v>
      </c>
      <c r="Q31" s="56">
        <f>IFERROR(__xludf.DUMMYFUNCTION("""COMPUTED_VALUE"""),0.0)</f>
        <v>0</v>
      </c>
      <c r="R31" s="56">
        <f>IFERROR(__xludf.DUMMYFUNCTION("""COMPUTED_VALUE"""),0.0)</f>
        <v>0</v>
      </c>
      <c r="S31" s="56">
        <f>IFERROR(__xludf.DUMMYFUNCTION("""COMPUTED_VALUE"""),0.0)</f>
        <v>0</v>
      </c>
      <c r="T31" s="56">
        <f>IFERROR(__xludf.DUMMYFUNCTION("""COMPUTED_VALUE"""),1.0)</f>
        <v>1</v>
      </c>
      <c r="V31" s="43"/>
      <c r="W31" s="55">
        <f t="shared" ref="W31:AC31" si="38">L31</f>
        <v>44614</v>
      </c>
      <c r="X31" s="56">
        <f t="shared" si="38"/>
        <v>1</v>
      </c>
      <c r="Y31" s="56">
        <f t="shared" si="38"/>
        <v>0</v>
      </c>
      <c r="Z31" s="56">
        <f t="shared" si="38"/>
        <v>1</v>
      </c>
      <c r="AA31" s="56">
        <f t="shared" si="38"/>
        <v>0</v>
      </c>
      <c r="AB31" s="56">
        <f t="shared" si="38"/>
        <v>0</v>
      </c>
      <c r="AC31" s="56">
        <f t="shared" si="38"/>
        <v>0</v>
      </c>
      <c r="AD31" s="43"/>
      <c r="AE31" s="55">
        <v>44592.0</v>
      </c>
      <c r="AF31" s="84">
        <f t="shared" si="4"/>
        <v>10</v>
      </c>
      <c r="AG31" s="134">
        <f t="shared" si="5"/>
        <v>10</v>
      </c>
      <c r="AH31" s="43"/>
      <c r="AI31" s="55">
        <f>IF(EXACT('RFR Data - preExcl'!W31,"Initial"),'RFR Data - preExcl'!U31,IFERROR(0/0,""))</f>
        <v>44603</v>
      </c>
      <c r="AJ31" s="103">
        <f>IF(EXACT('RFR Data - preExcl'!$W31,"Initial"),'RFR Data - preExcl'!$AK31,IFERROR(0/0,""))</f>
        <v>9</v>
      </c>
      <c r="AK31" s="43"/>
      <c r="AL31" s="55">
        <v>44592.0</v>
      </c>
      <c r="AM31" s="84">
        <f t="shared" si="6"/>
        <v>10</v>
      </c>
      <c r="AN31" s="134">
        <f t="shared" si="7"/>
        <v>10</v>
      </c>
      <c r="AO31" s="103">
        <f t="shared" si="8"/>
        <v>10</v>
      </c>
      <c r="AQ31" s="56">
        <f t="shared" si="9"/>
        <v>10</v>
      </c>
      <c r="AR31" s="318">
        <v>0.4</v>
      </c>
      <c r="AS31" s="6" t="str">
        <f>IFERROR(VLOOKUP(AR31, 'Process Ref'!$A$76:$D$114, 2, FALSE), IFERROR(0/0,""))</f>
        <v>ALL 3 COUNTS SAME but GFORM Num of Samples is different</v>
      </c>
    </row>
    <row r="32">
      <c r="B32" s="55">
        <f>IFERROR(__xludf.DUMMYFUNCTION("""COMPUTED_VALUE"""),44594.0)</f>
        <v>44594</v>
      </c>
      <c r="C32" s="56">
        <f>IFERROR(__xludf.DUMMYFUNCTION("""COMPUTED_VALUE"""),9.0)</f>
        <v>9</v>
      </c>
      <c r="D32" s="56">
        <f>IFERROR(__xludf.DUMMYFUNCTION("""COMPUTED_VALUE"""),8.0)</f>
        <v>8</v>
      </c>
      <c r="E32" s="56">
        <f>IFERROR(__xludf.DUMMYFUNCTION("""COMPUTED_VALUE"""),1.0)</f>
        <v>1</v>
      </c>
      <c r="F32" s="56">
        <f>IFERROR(__xludf.DUMMYFUNCTION("""COMPUTED_VALUE"""),0.0)</f>
        <v>0</v>
      </c>
      <c r="G32" s="56">
        <f>IFERROR(__xludf.DUMMYFUNCTION("""COMPUTED_VALUE"""),0.0)</f>
        <v>0</v>
      </c>
      <c r="H32" s="56">
        <f>IFERROR(__xludf.DUMMYFUNCTION("""COMPUTED_VALUE"""),0.0)</f>
        <v>0</v>
      </c>
      <c r="I32" s="56">
        <f>IFERROR(__xludf.DUMMYFUNCTION("""COMPUTED_VALUE"""),0.0)</f>
        <v>0</v>
      </c>
      <c r="J32" s="6"/>
      <c r="K32" s="43"/>
      <c r="L32" s="55">
        <f>IFERROR(__xludf.DUMMYFUNCTION("""COMPUTED_VALUE"""),44615.0)</f>
        <v>44615</v>
      </c>
      <c r="M32" s="56">
        <f>IFERROR(__xludf.DUMMYFUNCTION("""COMPUTED_VALUE"""),34.0)</f>
        <v>34</v>
      </c>
      <c r="N32" s="56">
        <f>IFERROR(__xludf.DUMMYFUNCTION("""COMPUTED_VALUE"""),34.0)</f>
        <v>34</v>
      </c>
      <c r="O32" s="56">
        <f>IFERROR(__xludf.DUMMYFUNCTION("""COMPUTED_VALUE"""),0.0)</f>
        <v>0</v>
      </c>
      <c r="P32" s="56">
        <f>IFERROR(__xludf.DUMMYFUNCTION("""COMPUTED_VALUE"""),0.0)</f>
        <v>0</v>
      </c>
      <c r="Q32" s="56">
        <f>IFERROR(__xludf.DUMMYFUNCTION("""COMPUTED_VALUE"""),0.0)</f>
        <v>0</v>
      </c>
      <c r="R32" s="56">
        <f>IFERROR(__xludf.DUMMYFUNCTION("""COMPUTED_VALUE"""),0.0)</f>
        <v>0</v>
      </c>
      <c r="S32" s="56">
        <f>IFERROR(__xludf.DUMMYFUNCTION("""COMPUTED_VALUE"""),0.0)</f>
        <v>0</v>
      </c>
      <c r="T32" s="56">
        <f>IFERROR(__xludf.DUMMYFUNCTION("""COMPUTED_VALUE"""),34.0)</f>
        <v>34</v>
      </c>
      <c r="V32" s="43"/>
      <c r="W32" s="55">
        <f t="shared" ref="W32:AC32" si="39">L32</f>
        <v>44615</v>
      </c>
      <c r="X32" s="56">
        <f t="shared" si="39"/>
        <v>34</v>
      </c>
      <c r="Y32" s="56">
        <f t="shared" si="39"/>
        <v>34</v>
      </c>
      <c r="Z32" s="56">
        <f t="shared" si="39"/>
        <v>0</v>
      </c>
      <c r="AA32" s="56">
        <f t="shared" si="39"/>
        <v>0</v>
      </c>
      <c r="AB32" s="56">
        <f t="shared" si="39"/>
        <v>0</v>
      </c>
      <c r="AC32" s="56">
        <f t="shared" si="39"/>
        <v>0</v>
      </c>
      <c r="AD32" s="43"/>
      <c r="AE32" s="55">
        <v>44594.0</v>
      </c>
      <c r="AF32" s="84">
        <f t="shared" si="4"/>
        <v>9</v>
      </c>
      <c r="AG32" s="134">
        <f t="shared" si="5"/>
        <v>1</v>
      </c>
      <c r="AH32" s="43"/>
      <c r="AI32" s="55">
        <f>IF(EXACT('RFR Data - preExcl'!W32,"Initial"),'RFR Data - preExcl'!U32,IFERROR(0/0,""))</f>
        <v>44604</v>
      </c>
      <c r="AJ32" s="103">
        <f>IF(EXACT('RFR Data - preExcl'!$W32,"Initial"),'RFR Data - preExcl'!$AK32,IFERROR(0/0,""))</f>
        <v>2</v>
      </c>
      <c r="AK32" s="43"/>
      <c r="AL32" s="55">
        <v>44594.0</v>
      </c>
      <c r="AM32" s="84">
        <f t="shared" si="6"/>
        <v>9</v>
      </c>
      <c r="AN32" s="134">
        <f t="shared" si="7"/>
        <v>1</v>
      </c>
      <c r="AO32" s="103">
        <f t="shared" si="8"/>
        <v>10</v>
      </c>
      <c r="AP32" s="56">
        <f t="shared" ref="AP32:AP34" si="41">AM32-AO32</f>
        <v>-1</v>
      </c>
      <c r="AQ32" s="56">
        <f t="shared" si="9"/>
        <v>9</v>
      </c>
      <c r="AR32" s="315">
        <v>3.6</v>
      </c>
      <c r="AS32" s="6" t="str">
        <f>IFERROR(VLOOKUP(AR32, 'Process Ref'!$A$76:$D$114, 2, FALSE), IFERROR(0/0,""))</f>
        <v>RFR Raw Num Samples Gform = APS Collect</v>
      </c>
    </row>
    <row r="33">
      <c r="B33" s="55">
        <f>IFERROR(__xludf.DUMMYFUNCTION("""COMPUTED_VALUE"""),44596.0)</f>
        <v>44596</v>
      </c>
      <c r="C33" s="56">
        <f>IFERROR(__xludf.DUMMYFUNCTION("""COMPUTED_VALUE"""),5.0)</f>
        <v>5</v>
      </c>
      <c r="D33" s="56">
        <f>IFERROR(__xludf.DUMMYFUNCTION("""COMPUTED_VALUE"""),5.0)</f>
        <v>5</v>
      </c>
      <c r="E33" s="56">
        <f>IFERROR(__xludf.DUMMYFUNCTION("""COMPUTED_VALUE"""),0.0)</f>
        <v>0</v>
      </c>
      <c r="F33" s="56">
        <f>IFERROR(__xludf.DUMMYFUNCTION("""COMPUTED_VALUE"""),0.0)</f>
        <v>0</v>
      </c>
      <c r="G33" s="56">
        <f>IFERROR(__xludf.DUMMYFUNCTION("""COMPUTED_VALUE"""),0.0)</f>
        <v>0</v>
      </c>
      <c r="H33" s="56">
        <f>IFERROR(__xludf.DUMMYFUNCTION("""COMPUTED_VALUE"""),0.0)</f>
        <v>0</v>
      </c>
      <c r="I33" s="56">
        <f>IFERROR(__xludf.DUMMYFUNCTION("""COMPUTED_VALUE"""),0.0)</f>
        <v>0</v>
      </c>
      <c r="J33" s="6" t="b">
        <f>IFERROR(__xludf.DUMMYFUNCTION("""COMPUTED_VALUE"""),TRUE)</f>
        <v>1</v>
      </c>
      <c r="K33" s="43"/>
      <c r="L33" s="55">
        <f>IFERROR(__xludf.DUMMYFUNCTION("""COMPUTED_VALUE"""),44617.0)</f>
        <v>44617</v>
      </c>
      <c r="M33" s="56">
        <f>IFERROR(__xludf.DUMMYFUNCTION("""COMPUTED_VALUE"""),33.0)</f>
        <v>33</v>
      </c>
      <c r="N33" s="56">
        <f>IFERROR(__xludf.DUMMYFUNCTION("""COMPUTED_VALUE"""),33.0)</f>
        <v>33</v>
      </c>
      <c r="O33" s="56">
        <f>IFERROR(__xludf.DUMMYFUNCTION("""COMPUTED_VALUE"""),0.0)</f>
        <v>0</v>
      </c>
      <c r="P33" s="56">
        <f>IFERROR(__xludf.DUMMYFUNCTION("""COMPUTED_VALUE"""),0.0)</f>
        <v>0</v>
      </c>
      <c r="Q33" s="56">
        <f>IFERROR(__xludf.DUMMYFUNCTION("""COMPUTED_VALUE"""),0.0)</f>
        <v>0</v>
      </c>
      <c r="R33" s="56">
        <f>IFERROR(__xludf.DUMMYFUNCTION("""COMPUTED_VALUE"""),0.0)</f>
        <v>0</v>
      </c>
      <c r="S33" s="56">
        <f>IFERROR(__xludf.DUMMYFUNCTION("""COMPUTED_VALUE"""),0.0)</f>
        <v>0</v>
      </c>
      <c r="T33" s="56">
        <f>IFERROR(__xludf.DUMMYFUNCTION("""COMPUTED_VALUE"""),33.0)</f>
        <v>33</v>
      </c>
      <c r="V33" s="43"/>
      <c r="W33" s="55">
        <f t="shared" ref="W33:AC33" si="40">L33</f>
        <v>44617</v>
      </c>
      <c r="X33" s="56">
        <f t="shared" si="40"/>
        <v>33</v>
      </c>
      <c r="Y33" s="56">
        <f t="shared" si="40"/>
        <v>33</v>
      </c>
      <c r="Z33" s="56">
        <f t="shared" si="40"/>
        <v>0</v>
      </c>
      <c r="AA33" s="56">
        <f t="shared" si="40"/>
        <v>0</v>
      </c>
      <c r="AB33" s="56">
        <f t="shared" si="40"/>
        <v>0</v>
      </c>
      <c r="AC33" s="56">
        <f t="shared" si="40"/>
        <v>0</v>
      </c>
      <c r="AD33" s="43"/>
      <c r="AE33" s="55">
        <v>44596.0</v>
      </c>
      <c r="AF33" s="84">
        <f t="shared" si="4"/>
        <v>5</v>
      </c>
      <c r="AG33" s="134">
        <f t="shared" si="5"/>
        <v>13</v>
      </c>
      <c r="AH33" s="43"/>
      <c r="AI33" s="55">
        <f>IF(EXACT('RFR Data - preExcl'!W33,"Initial"),'RFR Data - preExcl'!U33,IFERROR(0/0,""))</f>
        <v>44607</v>
      </c>
      <c r="AJ33" s="103">
        <f>IF(EXACT('RFR Data - preExcl'!$W33,"Initial"),'RFR Data - preExcl'!$AK33,IFERROR(0/0,""))</f>
        <v>33</v>
      </c>
      <c r="AK33" s="43"/>
      <c r="AL33" s="55">
        <v>44596.0</v>
      </c>
      <c r="AM33" s="84">
        <f t="shared" si="6"/>
        <v>5</v>
      </c>
      <c r="AN33" s="134">
        <f t="shared" si="7"/>
        <v>13</v>
      </c>
      <c r="AO33" s="103">
        <f t="shared" si="8"/>
        <v>6</v>
      </c>
      <c r="AP33" s="56">
        <f t="shared" si="41"/>
        <v>-1</v>
      </c>
      <c r="AQ33" s="56">
        <f t="shared" si="9"/>
        <v>5</v>
      </c>
      <c r="AR33" s="315">
        <v>3.6</v>
      </c>
      <c r="AS33" s="6" t="str">
        <f>IFERROR(VLOOKUP(AR33, 'Process Ref'!$A$76:$D$114, 2, FALSE), IFERROR(0/0,""))</f>
        <v>RFR Raw Num Samples Gform = APS Collect</v>
      </c>
    </row>
    <row r="34">
      <c r="B34" s="55">
        <f>IFERROR(__xludf.DUMMYFUNCTION("""COMPUTED_VALUE"""),44599.0)</f>
        <v>44599</v>
      </c>
      <c r="C34" s="56">
        <f>IFERROR(__xludf.DUMMYFUNCTION("""COMPUTED_VALUE"""),13.0)</f>
        <v>13</v>
      </c>
      <c r="D34" s="56">
        <f>IFERROR(__xludf.DUMMYFUNCTION("""COMPUTED_VALUE"""),12.0)</f>
        <v>12</v>
      </c>
      <c r="E34" s="56">
        <f>IFERROR(__xludf.DUMMYFUNCTION("""COMPUTED_VALUE"""),1.0)</f>
        <v>1</v>
      </c>
      <c r="F34" s="56">
        <f>IFERROR(__xludf.DUMMYFUNCTION("""COMPUTED_VALUE"""),0.0)</f>
        <v>0</v>
      </c>
      <c r="G34" s="56">
        <f>IFERROR(__xludf.DUMMYFUNCTION("""COMPUTED_VALUE"""),0.0)</f>
        <v>0</v>
      </c>
      <c r="H34" s="56">
        <f>IFERROR(__xludf.DUMMYFUNCTION("""COMPUTED_VALUE"""),0.0)</f>
        <v>0</v>
      </c>
      <c r="I34" s="56">
        <f>IFERROR(__xludf.DUMMYFUNCTION("""COMPUTED_VALUE"""),0.0)</f>
        <v>0</v>
      </c>
      <c r="J34" s="6" t="b">
        <f>IFERROR(__xludf.DUMMYFUNCTION("""COMPUTED_VALUE"""),TRUE)</f>
        <v>1</v>
      </c>
      <c r="K34" s="43"/>
      <c r="L34" s="55">
        <f>IFERROR(__xludf.DUMMYFUNCTION("""COMPUTED_VALUE"""),44621.0)</f>
        <v>44621</v>
      </c>
      <c r="M34" s="56">
        <f>IFERROR(__xludf.DUMMYFUNCTION("""COMPUTED_VALUE"""),30.0)</f>
        <v>30</v>
      </c>
      <c r="N34" s="56">
        <f>IFERROR(__xludf.DUMMYFUNCTION("""COMPUTED_VALUE"""),30.0)</f>
        <v>30</v>
      </c>
      <c r="O34" s="56">
        <f>IFERROR(__xludf.DUMMYFUNCTION("""COMPUTED_VALUE"""),0.0)</f>
        <v>0</v>
      </c>
      <c r="P34" s="56">
        <f>IFERROR(__xludf.DUMMYFUNCTION("""COMPUTED_VALUE"""),0.0)</f>
        <v>0</v>
      </c>
      <c r="Q34" s="56">
        <f>IFERROR(__xludf.DUMMYFUNCTION("""COMPUTED_VALUE"""),0.0)</f>
        <v>0</v>
      </c>
      <c r="R34" s="56">
        <f>IFERROR(__xludf.DUMMYFUNCTION("""COMPUTED_VALUE"""),0.0)</f>
        <v>0</v>
      </c>
      <c r="S34" s="56">
        <f>IFERROR(__xludf.DUMMYFUNCTION("""COMPUTED_VALUE"""),0.0)</f>
        <v>0</v>
      </c>
      <c r="T34" s="56">
        <f>IFERROR(__xludf.DUMMYFUNCTION("""COMPUTED_VALUE"""),30.0)</f>
        <v>30</v>
      </c>
      <c r="V34" s="43"/>
      <c r="W34" s="55">
        <f t="shared" ref="W34:AC34" si="42">L34</f>
        <v>44621</v>
      </c>
      <c r="X34" s="56">
        <f t="shared" si="42"/>
        <v>30</v>
      </c>
      <c r="Y34" s="56">
        <f t="shared" si="42"/>
        <v>30</v>
      </c>
      <c r="Z34" s="56">
        <f t="shared" si="42"/>
        <v>0</v>
      </c>
      <c r="AA34" s="56">
        <f t="shared" si="42"/>
        <v>0</v>
      </c>
      <c r="AB34" s="56">
        <f t="shared" si="42"/>
        <v>0</v>
      </c>
      <c r="AC34" s="56">
        <f t="shared" si="42"/>
        <v>0</v>
      </c>
      <c r="AD34" s="43"/>
      <c r="AE34" s="55">
        <v>44599.0</v>
      </c>
      <c r="AF34" s="84">
        <f t="shared" si="4"/>
        <v>13</v>
      </c>
      <c r="AG34" s="134">
        <f t="shared" si="5"/>
        <v>13</v>
      </c>
      <c r="AH34" s="43"/>
      <c r="AI34" s="6" t="str">
        <f>IF(EXACT('RFR Data - preExcl'!W34,"Initial"),'RFR Data - preExcl'!U34,IFERROR(0/0,""))</f>
        <v/>
      </c>
      <c r="AJ34" s="103" t="str">
        <f>IF(EXACT('RFR Data - preExcl'!$W34,"Initial"),'RFR Data - preExcl'!$AK34,IFERROR(0/0,""))</f>
        <v/>
      </c>
      <c r="AK34" s="43"/>
      <c r="AL34" s="55">
        <v>44599.0</v>
      </c>
      <c r="AM34" s="84">
        <f t="shared" si="6"/>
        <v>13</v>
      </c>
      <c r="AN34" s="134">
        <f t="shared" si="7"/>
        <v>13</v>
      </c>
      <c r="AO34" s="103">
        <f t="shared" si="8"/>
        <v>14</v>
      </c>
      <c r="AP34" s="56">
        <f t="shared" si="41"/>
        <v>-1</v>
      </c>
      <c r="AQ34" s="56">
        <f t="shared" si="9"/>
        <v>13</v>
      </c>
      <c r="AR34" s="315">
        <v>3.6</v>
      </c>
      <c r="AS34" s="6" t="str">
        <f>IFERROR(VLOOKUP(AR34, 'Process Ref'!$A$76:$D$114, 2, FALSE), IFERROR(0/0,""))</f>
        <v>RFR Raw Num Samples Gform = APS Collect</v>
      </c>
    </row>
    <row r="35">
      <c r="B35" s="55">
        <f>IFERROR(__xludf.DUMMYFUNCTION("""COMPUTED_VALUE"""),44601.0)</f>
        <v>44601</v>
      </c>
      <c r="C35" s="56">
        <f>IFERROR(__xludf.DUMMYFUNCTION("""COMPUTED_VALUE"""),14.0)</f>
        <v>14</v>
      </c>
      <c r="D35" s="56">
        <f>IFERROR(__xludf.DUMMYFUNCTION("""COMPUTED_VALUE"""),13.0)</f>
        <v>13</v>
      </c>
      <c r="E35" s="56">
        <f>IFERROR(__xludf.DUMMYFUNCTION("""COMPUTED_VALUE"""),1.0)</f>
        <v>1</v>
      </c>
      <c r="F35" s="56">
        <f>IFERROR(__xludf.DUMMYFUNCTION("""COMPUTED_VALUE"""),0.0)</f>
        <v>0</v>
      </c>
      <c r="G35" s="56">
        <f>IFERROR(__xludf.DUMMYFUNCTION("""COMPUTED_VALUE"""),0.0)</f>
        <v>0</v>
      </c>
      <c r="H35" s="56">
        <f>IFERROR(__xludf.DUMMYFUNCTION("""COMPUTED_VALUE"""),0.0)</f>
        <v>0</v>
      </c>
      <c r="I35" s="56">
        <f>IFERROR(__xludf.DUMMYFUNCTION("""COMPUTED_VALUE"""),0.0)</f>
        <v>0</v>
      </c>
      <c r="J35" s="6" t="b">
        <f>IFERROR(__xludf.DUMMYFUNCTION("""COMPUTED_VALUE"""),TRUE)</f>
        <v>1</v>
      </c>
      <c r="K35" s="43"/>
      <c r="L35" s="55">
        <f>IFERROR(__xludf.DUMMYFUNCTION("""COMPUTED_VALUE"""),44623.0)</f>
        <v>44623</v>
      </c>
      <c r="M35" s="56">
        <f>IFERROR(__xludf.DUMMYFUNCTION("""COMPUTED_VALUE"""),34.0)</f>
        <v>34</v>
      </c>
      <c r="N35" s="56">
        <f>IFERROR(__xludf.DUMMYFUNCTION("""COMPUTED_VALUE"""),32.0)</f>
        <v>32</v>
      </c>
      <c r="O35" s="56">
        <f>IFERROR(__xludf.DUMMYFUNCTION("""COMPUTED_VALUE"""),2.0)</f>
        <v>2</v>
      </c>
      <c r="P35" s="56">
        <f>IFERROR(__xludf.DUMMYFUNCTION("""COMPUTED_VALUE"""),0.0)</f>
        <v>0</v>
      </c>
      <c r="Q35" s="56">
        <f>IFERROR(__xludf.DUMMYFUNCTION("""COMPUTED_VALUE"""),0.0)</f>
        <v>0</v>
      </c>
      <c r="R35" s="56">
        <f>IFERROR(__xludf.DUMMYFUNCTION("""COMPUTED_VALUE"""),0.0)</f>
        <v>0</v>
      </c>
      <c r="S35" s="56">
        <f>IFERROR(__xludf.DUMMYFUNCTION("""COMPUTED_VALUE"""),0.0)</f>
        <v>0</v>
      </c>
      <c r="T35" s="56">
        <f>IFERROR(__xludf.DUMMYFUNCTION("""COMPUTED_VALUE"""),34.0)</f>
        <v>34</v>
      </c>
      <c r="V35" s="43"/>
      <c r="W35" s="55">
        <f t="shared" ref="W35:AC35" si="43">L35</f>
        <v>44623</v>
      </c>
      <c r="X35" s="56">
        <f t="shared" si="43"/>
        <v>34</v>
      </c>
      <c r="Y35" s="56">
        <f t="shared" si="43"/>
        <v>32</v>
      </c>
      <c r="Z35" s="56">
        <f t="shared" si="43"/>
        <v>2</v>
      </c>
      <c r="AA35" s="56">
        <f t="shared" si="43"/>
        <v>0</v>
      </c>
      <c r="AB35" s="56">
        <f t="shared" si="43"/>
        <v>0</v>
      </c>
      <c r="AC35" s="56">
        <f t="shared" si="43"/>
        <v>0</v>
      </c>
      <c r="AD35" s="43"/>
      <c r="AE35" s="55">
        <v>44601.0</v>
      </c>
      <c r="AF35" s="84">
        <f t="shared" si="4"/>
        <v>14</v>
      </c>
      <c r="AG35" s="134">
        <f t="shared" si="5"/>
        <v>14</v>
      </c>
      <c r="AH35" s="43"/>
      <c r="AI35" s="6" t="str">
        <f>IF(EXACT('RFR Data - preExcl'!W35,"Initial"),'RFR Data - preExcl'!U35,IFERROR(0/0,""))</f>
        <v/>
      </c>
      <c r="AJ35" s="103" t="str">
        <f>IF(EXACT('RFR Data - preExcl'!$W35,"Initial"),'RFR Data - preExcl'!$AK35,IFERROR(0/0,""))</f>
        <v/>
      </c>
      <c r="AK35" s="43"/>
      <c r="AL35" s="55">
        <v>44601.0</v>
      </c>
      <c r="AM35" s="84">
        <f t="shared" si="6"/>
        <v>14</v>
      </c>
      <c r="AN35" s="134">
        <f t="shared" si="7"/>
        <v>14</v>
      </c>
      <c r="AO35" s="103">
        <f t="shared" si="8"/>
        <v>14</v>
      </c>
      <c r="AQ35" s="56">
        <f t="shared" si="9"/>
        <v>14</v>
      </c>
      <c r="AR35" s="91">
        <v>0.0</v>
      </c>
      <c r="AS35" s="6" t="str">
        <f>IFERROR(VLOOKUP(AR35, 'Process Ref'!$A$76:$D$114, 2, FALSE), IFERROR(0/0,""))</f>
        <v>ALL 3 COUNTS SAME meaning APS Collect = APS Result = RFR</v>
      </c>
    </row>
    <row r="36">
      <c r="B36" s="55">
        <f>IFERROR(__xludf.DUMMYFUNCTION("""COMPUTED_VALUE"""),44603.0)</f>
        <v>44603</v>
      </c>
      <c r="C36" s="56">
        <f>IFERROR(__xludf.DUMMYFUNCTION("""COMPUTED_VALUE"""),9.0)</f>
        <v>9</v>
      </c>
      <c r="D36" s="56">
        <f>IFERROR(__xludf.DUMMYFUNCTION("""COMPUTED_VALUE"""),7.0)</f>
        <v>7</v>
      </c>
      <c r="E36" s="56">
        <f>IFERROR(__xludf.DUMMYFUNCTION("""COMPUTED_VALUE"""),2.0)</f>
        <v>2</v>
      </c>
      <c r="F36" s="56">
        <f>IFERROR(__xludf.DUMMYFUNCTION("""COMPUTED_VALUE"""),0.0)</f>
        <v>0</v>
      </c>
      <c r="G36" s="56">
        <f>IFERROR(__xludf.DUMMYFUNCTION("""COMPUTED_VALUE"""),0.0)</f>
        <v>0</v>
      </c>
      <c r="H36" s="56">
        <f>IFERROR(__xludf.DUMMYFUNCTION("""COMPUTED_VALUE"""),0.0)</f>
        <v>0</v>
      </c>
      <c r="I36" s="56">
        <f>IFERROR(__xludf.DUMMYFUNCTION("""COMPUTED_VALUE"""),0.0)</f>
        <v>0</v>
      </c>
      <c r="J36" s="6" t="b">
        <f>IFERROR(__xludf.DUMMYFUNCTION("""COMPUTED_VALUE"""),TRUE)</f>
        <v>1</v>
      </c>
      <c r="K36" s="43"/>
      <c r="L36" s="55">
        <f>IFERROR(__xludf.DUMMYFUNCTION("""COMPUTED_VALUE"""),44625.0)</f>
        <v>44625</v>
      </c>
      <c r="M36" s="56">
        <f>IFERROR(__xludf.DUMMYFUNCTION("""COMPUTED_VALUE"""),32.0)</f>
        <v>32</v>
      </c>
      <c r="N36" s="56">
        <f>IFERROR(__xludf.DUMMYFUNCTION("""COMPUTED_VALUE"""),32.0)</f>
        <v>32</v>
      </c>
      <c r="O36" s="56">
        <f>IFERROR(__xludf.DUMMYFUNCTION("""COMPUTED_VALUE"""),0.0)</f>
        <v>0</v>
      </c>
      <c r="P36" s="56">
        <f>IFERROR(__xludf.DUMMYFUNCTION("""COMPUTED_VALUE"""),0.0)</f>
        <v>0</v>
      </c>
      <c r="Q36" s="56">
        <f>IFERROR(__xludf.DUMMYFUNCTION("""COMPUTED_VALUE"""),0.0)</f>
        <v>0</v>
      </c>
      <c r="R36" s="56">
        <f>IFERROR(__xludf.DUMMYFUNCTION("""COMPUTED_VALUE"""),0.0)</f>
        <v>0</v>
      </c>
      <c r="S36" s="56">
        <f>IFERROR(__xludf.DUMMYFUNCTION("""COMPUTED_VALUE"""),0.0)</f>
        <v>0</v>
      </c>
      <c r="T36" s="56">
        <f>IFERROR(__xludf.DUMMYFUNCTION("""COMPUTED_VALUE"""),32.0)</f>
        <v>32</v>
      </c>
      <c r="V36" s="43"/>
      <c r="W36" s="55">
        <f t="shared" ref="W36:AC36" si="44">L36</f>
        <v>44625</v>
      </c>
      <c r="X36" s="56">
        <f t="shared" si="44"/>
        <v>32</v>
      </c>
      <c r="Y36" s="56">
        <f t="shared" si="44"/>
        <v>32</v>
      </c>
      <c r="Z36" s="56">
        <f t="shared" si="44"/>
        <v>0</v>
      </c>
      <c r="AA36" s="56">
        <f t="shared" si="44"/>
        <v>0</v>
      </c>
      <c r="AB36" s="56">
        <f t="shared" si="44"/>
        <v>0</v>
      </c>
      <c r="AC36" s="56">
        <f t="shared" si="44"/>
        <v>0</v>
      </c>
      <c r="AD36" s="43"/>
      <c r="AE36" s="55">
        <v>44603.0</v>
      </c>
      <c r="AF36" s="84">
        <f t="shared" si="4"/>
        <v>9</v>
      </c>
      <c r="AG36" s="134">
        <f t="shared" si="5"/>
        <v>9</v>
      </c>
      <c r="AH36" s="43"/>
      <c r="AI36" s="55">
        <f>IF(EXACT('RFR Data - preExcl'!W36,"Initial"),'RFR Data - preExcl'!U36,IFERROR(0/0,""))</f>
        <v>44609</v>
      </c>
      <c r="AJ36" s="103">
        <f>IF(EXACT('RFR Data - preExcl'!$W36,"Initial"),'RFR Data - preExcl'!$AK36,IFERROR(0/0,""))</f>
        <v>32</v>
      </c>
      <c r="AK36" s="43"/>
      <c r="AL36" s="55">
        <v>44603.0</v>
      </c>
      <c r="AM36" s="84">
        <f t="shared" si="6"/>
        <v>9</v>
      </c>
      <c r="AN36" s="134">
        <f t="shared" si="7"/>
        <v>9</v>
      </c>
      <c r="AO36" s="103">
        <f t="shared" si="8"/>
        <v>9</v>
      </c>
      <c r="AQ36" s="56">
        <f t="shared" si="9"/>
        <v>9</v>
      </c>
      <c r="AR36" s="91">
        <v>0.4</v>
      </c>
      <c r="AS36" s="6" t="str">
        <f>IFERROR(VLOOKUP(AR36, 'Process Ref'!$A$76:$D$114, 2, FALSE), IFERROR(0/0,""))</f>
        <v>ALL 3 COUNTS SAME but GFORM Num of Samples is different</v>
      </c>
    </row>
    <row r="37">
      <c r="B37" s="55">
        <f>IFERROR(__xludf.DUMMYFUNCTION("""COMPUTED_VALUE"""),44604.0)</f>
        <v>44604</v>
      </c>
      <c r="C37" s="56">
        <f>IFERROR(__xludf.DUMMYFUNCTION("""COMPUTED_VALUE"""),2.0)</f>
        <v>2</v>
      </c>
      <c r="D37" s="56">
        <f>IFERROR(__xludf.DUMMYFUNCTION("""COMPUTED_VALUE"""),0.0)</f>
        <v>0</v>
      </c>
      <c r="E37" s="56">
        <f>IFERROR(__xludf.DUMMYFUNCTION("""COMPUTED_VALUE"""),2.0)</f>
        <v>2</v>
      </c>
      <c r="F37" s="56">
        <f>IFERROR(__xludf.DUMMYFUNCTION("""COMPUTED_VALUE"""),0.0)</f>
        <v>0</v>
      </c>
      <c r="G37" s="56">
        <f>IFERROR(__xludf.DUMMYFUNCTION("""COMPUTED_VALUE"""),0.0)</f>
        <v>0</v>
      </c>
      <c r="H37" s="56">
        <f>IFERROR(__xludf.DUMMYFUNCTION("""COMPUTED_VALUE"""),0.0)</f>
        <v>0</v>
      </c>
      <c r="I37" s="56">
        <f>IFERROR(__xludf.DUMMYFUNCTION("""COMPUTED_VALUE"""),0.0)</f>
        <v>0</v>
      </c>
      <c r="J37" s="6" t="b">
        <f>IFERROR(__xludf.DUMMYFUNCTION("""COMPUTED_VALUE"""),TRUE)</f>
        <v>1</v>
      </c>
      <c r="K37" s="43"/>
      <c r="L37" s="55">
        <f>IFERROR(__xludf.DUMMYFUNCTION("""COMPUTED_VALUE"""),44627.0)</f>
        <v>44627</v>
      </c>
      <c r="M37" s="56">
        <f>IFERROR(__xludf.DUMMYFUNCTION("""COMPUTED_VALUE"""),65.0)</f>
        <v>65</v>
      </c>
      <c r="N37" s="56">
        <f>IFERROR(__xludf.DUMMYFUNCTION("""COMPUTED_VALUE"""),62.0)</f>
        <v>62</v>
      </c>
      <c r="O37" s="56">
        <f>IFERROR(__xludf.DUMMYFUNCTION("""COMPUTED_VALUE"""),3.0)</f>
        <v>3</v>
      </c>
      <c r="P37" s="56">
        <f>IFERROR(__xludf.DUMMYFUNCTION("""COMPUTED_VALUE"""),0.0)</f>
        <v>0</v>
      </c>
      <c r="Q37" s="56">
        <f>IFERROR(__xludf.DUMMYFUNCTION("""COMPUTED_VALUE"""),0.0)</f>
        <v>0</v>
      </c>
      <c r="R37" s="56">
        <f>IFERROR(__xludf.DUMMYFUNCTION("""COMPUTED_VALUE"""),0.0)</f>
        <v>0</v>
      </c>
      <c r="S37" s="56">
        <f>IFERROR(__xludf.DUMMYFUNCTION("""COMPUTED_VALUE"""),0.0)</f>
        <v>0</v>
      </c>
      <c r="T37" s="56">
        <f>IFERROR(__xludf.DUMMYFUNCTION("""COMPUTED_VALUE"""),65.0)</f>
        <v>65</v>
      </c>
      <c r="V37" s="43"/>
      <c r="W37" s="55">
        <f t="shared" ref="W37:AC37" si="45">L37</f>
        <v>44627</v>
      </c>
      <c r="X37" s="56">
        <f t="shared" si="45"/>
        <v>65</v>
      </c>
      <c r="Y37" s="56">
        <f t="shared" si="45"/>
        <v>62</v>
      </c>
      <c r="Z37" s="56">
        <f t="shared" si="45"/>
        <v>3</v>
      </c>
      <c r="AA37" s="56">
        <f t="shared" si="45"/>
        <v>0</v>
      </c>
      <c r="AB37" s="56">
        <f t="shared" si="45"/>
        <v>0</v>
      </c>
      <c r="AC37" s="56">
        <f t="shared" si="45"/>
        <v>0</v>
      </c>
      <c r="AD37" s="43"/>
      <c r="AE37" s="55">
        <v>44604.0</v>
      </c>
      <c r="AF37" s="84">
        <f t="shared" si="4"/>
        <v>2</v>
      </c>
      <c r="AG37" s="134">
        <f t="shared" si="5"/>
        <v>2</v>
      </c>
      <c r="AH37" s="43"/>
      <c r="AI37" s="55">
        <f>IF(EXACT('RFR Data - preExcl'!W37,"Initial"),'RFR Data - preExcl'!U37,IFERROR(0/0,""))</f>
        <v>44611</v>
      </c>
      <c r="AJ37" s="103">
        <f>IF(EXACT('RFR Data - preExcl'!$W37,"Initial"),'RFR Data - preExcl'!$AK37,IFERROR(0/0,""))</f>
        <v>31</v>
      </c>
      <c r="AK37" s="43"/>
      <c r="AL37" s="55">
        <v>44604.0</v>
      </c>
      <c r="AM37" s="84">
        <f t="shared" si="6"/>
        <v>2</v>
      </c>
      <c r="AN37" s="134">
        <f t="shared" si="7"/>
        <v>2</v>
      </c>
      <c r="AO37" s="103">
        <f t="shared" si="8"/>
        <v>2</v>
      </c>
      <c r="AQ37" s="56">
        <f t="shared" si="9"/>
        <v>2</v>
      </c>
      <c r="AR37" s="91">
        <v>0.0</v>
      </c>
      <c r="AS37" s="6" t="str">
        <f>IFERROR(VLOOKUP(AR37, 'Process Ref'!$A$76:$D$114, 2, FALSE), IFERROR(0/0,""))</f>
        <v>ALL 3 COUNTS SAME meaning APS Collect = APS Result = RFR</v>
      </c>
    </row>
    <row r="38">
      <c r="B38" s="55">
        <f>IFERROR(__xludf.DUMMYFUNCTION("""COMPUTED_VALUE"""),44607.0)</f>
        <v>44607</v>
      </c>
      <c r="C38" s="56">
        <f>IFERROR(__xludf.DUMMYFUNCTION("""COMPUTED_VALUE"""),33.0)</f>
        <v>33</v>
      </c>
      <c r="D38" s="56">
        <f>IFERROR(__xludf.DUMMYFUNCTION("""COMPUTED_VALUE"""),33.0)</f>
        <v>33</v>
      </c>
      <c r="E38" s="56">
        <f>IFERROR(__xludf.DUMMYFUNCTION("""COMPUTED_VALUE"""),0.0)</f>
        <v>0</v>
      </c>
      <c r="F38" s="56">
        <f>IFERROR(__xludf.DUMMYFUNCTION("""COMPUTED_VALUE"""),0.0)</f>
        <v>0</v>
      </c>
      <c r="G38" s="56">
        <f>IFERROR(__xludf.DUMMYFUNCTION("""COMPUTED_VALUE"""),0.0)</f>
        <v>0</v>
      </c>
      <c r="H38" s="56">
        <f>IFERROR(__xludf.DUMMYFUNCTION("""COMPUTED_VALUE"""),0.0)</f>
        <v>0</v>
      </c>
      <c r="I38" s="56">
        <f>IFERROR(__xludf.DUMMYFUNCTION("""COMPUTED_VALUE"""),0.0)</f>
        <v>0</v>
      </c>
      <c r="J38" s="6" t="b">
        <f>IFERROR(__xludf.DUMMYFUNCTION("""COMPUTED_VALUE"""),TRUE)</f>
        <v>1</v>
      </c>
      <c r="K38" s="43"/>
      <c r="L38" s="55">
        <f>IFERROR(__xludf.DUMMYFUNCTION("""COMPUTED_VALUE"""),44629.0)</f>
        <v>44629</v>
      </c>
      <c r="M38" s="56">
        <f>IFERROR(__xludf.DUMMYFUNCTION("""COMPUTED_VALUE"""),25.0)</f>
        <v>25</v>
      </c>
      <c r="N38" s="56">
        <f>IFERROR(__xludf.DUMMYFUNCTION("""COMPUTED_VALUE"""),25.0)</f>
        <v>25</v>
      </c>
      <c r="O38" s="56">
        <f>IFERROR(__xludf.DUMMYFUNCTION("""COMPUTED_VALUE"""),0.0)</f>
        <v>0</v>
      </c>
      <c r="P38" s="56">
        <f>IFERROR(__xludf.DUMMYFUNCTION("""COMPUTED_VALUE"""),0.0)</f>
        <v>0</v>
      </c>
      <c r="Q38" s="56">
        <f>IFERROR(__xludf.DUMMYFUNCTION("""COMPUTED_VALUE"""),0.0)</f>
        <v>0</v>
      </c>
      <c r="R38" s="56">
        <f>IFERROR(__xludf.DUMMYFUNCTION("""COMPUTED_VALUE"""),0.0)</f>
        <v>0</v>
      </c>
      <c r="S38" s="56">
        <f>IFERROR(__xludf.DUMMYFUNCTION("""COMPUTED_VALUE"""),0.0)</f>
        <v>0</v>
      </c>
      <c r="T38" s="56">
        <f>IFERROR(__xludf.DUMMYFUNCTION("""COMPUTED_VALUE"""),25.0)</f>
        <v>25</v>
      </c>
      <c r="V38" s="43"/>
      <c r="W38" s="55">
        <f t="shared" ref="W38:W41" si="47">L38</f>
        <v>44629</v>
      </c>
      <c r="X38" s="110">
        <f t="shared" ref="X38:AC38" si="46">M38+M42</f>
        <v>26</v>
      </c>
      <c r="Y38" s="110">
        <f t="shared" si="46"/>
        <v>26</v>
      </c>
      <c r="Z38" s="110">
        <f t="shared" si="46"/>
        <v>0</v>
      </c>
      <c r="AA38" s="110">
        <f t="shared" si="46"/>
        <v>0</v>
      </c>
      <c r="AB38" s="110">
        <f t="shared" si="46"/>
        <v>0</v>
      </c>
      <c r="AC38" s="110">
        <f t="shared" si="46"/>
        <v>0</v>
      </c>
      <c r="AD38" s="43"/>
      <c r="AE38" s="55">
        <v>44607.0</v>
      </c>
      <c r="AF38" s="84">
        <f t="shared" si="4"/>
        <v>33</v>
      </c>
      <c r="AG38" s="134">
        <f t="shared" si="5"/>
        <v>32</v>
      </c>
      <c r="AH38" s="43"/>
      <c r="AI38" s="55">
        <f>IF(EXACT('RFR Data - preExcl'!W38,"Initial"),'RFR Data - preExcl'!U38,IFERROR(0/0,""))</f>
        <v>44613</v>
      </c>
      <c r="AJ38" s="103">
        <f>IF(EXACT('RFR Data - preExcl'!$W38,"Initial"),'RFR Data - preExcl'!$AK38,IFERROR(0/0,""))</f>
        <v>29</v>
      </c>
      <c r="AK38" s="43"/>
      <c r="AL38" s="55">
        <v>44607.0</v>
      </c>
      <c r="AM38" s="84">
        <f t="shared" si="6"/>
        <v>33</v>
      </c>
      <c r="AN38" s="134">
        <f t="shared" si="7"/>
        <v>32</v>
      </c>
      <c r="AO38" s="103">
        <f t="shared" si="8"/>
        <v>33</v>
      </c>
      <c r="AQ38" s="56">
        <f t="shared" si="9"/>
        <v>33</v>
      </c>
      <c r="AR38" s="91">
        <v>1.1</v>
      </c>
      <c r="AS38" s="6" t="str">
        <f>IFERROR(VLOOKUP(AR38, 'Process Ref'!$A$76:$D$114, 2, FALSE), IFERROR(0/0,""))</f>
        <v>Use APS Collect = RFR (diff APS Result count but nets out) after Null called Neg</v>
      </c>
    </row>
    <row r="39">
      <c r="B39" s="55">
        <f>IFERROR(__xludf.DUMMYFUNCTION("""COMPUTED_VALUE"""),44609.0)</f>
        <v>44609</v>
      </c>
      <c r="C39" s="56">
        <f>IFERROR(__xludf.DUMMYFUNCTION("""COMPUTED_VALUE"""),33.0)</f>
        <v>33</v>
      </c>
      <c r="D39" s="56">
        <f>IFERROR(__xludf.DUMMYFUNCTION("""COMPUTED_VALUE"""),32.0)</f>
        <v>32</v>
      </c>
      <c r="E39" s="56">
        <f>IFERROR(__xludf.DUMMYFUNCTION("""COMPUTED_VALUE"""),0.0)</f>
        <v>0</v>
      </c>
      <c r="F39" s="56">
        <f>IFERROR(__xludf.DUMMYFUNCTION("""COMPUTED_VALUE"""),1.0)</f>
        <v>1</v>
      </c>
      <c r="G39" s="56">
        <f>IFERROR(__xludf.DUMMYFUNCTION("""COMPUTED_VALUE"""),0.0)</f>
        <v>0</v>
      </c>
      <c r="H39" s="56">
        <f>IFERROR(__xludf.DUMMYFUNCTION("""COMPUTED_VALUE"""),0.0)</f>
        <v>0</v>
      </c>
      <c r="I39" s="56">
        <f>IFERROR(__xludf.DUMMYFUNCTION("""COMPUTED_VALUE"""),0.0)</f>
        <v>0</v>
      </c>
      <c r="J39" s="6"/>
      <c r="K39" s="43"/>
      <c r="L39" s="55">
        <f>IFERROR(__xludf.DUMMYFUNCTION("""COMPUTED_VALUE"""),44631.0)</f>
        <v>44631</v>
      </c>
      <c r="M39" s="56">
        <f>IFERROR(__xludf.DUMMYFUNCTION("""COMPUTED_VALUE"""),28.0)</f>
        <v>28</v>
      </c>
      <c r="N39" s="56">
        <f>IFERROR(__xludf.DUMMYFUNCTION("""COMPUTED_VALUE"""),28.0)</f>
        <v>28</v>
      </c>
      <c r="O39" s="56">
        <f>IFERROR(__xludf.DUMMYFUNCTION("""COMPUTED_VALUE"""),0.0)</f>
        <v>0</v>
      </c>
      <c r="P39" s="56">
        <f>IFERROR(__xludf.DUMMYFUNCTION("""COMPUTED_VALUE"""),0.0)</f>
        <v>0</v>
      </c>
      <c r="Q39" s="56">
        <f>IFERROR(__xludf.DUMMYFUNCTION("""COMPUTED_VALUE"""),0.0)</f>
        <v>0</v>
      </c>
      <c r="R39" s="56">
        <f>IFERROR(__xludf.DUMMYFUNCTION("""COMPUTED_VALUE"""),0.0)</f>
        <v>0</v>
      </c>
      <c r="S39" s="56">
        <f>IFERROR(__xludf.DUMMYFUNCTION("""COMPUTED_VALUE"""),0.0)</f>
        <v>0</v>
      </c>
      <c r="T39" s="56">
        <f>IFERROR(__xludf.DUMMYFUNCTION("""COMPUTED_VALUE"""),28.0)</f>
        <v>28</v>
      </c>
      <c r="V39" s="43"/>
      <c r="W39" s="55">
        <f t="shared" si="47"/>
        <v>44631</v>
      </c>
      <c r="X39" s="56">
        <f t="shared" ref="X39:AC39" si="48">M39</f>
        <v>28</v>
      </c>
      <c r="Y39" s="56">
        <f t="shared" si="48"/>
        <v>28</v>
      </c>
      <c r="Z39" s="56">
        <f t="shared" si="48"/>
        <v>0</v>
      </c>
      <c r="AA39" s="56">
        <f t="shared" si="48"/>
        <v>0</v>
      </c>
      <c r="AB39" s="56">
        <f t="shared" si="48"/>
        <v>0</v>
      </c>
      <c r="AC39" s="56">
        <f t="shared" si="48"/>
        <v>0</v>
      </c>
      <c r="AD39" s="43"/>
      <c r="AE39" s="55">
        <v>44609.0</v>
      </c>
      <c r="AF39" s="84">
        <f t="shared" si="4"/>
        <v>33</v>
      </c>
      <c r="AG39" s="134" t="str">
        <f t="shared" si="5"/>
        <v/>
      </c>
      <c r="AH39" s="43"/>
      <c r="AI39" s="55">
        <f>IF(EXACT('RFR Data - preExcl'!W39,"Initial"),'RFR Data - preExcl'!U39,IFERROR(0/0,""))</f>
        <v>44614</v>
      </c>
      <c r="AJ39" s="103">
        <f>IF(EXACT('RFR Data - preExcl'!$W39,"Initial"),'RFR Data - preExcl'!$AK39,IFERROR(0/0,""))</f>
        <v>1</v>
      </c>
      <c r="AK39" s="43"/>
      <c r="AL39" s="55">
        <v>44609.0</v>
      </c>
      <c r="AM39" s="84">
        <f t="shared" si="6"/>
        <v>33</v>
      </c>
      <c r="AN39" s="134" t="str">
        <f t="shared" si="7"/>
        <v/>
      </c>
      <c r="AO39" s="103">
        <f t="shared" si="8"/>
        <v>32</v>
      </c>
      <c r="AP39" s="56">
        <f>AM39-AO39</f>
        <v>1</v>
      </c>
      <c r="AQ39" s="56">
        <f t="shared" si="9"/>
        <v>33</v>
      </c>
      <c r="AR39" s="128">
        <v>8.1</v>
      </c>
      <c r="AS39" s="6" t="str">
        <f>IFERROR(VLOOKUP(AR39, 'Process Ref'!$A$76:$D$114, 2, FALSE), IFERROR(0/0,""))</f>
        <v>Use APS Collect count != RFR Audit</v>
      </c>
      <c r="AT39" s="86" t="s">
        <v>442</v>
      </c>
    </row>
    <row r="40">
      <c r="B40" s="55">
        <f>IFERROR(__xludf.DUMMYFUNCTION("""COMPUTED_VALUE"""),44611.0)</f>
        <v>44611</v>
      </c>
      <c r="C40" s="56">
        <f>IFERROR(__xludf.DUMMYFUNCTION("""COMPUTED_VALUE"""),31.0)</f>
        <v>31</v>
      </c>
      <c r="D40" s="56">
        <f>IFERROR(__xludf.DUMMYFUNCTION("""COMPUTED_VALUE"""),31.0)</f>
        <v>31</v>
      </c>
      <c r="E40" s="56">
        <f>IFERROR(__xludf.DUMMYFUNCTION("""COMPUTED_VALUE"""),0.0)</f>
        <v>0</v>
      </c>
      <c r="F40" s="56">
        <f>IFERROR(__xludf.DUMMYFUNCTION("""COMPUTED_VALUE"""),0.0)</f>
        <v>0</v>
      </c>
      <c r="G40" s="56">
        <f>IFERROR(__xludf.DUMMYFUNCTION("""COMPUTED_VALUE"""),0.0)</f>
        <v>0</v>
      </c>
      <c r="H40" s="56">
        <f>IFERROR(__xludf.DUMMYFUNCTION("""COMPUTED_VALUE"""),0.0)</f>
        <v>0</v>
      </c>
      <c r="I40" s="56">
        <f>IFERROR(__xludf.DUMMYFUNCTION("""COMPUTED_VALUE"""),0.0)</f>
        <v>0</v>
      </c>
      <c r="J40" s="6" t="b">
        <f>IFERROR(__xludf.DUMMYFUNCTION("""COMPUTED_VALUE"""),TRUE)</f>
        <v>1</v>
      </c>
      <c r="K40" s="43"/>
      <c r="L40" s="55">
        <f>IFERROR(__xludf.DUMMYFUNCTION("""COMPUTED_VALUE"""),44665.0)</f>
        <v>44665</v>
      </c>
      <c r="M40" s="56">
        <f>IFERROR(__xludf.DUMMYFUNCTION("""COMPUTED_VALUE"""),1.0)</f>
        <v>1</v>
      </c>
      <c r="N40" s="56">
        <f>IFERROR(__xludf.DUMMYFUNCTION("""COMPUTED_VALUE"""),1.0)</f>
        <v>1</v>
      </c>
      <c r="O40" s="56">
        <f>IFERROR(__xludf.DUMMYFUNCTION("""COMPUTED_VALUE"""),0.0)</f>
        <v>0</v>
      </c>
      <c r="P40" s="56">
        <f>IFERROR(__xludf.DUMMYFUNCTION("""COMPUTED_VALUE"""),0.0)</f>
        <v>0</v>
      </c>
      <c r="Q40" s="56">
        <f>IFERROR(__xludf.DUMMYFUNCTION("""COMPUTED_VALUE"""),0.0)</f>
        <v>0</v>
      </c>
      <c r="R40" s="56">
        <f>IFERROR(__xludf.DUMMYFUNCTION("""COMPUTED_VALUE"""),0.0)</f>
        <v>0</v>
      </c>
      <c r="S40" s="56">
        <f>IFERROR(__xludf.DUMMYFUNCTION("""COMPUTED_VALUE"""),0.0)</f>
        <v>0</v>
      </c>
      <c r="T40" s="56">
        <f>IFERROR(__xludf.DUMMYFUNCTION("""COMPUTED_VALUE"""),1.0)</f>
        <v>1</v>
      </c>
      <c r="V40" s="43"/>
      <c r="W40" s="55">
        <f t="shared" si="47"/>
        <v>44665</v>
      </c>
      <c r="X40" s="56">
        <f t="shared" ref="X40:AC40" si="49">M40</f>
        <v>1</v>
      </c>
      <c r="Y40" s="56">
        <f t="shared" si="49"/>
        <v>1</v>
      </c>
      <c r="Z40" s="56">
        <f t="shared" si="49"/>
        <v>0</v>
      </c>
      <c r="AA40" s="56">
        <f t="shared" si="49"/>
        <v>0</v>
      </c>
      <c r="AB40" s="56">
        <f t="shared" si="49"/>
        <v>0</v>
      </c>
      <c r="AC40" s="56">
        <f t="shared" si="49"/>
        <v>0</v>
      </c>
      <c r="AD40" s="43"/>
      <c r="AE40" s="55">
        <v>44611.0</v>
      </c>
      <c r="AF40" s="84">
        <f t="shared" si="4"/>
        <v>31</v>
      </c>
      <c r="AG40" s="134">
        <f t="shared" si="5"/>
        <v>64</v>
      </c>
      <c r="AH40" s="43"/>
      <c r="AI40" s="55">
        <f>IF(EXACT('RFR Data - preExcl'!W40,"Initial"),'RFR Data - preExcl'!U40,IFERROR(0/0,""))</f>
        <v>44615</v>
      </c>
      <c r="AJ40" s="103">
        <f>IF(EXACT('RFR Data - preExcl'!$W40,"Initial"),'RFR Data - preExcl'!$AK40,IFERROR(0/0,""))</f>
        <v>34</v>
      </c>
      <c r="AK40" s="43"/>
      <c r="AL40" s="55">
        <v>44611.0</v>
      </c>
      <c r="AM40" s="84">
        <f t="shared" si="6"/>
        <v>31</v>
      </c>
      <c r="AN40" s="134">
        <f t="shared" si="7"/>
        <v>64</v>
      </c>
      <c r="AO40" s="103">
        <f t="shared" si="8"/>
        <v>31</v>
      </c>
      <c r="AQ40" s="56">
        <f t="shared" si="9"/>
        <v>31</v>
      </c>
      <c r="AR40" s="91">
        <v>1.0</v>
      </c>
      <c r="AS40" s="6" t="str">
        <f>IFERROR(VLOOKUP(AR40, 'Process Ref'!$A$76:$D$114, 2, FALSE), IFERROR(0/0,""))</f>
        <v>Use APS Collect = RFR (diff APS Result count but nets out)</v>
      </c>
      <c r="AT40" s="86" t="s">
        <v>443</v>
      </c>
    </row>
    <row r="41">
      <c r="B41" s="55">
        <f>IFERROR(__xludf.DUMMYFUNCTION("""COMPUTED_VALUE"""),44613.0)</f>
        <v>44613</v>
      </c>
      <c r="C41" s="56">
        <f>IFERROR(__xludf.DUMMYFUNCTION("""COMPUTED_VALUE"""),28.0)</f>
        <v>28</v>
      </c>
      <c r="D41" s="56">
        <f>IFERROR(__xludf.DUMMYFUNCTION("""COMPUTED_VALUE"""),28.0)</f>
        <v>28</v>
      </c>
      <c r="E41" s="56">
        <f>IFERROR(__xludf.DUMMYFUNCTION("""COMPUTED_VALUE"""),0.0)</f>
        <v>0</v>
      </c>
      <c r="F41" s="56">
        <f>IFERROR(__xludf.DUMMYFUNCTION("""COMPUTED_VALUE"""),0.0)</f>
        <v>0</v>
      </c>
      <c r="G41" s="56">
        <f>IFERROR(__xludf.DUMMYFUNCTION("""COMPUTED_VALUE"""),0.0)</f>
        <v>0</v>
      </c>
      <c r="H41" s="56">
        <f>IFERROR(__xludf.DUMMYFUNCTION("""COMPUTED_VALUE"""),0.0)</f>
        <v>0</v>
      </c>
      <c r="I41" s="56">
        <f>IFERROR(__xludf.DUMMYFUNCTION("""COMPUTED_VALUE"""),0.0)</f>
        <v>0</v>
      </c>
      <c r="J41" s="6" t="b">
        <f>IFERROR(__xludf.DUMMYFUNCTION("""COMPUTED_VALUE"""),TRUE)</f>
        <v>1</v>
      </c>
      <c r="K41" s="43"/>
      <c r="L41" s="55">
        <f>IFERROR(__xludf.DUMMYFUNCTION("""COMPUTED_VALUE"""),44692.0)</f>
        <v>44692</v>
      </c>
      <c r="M41" s="56">
        <f>IFERROR(__xludf.DUMMYFUNCTION("""COMPUTED_VALUE"""),9.0)</f>
        <v>9</v>
      </c>
      <c r="N41" s="56">
        <f>IFERROR(__xludf.DUMMYFUNCTION("""COMPUTED_VALUE"""),9.0)</f>
        <v>9</v>
      </c>
      <c r="O41" s="56">
        <f>IFERROR(__xludf.DUMMYFUNCTION("""COMPUTED_VALUE"""),0.0)</f>
        <v>0</v>
      </c>
      <c r="P41" s="56">
        <f>IFERROR(__xludf.DUMMYFUNCTION("""COMPUTED_VALUE"""),0.0)</f>
        <v>0</v>
      </c>
      <c r="Q41" s="56">
        <f>IFERROR(__xludf.DUMMYFUNCTION("""COMPUTED_VALUE"""),0.0)</f>
        <v>0</v>
      </c>
      <c r="R41" s="56">
        <f>IFERROR(__xludf.DUMMYFUNCTION("""COMPUTED_VALUE"""),0.0)</f>
        <v>0</v>
      </c>
      <c r="S41" s="56">
        <f>IFERROR(__xludf.DUMMYFUNCTION("""COMPUTED_VALUE"""),0.0)</f>
        <v>0</v>
      </c>
      <c r="T41" s="56">
        <f>IFERROR(__xludf.DUMMYFUNCTION("""COMPUTED_VALUE"""),9.0)</f>
        <v>9</v>
      </c>
      <c r="V41" s="43"/>
      <c r="W41" s="55">
        <f t="shared" si="47"/>
        <v>44692</v>
      </c>
      <c r="X41" s="56">
        <f t="shared" ref="X41:AC41" si="50">M41</f>
        <v>9</v>
      </c>
      <c r="Y41" s="56">
        <f t="shared" si="50"/>
        <v>9</v>
      </c>
      <c r="Z41" s="56">
        <f t="shared" si="50"/>
        <v>0</v>
      </c>
      <c r="AA41" s="56">
        <f t="shared" si="50"/>
        <v>0</v>
      </c>
      <c r="AB41" s="56">
        <f t="shared" si="50"/>
        <v>0</v>
      </c>
      <c r="AC41" s="56">
        <f t="shared" si="50"/>
        <v>0</v>
      </c>
      <c r="AD41" s="43"/>
      <c r="AE41" s="55">
        <v>44613.0</v>
      </c>
      <c r="AF41" s="84">
        <f t="shared" si="4"/>
        <v>28</v>
      </c>
      <c r="AG41" s="134">
        <f t="shared" si="5"/>
        <v>28</v>
      </c>
      <c r="AH41" s="43"/>
      <c r="AI41" s="55">
        <f>IF(EXACT('RFR Data - preExcl'!W41,"Initial"),'RFR Data - preExcl'!U41,IFERROR(0/0,""))</f>
        <v>44617</v>
      </c>
      <c r="AJ41" s="103">
        <f>IF(EXACT('RFR Data - preExcl'!$W41,"Initial"),'RFR Data - preExcl'!$AK41,IFERROR(0/0,""))</f>
        <v>33</v>
      </c>
      <c r="AK41" s="43"/>
      <c r="AL41" s="55">
        <v>44613.0</v>
      </c>
      <c r="AM41" s="84">
        <f t="shared" si="6"/>
        <v>28</v>
      </c>
      <c r="AN41" s="134">
        <f t="shared" si="7"/>
        <v>28</v>
      </c>
      <c r="AO41" s="103">
        <f t="shared" si="8"/>
        <v>29</v>
      </c>
      <c r="AP41" s="56"/>
      <c r="AQ41" s="56">
        <f t="shared" si="9"/>
        <v>29</v>
      </c>
      <c r="AR41" s="132">
        <v>2.0</v>
      </c>
      <c r="AS41" s="6" t="str">
        <f>IFERROR(VLOOKUP(AR41, 'Process Ref'!$A$76:$D$114, 2, FALSE), IFERROR(0/0,""))</f>
        <v>Use Audit RFR count (extra tubes in RFR not in Appivo)</v>
      </c>
    </row>
    <row r="42">
      <c r="B42" s="55">
        <f>IFERROR(__xludf.DUMMYFUNCTION("""COMPUTED_VALUE"""),44614.0)</f>
        <v>44614</v>
      </c>
      <c r="C42" s="56">
        <f>IFERROR(__xludf.DUMMYFUNCTION("""COMPUTED_VALUE"""),1.0)</f>
        <v>1</v>
      </c>
      <c r="D42" s="56">
        <f>IFERROR(__xludf.DUMMYFUNCTION("""COMPUTED_VALUE"""),0.0)</f>
        <v>0</v>
      </c>
      <c r="E42" s="56">
        <f>IFERROR(__xludf.DUMMYFUNCTION("""COMPUTED_VALUE"""),1.0)</f>
        <v>1</v>
      </c>
      <c r="F42" s="56">
        <f>IFERROR(__xludf.DUMMYFUNCTION("""COMPUTED_VALUE"""),0.0)</f>
        <v>0</v>
      </c>
      <c r="G42" s="56">
        <f>IFERROR(__xludf.DUMMYFUNCTION("""COMPUTED_VALUE"""),0.0)</f>
        <v>0</v>
      </c>
      <c r="H42" s="56">
        <f>IFERROR(__xludf.DUMMYFUNCTION("""COMPUTED_VALUE"""),0.0)</f>
        <v>0</v>
      </c>
      <c r="I42" s="56">
        <f>IFERROR(__xludf.DUMMYFUNCTION("""COMPUTED_VALUE"""),0.0)</f>
        <v>0</v>
      </c>
      <c r="J42" s="6" t="b">
        <f>IFERROR(__xludf.DUMMYFUNCTION("""COMPUTED_VALUE"""),TRUE)</f>
        <v>1</v>
      </c>
      <c r="K42" s="43"/>
      <c r="L42" s="55">
        <f>IFERROR(__xludf.DUMMYFUNCTION("""COMPUTED_VALUE"""),44861.0)</f>
        <v>44861</v>
      </c>
      <c r="M42" s="56">
        <f>IFERROR(__xludf.DUMMYFUNCTION("""COMPUTED_VALUE"""),1.0)</f>
        <v>1</v>
      </c>
      <c r="N42" s="56">
        <f>IFERROR(__xludf.DUMMYFUNCTION("""COMPUTED_VALUE"""),1.0)</f>
        <v>1</v>
      </c>
      <c r="O42" s="56">
        <f>IFERROR(__xludf.DUMMYFUNCTION("""COMPUTED_VALUE"""),0.0)</f>
        <v>0</v>
      </c>
      <c r="P42" s="56">
        <f>IFERROR(__xludf.DUMMYFUNCTION("""COMPUTED_VALUE"""),0.0)</f>
        <v>0</v>
      </c>
      <c r="Q42" s="56">
        <f>IFERROR(__xludf.DUMMYFUNCTION("""COMPUTED_VALUE"""),0.0)</f>
        <v>0</v>
      </c>
      <c r="R42" s="56">
        <f>IFERROR(__xludf.DUMMYFUNCTION("""COMPUTED_VALUE"""),0.0)</f>
        <v>0</v>
      </c>
      <c r="S42" s="56">
        <f>IFERROR(__xludf.DUMMYFUNCTION("""COMPUTED_VALUE"""),0.0)</f>
        <v>0</v>
      </c>
      <c r="T42" s="56">
        <f>IFERROR(__xludf.DUMMYFUNCTION("""COMPUTED_VALUE"""),1.0)</f>
        <v>1</v>
      </c>
      <c r="U42" s="319">
        <v>44629.0</v>
      </c>
      <c r="V42" s="43"/>
      <c r="X42" s="56"/>
      <c r="Y42" s="56"/>
      <c r="Z42" s="56"/>
      <c r="AA42" s="56"/>
      <c r="AB42" s="56"/>
      <c r="AC42" s="56"/>
      <c r="AD42" s="43"/>
      <c r="AE42" s="55">
        <v>44614.0</v>
      </c>
      <c r="AF42" s="84">
        <f t="shared" si="4"/>
        <v>1</v>
      </c>
      <c r="AG42" s="134">
        <f t="shared" si="5"/>
        <v>1</v>
      </c>
      <c r="AH42" s="43"/>
      <c r="AI42" s="6" t="str">
        <f>IF(EXACT('RFR Data - preExcl'!W42,"Initial"),'RFR Data - preExcl'!U42,IFERROR(0/0,""))</f>
        <v/>
      </c>
      <c r="AJ42" s="103" t="str">
        <f>IF(EXACT('RFR Data - preExcl'!$W42,"Initial"),'RFR Data - preExcl'!$AK42,IFERROR(0/0,""))</f>
        <v/>
      </c>
      <c r="AK42" s="43"/>
      <c r="AL42" s="55">
        <v>44614.0</v>
      </c>
      <c r="AM42" s="84">
        <f t="shared" si="6"/>
        <v>1</v>
      </c>
      <c r="AN42" s="134">
        <f t="shared" si="7"/>
        <v>1</v>
      </c>
      <c r="AO42" s="103">
        <f t="shared" si="8"/>
        <v>1</v>
      </c>
      <c r="AQ42" s="56">
        <f t="shared" si="9"/>
        <v>1</v>
      </c>
      <c r="AR42" s="91">
        <v>0.0</v>
      </c>
      <c r="AS42" s="6" t="str">
        <f>IFERROR(VLOOKUP(AR42, 'Process Ref'!$A$76:$D$114, 2, FALSE), IFERROR(0/0,""))</f>
        <v>ALL 3 COUNTS SAME meaning APS Collect = APS Result = RFR</v>
      </c>
    </row>
    <row r="43">
      <c r="B43" s="55">
        <f>IFERROR(__xludf.DUMMYFUNCTION("""COMPUTED_VALUE"""),44615.0)</f>
        <v>44615</v>
      </c>
      <c r="C43" s="56">
        <f>IFERROR(__xludf.DUMMYFUNCTION("""COMPUTED_VALUE"""),34.0)</f>
        <v>34</v>
      </c>
      <c r="D43" s="56">
        <f>IFERROR(__xludf.DUMMYFUNCTION("""COMPUTED_VALUE"""),34.0)</f>
        <v>34</v>
      </c>
      <c r="E43" s="320">
        <f>IFERROR(__xludf.DUMMYFUNCTION("""COMPUTED_VALUE"""),0.0)</f>
        <v>0</v>
      </c>
      <c r="F43" s="56">
        <f>IFERROR(__xludf.DUMMYFUNCTION("""COMPUTED_VALUE"""),0.0)</f>
        <v>0</v>
      </c>
      <c r="G43" s="56">
        <f>IFERROR(__xludf.DUMMYFUNCTION("""COMPUTED_VALUE"""),0.0)</f>
        <v>0</v>
      </c>
      <c r="H43" s="56">
        <f>IFERROR(__xludf.DUMMYFUNCTION("""COMPUTED_VALUE"""),0.0)</f>
        <v>0</v>
      </c>
      <c r="I43" s="56">
        <f>IFERROR(__xludf.DUMMYFUNCTION("""COMPUTED_VALUE"""),0.0)</f>
        <v>0</v>
      </c>
      <c r="J43" s="6" t="b">
        <f>IFERROR(__xludf.DUMMYFUNCTION("""COMPUTED_VALUE"""),TRUE)</f>
        <v>1</v>
      </c>
      <c r="K43" s="43"/>
      <c r="L43" s="6"/>
      <c r="M43" s="6"/>
      <c r="N43" s="6"/>
      <c r="O43" s="6"/>
      <c r="P43" s="6"/>
      <c r="Q43" s="6"/>
      <c r="R43" s="6"/>
      <c r="S43" s="6"/>
      <c r="T43" s="6"/>
      <c r="V43" s="43"/>
      <c r="AD43" s="43"/>
      <c r="AE43" s="55">
        <v>44615.0</v>
      </c>
      <c r="AF43" s="84">
        <f t="shared" si="4"/>
        <v>34</v>
      </c>
      <c r="AG43" s="134">
        <f t="shared" si="5"/>
        <v>34</v>
      </c>
      <c r="AH43" s="43"/>
      <c r="AI43" s="55">
        <f>IF(EXACT('RFR Data - preExcl'!W43,"Initial"),'RFR Data - preExcl'!U43,IFERROR(0/0,""))</f>
        <v>44619</v>
      </c>
      <c r="AJ43" s="321"/>
      <c r="AK43" s="43"/>
      <c r="AL43" s="55">
        <v>44615.0</v>
      </c>
      <c r="AM43" s="84">
        <f t="shared" si="6"/>
        <v>34</v>
      </c>
      <c r="AN43" s="134">
        <f t="shared" si="7"/>
        <v>34</v>
      </c>
      <c r="AO43" s="103">
        <f t="shared" si="8"/>
        <v>34</v>
      </c>
      <c r="AQ43" s="56">
        <f t="shared" si="9"/>
        <v>34</v>
      </c>
      <c r="AR43" s="91">
        <v>0.0</v>
      </c>
      <c r="AS43" s="6" t="str">
        <f>IFERROR(VLOOKUP(AR43, 'Process Ref'!$A$76:$D$114, 2, FALSE), IFERROR(0/0,""))</f>
        <v>ALL 3 COUNTS SAME meaning APS Collect = APS Result = RFR</v>
      </c>
    </row>
    <row r="44">
      <c r="B44" s="55">
        <f>IFERROR(__xludf.DUMMYFUNCTION("""COMPUTED_VALUE"""),44617.0)</f>
        <v>44617</v>
      </c>
      <c r="C44" s="56">
        <f>IFERROR(__xludf.DUMMYFUNCTION("""COMPUTED_VALUE"""),33.0)</f>
        <v>33</v>
      </c>
      <c r="D44" s="56">
        <f>IFERROR(__xludf.DUMMYFUNCTION("""COMPUTED_VALUE"""),33.0)</f>
        <v>33</v>
      </c>
      <c r="E44" s="56">
        <f>IFERROR(__xludf.DUMMYFUNCTION("""COMPUTED_VALUE"""),0.0)</f>
        <v>0</v>
      </c>
      <c r="F44" s="56">
        <f>IFERROR(__xludf.DUMMYFUNCTION("""COMPUTED_VALUE"""),0.0)</f>
        <v>0</v>
      </c>
      <c r="G44" s="56">
        <f>IFERROR(__xludf.DUMMYFUNCTION("""COMPUTED_VALUE"""),0.0)</f>
        <v>0</v>
      </c>
      <c r="H44" s="56">
        <f>IFERROR(__xludf.DUMMYFUNCTION("""COMPUTED_VALUE"""),0.0)</f>
        <v>0</v>
      </c>
      <c r="I44" s="56">
        <f>IFERROR(__xludf.DUMMYFUNCTION("""COMPUTED_VALUE"""),0.0)</f>
        <v>0</v>
      </c>
      <c r="J44" s="6" t="b">
        <f>IFERROR(__xludf.DUMMYFUNCTION("""COMPUTED_VALUE"""),TRUE)</f>
        <v>1</v>
      </c>
      <c r="K44" s="43"/>
      <c r="L44" s="6"/>
      <c r="M44" s="6"/>
      <c r="N44" s="6"/>
      <c r="O44" s="6"/>
      <c r="P44" s="6"/>
      <c r="Q44" s="6"/>
      <c r="R44" s="6"/>
      <c r="S44" s="6"/>
      <c r="T44" s="6"/>
      <c r="V44" s="43"/>
      <c r="AD44" s="43"/>
      <c r="AE44" s="55">
        <v>44617.0</v>
      </c>
      <c r="AF44" s="84">
        <f t="shared" si="4"/>
        <v>33</v>
      </c>
      <c r="AG44" s="134">
        <f t="shared" si="5"/>
        <v>33</v>
      </c>
      <c r="AH44" s="43"/>
      <c r="AI44" s="55">
        <f>IF(EXACT('RFR Data - preExcl'!W44,"Initial"),'RFR Data - preExcl'!U44,IFERROR(0/0,""))</f>
        <v>44621</v>
      </c>
      <c r="AJ44" s="321"/>
      <c r="AK44" s="43"/>
      <c r="AL44" s="55">
        <v>44617.0</v>
      </c>
      <c r="AM44" s="84">
        <f t="shared" si="6"/>
        <v>33</v>
      </c>
      <c r="AN44" s="134">
        <f t="shared" si="7"/>
        <v>33</v>
      </c>
      <c r="AO44" s="103">
        <f t="shared" si="8"/>
        <v>33</v>
      </c>
      <c r="AQ44" s="56">
        <f t="shared" si="9"/>
        <v>33</v>
      </c>
      <c r="AR44" s="91">
        <v>0.0</v>
      </c>
      <c r="AS44" s="6" t="str">
        <f>IFERROR(VLOOKUP(AR44, 'Process Ref'!$A$76:$D$114, 2, FALSE), IFERROR(0/0,""))</f>
        <v>ALL 3 COUNTS SAME meaning APS Collect = APS Result = RFR</v>
      </c>
    </row>
    <row r="45">
      <c r="B45" s="55">
        <f>IFERROR(__xludf.DUMMYFUNCTION("""COMPUTED_VALUE"""),44619.0)</f>
        <v>44619</v>
      </c>
      <c r="C45" s="56">
        <f>IFERROR(__xludf.DUMMYFUNCTION("""COMPUTED_VALUE"""),32.0)</f>
        <v>32</v>
      </c>
      <c r="D45" s="56">
        <f>IFERROR(__xludf.DUMMYFUNCTION("""COMPUTED_VALUE"""),30.0)</f>
        <v>30</v>
      </c>
      <c r="E45" s="56">
        <f>IFERROR(__xludf.DUMMYFUNCTION("""COMPUTED_VALUE"""),2.0)</f>
        <v>2</v>
      </c>
      <c r="F45" s="56">
        <f>IFERROR(__xludf.DUMMYFUNCTION("""COMPUTED_VALUE"""),0.0)</f>
        <v>0</v>
      </c>
      <c r="G45" s="56">
        <f>IFERROR(__xludf.DUMMYFUNCTION("""COMPUTED_VALUE"""),0.0)</f>
        <v>0</v>
      </c>
      <c r="H45" s="56">
        <f>IFERROR(__xludf.DUMMYFUNCTION("""COMPUTED_VALUE"""),0.0)</f>
        <v>0</v>
      </c>
      <c r="I45" s="56">
        <f>IFERROR(__xludf.DUMMYFUNCTION("""COMPUTED_VALUE"""),0.0)</f>
        <v>0</v>
      </c>
      <c r="J45" s="6"/>
      <c r="K45" s="43"/>
      <c r="L45" s="6"/>
      <c r="M45" s="6"/>
      <c r="N45" s="6"/>
      <c r="O45" s="6"/>
      <c r="P45" s="6"/>
      <c r="Q45" s="6"/>
      <c r="R45" s="6"/>
      <c r="S45" s="6"/>
      <c r="T45" s="6"/>
      <c r="V45" s="43"/>
      <c r="AD45" s="43"/>
      <c r="AE45" s="55">
        <v>44619.0</v>
      </c>
      <c r="AF45" s="84">
        <f t="shared" si="4"/>
        <v>32</v>
      </c>
      <c r="AG45" s="134" t="str">
        <f t="shared" si="5"/>
        <v/>
      </c>
      <c r="AH45" s="43"/>
      <c r="AI45" s="55">
        <f>IF(EXACT('RFR Data - preExcl'!W45,"Initial"),'RFR Data - preExcl'!U45,IFERROR(0/0,""))</f>
        <v>44623</v>
      </c>
      <c r="AJ45" s="321"/>
      <c r="AK45" s="43"/>
      <c r="AL45" s="55">
        <v>44619.0</v>
      </c>
      <c r="AM45" s="84">
        <f t="shared" si="6"/>
        <v>32</v>
      </c>
      <c r="AN45" s="134" t="str">
        <f t="shared" si="7"/>
        <v/>
      </c>
      <c r="AO45" s="103" t="str">
        <f t="shared" si="8"/>
        <v/>
      </c>
      <c r="AQ45" s="56" t="str">
        <f t="shared" si="9"/>
        <v/>
      </c>
      <c r="AR45" s="91">
        <v>1.0</v>
      </c>
      <c r="AS45" s="6" t="str">
        <f>IFERROR(VLOOKUP(AR45, 'Process Ref'!$A$76:$D$114, 2, FALSE), IFERROR(0/0,""))</f>
        <v>Use APS Collect = RFR (diff APS Result count but nets out)</v>
      </c>
      <c r="AT45" s="86" t="s">
        <v>444</v>
      </c>
    </row>
    <row r="46">
      <c r="B46" s="55">
        <f>IFERROR(__xludf.DUMMYFUNCTION("""COMPUTED_VALUE"""),44621.0)</f>
        <v>44621</v>
      </c>
      <c r="C46" s="56">
        <f>IFERROR(__xludf.DUMMYFUNCTION("""COMPUTED_VALUE"""),33.0)</f>
        <v>33</v>
      </c>
      <c r="D46" s="56">
        <f>IFERROR(__xludf.DUMMYFUNCTION("""COMPUTED_VALUE"""),33.0)</f>
        <v>33</v>
      </c>
      <c r="E46" s="56">
        <f>IFERROR(__xludf.DUMMYFUNCTION("""COMPUTED_VALUE"""),0.0)</f>
        <v>0</v>
      </c>
      <c r="F46" s="56">
        <f>IFERROR(__xludf.DUMMYFUNCTION("""COMPUTED_VALUE"""),0.0)</f>
        <v>0</v>
      </c>
      <c r="G46" s="56">
        <f>IFERROR(__xludf.DUMMYFUNCTION("""COMPUTED_VALUE"""),0.0)</f>
        <v>0</v>
      </c>
      <c r="H46" s="56">
        <f>IFERROR(__xludf.DUMMYFUNCTION("""COMPUTED_VALUE"""),0.0)</f>
        <v>0</v>
      </c>
      <c r="I46" s="56">
        <f>IFERROR(__xludf.DUMMYFUNCTION("""COMPUTED_VALUE"""),0.0)</f>
        <v>0</v>
      </c>
      <c r="J46" s="6"/>
      <c r="K46" s="43"/>
      <c r="L46" s="6"/>
      <c r="M46" s="6"/>
      <c r="N46" s="6"/>
      <c r="O46" s="6"/>
      <c r="P46" s="6"/>
      <c r="Q46" s="6"/>
      <c r="R46" s="6"/>
      <c r="S46" s="6"/>
      <c r="T46" s="6"/>
      <c r="V46" s="43"/>
      <c r="AD46" s="43"/>
      <c r="AE46" s="55">
        <v>44621.0</v>
      </c>
      <c r="AF46" s="84">
        <f t="shared" si="4"/>
        <v>33</v>
      </c>
      <c r="AG46" s="134">
        <f t="shared" si="5"/>
        <v>30</v>
      </c>
      <c r="AH46" s="43"/>
      <c r="AI46" s="55">
        <f>IF(EXACT('RFR Data - preExcl'!W46,"Initial"),'RFR Data - preExcl'!U46,IFERROR(0/0,""))</f>
        <v>44625</v>
      </c>
      <c r="AJ46" s="321"/>
      <c r="AK46" s="43"/>
      <c r="AL46" s="55">
        <v>44621.0</v>
      </c>
      <c r="AM46" s="84">
        <f t="shared" si="6"/>
        <v>33</v>
      </c>
      <c r="AN46" s="134">
        <f t="shared" si="7"/>
        <v>30</v>
      </c>
      <c r="AO46" s="103" t="str">
        <f t="shared" si="8"/>
        <v/>
      </c>
      <c r="AP46" s="56">
        <f>AM46-AO46</f>
        <v>33</v>
      </c>
      <c r="AQ46" s="56">
        <f t="shared" si="9"/>
        <v>33</v>
      </c>
      <c r="AR46" s="128">
        <v>8.1</v>
      </c>
      <c r="AS46" s="6" t="str">
        <f>IFERROR(VLOOKUP(AR46, 'Process Ref'!$A$76:$D$114, 2, FALSE), IFERROR(0/0,""))</f>
        <v>Use APS Collect count != RFR Audit</v>
      </c>
      <c r="AT46" s="86" t="s">
        <v>445</v>
      </c>
    </row>
    <row r="47">
      <c r="B47" s="55">
        <f>IFERROR(__xludf.DUMMYFUNCTION("""COMPUTED_VALUE"""),44623.0)</f>
        <v>44623</v>
      </c>
      <c r="C47" s="56">
        <f>IFERROR(__xludf.DUMMYFUNCTION("""COMPUTED_VALUE"""),33.0)</f>
        <v>33</v>
      </c>
      <c r="D47" s="56">
        <f>IFERROR(__xludf.DUMMYFUNCTION("""COMPUTED_VALUE"""),31.0)</f>
        <v>31</v>
      </c>
      <c r="E47" s="56">
        <f>IFERROR(__xludf.DUMMYFUNCTION("""COMPUTED_VALUE"""),2.0)</f>
        <v>2</v>
      </c>
      <c r="F47" s="56">
        <f>IFERROR(__xludf.DUMMYFUNCTION("""COMPUTED_VALUE"""),0.0)</f>
        <v>0</v>
      </c>
      <c r="G47" s="56">
        <f>IFERROR(__xludf.DUMMYFUNCTION("""COMPUTED_VALUE"""),0.0)</f>
        <v>0</v>
      </c>
      <c r="H47" s="56">
        <f>IFERROR(__xludf.DUMMYFUNCTION("""COMPUTED_VALUE"""),0.0)</f>
        <v>0</v>
      </c>
      <c r="I47" s="56">
        <f>IFERROR(__xludf.DUMMYFUNCTION("""COMPUTED_VALUE"""),0.0)</f>
        <v>0</v>
      </c>
      <c r="J47" s="6" t="b">
        <f>IFERROR(__xludf.DUMMYFUNCTION("""COMPUTED_VALUE"""),TRUE)</f>
        <v>1</v>
      </c>
      <c r="K47" s="43"/>
      <c r="L47" s="6"/>
      <c r="M47" s="6"/>
      <c r="N47" s="6"/>
      <c r="O47" s="6"/>
      <c r="P47" s="6"/>
      <c r="Q47" s="6"/>
      <c r="R47" s="6"/>
      <c r="S47" s="6"/>
      <c r="T47" s="6"/>
      <c r="V47" s="43"/>
      <c r="AD47" s="43"/>
      <c r="AE47" s="55">
        <v>44623.0</v>
      </c>
      <c r="AF47" s="84">
        <f t="shared" si="4"/>
        <v>33</v>
      </c>
      <c r="AG47" s="134">
        <f t="shared" si="5"/>
        <v>34</v>
      </c>
      <c r="AH47" s="43"/>
      <c r="AI47" s="6" t="str">
        <f>IF(EXACT('RFR Data - preExcl'!W47,"Initial"),'RFR Data - preExcl'!U47,IFERROR(0/0,""))</f>
        <v/>
      </c>
      <c r="AJ47" s="321"/>
      <c r="AK47" s="43"/>
      <c r="AL47" s="55">
        <v>44623.0</v>
      </c>
      <c r="AM47" s="84">
        <f t="shared" si="6"/>
        <v>33</v>
      </c>
      <c r="AN47" s="134">
        <f t="shared" si="7"/>
        <v>34</v>
      </c>
      <c r="AO47" s="103" t="str">
        <f t="shared" si="8"/>
        <v/>
      </c>
      <c r="AQ47" s="56" t="str">
        <f t="shared" si="9"/>
        <v/>
      </c>
      <c r="AR47" s="132">
        <v>2.0</v>
      </c>
      <c r="AS47" s="6" t="str">
        <f>IFERROR(VLOOKUP(AR47, 'Process Ref'!$A$76:$D$114, 2, FALSE), IFERROR(0/0,""))</f>
        <v>Use Audit RFR count (extra tubes in RFR not in Appivo)</v>
      </c>
    </row>
    <row r="48">
      <c r="B48" s="55">
        <f>IFERROR(__xludf.DUMMYFUNCTION("""COMPUTED_VALUE"""),44625.0)</f>
        <v>44625</v>
      </c>
      <c r="C48" s="56">
        <f>IFERROR(__xludf.DUMMYFUNCTION("""COMPUTED_VALUE"""),34.0)</f>
        <v>34</v>
      </c>
      <c r="D48" s="56">
        <f>IFERROR(__xludf.DUMMYFUNCTION("""COMPUTED_VALUE"""),33.0)</f>
        <v>33</v>
      </c>
      <c r="E48" s="56">
        <f>IFERROR(__xludf.DUMMYFUNCTION("""COMPUTED_VALUE"""),1.0)</f>
        <v>1</v>
      </c>
      <c r="F48" s="56">
        <f>IFERROR(__xludf.DUMMYFUNCTION("""COMPUTED_VALUE"""),0.0)</f>
        <v>0</v>
      </c>
      <c r="G48" s="56">
        <f>IFERROR(__xludf.DUMMYFUNCTION("""COMPUTED_VALUE"""),0.0)</f>
        <v>0</v>
      </c>
      <c r="H48" s="56">
        <f>IFERROR(__xludf.DUMMYFUNCTION("""COMPUTED_VALUE"""),0.0)</f>
        <v>0</v>
      </c>
      <c r="I48" s="56">
        <f>IFERROR(__xludf.DUMMYFUNCTION("""COMPUTED_VALUE"""),0.0)</f>
        <v>0</v>
      </c>
      <c r="J48" s="6"/>
      <c r="K48" s="43"/>
      <c r="L48" s="6"/>
      <c r="M48" s="6"/>
      <c r="N48" s="6"/>
      <c r="O48" s="6"/>
      <c r="P48" s="6"/>
      <c r="Q48" s="6"/>
      <c r="R48" s="6"/>
      <c r="S48" s="6"/>
      <c r="T48" s="6"/>
      <c r="V48" s="43"/>
      <c r="AD48" s="43"/>
      <c r="AE48" s="55">
        <v>44625.0</v>
      </c>
      <c r="AF48" s="84">
        <f t="shared" si="4"/>
        <v>34</v>
      </c>
      <c r="AG48" s="134">
        <f t="shared" si="5"/>
        <v>32</v>
      </c>
      <c r="AH48" s="43"/>
      <c r="AI48" s="55">
        <f>IF(EXACT('RFR Data - preExcl'!W48,"Initial"),'RFR Data - preExcl'!U48,IFERROR(0/0,""))</f>
        <v>44627</v>
      </c>
      <c r="AJ48" s="321"/>
      <c r="AK48" s="43"/>
      <c r="AL48" s="55">
        <v>44625.0</v>
      </c>
      <c r="AM48" s="84">
        <f t="shared" si="6"/>
        <v>34</v>
      </c>
      <c r="AN48" s="134">
        <f t="shared" si="7"/>
        <v>32</v>
      </c>
      <c r="AO48" s="103" t="str">
        <f t="shared" si="8"/>
        <v/>
      </c>
      <c r="AQ48" s="56" t="str">
        <f t="shared" si="9"/>
        <v/>
      </c>
      <c r="AR48" s="133">
        <v>6.0</v>
      </c>
      <c r="AS48" s="6" t="str">
        <f>IFERROR(VLOOKUP(AR48, 'Process Ref'!$A$76:$D$114, 2, FALSE), IFERROR(0/0,""))</f>
        <v>Use Audit RFR - nets out with next or prev day</v>
      </c>
    </row>
    <row r="49">
      <c r="B49" s="55">
        <f>IFERROR(__xludf.DUMMYFUNCTION("""COMPUTED_VALUE"""),44627.0)</f>
        <v>44627</v>
      </c>
      <c r="C49" s="56">
        <f>IFERROR(__xludf.DUMMYFUNCTION("""COMPUTED_VALUE"""),30.0)</f>
        <v>30</v>
      </c>
      <c r="D49" s="56">
        <f>IFERROR(__xludf.DUMMYFUNCTION("""COMPUTED_VALUE"""),30.0)</f>
        <v>30</v>
      </c>
      <c r="E49" s="56">
        <f>IFERROR(__xludf.DUMMYFUNCTION("""COMPUTED_VALUE"""),0.0)</f>
        <v>0</v>
      </c>
      <c r="F49" s="56">
        <f>IFERROR(__xludf.DUMMYFUNCTION("""COMPUTED_VALUE"""),0.0)</f>
        <v>0</v>
      </c>
      <c r="G49" s="56">
        <f>IFERROR(__xludf.DUMMYFUNCTION("""COMPUTED_VALUE"""),0.0)</f>
        <v>0</v>
      </c>
      <c r="H49" s="56">
        <f>IFERROR(__xludf.DUMMYFUNCTION("""COMPUTED_VALUE"""),0.0)</f>
        <v>0</v>
      </c>
      <c r="I49" s="56">
        <f>IFERROR(__xludf.DUMMYFUNCTION("""COMPUTED_VALUE"""),0.0)</f>
        <v>0</v>
      </c>
      <c r="J49" s="6" t="b">
        <f>IFERROR(__xludf.DUMMYFUNCTION("""COMPUTED_VALUE"""),TRUE)</f>
        <v>1</v>
      </c>
      <c r="K49" s="43"/>
      <c r="L49" s="6"/>
      <c r="M49" s="6"/>
      <c r="N49" s="6"/>
      <c r="O49" s="6"/>
      <c r="P49" s="6"/>
      <c r="Q49" s="6"/>
      <c r="R49" s="6"/>
      <c r="S49" s="6"/>
      <c r="T49" s="6"/>
      <c r="V49" s="43"/>
      <c r="AD49" s="43"/>
      <c r="AE49" s="55">
        <v>44627.0</v>
      </c>
      <c r="AF49" s="84">
        <f t="shared" si="4"/>
        <v>30</v>
      </c>
      <c r="AG49" s="134">
        <f t="shared" si="5"/>
        <v>65</v>
      </c>
      <c r="AH49" s="43"/>
      <c r="AI49" s="6" t="str">
        <f>IF(EXACT('RFR Data - preExcl'!W49,"Initial"),'RFR Data - preExcl'!U49,IFERROR(0/0,""))</f>
        <v/>
      </c>
      <c r="AJ49" s="321"/>
      <c r="AK49" s="43"/>
      <c r="AL49" s="55">
        <v>44627.0</v>
      </c>
      <c r="AM49" s="84">
        <f t="shared" si="6"/>
        <v>30</v>
      </c>
      <c r="AN49" s="134">
        <f t="shared" si="7"/>
        <v>65</v>
      </c>
      <c r="AO49" s="103" t="str">
        <f t="shared" si="8"/>
        <v/>
      </c>
      <c r="AP49" s="56">
        <f>31-AO49</f>
        <v>31</v>
      </c>
      <c r="AQ49" s="56">
        <f t="shared" si="9"/>
        <v>31</v>
      </c>
      <c r="AR49" s="135">
        <v>4.9</v>
      </c>
      <c r="AS49" s="6" t="str">
        <f>IFERROR(VLOOKUP(AR49, 'Process Ref'!$A$76:$D$114, 2, FALSE), IFERROR(0/0,""))</f>
        <v>Use GFORM Raw Num of Samples because nets out with surrounding days</v>
      </c>
      <c r="AT49" s="86" t="s">
        <v>102</v>
      </c>
    </row>
    <row r="50">
      <c r="B50" s="55">
        <f>IFERROR(__xludf.DUMMYFUNCTION("""COMPUTED_VALUE"""),44629.0)</f>
        <v>44629</v>
      </c>
      <c r="C50" s="56">
        <f>IFERROR(__xludf.DUMMYFUNCTION("""COMPUTED_VALUE"""),27.0)</f>
        <v>27</v>
      </c>
      <c r="D50" s="56">
        <f>IFERROR(__xludf.DUMMYFUNCTION("""COMPUTED_VALUE"""),27.0)</f>
        <v>27</v>
      </c>
      <c r="E50" s="56">
        <f>IFERROR(__xludf.DUMMYFUNCTION("""COMPUTED_VALUE"""),0.0)</f>
        <v>0</v>
      </c>
      <c r="F50" s="56">
        <f>IFERROR(__xludf.DUMMYFUNCTION("""COMPUTED_VALUE"""),0.0)</f>
        <v>0</v>
      </c>
      <c r="G50" s="56">
        <f>IFERROR(__xludf.DUMMYFUNCTION("""COMPUTED_VALUE"""),0.0)</f>
        <v>0</v>
      </c>
      <c r="H50" s="56">
        <f>IFERROR(__xludf.DUMMYFUNCTION("""COMPUTED_VALUE"""),0.0)</f>
        <v>0</v>
      </c>
      <c r="I50" s="56">
        <f>IFERROR(__xludf.DUMMYFUNCTION("""COMPUTED_VALUE"""),0.0)</f>
        <v>0</v>
      </c>
      <c r="J50" s="6"/>
      <c r="K50" s="43"/>
      <c r="L50" s="6"/>
      <c r="M50" s="6"/>
      <c r="N50" s="6"/>
      <c r="O50" s="6"/>
      <c r="P50" s="6"/>
      <c r="Q50" s="6"/>
      <c r="R50" s="6"/>
      <c r="S50" s="6"/>
      <c r="T50" s="6"/>
      <c r="V50" s="43"/>
      <c r="AD50" s="43"/>
      <c r="AE50" s="55">
        <v>44629.0</v>
      </c>
      <c r="AF50" s="84">
        <f t="shared" si="4"/>
        <v>27</v>
      </c>
      <c r="AG50" s="134">
        <f t="shared" si="5"/>
        <v>26</v>
      </c>
      <c r="AH50" s="43"/>
      <c r="AI50" s="55">
        <f>IF(EXACT('RFR Data - preExcl'!W50,"Initial"),'RFR Data - preExcl'!U50,IFERROR(0/0,""))</f>
        <v>44629</v>
      </c>
      <c r="AJ50" s="321"/>
      <c r="AK50" s="43"/>
      <c r="AL50" s="55">
        <v>44629.0</v>
      </c>
      <c r="AM50" s="84">
        <f t="shared" si="6"/>
        <v>27</v>
      </c>
      <c r="AN50" s="134">
        <f t="shared" si="7"/>
        <v>26</v>
      </c>
      <c r="AO50" s="103" t="str">
        <f t="shared" si="8"/>
        <v/>
      </c>
      <c r="AQ50" s="56" t="str">
        <f t="shared" si="9"/>
        <v/>
      </c>
      <c r="AR50" s="91">
        <v>1.1</v>
      </c>
      <c r="AS50" s="6" t="str">
        <f>IFERROR(VLOOKUP(AR50, 'Process Ref'!$A$76:$D$114, 2, FALSE), IFERROR(0/0,""))</f>
        <v>Use APS Collect = RFR (diff APS Result count but nets out) after Null called Neg</v>
      </c>
    </row>
    <row r="51">
      <c r="B51" s="55">
        <f>IFERROR(__xludf.DUMMYFUNCTION("""COMPUTED_VALUE"""),44631.0)</f>
        <v>44631</v>
      </c>
      <c r="C51" s="56">
        <f>IFERROR(__xludf.DUMMYFUNCTION("""COMPUTED_VALUE"""),28.0)</f>
        <v>28</v>
      </c>
      <c r="D51" s="56">
        <f>IFERROR(__xludf.DUMMYFUNCTION("""COMPUTED_VALUE"""),28.0)</f>
        <v>28</v>
      </c>
      <c r="E51" s="56">
        <f>IFERROR(__xludf.DUMMYFUNCTION("""COMPUTED_VALUE"""),0.0)</f>
        <v>0</v>
      </c>
      <c r="F51" s="56">
        <f>IFERROR(__xludf.DUMMYFUNCTION("""COMPUTED_VALUE"""),0.0)</f>
        <v>0</v>
      </c>
      <c r="G51" s="56">
        <f>IFERROR(__xludf.DUMMYFUNCTION("""COMPUTED_VALUE"""),0.0)</f>
        <v>0</v>
      </c>
      <c r="H51" s="56">
        <f>IFERROR(__xludf.DUMMYFUNCTION("""COMPUTED_VALUE"""),0.0)</f>
        <v>0</v>
      </c>
      <c r="I51" s="56">
        <f>IFERROR(__xludf.DUMMYFUNCTION("""COMPUTED_VALUE"""),0.0)</f>
        <v>0</v>
      </c>
      <c r="J51" s="6" t="b">
        <f>IFERROR(__xludf.DUMMYFUNCTION("""COMPUTED_VALUE"""),TRUE)</f>
        <v>1</v>
      </c>
      <c r="K51" s="43"/>
      <c r="L51" s="6"/>
      <c r="M51" s="6"/>
      <c r="N51" s="6"/>
      <c r="O51" s="6"/>
      <c r="P51" s="6"/>
      <c r="Q51" s="6"/>
      <c r="R51" s="6"/>
      <c r="S51" s="6"/>
      <c r="T51" s="6"/>
      <c r="V51" s="43"/>
      <c r="AD51" s="43"/>
      <c r="AE51" s="55">
        <v>44631.0</v>
      </c>
      <c r="AF51" s="84">
        <f t="shared" si="4"/>
        <v>28</v>
      </c>
      <c r="AG51" s="134">
        <f t="shared" si="5"/>
        <v>28</v>
      </c>
      <c r="AH51" s="43"/>
      <c r="AI51" s="55">
        <f>IF(EXACT('RFR Data - preExcl'!W51,"Initial"),'RFR Data - preExcl'!U51,IFERROR(0/0,""))</f>
        <v>44631</v>
      </c>
      <c r="AJ51" s="321"/>
      <c r="AK51" s="43"/>
      <c r="AL51" s="55">
        <v>44631.0</v>
      </c>
      <c r="AM51" s="84">
        <f t="shared" si="6"/>
        <v>28</v>
      </c>
      <c r="AN51" s="134">
        <f t="shared" si="7"/>
        <v>28</v>
      </c>
      <c r="AO51" s="103" t="str">
        <f t="shared" si="8"/>
        <v/>
      </c>
      <c r="AP51" s="56">
        <f>AM51-AO51</f>
        <v>28</v>
      </c>
      <c r="AQ51" s="56">
        <f t="shared" si="9"/>
        <v>28</v>
      </c>
      <c r="AR51" s="104">
        <v>3.6</v>
      </c>
      <c r="AS51" s="6" t="str">
        <f>IFERROR(VLOOKUP(AR51, 'Process Ref'!$A$76:$D$114, 2, FALSE), IFERROR(0/0,""))</f>
        <v>RFR Raw Num Samples Gform = APS Collect</v>
      </c>
    </row>
    <row r="52">
      <c r="B52" s="55">
        <f>IFERROR(__xludf.DUMMYFUNCTION("""COMPUTED_VALUE"""),44665.0)</f>
        <v>44665</v>
      </c>
      <c r="C52" s="56">
        <f>IFERROR(__xludf.DUMMYFUNCTION("""COMPUTED_VALUE"""),1.0)</f>
        <v>1</v>
      </c>
      <c r="D52" s="56">
        <f>IFERROR(__xludf.DUMMYFUNCTION("""COMPUTED_VALUE"""),1.0)</f>
        <v>1</v>
      </c>
      <c r="E52" s="56">
        <f>IFERROR(__xludf.DUMMYFUNCTION("""COMPUTED_VALUE"""),0.0)</f>
        <v>0</v>
      </c>
      <c r="F52" s="56">
        <f>IFERROR(__xludf.DUMMYFUNCTION("""COMPUTED_VALUE"""),0.0)</f>
        <v>0</v>
      </c>
      <c r="G52" s="56">
        <f>IFERROR(__xludf.DUMMYFUNCTION("""COMPUTED_VALUE"""),0.0)</f>
        <v>0</v>
      </c>
      <c r="H52" s="56">
        <f>IFERROR(__xludf.DUMMYFUNCTION("""COMPUTED_VALUE"""),0.0)</f>
        <v>0</v>
      </c>
      <c r="I52" s="56">
        <f>IFERROR(__xludf.DUMMYFUNCTION("""COMPUTED_VALUE"""),0.0)</f>
        <v>0</v>
      </c>
      <c r="J52" s="6" t="b">
        <f>IFERROR(__xludf.DUMMYFUNCTION("""COMPUTED_VALUE"""),TRUE)</f>
        <v>1</v>
      </c>
      <c r="K52" s="43"/>
      <c r="L52" s="6"/>
      <c r="M52" s="6"/>
      <c r="N52" s="6"/>
      <c r="O52" s="6"/>
      <c r="P52" s="6"/>
      <c r="Q52" s="6"/>
      <c r="R52" s="6"/>
      <c r="S52" s="6"/>
      <c r="T52" s="6"/>
      <c r="V52" s="43"/>
      <c r="AD52" s="43"/>
      <c r="AE52" s="55">
        <v>44665.0</v>
      </c>
      <c r="AF52" s="84">
        <f t="shared" si="4"/>
        <v>1</v>
      </c>
      <c r="AG52" s="134">
        <f t="shared" si="5"/>
        <v>1</v>
      </c>
      <c r="AH52" s="43"/>
      <c r="AI52" s="55">
        <f>IF(EXACT('RFR Data - preExcl'!W52,"Initial"),'RFR Data - preExcl'!U52,IFERROR(0/0,""))</f>
        <v>44665</v>
      </c>
      <c r="AJ52" s="321"/>
      <c r="AK52" s="43"/>
      <c r="AL52" s="55">
        <v>44665.0</v>
      </c>
      <c r="AM52" s="84">
        <f t="shared" si="6"/>
        <v>1</v>
      </c>
      <c r="AN52" s="134">
        <f t="shared" si="7"/>
        <v>1</v>
      </c>
      <c r="AO52" s="103" t="str">
        <f t="shared" si="8"/>
        <v/>
      </c>
      <c r="AQ52" s="56" t="str">
        <f t="shared" si="9"/>
        <v/>
      </c>
      <c r="AR52" s="91">
        <v>0.0</v>
      </c>
      <c r="AS52" s="6" t="str">
        <f>IFERROR(VLOOKUP(AR52, 'Process Ref'!$A$76:$D$114, 2, FALSE), IFERROR(0/0,""))</f>
        <v>ALL 3 COUNTS SAME meaning APS Collect = APS Result = RFR</v>
      </c>
    </row>
    <row r="53">
      <c r="B53" s="55">
        <f>IFERROR(__xludf.DUMMYFUNCTION("""COMPUTED_VALUE"""),44692.0)</f>
        <v>44692</v>
      </c>
      <c r="C53" s="56">
        <f>IFERROR(__xludf.DUMMYFUNCTION("""COMPUTED_VALUE"""),9.0)</f>
        <v>9</v>
      </c>
      <c r="D53" s="56">
        <f>IFERROR(__xludf.DUMMYFUNCTION("""COMPUTED_VALUE"""),9.0)</f>
        <v>9</v>
      </c>
      <c r="E53" s="56">
        <f>IFERROR(__xludf.DUMMYFUNCTION("""COMPUTED_VALUE"""),0.0)</f>
        <v>0</v>
      </c>
      <c r="F53" s="56">
        <f>IFERROR(__xludf.DUMMYFUNCTION("""COMPUTED_VALUE"""),0.0)</f>
        <v>0</v>
      </c>
      <c r="G53" s="56">
        <f>IFERROR(__xludf.DUMMYFUNCTION("""COMPUTED_VALUE"""),0.0)</f>
        <v>0</v>
      </c>
      <c r="H53" s="56">
        <f>IFERROR(__xludf.DUMMYFUNCTION("""COMPUTED_VALUE"""),0.0)</f>
        <v>0</v>
      </c>
      <c r="I53" s="56">
        <f>IFERROR(__xludf.DUMMYFUNCTION("""COMPUTED_VALUE"""),0.0)</f>
        <v>0</v>
      </c>
      <c r="J53" s="6" t="b">
        <f>IFERROR(__xludf.DUMMYFUNCTION("""COMPUTED_VALUE"""),TRUE)</f>
        <v>1</v>
      </c>
      <c r="K53" s="43"/>
      <c r="L53" s="6"/>
      <c r="M53" s="6"/>
      <c r="N53" s="6"/>
      <c r="O53" s="6"/>
      <c r="P53" s="6"/>
      <c r="Q53" s="6"/>
      <c r="R53" s="6"/>
      <c r="S53" s="6"/>
      <c r="T53" s="6"/>
      <c r="V53" s="43"/>
      <c r="AD53" s="43"/>
      <c r="AE53" s="55">
        <v>44692.0</v>
      </c>
      <c r="AF53" s="84">
        <f t="shared" si="4"/>
        <v>9</v>
      </c>
      <c r="AG53" s="134">
        <f t="shared" si="5"/>
        <v>9</v>
      </c>
      <c r="AH53" s="43"/>
      <c r="AI53" s="55">
        <f>IF(EXACT('RFR Data - preExcl'!W53,"Initial"),'RFR Data - preExcl'!U53,IFERROR(0/0,""))</f>
        <v>44692</v>
      </c>
      <c r="AJ53" s="321"/>
      <c r="AK53" s="43"/>
      <c r="AL53" s="55">
        <v>44692.0</v>
      </c>
      <c r="AM53" s="84">
        <f t="shared" si="6"/>
        <v>9</v>
      </c>
      <c r="AN53" s="134">
        <f t="shared" si="7"/>
        <v>9</v>
      </c>
      <c r="AO53" s="103" t="str">
        <f t="shared" si="8"/>
        <v/>
      </c>
      <c r="AQ53" s="56" t="str">
        <f t="shared" si="9"/>
        <v/>
      </c>
      <c r="AR53" s="91">
        <v>0.0</v>
      </c>
      <c r="AS53" s="6" t="str">
        <f>IFERROR(VLOOKUP(AR53, 'Process Ref'!$A$76:$D$114, 2, FALSE), IFERROR(0/0,""))</f>
        <v>ALL 3 COUNTS SAME meaning APS Collect = APS Result = RFR</v>
      </c>
    </row>
    <row r="54">
      <c r="B54" s="6"/>
      <c r="C54" s="56"/>
      <c r="D54" s="56"/>
      <c r="E54" s="56"/>
      <c r="F54" s="56"/>
      <c r="G54" s="56"/>
      <c r="H54" s="56"/>
      <c r="I54" s="56"/>
      <c r="J54" s="6"/>
      <c r="K54" s="43"/>
      <c r="L54" s="6"/>
      <c r="M54" s="6"/>
      <c r="N54" s="6"/>
      <c r="O54" s="6"/>
      <c r="P54" s="6"/>
      <c r="Q54" s="6"/>
      <c r="R54" s="6"/>
      <c r="S54" s="6"/>
      <c r="T54" s="6"/>
      <c r="V54" s="43"/>
      <c r="AD54" s="43"/>
      <c r="AE54" s="6"/>
      <c r="AF54" s="84" t="str">
        <f t="shared" si="4"/>
        <v/>
      </c>
      <c r="AG54" s="134" t="str">
        <f t="shared" si="5"/>
        <v/>
      </c>
      <c r="AH54" s="43"/>
      <c r="AI54" s="6" t="str">
        <f>IF(EXACT('RFR Data - preExcl'!W54,"Initial"),'RFR Data - preExcl'!U54,IFERROR(0/0,""))</f>
        <v/>
      </c>
      <c r="AJ54" s="321"/>
      <c r="AK54" s="43"/>
      <c r="AL54" s="6"/>
      <c r="AM54" s="56"/>
      <c r="AN54" s="56"/>
      <c r="AO54" s="56"/>
      <c r="AQ54" s="56"/>
      <c r="AR54" s="120"/>
    </row>
    <row r="55">
      <c r="B55" s="6"/>
      <c r="C55" s="56"/>
      <c r="D55" s="56"/>
      <c r="E55" s="56"/>
      <c r="F55" s="56"/>
      <c r="G55" s="56"/>
      <c r="H55" s="56"/>
      <c r="I55" s="56"/>
      <c r="J55" s="6"/>
      <c r="K55" s="43"/>
      <c r="L55" s="6"/>
      <c r="M55" s="6"/>
      <c r="N55" s="6"/>
      <c r="O55" s="6"/>
      <c r="P55" s="6"/>
      <c r="Q55" s="6"/>
      <c r="R55" s="6"/>
      <c r="S55" s="6"/>
      <c r="T55" s="6"/>
      <c r="V55" s="43"/>
      <c r="AD55" s="43"/>
      <c r="AF55" s="84" t="str">
        <f t="shared" si="4"/>
        <v/>
      </c>
      <c r="AG55" s="134" t="str">
        <f t="shared" si="5"/>
        <v/>
      </c>
      <c r="AH55" s="43"/>
      <c r="AI55" s="6" t="str">
        <f>IF(EXACT('RFR Data - preExcl'!W55,"Initial"),'RFR Data - preExcl'!U55,IFERROR(0/0,""))</f>
        <v/>
      </c>
      <c r="AJ55" s="321"/>
      <c r="AK55" s="43"/>
      <c r="AM55" s="56"/>
      <c r="AN55" s="56"/>
      <c r="AO55" s="56"/>
      <c r="AQ55" s="56"/>
      <c r="AR55" s="120"/>
    </row>
    <row r="56">
      <c r="B56" s="6"/>
      <c r="C56" s="56"/>
      <c r="D56" s="56"/>
      <c r="E56" s="56"/>
      <c r="F56" s="56"/>
      <c r="G56" s="56"/>
      <c r="H56" s="56"/>
      <c r="I56" s="56"/>
      <c r="J56" s="6"/>
      <c r="K56" s="43"/>
      <c r="L56" s="6"/>
      <c r="M56" s="6"/>
      <c r="N56" s="6"/>
      <c r="O56" s="6"/>
      <c r="P56" s="6"/>
      <c r="Q56" s="6"/>
      <c r="R56" s="6"/>
      <c r="S56" s="6"/>
      <c r="T56" s="6"/>
      <c r="V56" s="43"/>
      <c r="AD56" s="43"/>
      <c r="AF56" s="84" t="str">
        <f t="shared" si="4"/>
        <v/>
      </c>
      <c r="AG56" s="134" t="str">
        <f t="shared" si="5"/>
        <v/>
      </c>
      <c r="AH56" s="43"/>
      <c r="AI56" s="6" t="str">
        <f>IF(EXACT('RFR Data - preExcl'!W56,"Initial"),'RFR Data - preExcl'!U56,IFERROR(0/0,""))</f>
        <v/>
      </c>
      <c r="AJ56" s="321"/>
      <c r="AK56" s="43"/>
      <c r="AM56" s="56"/>
      <c r="AN56" s="56"/>
      <c r="AO56" s="56"/>
      <c r="AQ56" s="56"/>
      <c r="AR56" s="120"/>
    </row>
    <row r="57">
      <c r="B57" s="6"/>
      <c r="C57" s="56"/>
      <c r="D57" s="56"/>
      <c r="E57" s="56"/>
      <c r="F57" s="56"/>
      <c r="G57" s="56"/>
      <c r="H57" s="56"/>
      <c r="I57" s="56"/>
      <c r="J57" s="6"/>
      <c r="K57" s="43"/>
      <c r="L57" s="6"/>
      <c r="M57" s="6"/>
      <c r="N57" s="6"/>
      <c r="O57" s="6"/>
      <c r="P57" s="6"/>
      <c r="Q57" s="6"/>
      <c r="R57" s="6"/>
      <c r="S57" s="6"/>
      <c r="T57" s="6"/>
      <c r="V57" s="43"/>
      <c r="AD57" s="43"/>
      <c r="AF57" s="84" t="str">
        <f t="shared" si="4"/>
        <v/>
      </c>
      <c r="AG57" s="134" t="str">
        <f t="shared" si="5"/>
        <v/>
      </c>
      <c r="AH57" s="43"/>
      <c r="AI57" s="6" t="str">
        <f>IF(EXACT('RFR Data - preExcl'!W57,"Initial"),'RFR Data - preExcl'!U57,IFERROR(0/0,""))</f>
        <v/>
      </c>
      <c r="AJ57" s="321"/>
      <c r="AK57" s="43"/>
      <c r="AM57" s="56"/>
      <c r="AN57" s="56"/>
      <c r="AO57" s="56"/>
      <c r="AQ57" s="56"/>
      <c r="AR57" s="120"/>
    </row>
    <row r="58">
      <c r="B58" s="6"/>
      <c r="C58" s="56"/>
      <c r="D58" s="56"/>
      <c r="E58" s="56"/>
      <c r="F58" s="56"/>
      <c r="G58" s="56"/>
      <c r="H58" s="56"/>
      <c r="I58" s="56"/>
      <c r="J58" s="6"/>
      <c r="K58" s="43"/>
      <c r="L58" s="6"/>
      <c r="M58" s="6"/>
      <c r="N58" s="6"/>
      <c r="O58" s="6"/>
      <c r="P58" s="6"/>
      <c r="Q58" s="6"/>
      <c r="R58" s="6"/>
      <c r="S58" s="6"/>
      <c r="T58" s="6"/>
      <c r="V58" s="43"/>
      <c r="AD58" s="43"/>
      <c r="AF58" s="84" t="str">
        <f t="shared" si="4"/>
        <v/>
      </c>
      <c r="AG58" s="134" t="str">
        <f t="shared" si="5"/>
        <v/>
      </c>
      <c r="AH58" s="43"/>
      <c r="AI58" s="6" t="str">
        <f>IF(EXACT('RFR Data - preExcl'!W58,"Initial"),'RFR Data - preExcl'!U58,IFERROR(0/0,""))</f>
        <v/>
      </c>
      <c r="AJ58" s="321"/>
      <c r="AK58" s="43"/>
      <c r="AM58" s="56"/>
      <c r="AN58" s="56"/>
      <c r="AO58" s="56"/>
      <c r="AQ58" s="56"/>
      <c r="AR58" s="120"/>
    </row>
    <row r="59">
      <c r="B59" s="6"/>
      <c r="C59" s="56"/>
      <c r="D59" s="56"/>
      <c r="E59" s="56"/>
      <c r="F59" s="56"/>
      <c r="G59" s="56"/>
      <c r="H59" s="56"/>
      <c r="I59" s="56"/>
      <c r="J59" s="6"/>
      <c r="K59" s="43"/>
      <c r="L59" s="6"/>
      <c r="M59" s="6"/>
      <c r="N59" s="6"/>
      <c r="O59" s="6"/>
      <c r="P59" s="6"/>
      <c r="Q59" s="6"/>
      <c r="R59" s="6"/>
      <c r="S59" s="6"/>
      <c r="T59" s="6"/>
      <c r="V59" s="43"/>
      <c r="AD59" s="43"/>
      <c r="AF59" s="84" t="str">
        <f t="shared" si="4"/>
        <v/>
      </c>
      <c r="AG59" s="134" t="str">
        <f t="shared" si="5"/>
        <v/>
      </c>
      <c r="AH59" s="43"/>
      <c r="AI59" s="6" t="str">
        <f>IF(EXACT('RFR Data - preExcl'!W59,"Initial"),'RFR Data - preExcl'!U59,IFERROR(0/0,""))</f>
        <v/>
      </c>
      <c r="AJ59" s="321"/>
      <c r="AK59" s="43"/>
      <c r="AM59" s="56"/>
      <c r="AN59" s="56"/>
      <c r="AO59" s="56"/>
      <c r="AQ59" s="56"/>
      <c r="AR59" s="120"/>
    </row>
  </sheetData>
  <conditionalFormatting sqref="I1:I59">
    <cfRule type="cellIs" dxfId="16" priority="1" operator="greaterThan">
      <formula>0</formula>
    </cfRule>
  </conditionalFormatting>
  <conditionalFormatting sqref="H1:H59">
    <cfRule type="cellIs" dxfId="17" priority="2" operator="greaterThan">
      <formula>0</formula>
    </cfRule>
  </conditionalFormatting>
  <conditionalFormatting sqref="G1:G59">
    <cfRule type="cellIs" dxfId="10" priority="3" operator="greaterThan">
      <formula>0</formula>
    </cfRule>
  </conditionalFormatting>
  <conditionalFormatting sqref="F1:F59">
    <cfRule type="cellIs" dxfId="7" priority="4" operator="greaterThan">
      <formula>0</formula>
    </cfRule>
  </conditionalFormatting>
  <conditionalFormatting sqref="E1:E59">
    <cfRule type="cellIs" dxfId="13" priority="5" operator="greaterThan">
      <formula>0</formula>
    </cfRule>
  </conditionalFormatting>
  <conditionalFormatting sqref="B2:C59 J2:J59">
    <cfRule type="expression" dxfId="18" priority="6">
      <formula>$J2</formula>
    </cfRule>
  </conditionalFormatting>
  <hyperlinks>
    <hyperlink r:id="rId2" ref="A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9" max="9" width="9.75"/>
    <col customWidth="1" min="10" max="10" width="12.63"/>
    <col customWidth="1" min="14" max="14" width="21.75"/>
    <col customWidth="1" min="16" max="16" width="13.63"/>
    <col customWidth="1" min="17" max="17" width="26.75"/>
  </cols>
  <sheetData>
    <row r="1">
      <c r="A1" s="70" t="s">
        <v>72</v>
      </c>
      <c r="B1" s="70" t="s">
        <v>73</v>
      </c>
      <c r="C1" s="16" t="s">
        <v>78</v>
      </c>
      <c r="D1" s="16" t="s">
        <v>446</v>
      </c>
      <c r="E1" s="16" t="s">
        <v>447</v>
      </c>
      <c r="F1" s="16" t="s">
        <v>448</v>
      </c>
      <c r="G1" s="16" t="s">
        <v>449</v>
      </c>
      <c r="H1" s="16" t="s">
        <v>450</v>
      </c>
      <c r="I1" s="16" t="s">
        <v>451</v>
      </c>
      <c r="J1" s="16" t="s">
        <v>452</v>
      </c>
      <c r="K1" s="80" t="s">
        <v>453</v>
      </c>
      <c r="L1" s="73" t="s">
        <v>454</v>
      </c>
      <c r="M1" s="28" t="s">
        <v>455</v>
      </c>
      <c r="N1" s="28" t="s">
        <v>456</v>
      </c>
      <c r="O1" s="28" t="s">
        <v>9</v>
      </c>
      <c r="P1" s="70" t="s">
        <v>457</v>
      </c>
      <c r="Q1" s="78" t="s">
        <v>458</v>
      </c>
    </row>
    <row r="2">
      <c r="A2" s="322" t="s">
        <v>65</v>
      </c>
      <c r="B2" s="14">
        <v>44623.0</v>
      </c>
      <c r="C2" s="323">
        <v>2.0</v>
      </c>
      <c r="D2" s="57"/>
      <c r="E2" s="90">
        <f>IFERROR(VLOOKUP(A2,'Runs Compare'!$Y$2:AD500,5,FALSE),IFERROR(0/0,""))</f>
        <v>2</v>
      </c>
      <c r="F2" s="90">
        <f>IFERROR(VLOOKUP(A2,'Runs Compare'!$Y$2:AD500,6,FALSE),IFERROR(0/0,""))</f>
        <v>0</v>
      </c>
      <c r="G2" s="61">
        <f>IFERROR(VLOOKUP($A2,'Runs Compare'!$AG3:$AM500,5,FALSE),IFERROR(0/0,""))</f>
        <v>2</v>
      </c>
      <c r="H2" s="61">
        <f>IFERROR(VLOOKUP($A2,'Runs Compare'!$AG3:$AM500,6,FALSE),IFERROR(0/0,""))</f>
        <v>0</v>
      </c>
      <c r="I2" s="61">
        <f t="shared" ref="I2:J2" si="1">IF(ISBLANK(G2),E2,E2-G2)</f>
        <v>0</v>
      </c>
      <c r="J2" s="61">
        <f t="shared" si="1"/>
        <v>0</v>
      </c>
      <c r="K2" s="61" t="b">
        <f t="shared" ref="K2:K5" si="3">IF(ISBLANK(J2),FALSE, AND(I2=0,J2=0))</f>
        <v>1</v>
      </c>
      <c r="L2" s="86" t="str">
        <f>'Process Ref'!A1</f>
        <v>BEND</v>
      </c>
      <c r="M2" s="324" t="str">
        <f t="array" ref="M2:M6">"ARF"&amp;$L$2&amp;TEXT(SEQUENCE(SUM(C2:C500),1),"000") 
</f>
        <v>ARFBEND001</v>
      </c>
      <c r="N2" s="324" t="str">
        <f t="array" ref="N2:N6">VLOOKUP(SEQUENCE(SUM($C2:$C500),1), {MMULT(N(ROW(A2:A500)&gt;TRANSPOSE(ROW(A2:A500))),N($C2:$C500))+1, A2:A500}, 2, TRUE)
</f>
        <v>RUN-BEND_2022-03-03_RFR-044</v>
      </c>
      <c r="O2" s="325">
        <f t="array" ref="O2:O6">VLOOKUP(SEQUENCE(SUM($C2:$C500),1), {MMULT(N(ROW(B2:B500)&gt;TRANSPOSE(ROW(B2:B500))),N($C2:$C500))+1, B2:B500}, 2, TRUE)
</f>
        <v>44623</v>
      </c>
      <c r="P2" s="256" t="str">
        <f t="shared" ref="P2:P6" si="4">IF(VLOOKUP(N2,$A$2:$K500,11,FALSE),"Negative",IFERROR(0/0,""))</f>
        <v>Negative</v>
      </c>
      <c r="Q2" s="57"/>
    </row>
    <row r="3">
      <c r="A3" s="322" t="s">
        <v>38</v>
      </c>
      <c r="B3" s="14">
        <v>44566.0</v>
      </c>
      <c r="C3" s="323">
        <v>1.0</v>
      </c>
      <c r="D3" s="57"/>
      <c r="E3" s="90">
        <f>IFERROR(VLOOKUP(A3,'Runs Compare'!$Y$2:AD500,5,FALSE),IFERROR(0/0,""))</f>
        <v>3</v>
      </c>
      <c r="F3" s="90">
        <f>IFERROR(VLOOKUP(A3,'Runs Compare'!$Y$2:AD500,6,FALSE),IFERROR(0/0,""))</f>
        <v>0</v>
      </c>
      <c r="G3" s="61">
        <f>IFERROR(VLOOKUP($A3,'Runs Compare'!$AG4:$AM500,5,FALSE),IFERROR(0/0,""))</f>
        <v>3</v>
      </c>
      <c r="H3" s="61">
        <f>IFERROR(VLOOKUP($A3,'Runs Compare'!$AG4:$AM500,6,FALSE),IFERROR(0/0,""))</f>
        <v>0</v>
      </c>
      <c r="I3" s="61">
        <f t="shared" ref="I3:J3" si="2">IF(ISBLANK(G3),E3,E3-G3)</f>
        <v>0</v>
      </c>
      <c r="J3" s="61">
        <f t="shared" si="2"/>
        <v>0</v>
      </c>
      <c r="K3" s="61" t="b">
        <f t="shared" si="3"/>
        <v>1</v>
      </c>
      <c r="M3" s="324" t="s">
        <v>459</v>
      </c>
      <c r="N3" s="324" t="s">
        <v>65</v>
      </c>
      <c r="O3" s="325">
        <v>44623.0</v>
      </c>
      <c r="P3" s="256" t="str">
        <f t="shared" si="4"/>
        <v>Negative</v>
      </c>
    </row>
    <row r="4">
      <c r="A4" s="322" t="s">
        <v>39</v>
      </c>
      <c r="B4" s="14">
        <v>44568.0</v>
      </c>
      <c r="C4" s="323">
        <v>1.0</v>
      </c>
      <c r="D4" s="57"/>
      <c r="E4" s="90">
        <f>IFERROR(VLOOKUP(A4,'Runs Compare'!$Y$2:AD500,5,FALSE),IFERROR(0/0,""))</f>
        <v>3</v>
      </c>
      <c r="F4" s="90">
        <f>IFERROR(VLOOKUP(A4,'Runs Compare'!$Y$2:AD500,6,FALSE),IFERROR(0/0,""))</f>
        <v>1</v>
      </c>
      <c r="G4" s="61">
        <f>IFERROR(VLOOKUP($A4,'Runs Compare'!$AG5:$AM500,5,FALSE),IFERROR(0/0,""))</f>
        <v>3</v>
      </c>
      <c r="H4" s="61">
        <f>IFERROR(VLOOKUP($A4,'Runs Compare'!$AG5:$AM500,6,FALSE),IFERROR(0/0,""))</f>
        <v>1</v>
      </c>
      <c r="I4" s="61">
        <f t="shared" ref="I4:J4" si="5">IF(ISBLANK(G4),E4,E4-G4)</f>
        <v>0</v>
      </c>
      <c r="J4" s="61">
        <f t="shared" si="5"/>
        <v>0</v>
      </c>
      <c r="K4" s="61" t="b">
        <f t="shared" si="3"/>
        <v>1</v>
      </c>
      <c r="M4" s="324" t="s">
        <v>460</v>
      </c>
      <c r="N4" s="324" t="s">
        <v>38</v>
      </c>
      <c r="O4" s="325">
        <v>44566.0</v>
      </c>
      <c r="P4" s="256" t="str">
        <f t="shared" si="4"/>
        <v>Negative</v>
      </c>
    </row>
    <row r="5">
      <c r="A5" s="322" t="s">
        <v>59</v>
      </c>
      <c r="B5" s="14">
        <v>44613.0</v>
      </c>
      <c r="C5" s="323">
        <v>1.0</v>
      </c>
      <c r="D5" s="57"/>
      <c r="E5" s="90">
        <f>IFERROR(VLOOKUP(A5,'Runs Compare'!$Y$2:AD500,5,FALSE),IFERROR(0/0,""))</f>
        <v>0</v>
      </c>
      <c r="F5" s="90">
        <f>IFERROR(VLOOKUP(A5,'Runs Compare'!$Y$2:AD500,6,FALSE),IFERROR(0/0,""))</f>
        <v>0</v>
      </c>
      <c r="G5" s="61">
        <f>IFERROR(VLOOKUP($A5,'Runs Compare'!$AG6:$AM500,5,FALSE),IFERROR(0/0,""))</f>
        <v>0</v>
      </c>
      <c r="H5" s="61">
        <f>IFERROR(VLOOKUP($A5,'Runs Compare'!$AG6:$AM500,6,FALSE),IFERROR(0/0,""))</f>
        <v>0</v>
      </c>
      <c r="I5" s="61">
        <f t="shared" ref="I5:J5" si="6">IF(ISBLANK(G5),E5,E5-G5)</f>
        <v>0</v>
      </c>
      <c r="J5" s="61">
        <f t="shared" si="6"/>
        <v>0</v>
      </c>
      <c r="K5" s="61" t="b">
        <f t="shared" si="3"/>
        <v>1</v>
      </c>
      <c r="M5" s="324" t="s">
        <v>461</v>
      </c>
      <c r="N5" s="324" t="s">
        <v>39</v>
      </c>
      <c r="O5" s="325">
        <v>44568.0</v>
      </c>
      <c r="P5" s="256" t="str">
        <f t="shared" si="4"/>
        <v>Negative</v>
      </c>
    </row>
    <row r="6">
      <c r="A6" s="322"/>
      <c r="B6" s="14"/>
      <c r="C6" s="326"/>
      <c r="D6" s="57"/>
      <c r="E6" s="61"/>
      <c r="F6" s="61"/>
      <c r="G6" s="56"/>
      <c r="H6" s="56"/>
      <c r="I6" s="56"/>
      <c r="J6" s="56"/>
      <c r="M6" s="324" t="s">
        <v>462</v>
      </c>
      <c r="N6" s="324" t="s">
        <v>59</v>
      </c>
      <c r="O6" s="325">
        <v>44613.0</v>
      </c>
      <c r="P6" s="256" t="str">
        <f t="shared" si="4"/>
        <v>Negative</v>
      </c>
    </row>
    <row r="7">
      <c r="A7" s="327"/>
      <c r="B7" s="14"/>
      <c r="C7" s="326"/>
      <c r="D7" s="57"/>
      <c r="M7" s="324"/>
      <c r="N7" s="324"/>
      <c r="O7" s="325"/>
      <c r="P7" s="256"/>
    </row>
    <row r="8">
      <c r="A8" s="327"/>
      <c r="B8" s="14"/>
      <c r="C8" s="326"/>
      <c r="D8" s="57"/>
      <c r="M8" s="324"/>
      <c r="N8" s="324"/>
      <c r="O8" s="324"/>
      <c r="P8" s="256"/>
    </row>
    <row r="9">
      <c r="A9" s="328" t="s">
        <v>463</v>
      </c>
      <c r="B9" s="14"/>
      <c r="C9" s="326"/>
      <c r="D9" s="57"/>
      <c r="M9" s="324"/>
      <c r="N9" s="324"/>
      <c r="O9" s="324"/>
      <c r="P9" s="256"/>
    </row>
    <row r="10">
      <c r="A10" s="328" t="s">
        <v>464</v>
      </c>
      <c r="B10" s="14"/>
      <c r="C10" s="326"/>
      <c r="M10" s="324"/>
      <c r="N10" s="324"/>
      <c r="O10" s="324"/>
      <c r="P10" s="256"/>
    </row>
    <row r="11">
      <c r="A11" s="328" t="s">
        <v>465</v>
      </c>
      <c r="B11" s="14"/>
      <c r="C11" s="57"/>
      <c r="M11" s="324"/>
      <c r="N11" s="324"/>
      <c r="O11" s="324"/>
      <c r="P11" s="256"/>
    </row>
    <row r="12">
      <c r="A12" s="328" t="s">
        <v>466</v>
      </c>
      <c r="B12" s="14"/>
      <c r="C12" s="57"/>
      <c r="M12" s="324"/>
      <c r="N12" s="324"/>
      <c r="O12" s="324"/>
      <c r="P12" s="256"/>
    </row>
    <row r="13">
      <c r="A13" s="328"/>
      <c r="B13" s="14"/>
      <c r="C13" s="57"/>
      <c r="M13" s="324"/>
      <c r="N13" s="324"/>
      <c r="O13" s="324"/>
      <c r="P13" s="256"/>
    </row>
    <row r="14">
      <c r="A14" s="328"/>
      <c r="B14" s="14"/>
      <c r="C14" s="57"/>
      <c r="M14" s="324"/>
      <c r="N14" s="324"/>
      <c r="O14" s="324"/>
      <c r="P14" s="256"/>
    </row>
    <row r="15">
      <c r="A15" s="327"/>
      <c r="B15" s="14"/>
      <c r="C15" s="57"/>
      <c r="D15" s="56"/>
      <c r="E15" s="56"/>
      <c r="F15" s="56"/>
      <c r="G15" s="56"/>
      <c r="H15" s="56"/>
      <c r="I15" s="56"/>
      <c r="J15" s="56"/>
      <c r="M15" s="324"/>
      <c r="N15" s="324"/>
      <c r="O15" s="324"/>
      <c r="P15" s="256"/>
    </row>
    <row r="16">
      <c r="A16" s="327"/>
      <c r="B16" s="14"/>
      <c r="C16" s="57"/>
      <c r="D16" s="56"/>
      <c r="E16" s="56"/>
      <c r="F16" s="56"/>
      <c r="G16" s="56"/>
      <c r="H16" s="56"/>
      <c r="I16" s="56"/>
      <c r="J16" s="56"/>
      <c r="M16" s="324"/>
      <c r="N16" s="324"/>
      <c r="O16" s="324"/>
      <c r="P16" s="256"/>
    </row>
    <row r="17">
      <c r="A17" s="329"/>
      <c r="B17" s="14"/>
      <c r="C17" s="57"/>
      <c r="D17" s="56"/>
      <c r="E17" s="56"/>
      <c r="F17" s="56"/>
      <c r="G17" s="56"/>
      <c r="H17" s="56"/>
      <c r="I17" s="56"/>
      <c r="J17" s="56"/>
      <c r="M17" s="324"/>
      <c r="N17" s="324"/>
      <c r="O17" s="324"/>
      <c r="P17" s="256"/>
    </row>
    <row r="18">
      <c r="A18" s="327"/>
      <c r="B18" s="14"/>
      <c r="C18" s="57"/>
      <c r="D18" s="56"/>
      <c r="E18" s="56"/>
      <c r="F18" s="56"/>
      <c r="G18" s="56"/>
      <c r="H18" s="56"/>
      <c r="I18" s="56"/>
      <c r="J18" s="56"/>
      <c r="M18" s="324"/>
      <c r="N18" s="324"/>
      <c r="O18" s="324"/>
      <c r="P18" s="256"/>
    </row>
    <row r="19">
      <c r="A19" s="327"/>
      <c r="B19" s="14"/>
      <c r="C19" s="57"/>
      <c r="M19" s="324"/>
      <c r="N19" s="324"/>
      <c r="O19" s="324"/>
      <c r="P19" s="256"/>
    </row>
    <row r="20">
      <c r="A20" s="327"/>
      <c r="B20" s="14"/>
      <c r="C20" s="57"/>
      <c r="M20" s="324"/>
      <c r="N20" s="324"/>
      <c r="O20" s="324"/>
      <c r="P20" s="256"/>
    </row>
    <row r="21">
      <c r="A21" s="327"/>
      <c r="B21" s="14"/>
      <c r="C21" s="57"/>
      <c r="M21" s="324"/>
      <c r="N21" s="324"/>
      <c r="O21" s="324"/>
      <c r="P21" s="256"/>
    </row>
    <row r="22">
      <c r="A22" s="327"/>
      <c r="B22" s="14"/>
      <c r="C22" s="57"/>
      <c r="M22" s="324"/>
      <c r="N22" s="324"/>
      <c r="O22" s="324"/>
      <c r="P22" s="256"/>
    </row>
    <row r="23">
      <c r="A23" s="327"/>
      <c r="B23" s="14"/>
      <c r="C23" s="57"/>
      <c r="M23" s="324"/>
      <c r="N23" s="324"/>
      <c r="O23" s="324"/>
      <c r="P23" s="256"/>
    </row>
    <row r="24">
      <c r="A24" s="327"/>
      <c r="B24" s="14"/>
      <c r="C24" s="57"/>
      <c r="M24" s="324"/>
      <c r="N24" s="324"/>
      <c r="O24" s="324"/>
      <c r="P24" s="256"/>
    </row>
    <row r="25">
      <c r="A25" s="327"/>
      <c r="B25" s="14"/>
      <c r="C25" s="57"/>
      <c r="M25" s="324"/>
      <c r="N25" s="324"/>
      <c r="O25" s="324"/>
      <c r="P25" s="256"/>
    </row>
    <row r="26">
      <c r="A26" s="327"/>
      <c r="B26" s="14"/>
      <c r="C26" s="57"/>
      <c r="M26" s="324"/>
      <c r="N26" s="324"/>
      <c r="O26" s="324"/>
      <c r="P26" s="256"/>
    </row>
    <row r="27">
      <c r="A27" s="327"/>
      <c r="B27" s="14"/>
      <c r="C27" s="57"/>
      <c r="M27" s="324"/>
      <c r="N27" s="324"/>
      <c r="O27" s="324"/>
      <c r="P27" s="256"/>
    </row>
    <row r="28">
      <c r="A28" s="327"/>
      <c r="B28" s="14"/>
      <c r="C28" s="57"/>
      <c r="M28" s="324"/>
      <c r="N28" s="324"/>
      <c r="O28" s="324"/>
      <c r="P28" s="256"/>
    </row>
    <row r="29">
      <c r="A29" s="327"/>
      <c r="B29" s="14"/>
      <c r="C29" s="57"/>
      <c r="M29" s="324"/>
      <c r="N29" s="324"/>
      <c r="O29" s="324"/>
      <c r="P29" s="256"/>
    </row>
    <row r="30">
      <c r="A30" s="327"/>
      <c r="B30" s="14"/>
      <c r="C30" s="57"/>
      <c r="M30" s="324"/>
      <c r="N30" s="324"/>
      <c r="O30" s="324"/>
      <c r="P30" s="256"/>
    </row>
    <row r="31">
      <c r="A31" s="327"/>
      <c r="B31" s="14"/>
      <c r="C31" s="57"/>
      <c r="M31" s="324"/>
      <c r="N31" s="324"/>
      <c r="O31" s="324"/>
      <c r="P31" s="256"/>
    </row>
    <row r="32">
      <c r="A32" s="327"/>
      <c r="B32" s="14"/>
      <c r="C32" s="57"/>
      <c r="M32" s="324"/>
      <c r="N32" s="324"/>
      <c r="O32" s="324"/>
      <c r="P32" s="256"/>
    </row>
    <row r="33">
      <c r="A33" s="327"/>
      <c r="B33" s="14"/>
      <c r="C33" s="57"/>
      <c r="M33" s="324"/>
      <c r="N33" s="324"/>
      <c r="O33" s="324"/>
      <c r="P33" s="256"/>
    </row>
    <row r="34">
      <c r="A34" s="327"/>
      <c r="B34" s="14"/>
      <c r="C34" s="57"/>
      <c r="M34" s="324"/>
      <c r="N34" s="324"/>
      <c r="O34" s="324"/>
      <c r="P34" s="256"/>
    </row>
    <row r="35">
      <c r="A35" s="327"/>
      <c r="B35" s="14"/>
      <c r="C35" s="57"/>
      <c r="M35" s="324"/>
      <c r="N35" s="324"/>
      <c r="O35" s="324"/>
      <c r="P35" s="256"/>
    </row>
    <row r="36">
      <c r="A36" s="327"/>
      <c r="B36" s="14"/>
      <c r="C36" s="57"/>
      <c r="M36" s="324"/>
      <c r="N36" s="324"/>
      <c r="O36" s="324"/>
      <c r="P36" s="256"/>
    </row>
    <row r="37">
      <c r="A37" s="327"/>
      <c r="B37" s="14"/>
      <c r="C37" s="57"/>
      <c r="M37" s="324"/>
      <c r="N37" s="324"/>
      <c r="O37" s="324"/>
      <c r="P37" s="256"/>
    </row>
    <row r="38">
      <c r="A38" s="327"/>
      <c r="B38" s="14"/>
      <c r="C38" s="57"/>
      <c r="M38" s="324"/>
      <c r="N38" s="324"/>
      <c r="O38" s="324"/>
      <c r="P38" s="256"/>
    </row>
    <row r="39">
      <c r="A39" s="327"/>
      <c r="B39" s="14"/>
      <c r="C39" s="57"/>
      <c r="M39" s="324"/>
      <c r="N39" s="324"/>
      <c r="O39" s="324"/>
      <c r="P39" s="256"/>
    </row>
    <row r="40">
      <c r="A40" s="327"/>
      <c r="B40" s="14"/>
      <c r="C40" s="57"/>
      <c r="M40" s="324"/>
      <c r="N40" s="324"/>
      <c r="O40" s="324"/>
      <c r="P40" s="256"/>
    </row>
    <row r="41">
      <c r="A41" s="327"/>
      <c r="B41" s="14"/>
      <c r="C41" s="57"/>
      <c r="M41" s="324"/>
      <c r="N41" s="324"/>
      <c r="O41" s="324"/>
      <c r="P41" s="256"/>
    </row>
    <row r="42">
      <c r="A42" s="327"/>
      <c r="B42" s="14"/>
      <c r="C42" s="57"/>
      <c r="M42" s="324"/>
      <c r="N42" s="324"/>
      <c r="O42" s="324"/>
      <c r="P42" s="256"/>
    </row>
    <row r="43">
      <c r="A43" s="327"/>
      <c r="B43" s="14"/>
      <c r="C43" s="57"/>
      <c r="M43" s="324"/>
      <c r="N43" s="324"/>
      <c r="O43" s="324"/>
      <c r="P43" s="256"/>
    </row>
    <row r="44">
      <c r="A44" s="327"/>
      <c r="B44" s="14"/>
      <c r="C44" s="57"/>
      <c r="M44" s="324"/>
      <c r="N44" s="324"/>
      <c r="O44" s="324"/>
      <c r="P44" s="256"/>
    </row>
    <row r="45">
      <c r="A45" s="327"/>
      <c r="B45" s="14"/>
      <c r="C45" s="57"/>
      <c r="M45" s="324"/>
      <c r="N45" s="324"/>
      <c r="O45" s="324"/>
      <c r="P45" s="256"/>
    </row>
    <row r="46">
      <c r="A46" s="57"/>
      <c r="B46" s="14"/>
      <c r="C46" s="57"/>
      <c r="M46" s="324"/>
      <c r="N46" s="324"/>
      <c r="O46" s="324"/>
      <c r="P46" s="256"/>
    </row>
    <row r="47">
      <c r="A47" s="57"/>
      <c r="B47" s="14"/>
      <c r="C47" s="57"/>
      <c r="M47" s="324"/>
      <c r="N47" s="324"/>
      <c r="O47" s="324"/>
      <c r="P47" s="256"/>
    </row>
    <row r="48">
      <c r="A48" s="57"/>
      <c r="B48" s="14"/>
      <c r="C48" s="57"/>
      <c r="M48" s="324"/>
      <c r="N48" s="324"/>
      <c r="O48" s="324"/>
      <c r="P48" s="256"/>
    </row>
    <row r="49">
      <c r="A49" s="57"/>
      <c r="B49" s="14"/>
      <c r="C49" s="57"/>
      <c r="M49" s="324"/>
      <c r="N49" s="324"/>
      <c r="O49" s="324"/>
      <c r="P49" s="256"/>
    </row>
    <row r="50">
      <c r="A50" s="57"/>
      <c r="B50" s="14"/>
      <c r="C50" s="57"/>
      <c r="M50" s="324"/>
      <c r="N50" s="324"/>
      <c r="O50" s="324"/>
      <c r="P50" s="256"/>
    </row>
    <row r="51">
      <c r="A51" s="57"/>
      <c r="B51" s="14"/>
      <c r="C51" s="57"/>
      <c r="M51" s="324"/>
      <c r="N51" s="324"/>
      <c r="O51" s="324"/>
      <c r="P51" s="256"/>
    </row>
    <row r="52">
      <c r="A52" s="57"/>
      <c r="B52" s="14"/>
      <c r="C52" s="57"/>
      <c r="M52" s="324"/>
      <c r="N52" s="324"/>
      <c r="O52" s="324"/>
      <c r="P52" s="256"/>
    </row>
    <row r="53">
      <c r="A53" s="57"/>
      <c r="B53" s="14"/>
      <c r="C53" s="57"/>
      <c r="M53" s="324"/>
      <c r="N53" s="324"/>
      <c r="O53" s="324"/>
      <c r="P53" s="256"/>
    </row>
    <row r="54">
      <c r="A54" s="57"/>
      <c r="B54" s="14"/>
      <c r="C54" s="57"/>
      <c r="M54" s="324"/>
      <c r="N54" s="324"/>
      <c r="O54" s="324"/>
      <c r="P54" s="256"/>
    </row>
    <row r="55">
      <c r="M55" s="324"/>
      <c r="N55" s="324"/>
      <c r="O55" s="324"/>
      <c r="P55" s="256"/>
    </row>
    <row r="56">
      <c r="M56" s="324"/>
      <c r="N56" s="324"/>
      <c r="O56" s="324"/>
      <c r="P56" s="256"/>
    </row>
    <row r="57">
      <c r="M57" s="324"/>
      <c r="N57" s="324"/>
      <c r="O57" s="324"/>
      <c r="P57" s="256"/>
    </row>
    <row r="58">
      <c r="M58" s="324"/>
      <c r="N58" s="324"/>
      <c r="O58" s="324"/>
      <c r="P58" s="256"/>
    </row>
    <row r="59">
      <c r="M59" s="324"/>
      <c r="N59" s="324"/>
      <c r="O59" s="324"/>
      <c r="P59" s="256"/>
    </row>
    <row r="60">
      <c r="M60" s="324"/>
      <c r="N60" s="324"/>
      <c r="O60" s="324"/>
      <c r="P60" s="256"/>
    </row>
    <row r="61">
      <c r="M61" s="324"/>
      <c r="N61" s="324"/>
      <c r="O61" s="324"/>
      <c r="P61" s="256"/>
    </row>
    <row r="62">
      <c r="M62" s="324"/>
      <c r="N62" s="324"/>
      <c r="O62" s="324"/>
      <c r="P62" s="256"/>
    </row>
    <row r="63">
      <c r="M63" s="324"/>
      <c r="N63" s="324"/>
      <c r="O63" s="324"/>
      <c r="P63" s="256"/>
    </row>
    <row r="64">
      <c r="M64" s="324"/>
      <c r="N64" s="324"/>
      <c r="O64" s="324"/>
      <c r="P64" s="256"/>
    </row>
    <row r="65">
      <c r="M65" s="324"/>
      <c r="N65" s="324"/>
      <c r="O65" s="324"/>
      <c r="P65" s="256"/>
    </row>
    <row r="66">
      <c r="M66" s="324"/>
      <c r="N66" s="324"/>
      <c r="O66" s="324"/>
      <c r="P66" s="256"/>
    </row>
    <row r="67">
      <c r="M67" s="324"/>
      <c r="N67" s="324"/>
      <c r="O67" s="324"/>
      <c r="P67" s="256"/>
    </row>
    <row r="68">
      <c r="M68" s="324"/>
      <c r="N68" s="324"/>
      <c r="O68" s="324"/>
      <c r="P68" s="256"/>
    </row>
    <row r="69">
      <c r="M69" s="324"/>
      <c r="N69" s="324"/>
      <c r="O69" s="324"/>
      <c r="P69" s="256"/>
    </row>
    <row r="70">
      <c r="M70" s="324"/>
      <c r="N70" s="324"/>
      <c r="O70" s="324"/>
      <c r="P70" s="256"/>
    </row>
    <row r="71">
      <c r="M71" s="324"/>
      <c r="N71" s="324"/>
      <c r="O71" s="324"/>
      <c r="P71" s="256"/>
    </row>
    <row r="72">
      <c r="M72" s="324"/>
      <c r="N72" s="324"/>
      <c r="O72" s="324"/>
      <c r="P72" s="256"/>
    </row>
    <row r="73">
      <c r="M73" s="324"/>
      <c r="N73" s="324"/>
      <c r="O73" s="324"/>
      <c r="P73" s="256"/>
    </row>
    <row r="74">
      <c r="M74" s="324"/>
      <c r="N74" s="324"/>
      <c r="O74" s="324"/>
      <c r="P74" s="256"/>
    </row>
    <row r="75">
      <c r="M75" s="324"/>
      <c r="N75" s="324"/>
      <c r="O75" s="324"/>
      <c r="P75" s="256"/>
    </row>
    <row r="76">
      <c r="M76" s="324"/>
      <c r="N76" s="324"/>
      <c r="O76" s="324"/>
      <c r="P76" s="256"/>
    </row>
    <row r="77">
      <c r="M77" s="324"/>
      <c r="N77" s="324"/>
      <c r="O77" s="324"/>
      <c r="P77" s="256"/>
    </row>
    <row r="78">
      <c r="M78" s="324"/>
      <c r="N78" s="324"/>
      <c r="O78" s="324"/>
      <c r="P78" s="256"/>
    </row>
    <row r="79">
      <c r="M79" s="324"/>
      <c r="N79" s="324"/>
      <c r="O79" s="324"/>
      <c r="P79" s="256"/>
    </row>
    <row r="80">
      <c r="M80" s="324"/>
      <c r="N80" s="324"/>
      <c r="O80" s="324"/>
      <c r="P80" s="256"/>
    </row>
    <row r="81">
      <c r="M81" s="324"/>
      <c r="N81" s="324"/>
      <c r="O81" s="324"/>
      <c r="P81" s="256"/>
    </row>
    <row r="82">
      <c r="M82" s="324"/>
      <c r="N82" s="324"/>
      <c r="O82" s="324"/>
      <c r="P82" s="256"/>
    </row>
    <row r="83">
      <c r="M83" s="324"/>
      <c r="N83" s="324"/>
      <c r="O83" s="324"/>
      <c r="P83" s="256"/>
    </row>
    <row r="84">
      <c r="M84" s="324"/>
      <c r="N84" s="324"/>
      <c r="O84" s="324"/>
      <c r="P84" s="256"/>
    </row>
    <row r="85">
      <c r="M85" s="324"/>
      <c r="N85" s="324"/>
      <c r="O85" s="324"/>
      <c r="P85" s="256"/>
    </row>
    <row r="86">
      <c r="M86" s="324"/>
      <c r="N86" s="324"/>
      <c r="O86" s="324"/>
      <c r="P86" s="256"/>
    </row>
    <row r="87">
      <c r="M87" s="324"/>
      <c r="N87" s="324"/>
      <c r="O87" s="324"/>
      <c r="P87" s="256"/>
    </row>
    <row r="88">
      <c r="M88" s="324"/>
      <c r="N88" s="324"/>
      <c r="O88" s="324"/>
      <c r="P88" s="256"/>
    </row>
    <row r="89">
      <c r="M89" s="324"/>
      <c r="N89" s="324"/>
      <c r="O89" s="324"/>
      <c r="P89" s="256"/>
    </row>
    <row r="90">
      <c r="M90" s="324"/>
      <c r="N90" s="324"/>
      <c r="O90" s="324"/>
      <c r="P90" s="256"/>
    </row>
    <row r="91">
      <c r="M91" s="324"/>
      <c r="N91" s="324"/>
      <c r="O91" s="324"/>
      <c r="P91" s="256"/>
    </row>
    <row r="92">
      <c r="M92" s="324"/>
      <c r="N92" s="324"/>
      <c r="O92" s="324"/>
      <c r="P92" s="256"/>
    </row>
    <row r="93">
      <c r="M93" s="324"/>
      <c r="N93" s="324"/>
      <c r="O93" s="324"/>
      <c r="P93" s="256"/>
    </row>
    <row r="94">
      <c r="M94" s="324"/>
      <c r="N94" s="324"/>
      <c r="O94" s="324"/>
      <c r="P94" s="256"/>
    </row>
    <row r="95">
      <c r="M95" s="324"/>
      <c r="N95" s="324"/>
      <c r="O95" s="324"/>
      <c r="P95" s="256"/>
    </row>
    <row r="96">
      <c r="M96" s="324"/>
      <c r="N96" s="324"/>
      <c r="O96" s="324"/>
      <c r="P96" s="256"/>
    </row>
    <row r="97">
      <c r="M97" s="324"/>
      <c r="N97" s="324"/>
      <c r="O97" s="324"/>
      <c r="P97" s="256"/>
    </row>
    <row r="98">
      <c r="M98" s="324"/>
      <c r="N98" s="324"/>
      <c r="O98" s="324"/>
      <c r="P98" s="256"/>
    </row>
    <row r="99">
      <c r="M99" s="324"/>
      <c r="N99" s="324"/>
      <c r="O99" s="324"/>
      <c r="P99" s="256"/>
    </row>
    <row r="100">
      <c r="M100" s="324"/>
      <c r="N100" s="324"/>
      <c r="O100" s="324"/>
      <c r="P100" s="256"/>
    </row>
    <row r="101">
      <c r="M101" s="324"/>
      <c r="N101" s="324"/>
      <c r="O101" s="324"/>
      <c r="P101" s="256"/>
    </row>
    <row r="102">
      <c r="M102" s="324"/>
      <c r="N102" s="324"/>
      <c r="O102" s="324"/>
      <c r="P102" s="256"/>
    </row>
    <row r="103">
      <c r="M103" s="324"/>
      <c r="N103" s="324"/>
      <c r="O103" s="324"/>
      <c r="P103" s="256"/>
    </row>
    <row r="104">
      <c r="M104" s="324"/>
      <c r="N104" s="324"/>
      <c r="O104" s="324"/>
      <c r="P104" s="256"/>
    </row>
    <row r="105">
      <c r="M105" s="324"/>
      <c r="N105" s="324"/>
      <c r="O105" s="324"/>
      <c r="P105" s="256"/>
    </row>
    <row r="106">
      <c r="M106" s="324"/>
      <c r="N106" s="324"/>
      <c r="O106" s="324"/>
      <c r="P106" s="256"/>
    </row>
    <row r="107">
      <c r="M107" s="324"/>
      <c r="N107" s="324"/>
      <c r="O107" s="324"/>
      <c r="P107" s="256"/>
    </row>
    <row r="108">
      <c r="M108" s="324"/>
      <c r="N108" s="324"/>
      <c r="O108" s="324"/>
      <c r="P108" s="256"/>
    </row>
    <row r="109">
      <c r="M109" s="324"/>
      <c r="N109" s="324"/>
      <c r="O109" s="324"/>
      <c r="P109" s="256"/>
    </row>
    <row r="110">
      <c r="M110" s="324"/>
      <c r="N110" s="324"/>
      <c r="O110" s="324"/>
      <c r="P110" s="256"/>
    </row>
    <row r="111">
      <c r="M111" s="324"/>
      <c r="N111" s="324"/>
      <c r="O111" s="324"/>
      <c r="P111" s="256"/>
    </row>
    <row r="112">
      <c r="M112" s="324"/>
      <c r="N112" s="324"/>
      <c r="O112" s="324"/>
      <c r="P112" s="256"/>
    </row>
    <row r="113">
      <c r="M113" s="324"/>
      <c r="N113" s="324"/>
      <c r="O113" s="324"/>
      <c r="P113" s="256"/>
    </row>
    <row r="114">
      <c r="M114" s="324"/>
      <c r="N114" s="324"/>
      <c r="O114" s="324"/>
      <c r="P114" s="256"/>
    </row>
    <row r="115">
      <c r="M115" s="324"/>
      <c r="N115" s="324"/>
      <c r="O115" s="324"/>
      <c r="P115" s="256"/>
    </row>
    <row r="116">
      <c r="M116" s="324"/>
      <c r="N116" s="324"/>
      <c r="O116" s="324"/>
      <c r="P116" s="256"/>
    </row>
    <row r="117">
      <c r="M117" s="324"/>
      <c r="N117" s="324"/>
      <c r="O117" s="324"/>
      <c r="P117" s="256"/>
    </row>
    <row r="118">
      <c r="M118" s="324"/>
      <c r="N118" s="324"/>
      <c r="O118" s="324"/>
      <c r="P118" s="256"/>
    </row>
    <row r="119">
      <c r="M119" s="324"/>
      <c r="N119" s="324"/>
      <c r="O119" s="324"/>
      <c r="P119" s="256"/>
    </row>
    <row r="120">
      <c r="M120" s="324"/>
      <c r="N120" s="324"/>
      <c r="O120" s="324"/>
      <c r="P120" s="256"/>
    </row>
    <row r="121">
      <c r="M121" s="324"/>
      <c r="N121" s="324"/>
      <c r="O121" s="324"/>
      <c r="P121" s="256"/>
    </row>
    <row r="122">
      <c r="M122" s="324"/>
      <c r="N122" s="324"/>
      <c r="O122" s="324"/>
      <c r="P122" s="256"/>
    </row>
    <row r="123">
      <c r="M123" s="324"/>
      <c r="N123" s="324"/>
      <c r="O123" s="324"/>
      <c r="P123" s="256"/>
    </row>
    <row r="124">
      <c r="M124" s="324"/>
      <c r="N124" s="324"/>
      <c r="O124" s="324"/>
      <c r="P124" s="256"/>
    </row>
    <row r="125">
      <c r="M125" s="324"/>
      <c r="N125" s="324"/>
      <c r="O125" s="324"/>
      <c r="P125" s="256"/>
    </row>
    <row r="126">
      <c r="M126" s="324"/>
      <c r="N126" s="324"/>
      <c r="O126" s="324"/>
      <c r="P126" s="256"/>
    </row>
    <row r="127">
      <c r="M127" s="324"/>
      <c r="N127" s="324"/>
      <c r="O127" s="324"/>
      <c r="P127" s="256"/>
    </row>
    <row r="128">
      <c r="M128" s="324"/>
      <c r="N128" s="324"/>
      <c r="O128" s="324"/>
      <c r="P128" s="256"/>
    </row>
    <row r="129">
      <c r="M129" s="324"/>
      <c r="N129" s="324"/>
      <c r="O129" s="324"/>
      <c r="P129" s="256"/>
    </row>
    <row r="130">
      <c r="M130" s="324"/>
      <c r="N130" s="324"/>
      <c r="O130" s="324"/>
      <c r="P130" s="256"/>
    </row>
    <row r="131">
      <c r="M131" s="324"/>
      <c r="N131" s="324"/>
      <c r="O131" s="324"/>
      <c r="P131" s="256"/>
    </row>
    <row r="132">
      <c r="M132" s="324"/>
      <c r="N132" s="324"/>
      <c r="O132" s="324"/>
      <c r="P132" s="256"/>
    </row>
    <row r="133">
      <c r="M133" s="324"/>
      <c r="N133" s="324"/>
      <c r="O133" s="324"/>
      <c r="P133" s="256"/>
    </row>
    <row r="134">
      <c r="M134" s="324"/>
      <c r="N134" s="324"/>
      <c r="O134" s="324"/>
      <c r="P134" s="256"/>
    </row>
    <row r="135">
      <c r="M135" s="324"/>
      <c r="N135" s="324"/>
      <c r="O135" s="324"/>
      <c r="P135" s="256"/>
    </row>
    <row r="136">
      <c r="M136" s="324"/>
      <c r="N136" s="324"/>
      <c r="O136" s="324"/>
      <c r="P136" s="256"/>
    </row>
    <row r="137">
      <c r="M137" s="324"/>
      <c r="N137" s="324"/>
      <c r="O137" s="324"/>
      <c r="P137" s="256"/>
    </row>
    <row r="138">
      <c r="M138" s="324"/>
      <c r="N138" s="324"/>
      <c r="O138" s="324"/>
      <c r="P138" s="256"/>
    </row>
    <row r="139">
      <c r="M139" s="324"/>
      <c r="N139" s="324"/>
      <c r="O139" s="324"/>
      <c r="P139" s="256"/>
    </row>
    <row r="140">
      <c r="M140" s="324"/>
      <c r="N140" s="324"/>
      <c r="O140" s="324"/>
      <c r="P140" s="256"/>
    </row>
    <row r="141">
      <c r="M141" s="324"/>
      <c r="N141" s="324"/>
      <c r="O141" s="324"/>
      <c r="P141" s="256"/>
    </row>
    <row r="142">
      <c r="M142" s="324"/>
      <c r="N142" s="324"/>
      <c r="O142" s="324"/>
      <c r="P142" s="256"/>
    </row>
    <row r="143">
      <c r="M143" s="324"/>
      <c r="N143" s="324"/>
      <c r="O143" s="324"/>
      <c r="P143" s="256"/>
    </row>
    <row r="144">
      <c r="M144" s="324"/>
      <c r="N144" s="324"/>
      <c r="O144" s="324"/>
      <c r="P144" s="256"/>
    </row>
    <row r="145">
      <c r="M145" s="324"/>
      <c r="N145" s="324"/>
      <c r="O145" s="324"/>
      <c r="P145" s="256"/>
    </row>
    <row r="146">
      <c r="M146" s="324"/>
      <c r="N146" s="324"/>
      <c r="O146" s="324"/>
      <c r="P146" s="256"/>
    </row>
    <row r="147">
      <c r="M147" s="324"/>
      <c r="N147" s="324"/>
      <c r="O147" s="324"/>
      <c r="P147" s="256"/>
    </row>
    <row r="148">
      <c r="M148" s="324"/>
      <c r="N148" s="324"/>
      <c r="O148" s="324"/>
      <c r="P148" s="256"/>
    </row>
    <row r="149">
      <c r="M149" s="324"/>
      <c r="N149" s="324"/>
      <c r="O149" s="324"/>
      <c r="P149" s="256"/>
    </row>
    <row r="150">
      <c r="M150" s="324"/>
      <c r="N150" s="324"/>
      <c r="O150" s="324"/>
      <c r="P150" s="256"/>
    </row>
    <row r="151">
      <c r="M151" s="324"/>
      <c r="N151" s="324"/>
      <c r="O151" s="324"/>
      <c r="P151" s="256"/>
    </row>
    <row r="152">
      <c r="M152" s="324"/>
      <c r="N152" s="324"/>
      <c r="O152" s="324"/>
      <c r="P152" s="256"/>
    </row>
    <row r="153">
      <c r="M153" s="324"/>
      <c r="N153" s="324"/>
      <c r="O153" s="324"/>
      <c r="P153" s="256"/>
    </row>
    <row r="154">
      <c r="M154" s="324"/>
      <c r="N154" s="324"/>
      <c r="O154" s="324"/>
      <c r="P154" s="256"/>
    </row>
    <row r="155">
      <c r="M155" s="324"/>
      <c r="N155" s="324"/>
      <c r="O155" s="324"/>
      <c r="P155" s="256"/>
    </row>
    <row r="156">
      <c r="M156" s="324"/>
      <c r="N156" s="324"/>
      <c r="O156" s="324"/>
      <c r="P156" s="256"/>
    </row>
    <row r="157">
      <c r="M157" s="324"/>
      <c r="N157" s="324"/>
      <c r="O157" s="324"/>
      <c r="P157" s="256"/>
    </row>
    <row r="158">
      <c r="M158" s="324"/>
      <c r="N158" s="324"/>
      <c r="O158" s="324"/>
      <c r="P158" s="256"/>
    </row>
    <row r="159">
      <c r="M159" s="324"/>
      <c r="N159" s="324"/>
      <c r="O159" s="324"/>
      <c r="P159" s="256"/>
    </row>
    <row r="160">
      <c r="M160" s="324"/>
      <c r="N160" s="324"/>
      <c r="O160" s="324"/>
      <c r="P160" s="256"/>
    </row>
    <row r="161">
      <c r="M161" s="324"/>
      <c r="N161" s="324"/>
      <c r="O161" s="324"/>
      <c r="P161" s="256"/>
    </row>
    <row r="162">
      <c r="M162" s="324"/>
      <c r="N162" s="324"/>
      <c r="O162" s="324"/>
      <c r="P162" s="256"/>
    </row>
    <row r="163">
      <c r="M163" s="324"/>
      <c r="N163" s="324"/>
      <c r="O163" s="324"/>
      <c r="P163" s="256"/>
    </row>
    <row r="164">
      <c r="M164" s="324"/>
      <c r="N164" s="324"/>
      <c r="O164" s="324"/>
      <c r="P164" s="256"/>
    </row>
    <row r="165">
      <c r="M165" s="324"/>
      <c r="N165" s="324"/>
      <c r="O165" s="324"/>
      <c r="P165" s="256"/>
    </row>
    <row r="166">
      <c r="M166" s="324"/>
      <c r="N166" s="324"/>
      <c r="O166" s="324"/>
      <c r="P166" s="256"/>
    </row>
    <row r="167">
      <c r="M167" s="324"/>
      <c r="N167" s="324"/>
      <c r="O167" s="324"/>
      <c r="P167" s="256"/>
    </row>
    <row r="168">
      <c r="M168" s="324"/>
      <c r="N168" s="324"/>
      <c r="O168" s="324"/>
      <c r="P168" s="256"/>
    </row>
    <row r="169">
      <c r="M169" s="324"/>
      <c r="N169" s="324"/>
      <c r="O169" s="324"/>
      <c r="P169" s="256"/>
    </row>
    <row r="170">
      <c r="M170" s="324"/>
      <c r="N170" s="324"/>
      <c r="O170" s="324"/>
      <c r="P170" s="256"/>
    </row>
    <row r="171">
      <c r="M171" s="324"/>
      <c r="N171" s="324"/>
      <c r="O171" s="324"/>
      <c r="P171" s="256"/>
    </row>
    <row r="172">
      <c r="M172" s="324"/>
      <c r="N172" s="324"/>
      <c r="O172" s="324"/>
      <c r="P172" s="256"/>
    </row>
    <row r="173">
      <c r="M173" s="324"/>
      <c r="N173" s="324"/>
      <c r="O173" s="324"/>
      <c r="P173" s="256"/>
    </row>
    <row r="174">
      <c r="M174" s="324"/>
      <c r="N174" s="324"/>
      <c r="O174" s="324"/>
      <c r="P174" s="256"/>
    </row>
    <row r="175">
      <c r="M175" s="324"/>
      <c r="N175" s="324"/>
      <c r="O175" s="324"/>
      <c r="P175" s="256"/>
    </row>
    <row r="176">
      <c r="M176" s="324"/>
      <c r="N176" s="324"/>
      <c r="O176" s="324"/>
      <c r="P176" s="256"/>
    </row>
    <row r="177">
      <c r="M177" s="324"/>
      <c r="N177" s="324"/>
      <c r="O177" s="324"/>
      <c r="P177" s="256"/>
    </row>
    <row r="178">
      <c r="M178" s="324"/>
      <c r="N178" s="324"/>
      <c r="O178" s="324"/>
      <c r="P178" s="256"/>
    </row>
    <row r="179">
      <c r="M179" s="324"/>
      <c r="N179" s="324"/>
      <c r="O179" s="324"/>
      <c r="P179" s="256"/>
    </row>
    <row r="180">
      <c r="M180" s="324"/>
      <c r="N180" s="324"/>
      <c r="O180" s="324"/>
      <c r="P180" s="256"/>
    </row>
    <row r="181">
      <c r="M181" s="324"/>
      <c r="N181" s="324"/>
      <c r="O181" s="324"/>
      <c r="P181" s="256"/>
    </row>
    <row r="182">
      <c r="M182" s="324"/>
      <c r="N182" s="324"/>
      <c r="O182" s="324"/>
      <c r="P182" s="256"/>
    </row>
    <row r="183">
      <c r="M183" s="324"/>
      <c r="N183" s="324"/>
      <c r="O183" s="324"/>
      <c r="P183" s="256"/>
    </row>
    <row r="184">
      <c r="M184" s="324"/>
      <c r="N184" s="324"/>
      <c r="O184" s="324"/>
      <c r="P184" s="256"/>
    </row>
    <row r="185">
      <c r="M185" s="324"/>
      <c r="N185" s="324"/>
      <c r="O185" s="324"/>
      <c r="P185" s="256"/>
    </row>
    <row r="186">
      <c r="M186" s="324"/>
      <c r="N186" s="324"/>
      <c r="O186" s="324"/>
      <c r="P186" s="256"/>
    </row>
    <row r="187">
      <c r="M187" s="324"/>
      <c r="N187" s="324"/>
      <c r="O187" s="324"/>
      <c r="P187" s="256"/>
    </row>
    <row r="188">
      <c r="M188" s="324"/>
      <c r="N188" s="324"/>
      <c r="O188" s="324"/>
      <c r="P188" s="256"/>
    </row>
    <row r="189">
      <c r="M189" s="324"/>
      <c r="N189" s="324"/>
      <c r="O189" s="324"/>
      <c r="P189" s="256"/>
    </row>
    <row r="190">
      <c r="M190" s="324"/>
      <c r="N190" s="324"/>
      <c r="O190" s="324"/>
      <c r="P190" s="256"/>
    </row>
    <row r="191">
      <c r="M191" s="324"/>
      <c r="N191" s="324"/>
      <c r="O191" s="324"/>
      <c r="P191" s="256"/>
    </row>
    <row r="192">
      <c r="M192" s="324"/>
      <c r="N192" s="324"/>
      <c r="O192" s="324"/>
      <c r="P192" s="256"/>
    </row>
    <row r="193">
      <c r="M193" s="324"/>
      <c r="N193" s="324"/>
      <c r="O193" s="324"/>
      <c r="P193" s="256"/>
    </row>
    <row r="194">
      <c r="M194" s="324"/>
      <c r="N194" s="324"/>
      <c r="O194" s="324"/>
      <c r="P194" s="256"/>
    </row>
    <row r="195">
      <c r="M195" s="324"/>
      <c r="N195" s="324"/>
      <c r="O195" s="324"/>
      <c r="P195" s="256"/>
    </row>
    <row r="196">
      <c r="M196" s="324"/>
      <c r="N196" s="324"/>
      <c r="O196" s="324"/>
      <c r="P196" s="256"/>
    </row>
    <row r="197">
      <c r="M197" s="324"/>
      <c r="N197" s="324"/>
      <c r="O197" s="324"/>
      <c r="P197" s="256"/>
    </row>
    <row r="198">
      <c r="M198" s="324"/>
      <c r="N198" s="324"/>
      <c r="O198" s="324"/>
      <c r="P198" s="256"/>
    </row>
    <row r="199">
      <c r="M199" s="324"/>
      <c r="N199" s="324"/>
      <c r="O199" s="324"/>
      <c r="P199" s="256"/>
    </row>
    <row r="200">
      <c r="M200" s="324"/>
      <c r="N200" s="324"/>
      <c r="O200" s="324"/>
      <c r="P200" s="256"/>
    </row>
    <row r="201">
      <c r="M201" s="324"/>
      <c r="N201" s="324"/>
      <c r="O201" s="324"/>
      <c r="P201" s="256"/>
    </row>
    <row r="202">
      <c r="M202" s="324"/>
      <c r="N202" s="324"/>
      <c r="O202" s="324"/>
      <c r="P202" s="256"/>
    </row>
    <row r="203">
      <c r="M203" s="324"/>
      <c r="N203" s="324"/>
      <c r="O203" s="324"/>
      <c r="P203" s="256"/>
    </row>
    <row r="204">
      <c r="M204" s="324"/>
      <c r="N204" s="324"/>
      <c r="O204" s="324"/>
      <c r="P204" s="256"/>
    </row>
    <row r="205">
      <c r="M205" s="324"/>
      <c r="N205" s="324"/>
      <c r="O205" s="324"/>
      <c r="P205" s="256"/>
    </row>
    <row r="206">
      <c r="M206" s="324"/>
      <c r="N206" s="324"/>
      <c r="O206" s="324"/>
      <c r="P206" s="256"/>
    </row>
    <row r="207">
      <c r="M207" s="324"/>
      <c r="N207" s="324"/>
      <c r="O207" s="324"/>
      <c r="P207" s="256"/>
    </row>
    <row r="208">
      <c r="M208" s="324"/>
      <c r="N208" s="324"/>
      <c r="O208" s="324"/>
      <c r="P208" s="256"/>
    </row>
    <row r="209">
      <c r="M209" s="324"/>
      <c r="N209" s="324"/>
      <c r="O209" s="324"/>
      <c r="P209" s="256"/>
    </row>
    <row r="210">
      <c r="M210" s="324"/>
      <c r="N210" s="324"/>
      <c r="O210" s="324"/>
      <c r="P210" s="256"/>
    </row>
    <row r="211">
      <c r="M211" s="324"/>
      <c r="N211" s="324"/>
      <c r="O211" s="324"/>
      <c r="P211" s="256"/>
    </row>
    <row r="212">
      <c r="M212" s="324"/>
      <c r="N212" s="324"/>
      <c r="O212" s="324"/>
      <c r="P212" s="256"/>
    </row>
    <row r="213">
      <c r="M213" s="324"/>
      <c r="N213" s="324"/>
      <c r="O213" s="324"/>
      <c r="P213" s="256"/>
    </row>
    <row r="214">
      <c r="M214" s="324"/>
      <c r="N214" s="324"/>
      <c r="O214" s="324"/>
      <c r="P214" s="256"/>
    </row>
    <row r="215">
      <c r="M215" s="324"/>
      <c r="N215" s="324"/>
      <c r="O215" s="324"/>
      <c r="P215" s="256"/>
    </row>
    <row r="216">
      <c r="M216" s="324"/>
      <c r="N216" s="324"/>
      <c r="O216" s="324"/>
      <c r="P216" s="256"/>
    </row>
    <row r="217">
      <c r="M217" s="324"/>
      <c r="N217" s="324"/>
      <c r="O217" s="324"/>
      <c r="P217" s="256"/>
    </row>
    <row r="218">
      <c r="M218" s="324"/>
      <c r="N218" s="324"/>
      <c r="O218" s="324"/>
      <c r="P218" s="256"/>
    </row>
    <row r="219">
      <c r="M219" s="324"/>
      <c r="N219" s="324"/>
      <c r="O219" s="324"/>
      <c r="P219" s="256"/>
    </row>
    <row r="220">
      <c r="M220" s="324"/>
      <c r="N220" s="324"/>
      <c r="O220" s="324"/>
      <c r="P220" s="256"/>
    </row>
    <row r="221">
      <c r="M221" s="324"/>
      <c r="N221" s="324"/>
      <c r="O221" s="324"/>
      <c r="P221" s="256"/>
    </row>
    <row r="222">
      <c r="M222" s="324"/>
      <c r="N222" s="324"/>
      <c r="O222" s="324"/>
      <c r="P222" s="256"/>
    </row>
    <row r="223">
      <c r="M223" s="324"/>
      <c r="N223" s="324"/>
      <c r="O223" s="324"/>
      <c r="P223" s="256"/>
    </row>
    <row r="224">
      <c r="M224" s="324"/>
      <c r="N224" s="324"/>
      <c r="O224" s="324"/>
      <c r="P224" s="256"/>
    </row>
    <row r="225">
      <c r="M225" s="324"/>
      <c r="N225" s="324"/>
      <c r="O225" s="324"/>
      <c r="P225" s="256"/>
    </row>
    <row r="226">
      <c r="M226" s="324"/>
      <c r="N226" s="324"/>
      <c r="O226" s="324"/>
      <c r="P226" s="256"/>
    </row>
    <row r="227">
      <c r="M227" s="324"/>
      <c r="N227" s="324"/>
      <c r="O227" s="324"/>
      <c r="P227" s="256"/>
    </row>
    <row r="228">
      <c r="M228" s="324"/>
      <c r="N228" s="324"/>
      <c r="O228" s="324"/>
      <c r="P228" s="256"/>
    </row>
    <row r="229">
      <c r="M229" s="324"/>
      <c r="N229" s="324"/>
      <c r="O229" s="324"/>
      <c r="P229" s="256"/>
    </row>
    <row r="230">
      <c r="M230" s="324"/>
      <c r="N230" s="324"/>
      <c r="O230" s="324"/>
      <c r="P230" s="256"/>
    </row>
    <row r="231">
      <c r="M231" s="324"/>
      <c r="N231" s="324"/>
      <c r="O231" s="324"/>
      <c r="P231" s="256"/>
    </row>
    <row r="232">
      <c r="M232" s="324"/>
      <c r="N232" s="324"/>
      <c r="O232" s="324"/>
      <c r="P232" s="256"/>
    </row>
    <row r="233">
      <c r="M233" s="324"/>
      <c r="N233" s="324"/>
      <c r="O233" s="324"/>
      <c r="P233" s="256"/>
    </row>
    <row r="234">
      <c r="M234" s="324"/>
      <c r="N234" s="324"/>
      <c r="O234" s="324"/>
      <c r="P234" s="256"/>
    </row>
    <row r="235">
      <c r="M235" s="324"/>
      <c r="N235" s="324"/>
      <c r="O235" s="324"/>
      <c r="P235" s="256"/>
    </row>
    <row r="236">
      <c r="M236" s="324"/>
      <c r="N236" s="324"/>
      <c r="O236" s="324"/>
      <c r="P236" s="256"/>
    </row>
    <row r="237">
      <c r="M237" s="324"/>
      <c r="N237" s="324"/>
      <c r="O237" s="324"/>
      <c r="P237" s="256"/>
    </row>
    <row r="238">
      <c r="M238" s="324"/>
      <c r="N238" s="324"/>
      <c r="O238" s="324"/>
      <c r="P238" s="256"/>
    </row>
    <row r="239">
      <c r="M239" s="324"/>
      <c r="N239" s="324"/>
      <c r="O239" s="324"/>
      <c r="P239" s="256"/>
    </row>
    <row r="240">
      <c r="M240" s="324"/>
      <c r="N240" s="324"/>
      <c r="O240" s="324"/>
      <c r="P240" s="256"/>
    </row>
    <row r="241">
      <c r="M241" s="324"/>
      <c r="N241" s="324"/>
      <c r="O241" s="324"/>
      <c r="P241" s="256"/>
    </row>
    <row r="242">
      <c r="M242" s="324"/>
      <c r="N242" s="324"/>
      <c r="O242" s="324"/>
      <c r="P242" s="256"/>
    </row>
    <row r="243">
      <c r="M243" s="324"/>
      <c r="N243" s="324"/>
      <c r="O243" s="324"/>
      <c r="P243" s="256"/>
    </row>
    <row r="244">
      <c r="M244" s="324"/>
      <c r="N244" s="324"/>
      <c r="O244" s="324"/>
      <c r="P244" s="256"/>
    </row>
    <row r="245">
      <c r="M245" s="324"/>
      <c r="N245" s="324"/>
      <c r="O245" s="324"/>
      <c r="P245" s="256"/>
    </row>
    <row r="246">
      <c r="M246" s="324"/>
      <c r="N246" s="324"/>
      <c r="O246" s="324"/>
      <c r="P246" s="256"/>
    </row>
    <row r="247">
      <c r="M247" s="324"/>
      <c r="N247" s="324"/>
      <c r="O247" s="324"/>
      <c r="P247" s="256"/>
    </row>
    <row r="248">
      <c r="M248" s="324"/>
      <c r="N248" s="324"/>
      <c r="O248" s="324"/>
      <c r="P248" s="256"/>
    </row>
    <row r="249">
      <c r="M249" s="324"/>
      <c r="N249" s="324"/>
      <c r="O249" s="324"/>
      <c r="P249" s="256"/>
    </row>
    <row r="250">
      <c r="M250" s="324"/>
      <c r="N250" s="324"/>
      <c r="O250" s="324"/>
      <c r="P250" s="256"/>
    </row>
    <row r="251">
      <c r="M251" s="324"/>
      <c r="N251" s="324"/>
      <c r="O251" s="324"/>
      <c r="P251" s="256"/>
    </row>
    <row r="252">
      <c r="M252" s="324"/>
      <c r="N252" s="324"/>
      <c r="O252" s="324"/>
      <c r="P252" s="256"/>
    </row>
    <row r="253">
      <c r="M253" s="324"/>
      <c r="N253" s="324"/>
      <c r="O253" s="324"/>
      <c r="P253" s="256"/>
    </row>
    <row r="254">
      <c r="M254" s="324"/>
      <c r="N254" s="324"/>
      <c r="O254" s="324"/>
      <c r="P254" s="256"/>
    </row>
    <row r="255">
      <c r="M255" s="324"/>
      <c r="N255" s="324"/>
      <c r="O255" s="324"/>
      <c r="P255" s="256"/>
    </row>
    <row r="256">
      <c r="M256" s="324"/>
      <c r="N256" s="324"/>
      <c r="O256" s="324"/>
      <c r="P256" s="256"/>
    </row>
    <row r="257">
      <c r="M257" s="324"/>
      <c r="N257" s="324"/>
      <c r="O257" s="324"/>
      <c r="P257" s="256"/>
    </row>
    <row r="258">
      <c r="M258" s="324"/>
      <c r="N258" s="324"/>
      <c r="O258" s="324"/>
      <c r="P258" s="256"/>
    </row>
    <row r="259">
      <c r="M259" s="324"/>
      <c r="N259" s="324"/>
      <c r="O259" s="324"/>
      <c r="P259" s="256"/>
    </row>
    <row r="260">
      <c r="M260" s="324"/>
      <c r="N260" s="324"/>
      <c r="O260" s="324"/>
      <c r="P260" s="256"/>
    </row>
    <row r="261">
      <c r="M261" s="324"/>
      <c r="N261" s="324"/>
      <c r="O261" s="324"/>
      <c r="P261" s="256"/>
    </row>
    <row r="262">
      <c r="M262" s="324"/>
      <c r="N262" s="324"/>
      <c r="O262" s="324"/>
      <c r="P262" s="256"/>
    </row>
    <row r="263">
      <c r="M263" s="324"/>
      <c r="N263" s="324"/>
      <c r="O263" s="324"/>
      <c r="P263" s="256"/>
    </row>
    <row r="264">
      <c r="M264" s="324"/>
      <c r="N264" s="324"/>
      <c r="O264" s="324"/>
      <c r="P264" s="256"/>
    </row>
    <row r="265">
      <c r="M265" s="324"/>
      <c r="N265" s="324"/>
      <c r="O265" s="324"/>
      <c r="P265" s="256"/>
    </row>
    <row r="266">
      <c r="M266" s="324"/>
      <c r="N266" s="324"/>
      <c r="O266" s="324"/>
      <c r="P266" s="256"/>
    </row>
    <row r="267">
      <c r="M267" s="324"/>
      <c r="N267" s="324"/>
      <c r="O267" s="324"/>
      <c r="P267" s="256"/>
    </row>
    <row r="268">
      <c r="M268" s="324"/>
      <c r="N268" s="324"/>
      <c r="O268" s="324"/>
      <c r="P268" s="256"/>
    </row>
    <row r="269">
      <c r="M269" s="324"/>
      <c r="N269" s="324"/>
      <c r="O269" s="324"/>
      <c r="P269" s="256"/>
    </row>
    <row r="270">
      <c r="M270" s="324"/>
      <c r="N270" s="324"/>
      <c r="O270" s="324"/>
      <c r="P270" s="256"/>
    </row>
    <row r="271">
      <c r="M271" s="324"/>
      <c r="N271" s="324"/>
      <c r="O271" s="324"/>
      <c r="P271" s="256"/>
    </row>
    <row r="272">
      <c r="M272" s="324"/>
      <c r="N272" s="324"/>
      <c r="O272" s="324"/>
      <c r="P272" s="256"/>
    </row>
    <row r="273">
      <c r="M273" s="324"/>
      <c r="N273" s="324"/>
      <c r="O273" s="324"/>
      <c r="P273" s="256"/>
    </row>
    <row r="274">
      <c r="M274" s="324"/>
      <c r="N274" s="324"/>
      <c r="O274" s="324"/>
      <c r="P274" s="256"/>
    </row>
    <row r="275">
      <c r="M275" s="324"/>
      <c r="N275" s="324"/>
      <c r="O275" s="324"/>
      <c r="P275" s="256"/>
    </row>
    <row r="276">
      <c r="M276" s="324"/>
      <c r="N276" s="324"/>
      <c r="O276" s="324"/>
      <c r="P276" s="256"/>
    </row>
    <row r="277">
      <c r="M277" s="324"/>
      <c r="N277" s="324"/>
      <c r="O277" s="324"/>
      <c r="P277" s="256"/>
    </row>
    <row r="278">
      <c r="M278" s="324"/>
      <c r="N278" s="324"/>
      <c r="O278" s="324"/>
      <c r="P278" s="256"/>
    </row>
    <row r="279">
      <c r="M279" s="324"/>
      <c r="N279" s="324"/>
      <c r="O279" s="324"/>
      <c r="P279" s="256"/>
    </row>
    <row r="280">
      <c r="M280" s="324"/>
      <c r="N280" s="324"/>
      <c r="O280" s="324"/>
      <c r="P280" s="256"/>
    </row>
    <row r="281">
      <c r="M281" s="324"/>
      <c r="N281" s="324"/>
      <c r="O281" s="324"/>
      <c r="P281" s="256"/>
    </row>
    <row r="282">
      <c r="M282" s="324"/>
      <c r="N282" s="324"/>
      <c r="O282" s="324"/>
      <c r="P282" s="256"/>
    </row>
    <row r="283">
      <c r="M283" s="324"/>
      <c r="N283" s="324"/>
      <c r="O283" s="324"/>
      <c r="P283" s="256"/>
    </row>
    <row r="284">
      <c r="M284" s="324"/>
      <c r="N284" s="324"/>
      <c r="O284" s="324"/>
      <c r="P284" s="256"/>
    </row>
    <row r="285">
      <c r="M285" s="324"/>
      <c r="N285" s="324"/>
      <c r="O285" s="324"/>
      <c r="P285" s="256"/>
    </row>
    <row r="286">
      <c r="M286" s="324"/>
      <c r="N286" s="324"/>
      <c r="O286" s="324"/>
      <c r="P286" s="256"/>
    </row>
    <row r="287">
      <c r="M287" s="324"/>
      <c r="N287" s="324"/>
      <c r="O287" s="324"/>
      <c r="P287" s="256"/>
    </row>
    <row r="288">
      <c r="M288" s="324"/>
      <c r="N288" s="324"/>
      <c r="O288" s="324"/>
      <c r="P288" s="256"/>
    </row>
    <row r="289">
      <c r="M289" s="324"/>
      <c r="N289" s="324"/>
      <c r="O289" s="324"/>
      <c r="P289" s="256"/>
    </row>
    <row r="290">
      <c r="M290" s="324"/>
      <c r="N290" s="324"/>
      <c r="O290" s="324"/>
      <c r="P290" s="256"/>
    </row>
    <row r="291">
      <c r="M291" s="324"/>
      <c r="N291" s="324"/>
      <c r="O291" s="324"/>
      <c r="P291" s="256"/>
    </row>
    <row r="292">
      <c r="M292" s="324"/>
      <c r="N292" s="324"/>
      <c r="O292" s="324"/>
      <c r="P292" s="256"/>
    </row>
    <row r="293">
      <c r="M293" s="324"/>
      <c r="N293" s="324"/>
      <c r="O293" s="324"/>
      <c r="P293" s="256"/>
    </row>
    <row r="294">
      <c r="M294" s="324"/>
      <c r="N294" s="324"/>
      <c r="O294" s="324"/>
      <c r="P294" s="256"/>
    </row>
    <row r="295">
      <c r="M295" s="324"/>
      <c r="N295" s="324"/>
      <c r="O295" s="324"/>
      <c r="P295" s="256"/>
    </row>
    <row r="296">
      <c r="M296" s="324"/>
      <c r="N296" s="324"/>
      <c r="O296" s="324"/>
      <c r="P296" s="256"/>
    </row>
    <row r="297">
      <c r="M297" s="324"/>
      <c r="N297" s="324"/>
      <c r="O297" s="324"/>
      <c r="P297" s="256"/>
    </row>
    <row r="298">
      <c r="M298" s="324"/>
      <c r="N298" s="324"/>
      <c r="O298" s="324"/>
      <c r="P298" s="256"/>
    </row>
    <row r="299">
      <c r="M299" s="324"/>
      <c r="N299" s="324"/>
      <c r="O299" s="324"/>
      <c r="P299" s="256"/>
    </row>
    <row r="300">
      <c r="M300" s="324"/>
      <c r="N300" s="324"/>
      <c r="O300" s="324"/>
      <c r="P300" s="256"/>
    </row>
    <row r="301">
      <c r="M301" s="324"/>
      <c r="N301" s="324"/>
      <c r="O301" s="324"/>
      <c r="P301" s="256"/>
    </row>
    <row r="302">
      <c r="M302" s="324"/>
      <c r="N302" s="324"/>
      <c r="O302" s="324"/>
      <c r="P302" s="256"/>
    </row>
    <row r="303">
      <c r="M303" s="324"/>
      <c r="N303" s="324"/>
      <c r="O303" s="324"/>
      <c r="P303" s="256"/>
    </row>
    <row r="304">
      <c r="M304" s="324"/>
      <c r="N304" s="324"/>
      <c r="O304" s="324"/>
      <c r="P304" s="256"/>
    </row>
    <row r="305">
      <c r="M305" s="324"/>
      <c r="N305" s="324"/>
      <c r="O305" s="324"/>
      <c r="P305" s="256"/>
    </row>
    <row r="306">
      <c r="M306" s="324"/>
      <c r="N306" s="324"/>
      <c r="O306" s="324"/>
      <c r="P306" s="256"/>
    </row>
    <row r="307">
      <c r="M307" s="324"/>
      <c r="N307" s="324"/>
      <c r="O307" s="324"/>
      <c r="P307" s="256"/>
    </row>
    <row r="308">
      <c r="M308" s="324"/>
      <c r="N308" s="324"/>
      <c r="O308" s="324"/>
      <c r="P308" s="256"/>
    </row>
    <row r="309">
      <c r="M309" s="324"/>
      <c r="N309" s="324"/>
      <c r="O309" s="324"/>
      <c r="P309" s="256"/>
    </row>
    <row r="310">
      <c r="M310" s="324"/>
      <c r="N310" s="324"/>
      <c r="O310" s="324"/>
      <c r="P310" s="256"/>
    </row>
    <row r="311">
      <c r="M311" s="324"/>
      <c r="N311" s="324"/>
      <c r="O311" s="324"/>
      <c r="P311" s="256"/>
    </row>
    <row r="312">
      <c r="M312" s="324"/>
      <c r="N312" s="324"/>
      <c r="O312" s="324"/>
      <c r="P312" s="256"/>
    </row>
    <row r="313">
      <c r="M313" s="324"/>
      <c r="N313" s="324"/>
      <c r="O313" s="324"/>
      <c r="P313" s="256"/>
    </row>
    <row r="314">
      <c r="M314" s="324"/>
      <c r="N314" s="324"/>
      <c r="O314" s="324"/>
      <c r="P314" s="256"/>
    </row>
    <row r="315">
      <c r="M315" s="324"/>
      <c r="N315" s="324"/>
      <c r="O315" s="324"/>
      <c r="P315" s="256"/>
    </row>
    <row r="316">
      <c r="M316" s="324"/>
      <c r="N316" s="324"/>
      <c r="O316" s="324"/>
      <c r="P316" s="256"/>
    </row>
    <row r="317">
      <c r="M317" s="324"/>
      <c r="N317" s="324"/>
      <c r="O317" s="324"/>
      <c r="P317" s="256"/>
    </row>
    <row r="318">
      <c r="M318" s="324"/>
      <c r="N318" s="324"/>
      <c r="O318" s="324"/>
      <c r="P318" s="256"/>
    </row>
    <row r="319">
      <c r="M319" s="324"/>
      <c r="N319" s="324"/>
      <c r="O319" s="324"/>
      <c r="P319" s="256"/>
    </row>
    <row r="320">
      <c r="M320" s="324"/>
      <c r="N320" s="324"/>
      <c r="O320" s="324"/>
      <c r="P320" s="256"/>
    </row>
    <row r="321">
      <c r="M321" s="324"/>
      <c r="N321" s="324"/>
      <c r="O321" s="324"/>
      <c r="P321" s="256"/>
    </row>
    <row r="322">
      <c r="M322" s="324"/>
      <c r="N322" s="324"/>
      <c r="O322" s="324"/>
      <c r="P322" s="256"/>
    </row>
    <row r="323">
      <c r="M323" s="324"/>
      <c r="N323" s="324"/>
      <c r="O323" s="324"/>
      <c r="P323" s="256"/>
    </row>
    <row r="324">
      <c r="M324" s="324"/>
      <c r="N324" s="324"/>
      <c r="O324" s="324"/>
      <c r="P324" s="256"/>
    </row>
    <row r="325">
      <c r="M325" s="324"/>
      <c r="N325" s="324"/>
      <c r="O325" s="324"/>
      <c r="P325" s="256"/>
    </row>
    <row r="326">
      <c r="M326" s="324"/>
      <c r="N326" s="324"/>
      <c r="O326" s="324"/>
      <c r="P326" s="256"/>
    </row>
    <row r="327">
      <c r="M327" s="324"/>
      <c r="N327" s="324"/>
      <c r="O327" s="324"/>
      <c r="P327" s="256"/>
    </row>
    <row r="328">
      <c r="M328" s="324"/>
      <c r="N328" s="324"/>
      <c r="O328" s="324"/>
      <c r="P328" s="256"/>
    </row>
    <row r="329">
      <c r="M329" s="324"/>
      <c r="N329" s="324"/>
      <c r="O329" s="324"/>
      <c r="P329" s="256"/>
    </row>
    <row r="330">
      <c r="M330" s="324"/>
      <c r="N330" s="324"/>
      <c r="O330" s="324"/>
      <c r="P330" s="256"/>
    </row>
    <row r="331">
      <c r="M331" s="324"/>
      <c r="N331" s="324"/>
      <c r="O331" s="324"/>
      <c r="P331" s="256"/>
    </row>
    <row r="332">
      <c r="M332" s="324"/>
      <c r="N332" s="324"/>
      <c r="O332" s="324"/>
      <c r="P332" s="256"/>
    </row>
    <row r="333">
      <c r="M333" s="324"/>
      <c r="N333" s="324"/>
      <c r="O333" s="324"/>
      <c r="P333" s="256"/>
    </row>
    <row r="334">
      <c r="M334" s="324"/>
      <c r="N334" s="324"/>
      <c r="O334" s="324"/>
      <c r="P334" s="256"/>
    </row>
    <row r="335">
      <c r="M335" s="324"/>
      <c r="N335" s="324"/>
      <c r="O335" s="324"/>
      <c r="P335" s="256"/>
    </row>
    <row r="336">
      <c r="M336" s="324"/>
      <c r="N336" s="324"/>
      <c r="O336" s="324"/>
      <c r="P336" s="256"/>
    </row>
    <row r="337">
      <c r="M337" s="324"/>
      <c r="N337" s="324"/>
      <c r="O337" s="324"/>
      <c r="P337" s="256"/>
    </row>
    <row r="338">
      <c r="M338" s="324"/>
      <c r="N338" s="324"/>
      <c r="O338" s="324"/>
      <c r="P338" s="256"/>
    </row>
    <row r="339">
      <c r="M339" s="324"/>
      <c r="N339" s="324"/>
      <c r="O339" s="324"/>
      <c r="P339" s="256"/>
    </row>
    <row r="340">
      <c r="M340" s="324"/>
      <c r="N340" s="324"/>
      <c r="O340" s="324"/>
      <c r="P340" s="256"/>
    </row>
    <row r="341">
      <c r="M341" s="324"/>
      <c r="N341" s="324"/>
      <c r="O341" s="324"/>
      <c r="P341" s="256"/>
    </row>
    <row r="342">
      <c r="M342" s="324"/>
      <c r="N342" s="324"/>
      <c r="O342" s="324"/>
      <c r="P342" s="256"/>
    </row>
    <row r="343">
      <c r="M343" s="324"/>
      <c r="N343" s="324"/>
      <c r="O343" s="324"/>
      <c r="P343" s="256"/>
    </row>
    <row r="344">
      <c r="M344" s="324"/>
      <c r="N344" s="324"/>
      <c r="O344" s="324"/>
      <c r="P344" s="256"/>
    </row>
    <row r="345">
      <c r="M345" s="324"/>
      <c r="N345" s="324"/>
      <c r="O345" s="324"/>
      <c r="P345" s="256"/>
    </row>
    <row r="346">
      <c r="M346" s="324"/>
      <c r="N346" s="324"/>
      <c r="O346" s="324"/>
      <c r="P346" s="256"/>
    </row>
    <row r="347">
      <c r="M347" s="324"/>
      <c r="N347" s="324"/>
      <c r="O347" s="324"/>
      <c r="P347" s="256"/>
    </row>
    <row r="348">
      <c r="M348" s="324"/>
      <c r="N348" s="324"/>
      <c r="O348" s="324"/>
      <c r="P348" s="256"/>
    </row>
    <row r="349">
      <c r="M349" s="324"/>
      <c r="N349" s="324"/>
      <c r="O349" s="324"/>
      <c r="P349" s="256"/>
    </row>
    <row r="350">
      <c r="M350" s="324"/>
      <c r="N350" s="324"/>
      <c r="O350" s="324"/>
      <c r="P350" s="256"/>
    </row>
    <row r="351">
      <c r="M351" s="324"/>
      <c r="N351" s="324"/>
      <c r="O351" s="324"/>
      <c r="P351" s="256"/>
    </row>
    <row r="352">
      <c r="M352" s="324"/>
      <c r="N352" s="324"/>
      <c r="O352" s="324"/>
      <c r="P352" s="256"/>
    </row>
    <row r="353">
      <c r="M353" s="324"/>
      <c r="N353" s="324"/>
      <c r="O353" s="324"/>
      <c r="P353" s="256"/>
    </row>
    <row r="354">
      <c r="M354" s="324"/>
      <c r="N354" s="324"/>
      <c r="O354" s="324"/>
      <c r="P354" s="256"/>
    </row>
    <row r="355">
      <c r="M355" s="324"/>
      <c r="N355" s="324"/>
      <c r="O355" s="324"/>
      <c r="P355" s="256"/>
    </row>
    <row r="356">
      <c r="M356" s="324"/>
      <c r="N356" s="324"/>
      <c r="O356" s="324"/>
      <c r="P356" s="256"/>
    </row>
    <row r="357">
      <c r="M357" s="324"/>
      <c r="N357" s="324"/>
      <c r="O357" s="324"/>
      <c r="P357" s="256"/>
    </row>
    <row r="358">
      <c r="M358" s="324"/>
      <c r="N358" s="324"/>
      <c r="O358" s="324"/>
      <c r="P358" s="256"/>
    </row>
    <row r="359">
      <c r="M359" s="324"/>
      <c r="N359" s="324"/>
      <c r="O359" s="324"/>
      <c r="P359" s="256"/>
    </row>
    <row r="360">
      <c r="M360" s="324"/>
      <c r="N360" s="324"/>
      <c r="O360" s="324"/>
      <c r="P360" s="256"/>
    </row>
    <row r="361">
      <c r="M361" s="324"/>
      <c r="N361" s="324"/>
      <c r="O361" s="324"/>
      <c r="P361" s="256"/>
    </row>
    <row r="362">
      <c r="M362" s="324"/>
      <c r="N362" s="324"/>
      <c r="O362" s="324"/>
      <c r="P362" s="256"/>
    </row>
    <row r="363">
      <c r="M363" s="324"/>
      <c r="N363" s="324"/>
      <c r="O363" s="324"/>
      <c r="P363" s="256"/>
    </row>
    <row r="364">
      <c r="M364" s="324"/>
      <c r="N364" s="324"/>
      <c r="O364" s="324"/>
      <c r="P364" s="256"/>
    </row>
    <row r="365">
      <c r="M365" s="324"/>
      <c r="N365" s="324"/>
      <c r="O365" s="324"/>
      <c r="P365" s="256"/>
    </row>
    <row r="366">
      <c r="M366" s="324"/>
      <c r="N366" s="324"/>
      <c r="O366" s="324"/>
      <c r="P366" s="256"/>
    </row>
    <row r="367">
      <c r="M367" s="324"/>
      <c r="N367" s="324"/>
      <c r="O367" s="324"/>
      <c r="P367" s="256"/>
    </row>
    <row r="368">
      <c r="M368" s="324"/>
      <c r="N368" s="324"/>
      <c r="O368" s="324"/>
      <c r="P368" s="256"/>
    </row>
    <row r="369">
      <c r="M369" s="324"/>
      <c r="N369" s="324"/>
      <c r="O369" s="324"/>
      <c r="P369" s="256"/>
    </row>
    <row r="370">
      <c r="M370" s="324"/>
      <c r="N370" s="324"/>
      <c r="O370" s="324"/>
      <c r="P370" s="256"/>
    </row>
    <row r="371">
      <c r="M371" s="324"/>
      <c r="N371" s="324"/>
      <c r="O371" s="324"/>
      <c r="P371" s="256"/>
    </row>
    <row r="372">
      <c r="M372" s="324"/>
      <c r="N372" s="324"/>
      <c r="O372" s="324"/>
      <c r="P372" s="256"/>
    </row>
    <row r="373">
      <c r="M373" s="324"/>
      <c r="N373" s="324"/>
      <c r="O373" s="324"/>
      <c r="P373" s="256"/>
    </row>
    <row r="374">
      <c r="M374" s="324"/>
      <c r="N374" s="324"/>
      <c r="O374" s="324"/>
      <c r="P374" s="256"/>
    </row>
    <row r="375">
      <c r="M375" s="324"/>
      <c r="N375" s="324"/>
      <c r="O375" s="324"/>
      <c r="P375" s="256"/>
    </row>
    <row r="376">
      <c r="M376" s="324"/>
      <c r="N376" s="324"/>
      <c r="O376" s="324"/>
      <c r="P376" s="256"/>
    </row>
    <row r="377">
      <c r="M377" s="324"/>
      <c r="N377" s="324"/>
      <c r="O377" s="324"/>
      <c r="P377" s="256"/>
    </row>
    <row r="378">
      <c r="M378" s="324"/>
      <c r="N378" s="324"/>
      <c r="O378" s="324"/>
      <c r="P378" s="256"/>
    </row>
    <row r="379">
      <c r="M379" s="324"/>
      <c r="N379" s="324"/>
      <c r="O379" s="324"/>
      <c r="P379" s="256"/>
    </row>
    <row r="380">
      <c r="M380" s="324"/>
      <c r="N380" s="324"/>
      <c r="O380" s="324"/>
      <c r="P380" s="256"/>
    </row>
    <row r="381">
      <c r="M381" s="324"/>
      <c r="N381" s="324"/>
      <c r="O381" s="324"/>
      <c r="P381" s="256"/>
    </row>
    <row r="382">
      <c r="M382" s="324"/>
      <c r="N382" s="324"/>
      <c r="O382" s="324"/>
      <c r="P382" s="256"/>
    </row>
    <row r="383">
      <c r="M383" s="324"/>
      <c r="N383" s="324"/>
      <c r="O383" s="324"/>
      <c r="P383" s="256"/>
    </row>
    <row r="384">
      <c r="M384" s="324"/>
      <c r="N384" s="324"/>
      <c r="O384" s="324"/>
      <c r="P384" s="256"/>
    </row>
    <row r="385">
      <c r="M385" s="324"/>
      <c r="N385" s="324"/>
      <c r="O385" s="324"/>
      <c r="P385" s="256"/>
    </row>
    <row r="386">
      <c r="M386" s="324"/>
      <c r="N386" s="324"/>
      <c r="O386" s="324"/>
      <c r="P386" s="256"/>
    </row>
    <row r="387">
      <c r="M387" s="324"/>
      <c r="N387" s="324"/>
      <c r="O387" s="324"/>
      <c r="P387" s="256"/>
    </row>
    <row r="388">
      <c r="M388" s="324"/>
      <c r="N388" s="324"/>
      <c r="O388" s="324"/>
      <c r="P388" s="256"/>
    </row>
    <row r="389">
      <c r="M389" s="324"/>
      <c r="N389" s="324"/>
      <c r="O389" s="324"/>
      <c r="P389" s="256"/>
    </row>
    <row r="390">
      <c r="M390" s="324"/>
      <c r="N390" s="324"/>
      <c r="O390" s="324"/>
      <c r="P390" s="256"/>
    </row>
    <row r="391">
      <c r="M391" s="324"/>
      <c r="N391" s="324"/>
      <c r="O391" s="324"/>
      <c r="P391" s="256"/>
    </row>
    <row r="392">
      <c r="M392" s="324"/>
      <c r="N392" s="324"/>
      <c r="O392" s="324"/>
      <c r="P392" s="256"/>
    </row>
    <row r="393">
      <c r="M393" s="324"/>
      <c r="N393" s="324"/>
      <c r="O393" s="324"/>
      <c r="P393" s="256"/>
    </row>
    <row r="394">
      <c r="M394" s="324"/>
      <c r="N394" s="324"/>
      <c r="O394" s="324"/>
      <c r="P394" s="256"/>
    </row>
    <row r="395">
      <c r="M395" s="324"/>
      <c r="N395" s="324"/>
      <c r="O395" s="324"/>
      <c r="P395" s="256"/>
    </row>
    <row r="396">
      <c r="M396" s="324"/>
      <c r="N396" s="324"/>
      <c r="O396" s="324"/>
      <c r="P396" s="256"/>
    </row>
    <row r="397">
      <c r="M397" s="324"/>
      <c r="N397" s="324"/>
      <c r="O397" s="324"/>
      <c r="P397" s="256"/>
    </row>
    <row r="398">
      <c r="M398" s="324"/>
      <c r="N398" s="324"/>
      <c r="O398" s="324"/>
      <c r="P398" s="256"/>
    </row>
    <row r="399">
      <c r="M399" s="324"/>
      <c r="N399" s="324"/>
      <c r="O399" s="324"/>
      <c r="P399" s="256"/>
    </row>
    <row r="400">
      <c r="M400" s="324"/>
      <c r="N400" s="324"/>
      <c r="O400" s="324"/>
      <c r="P400" s="256"/>
    </row>
    <row r="401">
      <c r="M401" s="324"/>
      <c r="N401" s="324"/>
      <c r="O401" s="324"/>
      <c r="P401" s="256"/>
    </row>
    <row r="402">
      <c r="M402" s="324"/>
      <c r="N402" s="324"/>
      <c r="O402" s="324"/>
      <c r="P402" s="256"/>
    </row>
    <row r="403">
      <c r="M403" s="324"/>
      <c r="N403" s="324"/>
      <c r="O403" s="324"/>
      <c r="P403" s="256"/>
    </row>
    <row r="404">
      <c r="M404" s="324"/>
      <c r="N404" s="324"/>
      <c r="O404" s="324"/>
      <c r="P404" s="256"/>
    </row>
    <row r="405">
      <c r="M405" s="324"/>
      <c r="N405" s="324"/>
      <c r="O405" s="324"/>
      <c r="P405" s="256"/>
    </row>
    <row r="406">
      <c r="M406" s="324"/>
      <c r="N406" s="324"/>
      <c r="O406" s="324"/>
      <c r="P406" s="256"/>
    </row>
    <row r="407">
      <c r="M407" s="324"/>
      <c r="N407" s="324"/>
      <c r="O407" s="324"/>
      <c r="P407" s="256"/>
    </row>
    <row r="408">
      <c r="M408" s="324"/>
      <c r="N408" s="324"/>
      <c r="O408" s="324"/>
      <c r="P408" s="256"/>
    </row>
    <row r="409">
      <c r="M409" s="324"/>
      <c r="N409" s="324"/>
      <c r="O409" s="324"/>
      <c r="P409" s="256"/>
    </row>
    <row r="410">
      <c r="M410" s="324"/>
      <c r="N410" s="324"/>
      <c r="O410" s="324"/>
      <c r="P410" s="256"/>
    </row>
    <row r="411">
      <c r="M411" s="324"/>
      <c r="N411" s="324"/>
      <c r="O411" s="324"/>
      <c r="P411" s="256"/>
    </row>
    <row r="412">
      <c r="M412" s="324"/>
      <c r="N412" s="324"/>
      <c r="O412" s="324"/>
      <c r="P412" s="256"/>
    </row>
    <row r="413">
      <c r="M413" s="324"/>
      <c r="N413" s="324"/>
      <c r="O413" s="324"/>
      <c r="P413" s="256"/>
    </row>
    <row r="414">
      <c r="M414" s="324"/>
      <c r="N414" s="324"/>
      <c r="O414" s="324"/>
      <c r="P414" s="256"/>
    </row>
    <row r="415">
      <c r="M415" s="324"/>
      <c r="N415" s="324"/>
      <c r="O415" s="324"/>
      <c r="P415" s="256"/>
    </row>
    <row r="416">
      <c r="M416" s="324"/>
      <c r="N416" s="324"/>
      <c r="O416" s="324"/>
      <c r="P416" s="256"/>
    </row>
    <row r="417">
      <c r="M417" s="324"/>
      <c r="N417" s="324"/>
      <c r="O417" s="324"/>
      <c r="P417" s="256"/>
    </row>
    <row r="418">
      <c r="M418" s="324"/>
      <c r="N418" s="324"/>
      <c r="O418" s="324"/>
      <c r="P418" s="256"/>
    </row>
    <row r="419">
      <c r="M419" s="324"/>
      <c r="N419" s="324"/>
      <c r="O419" s="324"/>
      <c r="P419" s="256"/>
    </row>
    <row r="420">
      <c r="M420" s="324"/>
      <c r="N420" s="324"/>
      <c r="O420" s="324"/>
      <c r="P420" s="256"/>
    </row>
    <row r="421">
      <c r="M421" s="324"/>
      <c r="N421" s="324"/>
      <c r="O421" s="324"/>
      <c r="P421" s="256"/>
    </row>
    <row r="422">
      <c r="M422" s="324"/>
      <c r="N422" s="324"/>
      <c r="O422" s="324"/>
      <c r="P422" s="256"/>
    </row>
    <row r="423">
      <c r="M423" s="324"/>
      <c r="N423" s="324"/>
      <c r="O423" s="324"/>
      <c r="P423" s="256"/>
    </row>
    <row r="424">
      <c r="M424" s="324"/>
      <c r="N424" s="324"/>
      <c r="O424" s="324"/>
      <c r="P424" s="256"/>
    </row>
    <row r="425">
      <c r="M425" s="324"/>
      <c r="N425" s="324"/>
      <c r="O425" s="324"/>
      <c r="P425" s="256"/>
    </row>
    <row r="426">
      <c r="M426" s="324"/>
      <c r="N426" s="324"/>
      <c r="O426" s="324"/>
      <c r="P426" s="256"/>
    </row>
    <row r="427">
      <c r="M427" s="324"/>
      <c r="N427" s="324"/>
      <c r="O427" s="324"/>
      <c r="P427" s="256"/>
    </row>
    <row r="428">
      <c r="M428" s="324"/>
      <c r="N428" s="324"/>
      <c r="O428" s="324"/>
      <c r="P428" s="256"/>
    </row>
    <row r="429">
      <c r="M429" s="324"/>
      <c r="N429" s="324"/>
      <c r="O429" s="324"/>
      <c r="P429" s="256"/>
    </row>
    <row r="430">
      <c r="M430" s="324"/>
      <c r="N430" s="324"/>
      <c r="O430" s="324"/>
      <c r="P430" s="256"/>
    </row>
    <row r="431">
      <c r="M431" s="324"/>
      <c r="N431" s="324"/>
      <c r="O431" s="324"/>
      <c r="P431" s="256"/>
    </row>
    <row r="432">
      <c r="M432" s="324"/>
      <c r="N432" s="324"/>
      <c r="O432" s="324"/>
      <c r="P432" s="256"/>
    </row>
    <row r="433">
      <c r="M433" s="324"/>
      <c r="N433" s="324"/>
      <c r="O433" s="324"/>
      <c r="P433" s="256"/>
    </row>
    <row r="434">
      <c r="M434" s="324"/>
      <c r="N434" s="324"/>
      <c r="O434" s="324"/>
      <c r="P434" s="256"/>
    </row>
    <row r="435">
      <c r="M435" s="324"/>
      <c r="N435" s="324"/>
      <c r="O435" s="324"/>
      <c r="P435" s="256"/>
    </row>
    <row r="436">
      <c r="M436" s="324"/>
      <c r="N436" s="324"/>
      <c r="O436" s="324"/>
      <c r="P436" s="256"/>
    </row>
    <row r="437">
      <c r="M437" s="324"/>
      <c r="N437" s="324"/>
      <c r="O437" s="324"/>
      <c r="P437" s="256"/>
    </row>
    <row r="438">
      <c r="M438" s="324"/>
      <c r="N438" s="324"/>
      <c r="O438" s="324"/>
      <c r="P438" s="256"/>
    </row>
    <row r="439">
      <c r="M439" s="324"/>
      <c r="N439" s="324"/>
      <c r="O439" s="324"/>
      <c r="P439" s="256"/>
    </row>
    <row r="440">
      <c r="M440" s="324"/>
      <c r="N440" s="324"/>
      <c r="O440" s="324"/>
      <c r="P440" s="256"/>
    </row>
    <row r="441">
      <c r="M441" s="324"/>
      <c r="N441" s="324"/>
      <c r="O441" s="324"/>
      <c r="P441" s="256"/>
    </row>
    <row r="442">
      <c r="M442" s="324"/>
      <c r="N442" s="324"/>
      <c r="O442" s="324"/>
      <c r="P442" s="256"/>
    </row>
    <row r="443">
      <c r="M443" s="324"/>
      <c r="N443" s="324"/>
      <c r="O443" s="324"/>
      <c r="P443" s="256"/>
    </row>
    <row r="444">
      <c r="M444" s="324"/>
      <c r="N444" s="324"/>
      <c r="O444" s="324"/>
      <c r="P444" s="256"/>
    </row>
    <row r="445">
      <c r="M445" s="324"/>
      <c r="N445" s="324"/>
      <c r="O445" s="324"/>
      <c r="P445" s="256"/>
    </row>
    <row r="446">
      <c r="M446" s="324"/>
      <c r="N446" s="324"/>
      <c r="O446" s="324"/>
      <c r="P446" s="256"/>
    </row>
    <row r="447">
      <c r="M447" s="324"/>
      <c r="N447" s="324"/>
      <c r="O447" s="324"/>
      <c r="P447" s="256"/>
    </row>
    <row r="448">
      <c r="M448" s="324"/>
      <c r="N448" s="324"/>
      <c r="O448" s="324"/>
      <c r="P448" s="256"/>
    </row>
    <row r="449">
      <c r="M449" s="324"/>
      <c r="N449" s="324"/>
      <c r="O449" s="324"/>
      <c r="P449" s="256"/>
    </row>
    <row r="450">
      <c r="M450" s="324"/>
      <c r="N450" s="324"/>
      <c r="O450" s="324"/>
      <c r="P450" s="256"/>
    </row>
    <row r="451">
      <c r="M451" s="324"/>
      <c r="N451" s="324"/>
      <c r="O451" s="324"/>
      <c r="P451" s="256"/>
    </row>
    <row r="452">
      <c r="M452" s="324"/>
      <c r="N452" s="324"/>
      <c r="O452" s="324"/>
      <c r="P452" s="256"/>
    </row>
    <row r="453">
      <c r="M453" s="324"/>
      <c r="N453" s="324"/>
      <c r="O453" s="324"/>
      <c r="P453" s="256"/>
    </row>
    <row r="454">
      <c r="M454" s="324"/>
      <c r="N454" s="324"/>
      <c r="O454" s="324"/>
      <c r="P454" s="256"/>
    </row>
    <row r="455">
      <c r="M455" s="324"/>
      <c r="N455" s="324"/>
      <c r="O455" s="324"/>
      <c r="P455" s="256"/>
    </row>
    <row r="456">
      <c r="M456" s="324"/>
      <c r="N456" s="324"/>
      <c r="O456" s="324"/>
      <c r="P456" s="256"/>
    </row>
    <row r="457">
      <c r="M457" s="324"/>
      <c r="N457" s="324"/>
      <c r="O457" s="324"/>
      <c r="P457" s="256"/>
    </row>
    <row r="458">
      <c r="M458" s="324"/>
      <c r="N458" s="324"/>
      <c r="O458" s="324"/>
      <c r="P458" s="256"/>
    </row>
    <row r="459">
      <c r="M459" s="324"/>
      <c r="N459" s="324"/>
      <c r="O459" s="324"/>
      <c r="P459" s="256"/>
    </row>
    <row r="460">
      <c r="M460" s="324"/>
      <c r="N460" s="324"/>
      <c r="O460" s="324"/>
      <c r="P460" s="256"/>
    </row>
    <row r="461">
      <c r="M461" s="324"/>
      <c r="N461" s="324"/>
      <c r="O461" s="324"/>
      <c r="P461" s="256"/>
    </row>
    <row r="462">
      <c r="M462" s="324"/>
      <c r="N462" s="324"/>
      <c r="O462" s="324"/>
      <c r="P462" s="256"/>
    </row>
    <row r="463">
      <c r="M463" s="324"/>
      <c r="N463" s="324"/>
      <c r="O463" s="324"/>
      <c r="P463" s="256"/>
    </row>
    <row r="464">
      <c r="M464" s="324"/>
      <c r="N464" s="324"/>
      <c r="O464" s="324"/>
      <c r="P464" s="256"/>
    </row>
    <row r="465">
      <c r="M465" s="324"/>
      <c r="N465" s="324"/>
      <c r="O465" s="324"/>
      <c r="P465" s="256"/>
    </row>
    <row r="466">
      <c r="M466" s="324"/>
      <c r="N466" s="324"/>
      <c r="O466" s="324"/>
      <c r="P466" s="256"/>
    </row>
    <row r="467">
      <c r="M467" s="324"/>
      <c r="N467" s="324"/>
      <c r="O467" s="324"/>
      <c r="P467" s="256"/>
    </row>
    <row r="468">
      <c r="M468" s="324"/>
      <c r="N468" s="324"/>
      <c r="O468" s="324"/>
      <c r="P468" s="256"/>
    </row>
    <row r="469">
      <c r="M469" s="324"/>
      <c r="N469" s="324"/>
      <c r="O469" s="324"/>
      <c r="P469" s="256"/>
    </row>
    <row r="470">
      <c r="M470" s="324"/>
      <c r="N470" s="324"/>
      <c r="O470" s="324"/>
      <c r="P470" s="256"/>
    </row>
    <row r="471">
      <c r="M471" s="324"/>
      <c r="N471" s="324"/>
      <c r="O471" s="324"/>
      <c r="P471" s="256"/>
    </row>
    <row r="472">
      <c r="M472" s="324"/>
      <c r="N472" s="324"/>
      <c r="O472" s="324"/>
      <c r="P472" s="256"/>
    </row>
    <row r="473">
      <c r="M473" s="324"/>
      <c r="N473" s="324"/>
      <c r="O473" s="324"/>
      <c r="P473" s="256"/>
    </row>
    <row r="474">
      <c r="M474" s="324"/>
      <c r="N474" s="324"/>
      <c r="O474" s="324"/>
      <c r="P474" s="256"/>
    </row>
    <row r="475">
      <c r="M475" s="324"/>
      <c r="N475" s="324"/>
      <c r="O475" s="324"/>
      <c r="P475" s="256"/>
    </row>
    <row r="476">
      <c r="M476" s="324"/>
      <c r="N476" s="324"/>
      <c r="O476" s="324"/>
      <c r="P476" s="256"/>
    </row>
    <row r="477">
      <c r="M477" s="324"/>
      <c r="N477" s="324"/>
      <c r="O477" s="324"/>
      <c r="P477" s="256"/>
    </row>
    <row r="478">
      <c r="M478" s="324"/>
      <c r="N478" s="324"/>
      <c r="O478" s="324"/>
      <c r="P478" s="256"/>
    </row>
    <row r="479">
      <c r="M479" s="324"/>
      <c r="N479" s="324"/>
      <c r="O479" s="324"/>
      <c r="P479" s="256"/>
    </row>
    <row r="480">
      <c r="M480" s="324"/>
      <c r="N480" s="324"/>
      <c r="O480" s="324"/>
      <c r="P480" s="256"/>
    </row>
    <row r="481">
      <c r="M481" s="324"/>
      <c r="N481" s="324"/>
      <c r="O481" s="324"/>
      <c r="P481" s="256"/>
    </row>
    <row r="482">
      <c r="M482" s="324"/>
      <c r="N482" s="324"/>
      <c r="O482" s="324"/>
      <c r="P482" s="256"/>
    </row>
    <row r="483">
      <c r="M483" s="324"/>
      <c r="N483" s="324"/>
      <c r="O483" s="324"/>
      <c r="P483" s="256"/>
    </row>
    <row r="484">
      <c r="M484" s="324"/>
      <c r="N484" s="324"/>
      <c r="O484" s="324"/>
      <c r="P484" s="256"/>
    </row>
    <row r="485">
      <c r="M485" s="324"/>
      <c r="N485" s="324"/>
      <c r="O485" s="324"/>
      <c r="P485" s="256"/>
    </row>
    <row r="486">
      <c r="M486" s="324"/>
      <c r="N486" s="324"/>
      <c r="O486" s="324"/>
      <c r="P486" s="256"/>
    </row>
    <row r="487">
      <c r="M487" s="324"/>
      <c r="N487" s="324"/>
      <c r="O487" s="324"/>
      <c r="P487" s="256"/>
    </row>
    <row r="488">
      <c r="M488" s="324"/>
      <c r="N488" s="324"/>
      <c r="O488" s="324"/>
      <c r="P488" s="256"/>
    </row>
    <row r="489">
      <c r="M489" s="324"/>
      <c r="N489" s="324"/>
      <c r="O489" s="324"/>
      <c r="P489" s="256"/>
    </row>
    <row r="490">
      <c r="M490" s="324"/>
      <c r="N490" s="324"/>
      <c r="O490" s="324"/>
      <c r="P490" s="256"/>
    </row>
    <row r="491">
      <c r="M491" s="324"/>
      <c r="N491" s="324"/>
      <c r="O491" s="324"/>
      <c r="P491" s="256"/>
    </row>
    <row r="492">
      <c r="M492" s="324"/>
      <c r="N492" s="324"/>
      <c r="O492" s="324"/>
      <c r="P492" s="256"/>
    </row>
    <row r="493">
      <c r="M493" s="324"/>
      <c r="N493" s="324"/>
      <c r="O493" s="324"/>
      <c r="P493" s="256"/>
    </row>
    <row r="494">
      <c r="M494" s="324"/>
      <c r="N494" s="324"/>
      <c r="O494" s="324"/>
      <c r="P494" s="256"/>
    </row>
    <row r="495">
      <c r="M495" s="324"/>
      <c r="N495" s="324"/>
      <c r="O495" s="324"/>
      <c r="P495" s="256"/>
    </row>
    <row r="496">
      <c r="M496" s="324"/>
      <c r="N496" s="324"/>
      <c r="O496" s="324"/>
      <c r="P496" s="256"/>
    </row>
    <row r="497">
      <c r="M497" s="324"/>
      <c r="N497" s="324"/>
      <c r="O497" s="324"/>
      <c r="P497" s="256"/>
    </row>
    <row r="498">
      <c r="M498" s="324"/>
      <c r="N498" s="324"/>
      <c r="O498" s="324"/>
      <c r="P498" s="256"/>
    </row>
    <row r="499">
      <c r="M499" s="324"/>
      <c r="N499" s="324"/>
      <c r="O499" s="324"/>
      <c r="P499" s="256"/>
    </row>
    <row r="500">
      <c r="M500" s="324"/>
      <c r="N500" s="324"/>
      <c r="O500" s="324"/>
      <c r="P500" s="256"/>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33.38"/>
    <col customWidth="1" min="3" max="3" width="17.75"/>
    <col customWidth="1" min="4" max="4" width="14.25"/>
    <col customWidth="1" min="6" max="6" width="18.5"/>
    <col customWidth="1" min="7" max="7" width="58.38"/>
    <col customWidth="1" min="8" max="8" width="6.0"/>
    <col customWidth="1" min="9" max="9" width="6.75"/>
    <col customWidth="1" min="10" max="10" width="14.38"/>
    <col customWidth="1" min="11" max="11" width="10.0"/>
  </cols>
  <sheetData>
    <row r="1">
      <c r="A1" s="80" t="s">
        <v>467</v>
      </c>
      <c r="B1" s="39" t="s">
        <v>468</v>
      </c>
      <c r="C1" s="39" t="s">
        <v>469</v>
      </c>
      <c r="D1" s="80" t="s">
        <v>470</v>
      </c>
      <c r="E1" s="80" t="s">
        <v>471</v>
      </c>
      <c r="F1" s="80" t="s">
        <v>472</v>
      </c>
      <c r="G1" s="80" t="s">
        <v>473</v>
      </c>
      <c r="H1" s="330">
        <f>IFERROR(__xludf.DUMMYFUNCTION("IF(MAX(H2:H91)=COUNTUNIQUE(H2:H91),MAX(H2:H91)+1,""ERROR"")"),27.0)</f>
        <v>27</v>
      </c>
      <c r="I1" s="70" t="s">
        <v>474</v>
      </c>
      <c r="J1" s="2" t="s">
        <v>475</v>
      </c>
      <c r="K1" s="2" t="s">
        <v>476</v>
      </c>
      <c r="L1" s="331" t="s">
        <v>477</v>
      </c>
    </row>
    <row r="2">
      <c r="A2" s="332" t="s">
        <v>478</v>
      </c>
      <c r="B2" s="251" t="str">
        <f>VLOOKUP(A2,'ALL Tube Results'!A$2:B91,2,FALSE)</f>
        <v>RUN-BEND_2021-12-31_RFR-007</v>
      </c>
      <c r="C2" s="6" t="s">
        <v>479</v>
      </c>
      <c r="D2" s="333">
        <v>1.0</v>
      </c>
      <c r="E2" s="334">
        <v>7.9</v>
      </c>
      <c r="F2" s="333">
        <v>3.0</v>
      </c>
      <c r="G2" s="86" t="s">
        <v>480</v>
      </c>
      <c r="H2" s="259"/>
      <c r="I2" s="335">
        <f t="shared" ref="I2:I86" si="1">VALUE(MID(C2,8,3))</f>
        <v>7</v>
      </c>
      <c r="J2" s="257" t="str">
        <f t="shared" ref="J2:J51" si="2">IF(C2&lt;&gt;C1,C2,"")</f>
        <v>R_BEND-007</v>
      </c>
      <c r="K2" s="90">
        <f t="shared" ref="K2:K86" si="3">COUNTIF($C$2:$C91,$J2)</f>
        <v>2</v>
      </c>
      <c r="M2" s="336"/>
      <c r="N2" s="57"/>
    </row>
    <row r="3">
      <c r="A3" s="86" t="s">
        <v>481</v>
      </c>
      <c r="B3" s="251" t="str">
        <f>VLOOKUP(A3,'ALL Tube Results'!A$2:B91,2,FALSE)</f>
        <v>RUN-BEND_2021-12-31_RFR-007</v>
      </c>
      <c r="C3" s="6" t="s">
        <v>479</v>
      </c>
      <c r="D3" s="333">
        <v>1.0</v>
      </c>
      <c r="E3" s="334">
        <v>7.9</v>
      </c>
      <c r="F3" s="333">
        <v>3.0</v>
      </c>
      <c r="G3" s="86" t="s">
        <v>480</v>
      </c>
      <c r="H3" s="259"/>
      <c r="I3" s="335">
        <f t="shared" si="1"/>
        <v>7</v>
      </c>
      <c r="J3" s="257" t="str">
        <f t="shared" si="2"/>
        <v/>
      </c>
      <c r="K3" s="90">
        <f t="shared" si="3"/>
        <v>0</v>
      </c>
      <c r="M3" s="336"/>
      <c r="N3" s="57"/>
    </row>
    <row r="4">
      <c r="A4" s="337" t="s">
        <v>482</v>
      </c>
      <c r="B4" s="251" t="str">
        <f>VLOOKUP(A4,'ALL Tube Results'!A$2:B91,2,FALSE)</f>
        <v>RUN-BEND_2022-01-03_RFR-009</v>
      </c>
      <c r="C4" s="6" t="s">
        <v>483</v>
      </c>
      <c r="D4" s="333">
        <v>1.0</v>
      </c>
      <c r="E4" s="334">
        <v>7.0</v>
      </c>
      <c r="F4" s="333">
        <v>1.0</v>
      </c>
      <c r="H4" s="259"/>
      <c r="I4" s="335">
        <f t="shared" si="1"/>
        <v>9</v>
      </c>
      <c r="J4" s="257" t="str">
        <f t="shared" si="2"/>
        <v>R_BEND-009</v>
      </c>
      <c r="K4" s="90">
        <f t="shared" si="3"/>
        <v>4</v>
      </c>
      <c r="M4" s="336"/>
      <c r="N4" s="57"/>
    </row>
    <row r="5">
      <c r="A5" s="337" t="s">
        <v>484</v>
      </c>
      <c r="B5" s="251" t="str">
        <f>VLOOKUP(A5,'ALL Tube Results'!A$2:B91,2,FALSE)</f>
        <v>RUN-BEND_2022-01-03_RFR-009</v>
      </c>
      <c r="C5" s="6" t="s">
        <v>483</v>
      </c>
      <c r="D5" s="333">
        <v>1.0</v>
      </c>
      <c r="E5" s="334">
        <v>7.0</v>
      </c>
      <c r="F5" s="333">
        <v>1.0</v>
      </c>
      <c r="H5" s="259"/>
      <c r="I5" s="335">
        <f t="shared" si="1"/>
        <v>9</v>
      </c>
      <c r="J5" s="257" t="str">
        <f t="shared" si="2"/>
        <v/>
      </c>
      <c r="K5" s="90">
        <f t="shared" si="3"/>
        <v>0</v>
      </c>
      <c r="M5" s="336"/>
      <c r="N5" s="57"/>
    </row>
    <row r="6">
      <c r="A6" s="86" t="s">
        <v>485</v>
      </c>
      <c r="B6" s="251" t="str">
        <f>VLOOKUP(A6,'ALL Tube Results'!A$2:B91,2,FALSE)</f>
        <v>RUN-BEND_2022-01-03_RFR-009</v>
      </c>
      <c r="C6" s="6" t="s">
        <v>483</v>
      </c>
      <c r="D6" s="333">
        <v>1.0</v>
      </c>
      <c r="E6" s="334">
        <v>7.0</v>
      </c>
      <c r="F6" s="333">
        <v>1.0</v>
      </c>
      <c r="H6" s="259"/>
      <c r="I6" s="335">
        <f t="shared" si="1"/>
        <v>9</v>
      </c>
      <c r="J6" s="257" t="str">
        <f t="shared" si="2"/>
        <v/>
      </c>
      <c r="K6" s="90">
        <f t="shared" si="3"/>
        <v>0</v>
      </c>
      <c r="M6" s="336"/>
      <c r="N6" s="57"/>
    </row>
    <row r="7">
      <c r="A7" s="86" t="s">
        <v>486</v>
      </c>
      <c r="B7" s="251" t="str">
        <f>VLOOKUP(A7,'ALL Tube Results'!A$2:B91,2,FALSE)</f>
        <v>RUN-BEND_2022-01-03_RFR-009</v>
      </c>
      <c r="C7" s="6" t="s">
        <v>483</v>
      </c>
      <c r="D7" s="333">
        <v>1.0</v>
      </c>
      <c r="E7" s="334">
        <v>7.0</v>
      </c>
      <c r="F7" s="333">
        <v>1.0</v>
      </c>
      <c r="H7" s="259"/>
      <c r="I7" s="335">
        <f t="shared" si="1"/>
        <v>9</v>
      </c>
      <c r="J7" s="257" t="str">
        <f t="shared" si="2"/>
        <v/>
      </c>
      <c r="K7" s="90">
        <f t="shared" si="3"/>
        <v>0</v>
      </c>
      <c r="M7" s="336"/>
      <c r="N7" s="57"/>
    </row>
    <row r="8">
      <c r="A8" s="86" t="s">
        <v>487</v>
      </c>
      <c r="B8" s="251" t="str">
        <f>VLOOKUP(A8,'ALL Tube Results'!A$2:B91,2,FALSE)</f>
        <v>RUN-BEND_2022-01-05_RFR-010</v>
      </c>
      <c r="C8" s="6" t="s">
        <v>488</v>
      </c>
      <c r="D8" s="333">
        <v>1.0</v>
      </c>
      <c r="E8" s="333">
        <v>3.0</v>
      </c>
      <c r="F8" s="333">
        <v>1.0</v>
      </c>
      <c r="H8" s="259"/>
      <c r="I8" s="335">
        <f t="shared" si="1"/>
        <v>10</v>
      </c>
      <c r="J8" s="257" t="str">
        <f t="shared" si="2"/>
        <v>R_BEND-010</v>
      </c>
      <c r="K8" s="90">
        <f t="shared" si="3"/>
        <v>3</v>
      </c>
      <c r="M8" s="336"/>
      <c r="N8" s="57"/>
    </row>
    <row r="9">
      <c r="A9" s="86" t="s">
        <v>489</v>
      </c>
      <c r="B9" s="251" t="str">
        <f>VLOOKUP(A9,'ALL Tube Results'!A$2:B91,2,FALSE)</f>
        <v>RUN-BEND_2022-01-05_RFR-010</v>
      </c>
      <c r="C9" s="6" t="s">
        <v>488</v>
      </c>
      <c r="D9" s="333">
        <v>1.0</v>
      </c>
      <c r="E9" s="333">
        <v>3.0</v>
      </c>
      <c r="F9" s="333">
        <v>1.0</v>
      </c>
      <c r="H9" s="259"/>
      <c r="I9" s="335">
        <f t="shared" si="1"/>
        <v>10</v>
      </c>
      <c r="J9" s="257" t="str">
        <f t="shared" si="2"/>
        <v/>
      </c>
      <c r="K9" s="90">
        <f t="shared" si="3"/>
        <v>0</v>
      </c>
      <c r="M9" s="336"/>
      <c r="N9" s="57"/>
    </row>
    <row r="10">
      <c r="A10" s="86" t="s">
        <v>490</v>
      </c>
      <c r="B10" s="251" t="str">
        <f>VLOOKUP(A10,'ALL Tube Results'!A$2:B91,2,FALSE)</f>
        <v>RUN-BEND_2022-01-05_RFR-010</v>
      </c>
      <c r="C10" s="6" t="s">
        <v>488</v>
      </c>
      <c r="D10" s="333">
        <v>1.0</v>
      </c>
      <c r="E10" s="333">
        <v>3.0</v>
      </c>
      <c r="F10" s="333">
        <v>1.0</v>
      </c>
      <c r="H10" s="259"/>
      <c r="I10" s="335">
        <f t="shared" si="1"/>
        <v>10</v>
      </c>
      <c r="J10" s="257" t="str">
        <f t="shared" si="2"/>
        <v/>
      </c>
      <c r="K10" s="90">
        <f t="shared" si="3"/>
        <v>0</v>
      </c>
      <c r="M10" s="336"/>
      <c r="N10" s="57"/>
    </row>
    <row r="11">
      <c r="A11" s="86" t="s">
        <v>491</v>
      </c>
      <c r="B11" s="251" t="str">
        <f>VLOOKUP(A11,'ALL Tube Results'!A$2:B91,2,FALSE)</f>
        <v>RUN-BEND_2022-01-07_RFR-011</v>
      </c>
      <c r="C11" s="6" t="s">
        <v>492</v>
      </c>
      <c r="D11" s="333">
        <v>1.0</v>
      </c>
      <c r="E11" s="334">
        <v>7.0</v>
      </c>
      <c r="F11" s="333">
        <v>1.0</v>
      </c>
      <c r="H11" s="259"/>
      <c r="I11" s="335">
        <f t="shared" si="1"/>
        <v>11</v>
      </c>
      <c r="J11" s="257" t="str">
        <f t="shared" si="2"/>
        <v>R_BEND-011</v>
      </c>
      <c r="K11" s="90">
        <f t="shared" si="3"/>
        <v>4</v>
      </c>
      <c r="M11" s="336"/>
      <c r="N11" s="57"/>
    </row>
    <row r="12">
      <c r="A12" s="86" t="s">
        <v>493</v>
      </c>
      <c r="B12" s="251" t="str">
        <f>VLOOKUP(A12,'ALL Tube Results'!A$2:B91,2,FALSE)</f>
        <v>RUN-BEND_2022-01-07_RFR-011</v>
      </c>
      <c r="C12" s="6" t="s">
        <v>492</v>
      </c>
      <c r="D12" s="333">
        <v>1.0</v>
      </c>
      <c r="E12" s="334">
        <v>7.0</v>
      </c>
      <c r="F12" s="333">
        <v>1.0</v>
      </c>
      <c r="G12" s="86"/>
      <c r="H12" s="259"/>
      <c r="I12" s="335">
        <f t="shared" si="1"/>
        <v>11</v>
      </c>
      <c r="J12" s="257" t="str">
        <f t="shared" si="2"/>
        <v/>
      </c>
      <c r="K12" s="90">
        <f t="shared" si="3"/>
        <v>0</v>
      </c>
      <c r="M12" s="336"/>
      <c r="N12" s="57"/>
    </row>
    <row r="13">
      <c r="A13" s="86" t="s">
        <v>494</v>
      </c>
      <c r="B13" s="251" t="str">
        <f>VLOOKUP(A13,'ALL Tube Results'!A$2:B91,2,FALSE)</f>
        <v>RUN-BEND_2022-01-07_RFR-011</v>
      </c>
      <c r="C13" s="6" t="s">
        <v>492</v>
      </c>
      <c r="D13" s="333">
        <v>1.0</v>
      </c>
      <c r="E13" s="334">
        <v>3.0</v>
      </c>
      <c r="F13" s="333">
        <v>1.0</v>
      </c>
      <c r="H13" s="259"/>
      <c r="I13" s="335">
        <f t="shared" si="1"/>
        <v>11</v>
      </c>
      <c r="J13" s="257" t="str">
        <f t="shared" si="2"/>
        <v/>
      </c>
      <c r="K13" s="90">
        <f t="shared" si="3"/>
        <v>0</v>
      </c>
      <c r="M13" s="336"/>
      <c r="N13" s="57"/>
    </row>
    <row r="14">
      <c r="A14" s="86" t="s">
        <v>495</v>
      </c>
      <c r="B14" s="251" t="str">
        <f>VLOOKUP(A14,'ALL Tube Results'!A$2:B91,2,FALSE)</f>
        <v>RUN-BEND_2022-01-07_RFR-011</v>
      </c>
      <c r="C14" s="6" t="s">
        <v>492</v>
      </c>
      <c r="D14" s="333">
        <v>1.0</v>
      </c>
      <c r="E14" s="334">
        <v>7.0</v>
      </c>
      <c r="F14" s="333">
        <v>1.0</v>
      </c>
      <c r="G14" s="86"/>
      <c r="H14" s="259"/>
      <c r="I14" s="335">
        <f t="shared" si="1"/>
        <v>11</v>
      </c>
      <c r="J14" s="257" t="str">
        <f t="shared" si="2"/>
        <v/>
      </c>
      <c r="K14" s="90">
        <f t="shared" si="3"/>
        <v>0</v>
      </c>
      <c r="M14" s="336"/>
      <c r="N14" s="57"/>
    </row>
    <row r="15">
      <c r="A15" s="86" t="s">
        <v>496</v>
      </c>
      <c r="B15" s="251" t="str">
        <f>VLOOKUP(A15,'ALL Tube Results'!A$2:B91,2,FALSE)</f>
        <v>RUN-BEND_2022-01-10_RFR-012</v>
      </c>
      <c r="C15" s="6" t="s">
        <v>497</v>
      </c>
      <c r="D15" s="333">
        <v>1.0</v>
      </c>
      <c r="E15" s="333">
        <v>7.0</v>
      </c>
      <c r="F15" s="333">
        <v>1.0</v>
      </c>
      <c r="G15" s="86"/>
      <c r="H15" s="259"/>
      <c r="I15" s="335">
        <f t="shared" si="1"/>
        <v>12</v>
      </c>
      <c r="J15" s="257" t="str">
        <f t="shared" si="2"/>
        <v>R_BEND-012</v>
      </c>
      <c r="K15" s="90">
        <f t="shared" si="3"/>
        <v>10</v>
      </c>
      <c r="M15" s="336"/>
      <c r="N15" s="57"/>
    </row>
    <row r="16">
      <c r="A16" s="86" t="s">
        <v>498</v>
      </c>
      <c r="B16" s="251" t="str">
        <f>VLOOKUP(A16,'ALL Tube Results'!A$2:B91,2,FALSE)</f>
        <v>RUN-BEND_2022-01-10_RFR-012</v>
      </c>
      <c r="C16" s="6" t="s">
        <v>497</v>
      </c>
      <c r="D16" s="333">
        <v>1.0</v>
      </c>
      <c r="E16" s="333">
        <v>7.0</v>
      </c>
      <c r="F16" s="333">
        <v>1.0</v>
      </c>
      <c r="G16" s="86"/>
      <c r="H16" s="259"/>
      <c r="I16" s="335">
        <f t="shared" si="1"/>
        <v>12</v>
      </c>
      <c r="J16" s="257" t="str">
        <f t="shared" si="2"/>
        <v/>
      </c>
      <c r="K16" s="90">
        <f t="shared" si="3"/>
        <v>0</v>
      </c>
      <c r="M16" s="336"/>
      <c r="N16" s="57"/>
    </row>
    <row r="17">
      <c r="A17" s="86" t="s">
        <v>499</v>
      </c>
      <c r="B17" s="251" t="str">
        <f>VLOOKUP(A17,'ALL Tube Results'!A$2:B91,2,FALSE)</f>
        <v>RUN-BEND_2022-01-10_RFR-012</v>
      </c>
      <c r="C17" s="6" t="s">
        <v>497</v>
      </c>
      <c r="D17" s="333">
        <v>1.0</v>
      </c>
      <c r="E17" s="333">
        <v>7.0</v>
      </c>
      <c r="F17" s="333">
        <v>1.0</v>
      </c>
      <c r="H17" s="259"/>
      <c r="I17" s="335">
        <f t="shared" si="1"/>
        <v>12</v>
      </c>
      <c r="J17" s="257" t="str">
        <f t="shared" si="2"/>
        <v/>
      </c>
      <c r="K17" s="90">
        <f t="shared" si="3"/>
        <v>0</v>
      </c>
      <c r="M17" s="336"/>
      <c r="N17" s="57"/>
    </row>
    <row r="18">
      <c r="A18" s="86" t="s">
        <v>500</v>
      </c>
      <c r="B18" s="251" t="str">
        <f>VLOOKUP(A18,'ALL Tube Results'!A$2:B91,2,FALSE)</f>
        <v>RUN-BEND_2022-01-10_RFR-012</v>
      </c>
      <c r="C18" s="6" t="s">
        <v>497</v>
      </c>
      <c r="D18" s="333">
        <v>1.0</v>
      </c>
      <c r="E18" s="333">
        <v>7.0</v>
      </c>
      <c r="F18" s="333">
        <v>1.0</v>
      </c>
      <c r="H18" s="259"/>
      <c r="I18" s="335">
        <f t="shared" si="1"/>
        <v>12</v>
      </c>
      <c r="J18" s="257" t="str">
        <f t="shared" si="2"/>
        <v/>
      </c>
      <c r="K18" s="90">
        <f t="shared" si="3"/>
        <v>0</v>
      </c>
      <c r="M18" s="336"/>
      <c r="N18" s="57"/>
    </row>
    <row r="19">
      <c r="A19" s="86" t="s">
        <v>501</v>
      </c>
      <c r="B19" s="251" t="str">
        <f>VLOOKUP(A19,'ALL Tube Results'!A$2:B91,2,FALSE)</f>
        <v>RUN-BEND_2022-01-10_RFR-012</v>
      </c>
      <c r="C19" s="6" t="s">
        <v>497</v>
      </c>
      <c r="D19" s="333">
        <v>1.0</v>
      </c>
      <c r="E19" s="333">
        <v>7.0</v>
      </c>
      <c r="F19" s="333">
        <v>1.0</v>
      </c>
      <c r="H19" s="259"/>
      <c r="I19" s="335">
        <f t="shared" si="1"/>
        <v>12</v>
      </c>
      <c r="J19" s="257" t="str">
        <f t="shared" si="2"/>
        <v/>
      </c>
      <c r="K19" s="90">
        <f t="shared" si="3"/>
        <v>0</v>
      </c>
      <c r="M19" s="336"/>
      <c r="N19" s="57"/>
    </row>
    <row r="20">
      <c r="A20" s="86" t="s">
        <v>502</v>
      </c>
      <c r="B20" s="251" t="str">
        <f>VLOOKUP(A20,'ALL Tube Results'!A$2:B91,2,FALSE)</f>
        <v>RUN-BEND_2022-01-10_RFR-012</v>
      </c>
      <c r="C20" s="6" t="s">
        <v>497</v>
      </c>
      <c r="D20" s="333">
        <v>1.0</v>
      </c>
      <c r="E20" s="333">
        <v>7.0</v>
      </c>
      <c r="F20" s="333">
        <v>1.0</v>
      </c>
      <c r="H20" s="259"/>
      <c r="I20" s="335">
        <f t="shared" si="1"/>
        <v>12</v>
      </c>
      <c r="J20" s="257" t="str">
        <f t="shared" si="2"/>
        <v/>
      </c>
      <c r="K20" s="90">
        <f t="shared" si="3"/>
        <v>0</v>
      </c>
      <c r="M20" s="336"/>
      <c r="N20" s="57"/>
    </row>
    <row r="21">
      <c r="A21" s="86" t="s">
        <v>503</v>
      </c>
      <c r="B21" s="251" t="str">
        <f>VLOOKUP(A21,'ALL Tube Results'!A$2:B91,2,FALSE)</f>
        <v>RUN-BEND_2022-01-10_RFR-012</v>
      </c>
      <c r="C21" s="6" t="s">
        <v>497</v>
      </c>
      <c r="D21" s="333">
        <v>1.0</v>
      </c>
      <c r="E21" s="333">
        <v>7.0</v>
      </c>
      <c r="F21" s="333">
        <v>1.0</v>
      </c>
      <c r="H21" s="259"/>
      <c r="I21" s="335">
        <f t="shared" si="1"/>
        <v>12</v>
      </c>
      <c r="J21" s="257" t="str">
        <f t="shared" si="2"/>
        <v/>
      </c>
      <c r="K21" s="90">
        <f t="shared" si="3"/>
        <v>0</v>
      </c>
      <c r="M21" s="336"/>
      <c r="N21" s="57"/>
    </row>
    <row r="22">
      <c r="A22" s="86" t="str">
        <f t="shared" ref="A22:A24" si="4">CONCATENATE("TUNKPROG",TEXT(H22,"000"))</f>
        <v>TUNKPROG001</v>
      </c>
      <c r="B22" s="251" t="str">
        <f>VLOOKUP(A22,'ALL Tube Results'!A$2:B91,2,FALSE)</f>
        <v>#N/A</v>
      </c>
      <c r="C22" s="6" t="s">
        <v>497</v>
      </c>
      <c r="D22" s="333">
        <v>4.0</v>
      </c>
      <c r="E22" s="333">
        <v>7.0</v>
      </c>
      <c r="F22" s="333">
        <v>1.0</v>
      </c>
      <c r="G22" s="86" t="s">
        <v>504</v>
      </c>
      <c r="H22" s="338">
        <v>1.0</v>
      </c>
      <c r="I22" s="335">
        <f t="shared" si="1"/>
        <v>12</v>
      </c>
      <c r="J22" s="257" t="str">
        <f t="shared" si="2"/>
        <v/>
      </c>
      <c r="K22" s="90">
        <f t="shared" si="3"/>
        <v>0</v>
      </c>
      <c r="M22" s="336"/>
      <c r="N22" s="57"/>
    </row>
    <row r="23">
      <c r="A23" s="86" t="str">
        <f t="shared" si="4"/>
        <v>TUNKPROG002</v>
      </c>
      <c r="B23" s="251" t="str">
        <f>VLOOKUP(A23,'ALL Tube Results'!A$2:B91,2,FALSE)</f>
        <v>#N/A</v>
      </c>
      <c r="C23" s="6" t="s">
        <v>497</v>
      </c>
      <c r="D23" s="333">
        <v>4.0</v>
      </c>
      <c r="E23" s="334">
        <v>3.0</v>
      </c>
      <c r="F23" s="333">
        <v>1.0</v>
      </c>
      <c r="G23" s="86" t="s">
        <v>505</v>
      </c>
      <c r="H23" s="338">
        <v>2.0</v>
      </c>
      <c r="I23" s="335">
        <f t="shared" si="1"/>
        <v>12</v>
      </c>
      <c r="J23" s="257" t="str">
        <f t="shared" si="2"/>
        <v/>
      </c>
      <c r="K23" s="90">
        <f t="shared" si="3"/>
        <v>0</v>
      </c>
      <c r="M23" s="336"/>
      <c r="N23" s="57"/>
    </row>
    <row r="24">
      <c r="A24" s="86" t="str">
        <f t="shared" si="4"/>
        <v>TUNKPROG003</v>
      </c>
      <c r="B24" s="251" t="str">
        <f>VLOOKUP(A24,'ALL Tube Results'!A$2:B91,2,FALSE)</f>
        <v>#N/A</v>
      </c>
      <c r="C24" s="6" t="s">
        <v>497</v>
      </c>
      <c r="D24" s="333">
        <v>4.0</v>
      </c>
      <c r="E24" s="334">
        <v>3.0</v>
      </c>
      <c r="F24" s="333">
        <v>1.0</v>
      </c>
      <c r="G24" s="86" t="s">
        <v>505</v>
      </c>
      <c r="H24" s="338">
        <v>3.0</v>
      </c>
      <c r="I24" s="335">
        <f t="shared" si="1"/>
        <v>12</v>
      </c>
      <c r="J24" s="257" t="str">
        <f t="shared" si="2"/>
        <v/>
      </c>
      <c r="K24" s="90">
        <f t="shared" si="3"/>
        <v>0</v>
      </c>
      <c r="M24" s="336"/>
      <c r="N24" s="57"/>
    </row>
    <row r="25">
      <c r="A25" s="322" t="s">
        <v>506</v>
      </c>
      <c r="B25" s="251" t="str">
        <f>VLOOKUP(A25,'ALL Tube Results'!A$2:B91,2,FALSE)</f>
        <v>RUN-BEND_2022-01-12_RFR-013</v>
      </c>
      <c r="C25" s="6" t="s">
        <v>507</v>
      </c>
      <c r="D25" s="333">
        <v>1.0</v>
      </c>
      <c r="E25" s="333">
        <v>7.0</v>
      </c>
      <c r="F25" s="333">
        <v>1.0</v>
      </c>
      <c r="H25" s="259"/>
      <c r="I25" s="335">
        <f t="shared" si="1"/>
        <v>13</v>
      </c>
      <c r="J25" s="257" t="str">
        <f t="shared" si="2"/>
        <v>R_BEND-013</v>
      </c>
      <c r="K25" s="90">
        <f t="shared" si="3"/>
        <v>4</v>
      </c>
      <c r="M25" s="336"/>
      <c r="N25" s="57"/>
    </row>
    <row r="26">
      <c r="A26" s="86" t="s">
        <v>508</v>
      </c>
      <c r="B26" s="251" t="str">
        <f>VLOOKUP(A26,'ALL Tube Results'!A$2:B91,2,FALSE)</f>
        <v>RUN-BEND_2022-01-12_RFR-013</v>
      </c>
      <c r="C26" s="6" t="s">
        <v>507</v>
      </c>
      <c r="D26" s="333">
        <v>1.0</v>
      </c>
      <c r="E26" s="333">
        <v>7.0</v>
      </c>
      <c r="F26" s="333">
        <v>1.0</v>
      </c>
      <c r="H26" s="259"/>
      <c r="I26" s="335">
        <f t="shared" si="1"/>
        <v>13</v>
      </c>
      <c r="J26" s="257" t="str">
        <f t="shared" si="2"/>
        <v/>
      </c>
      <c r="K26" s="90">
        <f t="shared" si="3"/>
        <v>0</v>
      </c>
      <c r="M26" s="336"/>
      <c r="N26" s="57"/>
    </row>
    <row r="27">
      <c r="A27" s="322" t="s">
        <v>509</v>
      </c>
      <c r="B27" s="251" t="str">
        <f>VLOOKUP(A27,'ALL Tube Results'!A$2:B91,2,FALSE)</f>
        <v>RUN-BEND_2022-01-12_RFR-013</v>
      </c>
      <c r="C27" s="6" t="s">
        <v>507</v>
      </c>
      <c r="D27" s="333">
        <v>1.0</v>
      </c>
      <c r="E27" s="333">
        <v>7.0</v>
      </c>
      <c r="F27" s="333">
        <v>1.0</v>
      </c>
      <c r="H27" s="259"/>
      <c r="I27" s="335">
        <f t="shared" si="1"/>
        <v>13</v>
      </c>
      <c r="J27" s="257" t="str">
        <f t="shared" si="2"/>
        <v/>
      </c>
      <c r="K27" s="90">
        <f t="shared" si="3"/>
        <v>0</v>
      </c>
      <c r="M27" s="336"/>
      <c r="N27" s="57"/>
    </row>
    <row r="28">
      <c r="A28" s="322" t="s">
        <v>510</v>
      </c>
      <c r="B28" s="251" t="str">
        <f>VLOOKUP(A28,'ALL Tube Results'!A$2:B91,2,FALSE)</f>
        <v>RUN-BEND_2022-01-12_RFR-013</v>
      </c>
      <c r="C28" s="6" t="s">
        <v>507</v>
      </c>
      <c r="D28" s="333">
        <v>1.0</v>
      </c>
      <c r="E28" s="333">
        <v>7.0</v>
      </c>
      <c r="F28" s="333">
        <v>1.0</v>
      </c>
      <c r="H28" s="259"/>
      <c r="I28" s="335">
        <f t="shared" si="1"/>
        <v>13</v>
      </c>
      <c r="J28" s="257" t="str">
        <f t="shared" si="2"/>
        <v/>
      </c>
      <c r="K28" s="90">
        <f t="shared" si="3"/>
        <v>0</v>
      </c>
      <c r="M28" s="336"/>
      <c r="N28" s="57"/>
    </row>
    <row r="29">
      <c r="A29" s="86" t="s">
        <v>511</v>
      </c>
      <c r="B29" s="251" t="str">
        <f>VLOOKUP(A29,'ALL Tube Results'!A$2:B91,2,FALSE)</f>
        <v>RUN-BEND_2022-01-14_RFR-014</v>
      </c>
      <c r="C29" s="6" t="s">
        <v>512</v>
      </c>
      <c r="D29" s="333">
        <v>1.0</v>
      </c>
      <c r="E29" s="333">
        <v>7.0</v>
      </c>
      <c r="F29" s="333">
        <v>1.0</v>
      </c>
      <c r="H29" s="259"/>
      <c r="I29" s="335">
        <f t="shared" si="1"/>
        <v>14</v>
      </c>
      <c r="J29" s="257" t="str">
        <f t="shared" si="2"/>
        <v>R_BEND-014</v>
      </c>
      <c r="K29" s="90">
        <f t="shared" si="3"/>
        <v>7</v>
      </c>
      <c r="M29" s="336"/>
      <c r="N29" s="57"/>
    </row>
    <row r="30">
      <c r="A30" s="86" t="s">
        <v>513</v>
      </c>
      <c r="B30" s="251" t="str">
        <f>VLOOKUP(A30,'ALL Tube Results'!A$2:B91,2,FALSE)</f>
        <v>RUN-BEND_2022-01-14_RFR-014</v>
      </c>
      <c r="C30" s="6" t="s">
        <v>512</v>
      </c>
      <c r="D30" s="333">
        <v>1.0</v>
      </c>
      <c r="E30" s="333">
        <v>7.0</v>
      </c>
      <c r="F30" s="333">
        <v>1.0</v>
      </c>
      <c r="H30" s="259"/>
      <c r="I30" s="335">
        <f t="shared" si="1"/>
        <v>14</v>
      </c>
      <c r="J30" s="257" t="str">
        <f t="shared" si="2"/>
        <v/>
      </c>
      <c r="K30" s="90">
        <f t="shared" si="3"/>
        <v>0</v>
      </c>
      <c r="M30" s="336"/>
      <c r="N30" s="57"/>
    </row>
    <row r="31">
      <c r="A31" s="332" t="s">
        <v>514</v>
      </c>
      <c r="B31" s="251" t="str">
        <f>VLOOKUP(A31,'ALL Tube Results'!A$2:B91,2,FALSE)</f>
        <v>RUN-BEND_2022-01-14_RFR-014</v>
      </c>
      <c r="C31" s="6" t="s">
        <v>512</v>
      </c>
      <c r="D31" s="333">
        <v>1.0</v>
      </c>
      <c r="E31" s="333">
        <v>7.0</v>
      </c>
      <c r="F31" s="333">
        <v>1.0</v>
      </c>
      <c r="H31" s="259"/>
      <c r="I31" s="335">
        <f t="shared" si="1"/>
        <v>14</v>
      </c>
      <c r="J31" s="257" t="str">
        <f t="shared" si="2"/>
        <v/>
      </c>
      <c r="K31" s="90">
        <f t="shared" si="3"/>
        <v>0</v>
      </c>
      <c r="M31" s="336"/>
      <c r="N31" s="57"/>
    </row>
    <row r="32">
      <c r="A32" s="86" t="s">
        <v>515</v>
      </c>
      <c r="B32" s="251" t="str">
        <f>VLOOKUP(A32,'ALL Tube Results'!A$2:B91,2,FALSE)</f>
        <v>RUN-BEND_2022-01-14_RFR-014</v>
      </c>
      <c r="C32" s="6" t="s">
        <v>512</v>
      </c>
      <c r="D32" s="333">
        <v>1.0</v>
      </c>
      <c r="E32" s="333">
        <v>7.0</v>
      </c>
      <c r="F32" s="333">
        <v>1.0</v>
      </c>
      <c r="H32" s="259"/>
      <c r="I32" s="335">
        <f t="shared" si="1"/>
        <v>14</v>
      </c>
      <c r="J32" s="257" t="str">
        <f t="shared" si="2"/>
        <v/>
      </c>
      <c r="K32" s="90">
        <f t="shared" si="3"/>
        <v>0</v>
      </c>
      <c r="M32" s="336"/>
      <c r="N32" s="57"/>
    </row>
    <row r="33">
      <c r="A33" s="86" t="s">
        <v>516</v>
      </c>
      <c r="B33" s="251" t="str">
        <f>VLOOKUP(A33,'ALL Tube Results'!A$2:B91,2,FALSE)</f>
        <v>RUN-BEND_2022-01-14_RFR-014</v>
      </c>
      <c r="C33" s="6" t="s">
        <v>512</v>
      </c>
      <c r="D33" s="333">
        <v>1.0</v>
      </c>
      <c r="E33" s="333">
        <v>7.0</v>
      </c>
      <c r="F33" s="333">
        <v>1.0</v>
      </c>
      <c r="H33" s="259"/>
      <c r="I33" s="335">
        <f t="shared" si="1"/>
        <v>14</v>
      </c>
      <c r="J33" s="257" t="str">
        <f t="shared" si="2"/>
        <v/>
      </c>
      <c r="K33" s="90">
        <f t="shared" si="3"/>
        <v>0</v>
      </c>
      <c r="M33" s="336"/>
      <c r="N33" s="57"/>
    </row>
    <row r="34">
      <c r="A34" s="86" t="str">
        <f t="shared" ref="A34:A35" si="5">CONCATENATE("TUNKPROG",TEXT(H34,"000"))</f>
        <v>TUNKPROG004</v>
      </c>
      <c r="B34" s="251" t="str">
        <f>VLOOKUP(A34,'ALL Tube Results'!A$2:B91,2,FALSE)</f>
        <v>#N/A</v>
      </c>
      <c r="C34" s="6" t="s">
        <v>512</v>
      </c>
      <c r="D34" s="333">
        <v>4.0</v>
      </c>
      <c r="E34" s="339">
        <v>7.0</v>
      </c>
      <c r="F34" s="333">
        <v>1.0</v>
      </c>
      <c r="G34" s="86" t="s">
        <v>517</v>
      </c>
      <c r="H34" s="338">
        <v>4.0</v>
      </c>
      <c r="I34" s="335">
        <f t="shared" si="1"/>
        <v>14</v>
      </c>
      <c r="J34" s="257" t="str">
        <f t="shared" si="2"/>
        <v/>
      </c>
      <c r="K34" s="90">
        <f t="shared" si="3"/>
        <v>0</v>
      </c>
      <c r="M34" s="336"/>
      <c r="N34" s="57"/>
    </row>
    <row r="35">
      <c r="A35" s="86" t="str">
        <f t="shared" si="5"/>
        <v>TUNKPROG005</v>
      </c>
      <c r="B35" s="251" t="str">
        <f>VLOOKUP(A35,'ALL Tube Results'!A$2:B91,2,FALSE)</f>
        <v>#N/A</v>
      </c>
      <c r="C35" s="6" t="s">
        <v>512</v>
      </c>
      <c r="D35" s="333">
        <v>4.0</v>
      </c>
      <c r="E35" s="339">
        <v>7.0</v>
      </c>
      <c r="F35" s="333">
        <v>1.0</v>
      </c>
      <c r="G35" s="86" t="s">
        <v>517</v>
      </c>
      <c r="H35" s="338">
        <v>5.0</v>
      </c>
      <c r="I35" s="335">
        <f t="shared" si="1"/>
        <v>14</v>
      </c>
      <c r="J35" s="257" t="str">
        <f t="shared" si="2"/>
        <v/>
      </c>
      <c r="K35" s="90">
        <f t="shared" si="3"/>
        <v>0</v>
      </c>
      <c r="M35" s="336"/>
      <c r="N35" s="57"/>
    </row>
    <row r="36">
      <c r="A36" s="86" t="s">
        <v>518</v>
      </c>
      <c r="B36" s="251" t="str">
        <f>VLOOKUP(A36,'ALL Tube Results'!A$2:B91,2,FALSE)</f>
        <v>RUN-BEND_2022-01-19_RFR-016</v>
      </c>
      <c r="C36" s="6" t="s">
        <v>519</v>
      </c>
      <c r="D36" s="333">
        <v>1.0</v>
      </c>
      <c r="E36" s="333">
        <v>7.0</v>
      </c>
      <c r="F36" s="333">
        <v>1.0</v>
      </c>
      <c r="H36" s="259"/>
      <c r="I36" s="335">
        <f t="shared" si="1"/>
        <v>15</v>
      </c>
      <c r="J36" s="257" t="str">
        <f t="shared" si="2"/>
        <v>R_BEND-015</v>
      </c>
      <c r="K36" s="90">
        <f t="shared" si="3"/>
        <v>9</v>
      </c>
      <c r="M36" s="336"/>
      <c r="N36" s="57"/>
    </row>
    <row r="37">
      <c r="A37" s="86" t="s">
        <v>520</v>
      </c>
      <c r="B37" s="251" t="str">
        <f>VLOOKUP(A37,'ALL Tube Results'!A$2:B91,2,FALSE)</f>
        <v>RUN-BEND_2022-01-19_RFR-016</v>
      </c>
      <c r="C37" s="6" t="s">
        <v>519</v>
      </c>
      <c r="D37" s="333">
        <v>1.0</v>
      </c>
      <c r="E37" s="333">
        <v>7.0</v>
      </c>
      <c r="F37" s="333">
        <v>1.0</v>
      </c>
      <c r="H37" s="259"/>
      <c r="I37" s="335">
        <f t="shared" si="1"/>
        <v>15</v>
      </c>
      <c r="J37" s="257" t="str">
        <f t="shared" si="2"/>
        <v/>
      </c>
      <c r="K37" s="90">
        <f t="shared" si="3"/>
        <v>0</v>
      </c>
      <c r="M37" s="336"/>
      <c r="N37" s="57"/>
    </row>
    <row r="38">
      <c r="A38" s="86" t="s">
        <v>521</v>
      </c>
      <c r="B38" s="251" t="str">
        <f>VLOOKUP(A38,'ALL Tube Results'!A$2:B91,2,FALSE)</f>
        <v>RUN-BEND_2022-01-19_RFR-016</v>
      </c>
      <c r="C38" s="6" t="s">
        <v>519</v>
      </c>
      <c r="D38" s="333">
        <v>1.0</v>
      </c>
      <c r="E38" s="333">
        <v>7.0</v>
      </c>
      <c r="F38" s="333">
        <v>1.0</v>
      </c>
      <c r="H38" s="259"/>
      <c r="I38" s="335">
        <f t="shared" si="1"/>
        <v>15</v>
      </c>
      <c r="J38" s="257" t="str">
        <f t="shared" si="2"/>
        <v/>
      </c>
      <c r="K38" s="90">
        <f t="shared" si="3"/>
        <v>0</v>
      </c>
      <c r="M38" s="336"/>
      <c r="N38" s="57"/>
    </row>
    <row r="39">
      <c r="A39" s="86" t="s">
        <v>522</v>
      </c>
      <c r="B39" s="251" t="str">
        <f>VLOOKUP(A39,'ALL Tube Results'!A$2:B91,2,FALSE)</f>
        <v>RUN-BEND_2022-01-19_RFR-016</v>
      </c>
      <c r="C39" s="6" t="s">
        <v>519</v>
      </c>
      <c r="D39" s="333">
        <v>1.0</v>
      </c>
      <c r="E39" s="333">
        <v>7.0</v>
      </c>
      <c r="F39" s="333">
        <v>1.0</v>
      </c>
      <c r="H39" s="259"/>
      <c r="I39" s="335">
        <f t="shared" si="1"/>
        <v>15</v>
      </c>
      <c r="J39" s="257" t="str">
        <f t="shared" si="2"/>
        <v/>
      </c>
      <c r="K39" s="90">
        <f t="shared" si="3"/>
        <v>0</v>
      </c>
      <c r="M39" s="336"/>
      <c r="N39" s="57"/>
    </row>
    <row r="40">
      <c r="A40" s="86" t="s">
        <v>523</v>
      </c>
      <c r="B40" s="251" t="str">
        <f>VLOOKUP(A40,'ALL Tube Results'!A$2:B91,2,FALSE)</f>
        <v>RUN-BEND_2022-01-19_RFR-016</v>
      </c>
      <c r="C40" s="6" t="s">
        <v>519</v>
      </c>
      <c r="D40" s="333">
        <v>1.0</v>
      </c>
      <c r="E40" s="333">
        <v>7.0</v>
      </c>
      <c r="F40" s="333">
        <v>1.0</v>
      </c>
      <c r="H40" s="259"/>
      <c r="I40" s="335">
        <f t="shared" si="1"/>
        <v>15</v>
      </c>
      <c r="J40" s="257" t="str">
        <f t="shared" si="2"/>
        <v/>
      </c>
      <c r="K40" s="90">
        <f t="shared" si="3"/>
        <v>0</v>
      </c>
      <c r="M40" s="336"/>
      <c r="N40" s="57"/>
    </row>
    <row r="41">
      <c r="A41" s="86" t="s">
        <v>524</v>
      </c>
      <c r="B41" s="251" t="str">
        <f>VLOOKUP(A41,'ALL Tube Results'!A$2:B91,2,FALSE)</f>
        <v>RUN-BEND_2022-01-19_RFR-016</v>
      </c>
      <c r="C41" s="6" t="s">
        <v>519</v>
      </c>
      <c r="D41" s="333">
        <v>1.0</v>
      </c>
      <c r="E41" s="333">
        <v>7.0</v>
      </c>
      <c r="F41" s="333">
        <v>1.0</v>
      </c>
      <c r="H41" s="259"/>
      <c r="I41" s="335">
        <f t="shared" si="1"/>
        <v>15</v>
      </c>
      <c r="J41" s="257" t="str">
        <f t="shared" si="2"/>
        <v/>
      </c>
      <c r="K41" s="90">
        <f t="shared" si="3"/>
        <v>0</v>
      </c>
      <c r="M41" s="336"/>
      <c r="N41" s="57"/>
    </row>
    <row r="42">
      <c r="A42" s="86" t="str">
        <f t="shared" ref="A42:A44" si="6">CONCATENATE("TUNKPROG",TEXT(H42,"000"))</f>
        <v>TUNKPROG006</v>
      </c>
      <c r="B42" s="251" t="str">
        <f>VLOOKUP(A42,'ALL Tube Results'!A$2:B91,2,FALSE)</f>
        <v>#N/A</v>
      </c>
      <c r="C42" s="6" t="s">
        <v>519</v>
      </c>
      <c r="D42" s="333">
        <v>4.0</v>
      </c>
      <c r="E42" s="333">
        <v>7.0</v>
      </c>
      <c r="F42" s="333">
        <v>1.0</v>
      </c>
      <c r="G42" s="86" t="s">
        <v>525</v>
      </c>
      <c r="H42" s="338">
        <v>6.0</v>
      </c>
      <c r="I42" s="335">
        <f t="shared" si="1"/>
        <v>15</v>
      </c>
      <c r="J42" s="257" t="str">
        <f t="shared" si="2"/>
        <v/>
      </c>
      <c r="K42" s="90">
        <f t="shared" si="3"/>
        <v>0</v>
      </c>
      <c r="M42" s="336"/>
      <c r="N42" s="57"/>
    </row>
    <row r="43">
      <c r="A43" s="86" t="str">
        <f t="shared" si="6"/>
        <v>TUNKPROG007</v>
      </c>
      <c r="B43" s="251" t="str">
        <f>VLOOKUP(A43,'ALL Tube Results'!A$2:B91,2,FALSE)</f>
        <v>#N/A</v>
      </c>
      <c r="C43" s="6" t="s">
        <v>519</v>
      </c>
      <c r="D43" s="333">
        <v>4.0</v>
      </c>
      <c r="E43" s="333">
        <v>7.0</v>
      </c>
      <c r="F43" s="333">
        <v>1.0</v>
      </c>
      <c r="G43" s="86" t="s">
        <v>525</v>
      </c>
      <c r="H43" s="338">
        <v>7.0</v>
      </c>
      <c r="I43" s="335">
        <f t="shared" si="1"/>
        <v>15</v>
      </c>
      <c r="J43" s="257" t="str">
        <f t="shared" si="2"/>
        <v/>
      </c>
      <c r="K43" s="90">
        <f t="shared" si="3"/>
        <v>0</v>
      </c>
      <c r="M43" s="336"/>
      <c r="N43" s="57"/>
    </row>
    <row r="44">
      <c r="A44" s="86" t="str">
        <f t="shared" si="6"/>
        <v>TUNKPROG008</v>
      </c>
      <c r="B44" s="251" t="str">
        <f>VLOOKUP(A44,'ALL Tube Results'!A$2:B91,2,FALSE)</f>
        <v>#N/A</v>
      </c>
      <c r="C44" s="6" t="s">
        <v>519</v>
      </c>
      <c r="D44" s="333">
        <v>4.0</v>
      </c>
      <c r="E44" s="333">
        <v>7.0</v>
      </c>
      <c r="F44" s="333">
        <v>1.0</v>
      </c>
      <c r="G44" s="86" t="s">
        <v>525</v>
      </c>
      <c r="H44" s="338">
        <v>8.0</v>
      </c>
      <c r="I44" s="335">
        <f t="shared" si="1"/>
        <v>15</v>
      </c>
      <c r="J44" s="257" t="str">
        <f t="shared" si="2"/>
        <v/>
      </c>
      <c r="K44" s="90">
        <f t="shared" si="3"/>
        <v>0</v>
      </c>
      <c r="M44" s="336"/>
      <c r="N44" s="57"/>
    </row>
    <row r="45">
      <c r="A45" s="327" t="s">
        <v>518</v>
      </c>
      <c r="B45" s="251" t="str">
        <f>VLOOKUP(A45,'ALL Tube Results'!A$2:B91,2,FALSE)</f>
        <v>RUN-BEND_2022-01-19_RFR-016</v>
      </c>
      <c r="C45" s="6" t="s">
        <v>526</v>
      </c>
      <c r="D45" s="334">
        <v>1.0</v>
      </c>
      <c r="E45" s="333">
        <v>7.0</v>
      </c>
      <c r="F45" s="333">
        <v>1.0</v>
      </c>
      <c r="G45" s="86" t="s">
        <v>527</v>
      </c>
      <c r="H45" s="259"/>
      <c r="I45" s="335">
        <f t="shared" si="1"/>
        <v>16</v>
      </c>
      <c r="J45" s="257" t="str">
        <f t="shared" si="2"/>
        <v>R_BEND-016</v>
      </c>
      <c r="K45" s="90">
        <f t="shared" si="3"/>
        <v>6</v>
      </c>
      <c r="M45" s="336"/>
      <c r="N45" s="57"/>
    </row>
    <row r="46">
      <c r="A46" s="327" t="s">
        <v>520</v>
      </c>
      <c r="B46" s="251" t="str">
        <f>VLOOKUP(A46,'ALL Tube Results'!A$2:B91,2,FALSE)</f>
        <v>RUN-BEND_2022-01-19_RFR-016</v>
      </c>
      <c r="C46" s="6" t="s">
        <v>526</v>
      </c>
      <c r="D46" s="334">
        <v>1.0</v>
      </c>
      <c r="E46" s="333">
        <v>7.0</v>
      </c>
      <c r="F46" s="333">
        <v>1.0</v>
      </c>
      <c r="G46" s="86" t="s">
        <v>527</v>
      </c>
      <c r="H46" s="259"/>
      <c r="I46" s="335">
        <f t="shared" si="1"/>
        <v>16</v>
      </c>
      <c r="J46" s="257" t="str">
        <f t="shared" si="2"/>
        <v/>
      </c>
      <c r="K46" s="90">
        <f t="shared" si="3"/>
        <v>0</v>
      </c>
      <c r="M46" s="336"/>
      <c r="N46" s="57"/>
    </row>
    <row r="47">
      <c r="A47" s="327" t="s">
        <v>521</v>
      </c>
      <c r="B47" s="251" t="str">
        <f>VLOOKUP(A47,'ALL Tube Results'!A$2:B91,2,FALSE)</f>
        <v>RUN-BEND_2022-01-19_RFR-016</v>
      </c>
      <c r="C47" s="6" t="s">
        <v>526</v>
      </c>
      <c r="D47" s="334">
        <v>1.0</v>
      </c>
      <c r="E47" s="333">
        <v>7.0</v>
      </c>
      <c r="F47" s="333">
        <v>1.0</v>
      </c>
      <c r="G47" s="86" t="s">
        <v>527</v>
      </c>
      <c r="H47" s="259"/>
      <c r="I47" s="335">
        <f t="shared" si="1"/>
        <v>16</v>
      </c>
      <c r="J47" s="257" t="str">
        <f t="shared" si="2"/>
        <v/>
      </c>
      <c r="K47" s="90">
        <f t="shared" si="3"/>
        <v>0</v>
      </c>
      <c r="M47" s="336"/>
      <c r="N47" s="57"/>
    </row>
    <row r="48">
      <c r="A48" s="327" t="s">
        <v>522</v>
      </c>
      <c r="B48" s="251" t="str">
        <f>VLOOKUP(A48,'ALL Tube Results'!A$2:B91,2,FALSE)</f>
        <v>RUN-BEND_2022-01-19_RFR-016</v>
      </c>
      <c r="C48" s="6" t="s">
        <v>526</v>
      </c>
      <c r="D48" s="334">
        <v>1.0</v>
      </c>
      <c r="E48" s="333">
        <v>7.0</v>
      </c>
      <c r="F48" s="333">
        <v>1.0</v>
      </c>
      <c r="G48" s="86" t="s">
        <v>527</v>
      </c>
      <c r="H48" s="259"/>
      <c r="I48" s="335">
        <f t="shared" si="1"/>
        <v>16</v>
      </c>
      <c r="J48" s="257" t="str">
        <f t="shared" si="2"/>
        <v/>
      </c>
      <c r="K48" s="90">
        <f t="shared" si="3"/>
        <v>0</v>
      </c>
      <c r="M48" s="336"/>
      <c r="N48" s="57"/>
    </row>
    <row r="49">
      <c r="A49" s="327" t="s">
        <v>523</v>
      </c>
      <c r="B49" s="251" t="str">
        <f>VLOOKUP(A49,'ALL Tube Results'!A$2:B91,2,FALSE)</f>
        <v>RUN-BEND_2022-01-19_RFR-016</v>
      </c>
      <c r="C49" s="6" t="s">
        <v>526</v>
      </c>
      <c r="D49" s="334">
        <v>1.0</v>
      </c>
      <c r="E49" s="333">
        <v>7.0</v>
      </c>
      <c r="F49" s="333">
        <v>1.0</v>
      </c>
      <c r="G49" s="86" t="s">
        <v>527</v>
      </c>
      <c r="H49" s="259"/>
      <c r="I49" s="335">
        <f t="shared" si="1"/>
        <v>16</v>
      </c>
      <c r="J49" s="257" t="str">
        <f t="shared" si="2"/>
        <v/>
      </c>
      <c r="K49" s="90">
        <f t="shared" si="3"/>
        <v>0</v>
      </c>
      <c r="M49" s="336"/>
      <c r="N49" s="57"/>
    </row>
    <row r="50">
      <c r="A50" s="86" t="s">
        <v>524</v>
      </c>
      <c r="B50" s="251" t="str">
        <f>VLOOKUP(A50,'ALL Tube Results'!A$2:B91,2,FALSE)</f>
        <v>RUN-BEND_2022-01-19_RFR-016</v>
      </c>
      <c r="C50" s="6" t="s">
        <v>526</v>
      </c>
      <c r="D50" s="334">
        <v>1.0</v>
      </c>
      <c r="E50" s="333">
        <v>7.0</v>
      </c>
      <c r="F50" s="333">
        <v>1.0</v>
      </c>
      <c r="G50" s="86" t="s">
        <v>527</v>
      </c>
      <c r="H50" s="259"/>
      <c r="I50" s="335">
        <f t="shared" si="1"/>
        <v>16</v>
      </c>
      <c r="J50" s="257" t="str">
        <f t="shared" si="2"/>
        <v/>
      </c>
      <c r="K50" s="90">
        <f t="shared" si="3"/>
        <v>0</v>
      </c>
      <c r="M50" s="336"/>
      <c r="N50" s="57"/>
    </row>
    <row r="51">
      <c r="A51" s="322" t="s">
        <v>528</v>
      </c>
      <c r="B51" s="251" t="str">
        <f>VLOOKUP(A51,'ALL Tube Results'!A$2:B91,2,FALSE)</f>
        <v>RUN-BEND_2022-01-21_RFR-017</v>
      </c>
      <c r="C51" s="6" t="s">
        <v>529</v>
      </c>
      <c r="D51" s="333">
        <v>1.0</v>
      </c>
      <c r="E51" s="334">
        <v>7.8</v>
      </c>
      <c r="F51" s="333">
        <v>2.0</v>
      </c>
      <c r="G51" s="86" t="s">
        <v>530</v>
      </c>
      <c r="H51" s="259"/>
      <c r="I51" s="335">
        <f t="shared" si="1"/>
        <v>17</v>
      </c>
      <c r="J51" s="257" t="str">
        <f t="shared" si="2"/>
        <v>R_BEND-017</v>
      </c>
      <c r="K51" s="90">
        <f t="shared" si="3"/>
        <v>7</v>
      </c>
      <c r="M51" s="336"/>
      <c r="N51" s="57"/>
    </row>
    <row r="52">
      <c r="A52" s="322" t="s">
        <v>531</v>
      </c>
      <c r="B52" s="251" t="str">
        <f>VLOOKUP(A52,'ALL Tube Results'!A$2:B91,2,FALSE)</f>
        <v>RUN-BEND_2022-01-21_RFR-017</v>
      </c>
      <c r="C52" s="6" t="s">
        <v>529</v>
      </c>
      <c r="D52" s="333">
        <v>1.0</v>
      </c>
      <c r="E52" s="333">
        <v>7.0</v>
      </c>
      <c r="F52" s="333">
        <v>1.0</v>
      </c>
      <c r="H52" s="259"/>
      <c r="I52" s="335">
        <f t="shared" si="1"/>
        <v>17</v>
      </c>
      <c r="J52" s="257" t="str">
        <f>IF(C52&lt;&gt;C45,C52,"")</f>
        <v>R_BEND-017</v>
      </c>
      <c r="K52" s="90">
        <f t="shared" si="3"/>
        <v>7</v>
      </c>
      <c r="M52" s="336"/>
      <c r="N52" s="57"/>
    </row>
    <row r="53">
      <c r="A53" s="86" t="s">
        <v>532</v>
      </c>
      <c r="B53" s="251" t="str">
        <f>VLOOKUP(A53,'ALL Tube Results'!A$2:B91,2,FALSE)</f>
        <v>RUN-BEND_2022-01-21_RFR-017</v>
      </c>
      <c r="C53" s="6" t="s">
        <v>529</v>
      </c>
      <c r="D53" s="333">
        <v>1.0</v>
      </c>
      <c r="E53" s="334">
        <v>7.8</v>
      </c>
      <c r="F53" s="333">
        <v>2.0</v>
      </c>
      <c r="G53" s="86" t="s">
        <v>530</v>
      </c>
      <c r="H53" s="259"/>
      <c r="I53" s="335">
        <f t="shared" si="1"/>
        <v>17</v>
      </c>
      <c r="J53" s="257" t="str">
        <f t="shared" ref="J53:J68" si="7">IF(C53&lt;&gt;C52,C53,"")</f>
        <v/>
      </c>
      <c r="K53" s="90">
        <f t="shared" si="3"/>
        <v>0</v>
      </c>
      <c r="M53" s="336"/>
      <c r="N53" s="57"/>
    </row>
    <row r="54">
      <c r="A54" s="86" t="s">
        <v>532</v>
      </c>
      <c r="B54" s="251" t="str">
        <f>VLOOKUP(A54,'ALL Tube Results'!A$2:B91,2,FALSE)</f>
        <v>RUN-BEND_2022-01-21_RFR-017</v>
      </c>
      <c r="C54" s="6" t="s">
        <v>529</v>
      </c>
      <c r="D54" s="333">
        <v>1.0</v>
      </c>
      <c r="E54" s="334">
        <v>7.8</v>
      </c>
      <c r="F54" s="333">
        <v>2.0</v>
      </c>
      <c r="G54" s="86" t="s">
        <v>530</v>
      </c>
      <c r="H54" s="259"/>
      <c r="I54" s="335">
        <f t="shared" si="1"/>
        <v>17</v>
      </c>
      <c r="J54" s="257" t="str">
        <f t="shared" si="7"/>
        <v/>
      </c>
      <c r="K54" s="90">
        <f t="shared" si="3"/>
        <v>0</v>
      </c>
      <c r="M54" s="336"/>
      <c r="N54" s="57"/>
    </row>
    <row r="55">
      <c r="A55" s="322" t="s">
        <v>533</v>
      </c>
      <c r="B55" s="251" t="str">
        <f>VLOOKUP(A55,'ALL Tube Results'!A$2:B91,2,FALSE)</f>
        <v>RUN-BEND_2022-01-21_RFR-017</v>
      </c>
      <c r="C55" s="6" t="s">
        <v>529</v>
      </c>
      <c r="D55" s="333">
        <v>1.0</v>
      </c>
      <c r="E55" s="334">
        <v>7.8</v>
      </c>
      <c r="F55" s="333">
        <v>2.0</v>
      </c>
      <c r="G55" s="86" t="s">
        <v>530</v>
      </c>
      <c r="H55" s="259"/>
      <c r="I55" s="335">
        <f t="shared" si="1"/>
        <v>17</v>
      </c>
      <c r="J55" s="257" t="str">
        <f t="shared" si="7"/>
        <v/>
      </c>
      <c r="K55" s="90">
        <f t="shared" si="3"/>
        <v>0</v>
      </c>
      <c r="M55" s="336"/>
      <c r="N55" s="57"/>
    </row>
    <row r="56">
      <c r="A56" s="322" t="s">
        <v>534</v>
      </c>
      <c r="B56" s="251" t="str">
        <f>VLOOKUP(A56,'ALL Tube Results'!A$2:B91,2,FALSE)</f>
        <v>RUN-BEND_2022-01-21_RFR-017</v>
      </c>
      <c r="C56" s="6" t="s">
        <v>529</v>
      </c>
      <c r="D56" s="333">
        <v>1.0</v>
      </c>
      <c r="E56" s="334">
        <v>7.8</v>
      </c>
      <c r="F56" s="333">
        <v>2.0</v>
      </c>
      <c r="G56" s="86" t="s">
        <v>530</v>
      </c>
      <c r="H56" s="259"/>
      <c r="I56" s="335">
        <f t="shared" si="1"/>
        <v>17</v>
      </c>
      <c r="J56" s="257" t="str">
        <f t="shared" si="7"/>
        <v/>
      </c>
      <c r="K56" s="90">
        <f t="shared" si="3"/>
        <v>0</v>
      </c>
      <c r="M56" s="336"/>
      <c r="N56" s="57"/>
    </row>
    <row r="57">
      <c r="A57" s="340" t="s">
        <v>535</v>
      </c>
      <c r="B57" s="251" t="str">
        <f>VLOOKUP(A57,'ALL Tube Results'!A$2:B91,2,FALSE)</f>
        <v>RUN-BEND_2022-01-21_RFR-017</v>
      </c>
      <c r="C57" s="6" t="s">
        <v>529</v>
      </c>
      <c r="D57" s="333">
        <v>1.0</v>
      </c>
      <c r="E57" s="334">
        <v>7.8</v>
      </c>
      <c r="F57" s="333">
        <v>2.0</v>
      </c>
      <c r="G57" s="86" t="s">
        <v>530</v>
      </c>
      <c r="H57" s="259"/>
      <c r="I57" s="335">
        <f t="shared" si="1"/>
        <v>17</v>
      </c>
      <c r="J57" s="257" t="str">
        <f t="shared" si="7"/>
        <v/>
      </c>
      <c r="K57" s="90">
        <f t="shared" si="3"/>
        <v>0</v>
      </c>
      <c r="M57" s="336"/>
      <c r="N57" s="57"/>
    </row>
    <row r="58">
      <c r="A58" s="86" t="s">
        <v>536</v>
      </c>
      <c r="B58" s="251" t="str">
        <f>VLOOKUP(A58,'ALL Tube Results'!A$2:B91,2,FALSE)</f>
        <v>RUN-BEND_2022-01-24_RFR-019</v>
      </c>
      <c r="C58" s="6" t="s">
        <v>537</v>
      </c>
      <c r="D58" s="333">
        <v>1.0</v>
      </c>
      <c r="E58" s="333">
        <v>7.0</v>
      </c>
      <c r="F58" s="333">
        <v>1.0</v>
      </c>
      <c r="H58" s="259"/>
      <c r="I58" s="335">
        <f t="shared" si="1"/>
        <v>19</v>
      </c>
      <c r="J58" s="257" t="str">
        <f t="shared" si="7"/>
        <v>R_BEND-019</v>
      </c>
      <c r="K58" s="90">
        <f t="shared" si="3"/>
        <v>5</v>
      </c>
      <c r="M58" s="336"/>
      <c r="N58" s="57"/>
    </row>
    <row r="59">
      <c r="A59" s="340" t="s">
        <v>538</v>
      </c>
      <c r="B59" s="251" t="str">
        <f>VLOOKUP(A59,'ALL Tube Results'!A$2:B91,2,FALSE)</f>
        <v>RUN-BEND_2022-01-24_RFR-019</v>
      </c>
      <c r="C59" s="6" t="s">
        <v>537</v>
      </c>
      <c r="D59" s="333">
        <v>1.0</v>
      </c>
      <c r="E59" s="333">
        <v>7.0</v>
      </c>
      <c r="F59" s="333">
        <v>1.0</v>
      </c>
      <c r="H59" s="259"/>
      <c r="I59" s="335">
        <f t="shared" si="1"/>
        <v>19</v>
      </c>
      <c r="J59" s="257" t="str">
        <f t="shared" si="7"/>
        <v/>
      </c>
      <c r="K59" s="90">
        <f t="shared" si="3"/>
        <v>0</v>
      </c>
      <c r="M59" s="336"/>
      <c r="N59" s="57"/>
    </row>
    <row r="60">
      <c r="A60" s="322" t="s">
        <v>539</v>
      </c>
      <c r="B60" s="251" t="str">
        <f>VLOOKUP(A60,'ALL Tube Results'!A$2:B91,2,FALSE)</f>
        <v>RUN-BEND_2022-01-24_RFR-019</v>
      </c>
      <c r="C60" s="6" t="s">
        <v>537</v>
      </c>
      <c r="D60" s="333">
        <v>1.0</v>
      </c>
      <c r="E60" s="333">
        <v>7.0</v>
      </c>
      <c r="F60" s="333">
        <v>1.0</v>
      </c>
      <c r="H60" s="259"/>
      <c r="I60" s="335">
        <f t="shared" si="1"/>
        <v>19</v>
      </c>
      <c r="J60" s="257" t="str">
        <f t="shared" si="7"/>
        <v/>
      </c>
      <c r="K60" s="90">
        <f t="shared" si="3"/>
        <v>0</v>
      </c>
      <c r="M60" s="336"/>
      <c r="N60" s="57"/>
    </row>
    <row r="61">
      <c r="A61" s="322" t="s">
        <v>540</v>
      </c>
      <c r="B61" s="251" t="str">
        <f>VLOOKUP(A61,'ALL Tube Results'!A$2:B91,2,FALSE)</f>
        <v>RUN-BEND_2022-01-24_RFR-019</v>
      </c>
      <c r="C61" s="6" t="s">
        <v>537</v>
      </c>
      <c r="D61" s="333">
        <v>1.0</v>
      </c>
      <c r="E61" s="333">
        <v>7.0</v>
      </c>
      <c r="F61" s="333">
        <v>1.0</v>
      </c>
      <c r="H61" s="259"/>
      <c r="I61" s="335">
        <f t="shared" si="1"/>
        <v>19</v>
      </c>
      <c r="J61" s="257" t="str">
        <f t="shared" si="7"/>
        <v/>
      </c>
      <c r="K61" s="90">
        <f t="shared" si="3"/>
        <v>0</v>
      </c>
      <c r="M61" s="336"/>
      <c r="N61" s="57"/>
    </row>
    <row r="62">
      <c r="A62" s="86" t="str">
        <f t="shared" ref="A62:A64" si="8">CONCATENATE("TUNKPROG",TEXT(H62,"000"))</f>
        <v>TUNKPROG009</v>
      </c>
      <c r="B62" s="251" t="str">
        <f>VLOOKUP(A62,'ALL Tube Results'!A$2:B91,2,FALSE)</f>
        <v>#N/A</v>
      </c>
      <c r="C62" s="6" t="s">
        <v>537</v>
      </c>
      <c r="D62" s="333">
        <v>4.0</v>
      </c>
      <c r="E62" s="334">
        <v>3.0</v>
      </c>
      <c r="F62" s="333">
        <v>1.0</v>
      </c>
      <c r="G62" s="86" t="s">
        <v>541</v>
      </c>
      <c r="H62" s="338">
        <v>9.0</v>
      </c>
      <c r="I62" s="335">
        <f t="shared" si="1"/>
        <v>19</v>
      </c>
      <c r="J62" s="257" t="str">
        <f t="shared" si="7"/>
        <v/>
      </c>
      <c r="K62" s="90">
        <f t="shared" si="3"/>
        <v>0</v>
      </c>
      <c r="M62" s="336"/>
      <c r="N62" s="57"/>
    </row>
    <row r="63">
      <c r="A63" s="86" t="str">
        <f t="shared" si="8"/>
        <v>TUNKPROG010</v>
      </c>
      <c r="B63" s="251" t="str">
        <f>VLOOKUP(A63,'ALL Tube Results'!A$2:B91,2,FALSE)</f>
        <v>#N/A</v>
      </c>
      <c r="C63" s="6" t="s">
        <v>542</v>
      </c>
      <c r="D63" s="333">
        <v>4.0</v>
      </c>
      <c r="E63" s="334">
        <v>2.4</v>
      </c>
      <c r="F63" s="333">
        <v>3.0</v>
      </c>
      <c r="G63" s="86" t="s">
        <v>543</v>
      </c>
      <c r="H63" s="338">
        <v>10.0</v>
      </c>
      <c r="I63" s="335">
        <f t="shared" si="1"/>
        <v>20</v>
      </c>
      <c r="J63" s="257" t="str">
        <f t="shared" si="7"/>
        <v>R_BEND-020</v>
      </c>
      <c r="K63" s="90">
        <f t="shared" si="3"/>
        <v>1</v>
      </c>
      <c r="M63" s="336"/>
      <c r="N63" s="57"/>
    </row>
    <row r="64">
      <c r="A64" s="86" t="str">
        <f t="shared" si="8"/>
        <v>TUNKPROG011</v>
      </c>
      <c r="B64" s="251" t="str">
        <f>VLOOKUP(A64,'ALL Tube Results'!A$2:B91,2,FALSE)</f>
        <v>#N/A</v>
      </c>
      <c r="C64" s="6" t="s">
        <v>544</v>
      </c>
      <c r="D64" s="333">
        <v>4.0</v>
      </c>
      <c r="E64" s="334">
        <v>2.4</v>
      </c>
      <c r="F64" s="333">
        <v>2.0</v>
      </c>
      <c r="G64" s="86" t="s">
        <v>545</v>
      </c>
      <c r="H64" s="338">
        <v>11.0</v>
      </c>
      <c r="I64" s="335">
        <f t="shared" si="1"/>
        <v>22</v>
      </c>
      <c r="J64" s="257" t="str">
        <f t="shared" si="7"/>
        <v>R_BEND-022</v>
      </c>
      <c r="K64" s="90">
        <f t="shared" si="3"/>
        <v>1</v>
      </c>
      <c r="M64" s="336"/>
      <c r="N64" s="57"/>
    </row>
    <row r="65">
      <c r="A65" s="322" t="s">
        <v>546</v>
      </c>
      <c r="B65" s="251" t="str">
        <f>VLOOKUP(A65,'ALL Tube Results'!A$2:B91,2,FALSE)</f>
        <v>RUN-BEND_2022-02-02_RFR-025</v>
      </c>
      <c r="C65" s="6" t="s">
        <v>547</v>
      </c>
      <c r="D65" s="333">
        <v>1.0</v>
      </c>
      <c r="E65" s="333">
        <v>7.0</v>
      </c>
      <c r="F65" s="333">
        <v>1.0</v>
      </c>
      <c r="H65" s="259"/>
      <c r="I65" s="335">
        <f t="shared" si="1"/>
        <v>25</v>
      </c>
      <c r="J65" s="257" t="str">
        <f t="shared" si="7"/>
        <v>R_BEND-025</v>
      </c>
      <c r="K65" s="90">
        <f t="shared" si="3"/>
        <v>1</v>
      </c>
      <c r="M65" s="336"/>
      <c r="N65" s="57"/>
    </row>
    <row r="66">
      <c r="A66" s="322" t="s">
        <v>548</v>
      </c>
      <c r="B66" s="251" t="str">
        <f>VLOOKUP(A66,'ALL Tube Results'!A$2:B91,2,FALSE)</f>
        <v>RUN-BEND_2022-02-07_RFR-027</v>
      </c>
      <c r="C66" s="6" t="s">
        <v>549</v>
      </c>
      <c r="D66" s="333">
        <v>1.0</v>
      </c>
      <c r="E66" s="333">
        <v>7.0</v>
      </c>
      <c r="F66" s="333">
        <v>1.0</v>
      </c>
      <c r="H66" s="259"/>
      <c r="I66" s="335">
        <f t="shared" si="1"/>
        <v>27</v>
      </c>
      <c r="J66" s="257" t="str">
        <f t="shared" si="7"/>
        <v>R_BEND-027</v>
      </c>
      <c r="K66" s="90">
        <f t="shared" si="3"/>
        <v>1</v>
      </c>
      <c r="M66" s="336"/>
      <c r="N66" s="57"/>
    </row>
    <row r="67">
      <c r="A67" s="86" t="s">
        <v>550</v>
      </c>
      <c r="B67" s="251" t="str">
        <f>VLOOKUP(A67,'ALL Tube Results'!A$2:B91,2,FALSE)</f>
        <v>RUN-BEND_2022-02-09_RFR-028</v>
      </c>
      <c r="C67" s="6" t="s">
        <v>551</v>
      </c>
      <c r="D67" s="333">
        <v>1.0</v>
      </c>
      <c r="E67" s="333">
        <v>7.0</v>
      </c>
      <c r="F67" s="333">
        <v>1.0</v>
      </c>
      <c r="G67" s="86" t="s">
        <v>527</v>
      </c>
      <c r="H67" s="259"/>
      <c r="I67" s="335">
        <f t="shared" si="1"/>
        <v>28</v>
      </c>
      <c r="J67" s="257" t="str">
        <f t="shared" si="7"/>
        <v>R_BEND-028</v>
      </c>
      <c r="K67" s="90">
        <f t="shared" si="3"/>
        <v>2</v>
      </c>
      <c r="M67" s="336"/>
      <c r="N67" s="57"/>
    </row>
    <row r="68">
      <c r="A68" s="86" t="str">
        <f>CONCATENATE("TUNKPROG",TEXT(H68,"000"))</f>
        <v>TUNKPROG012</v>
      </c>
      <c r="B68" s="251" t="str">
        <f>VLOOKUP(A68,'ALL Tube Results'!A$2:B91,2,FALSE)</f>
        <v>#N/A</v>
      </c>
      <c r="C68" s="6" t="s">
        <v>551</v>
      </c>
      <c r="D68" s="333">
        <v>4.0</v>
      </c>
      <c r="E68" s="334">
        <v>5.1</v>
      </c>
      <c r="F68" s="333">
        <v>2.0</v>
      </c>
      <c r="G68" s="86" t="s">
        <v>552</v>
      </c>
      <c r="H68" s="338">
        <v>12.0</v>
      </c>
      <c r="I68" s="335">
        <f t="shared" si="1"/>
        <v>28</v>
      </c>
      <c r="J68" s="257" t="str">
        <f t="shared" si="7"/>
        <v/>
      </c>
      <c r="K68" s="90">
        <f t="shared" si="3"/>
        <v>0</v>
      </c>
      <c r="M68" s="336"/>
      <c r="N68" s="57"/>
    </row>
    <row r="69">
      <c r="A69" s="322" t="s">
        <v>553</v>
      </c>
      <c r="B69" s="251" t="str">
        <f>VLOOKUP(A69,'ALL Tube Results'!A$2:B91,2,FALSE)</f>
        <v>RUN-BEND_2022-02-11_RFR-030</v>
      </c>
      <c r="C69" s="6" t="s">
        <v>554</v>
      </c>
      <c r="D69" s="333">
        <v>1.0</v>
      </c>
      <c r="E69" s="333">
        <v>7.0</v>
      </c>
      <c r="F69" s="333">
        <v>1.0</v>
      </c>
      <c r="H69" s="259"/>
      <c r="I69" s="335">
        <f t="shared" si="1"/>
        <v>30</v>
      </c>
      <c r="J69" s="257" t="str">
        <f>IF(C69&lt;&gt;C66,C69,"")</f>
        <v>R_BEND-030</v>
      </c>
      <c r="K69" s="90">
        <f t="shared" si="3"/>
        <v>2</v>
      </c>
      <c r="M69" s="336"/>
      <c r="N69" s="57"/>
    </row>
    <row r="70">
      <c r="A70" s="322" t="s">
        <v>555</v>
      </c>
      <c r="B70" s="251" t="str">
        <f>VLOOKUP(A70,'ALL Tube Results'!A$2:B91,2,FALSE)</f>
        <v>RUN-BEND_2022-02-11_RFR-030</v>
      </c>
      <c r="C70" s="6" t="s">
        <v>554</v>
      </c>
      <c r="D70" s="333">
        <v>1.0</v>
      </c>
      <c r="E70" s="333">
        <v>7.0</v>
      </c>
      <c r="F70" s="333">
        <v>1.0</v>
      </c>
      <c r="H70" s="259"/>
      <c r="I70" s="335">
        <f t="shared" si="1"/>
        <v>30</v>
      </c>
      <c r="J70" s="257" t="str">
        <f t="shared" ref="J70:J86" si="9">IF(C70&lt;&gt;C69,C70,"")</f>
        <v/>
      </c>
      <c r="K70" s="90">
        <f t="shared" si="3"/>
        <v>0</v>
      </c>
      <c r="M70" s="336"/>
      <c r="N70" s="57"/>
    </row>
    <row r="71">
      <c r="A71" s="322" t="s">
        <v>556</v>
      </c>
      <c r="B71" s="251" t="str">
        <f>VLOOKUP(A71,'ALL Tube Results'!A$2:B91,2,FALSE)</f>
        <v>RUN-BEND_2022-02-12_RFR-031</v>
      </c>
      <c r="C71" s="6" t="s">
        <v>557</v>
      </c>
      <c r="D71" s="333">
        <v>1.0</v>
      </c>
      <c r="E71" s="333">
        <v>7.0</v>
      </c>
      <c r="F71" s="333">
        <v>1.0</v>
      </c>
      <c r="H71" s="259"/>
      <c r="I71" s="335">
        <f t="shared" si="1"/>
        <v>31</v>
      </c>
      <c r="J71" s="257" t="str">
        <f t="shared" si="9"/>
        <v>R_BEND-031</v>
      </c>
      <c r="K71" s="90">
        <f t="shared" si="3"/>
        <v>2</v>
      </c>
      <c r="M71" s="336"/>
      <c r="N71" s="57"/>
    </row>
    <row r="72">
      <c r="A72" s="322" t="s">
        <v>558</v>
      </c>
      <c r="B72" s="251" t="str">
        <f>VLOOKUP(A72,'ALL Tube Results'!A$2:B91,2,FALSE)</f>
        <v>RUN-BEND_2022-02-12_RFR-031</v>
      </c>
      <c r="C72" s="6" t="s">
        <v>557</v>
      </c>
      <c r="D72" s="333">
        <v>1.0</v>
      </c>
      <c r="E72" s="333">
        <v>7.0</v>
      </c>
      <c r="F72" s="333">
        <v>1.0</v>
      </c>
      <c r="H72" s="259"/>
      <c r="I72" s="335">
        <f t="shared" si="1"/>
        <v>31</v>
      </c>
      <c r="J72" s="257" t="str">
        <f t="shared" si="9"/>
        <v/>
      </c>
      <c r="K72" s="90">
        <f t="shared" si="3"/>
        <v>0</v>
      </c>
      <c r="M72" s="336"/>
      <c r="N72" s="57"/>
    </row>
    <row r="73">
      <c r="A73" s="86" t="s">
        <v>559</v>
      </c>
      <c r="B73" s="251" t="str">
        <f>VLOOKUP(A73,'ALL Tube Results'!A$2:B91,2,FALSE)</f>
        <v>RUN-BEND_2022-02-15_RFR-032</v>
      </c>
      <c r="C73" s="341" t="s">
        <v>560</v>
      </c>
      <c r="D73" s="333">
        <v>4.0</v>
      </c>
      <c r="E73" s="342">
        <v>9.0</v>
      </c>
      <c r="F73" s="333">
        <v>3.0</v>
      </c>
      <c r="G73" s="86" t="s">
        <v>561</v>
      </c>
      <c r="H73" s="338">
        <v>13.0</v>
      </c>
      <c r="I73" s="335">
        <f t="shared" si="1"/>
        <v>32</v>
      </c>
      <c r="J73" s="257" t="str">
        <f t="shared" si="9"/>
        <v>R_BEND-032</v>
      </c>
      <c r="K73" s="90">
        <f t="shared" si="3"/>
        <v>2</v>
      </c>
      <c r="M73" s="336"/>
      <c r="N73" s="57"/>
    </row>
    <row r="74">
      <c r="A74" s="86" t="s">
        <v>562</v>
      </c>
      <c r="B74" s="251" t="str">
        <f>VLOOKUP(A74,'ALL Tube Results'!A$2:B91,2,FALSE)</f>
        <v>RUN-BEND_2022-02-15_RFR-032</v>
      </c>
      <c r="C74" s="341" t="s">
        <v>560</v>
      </c>
      <c r="D74" s="333">
        <v>4.0</v>
      </c>
      <c r="E74" s="342">
        <v>9.0</v>
      </c>
      <c r="F74" s="333">
        <v>6.0</v>
      </c>
      <c r="G74" s="86" t="s">
        <v>563</v>
      </c>
      <c r="H74" s="338">
        <v>14.0</v>
      </c>
      <c r="I74" s="335">
        <f t="shared" si="1"/>
        <v>32</v>
      </c>
      <c r="J74" s="257" t="str">
        <f t="shared" si="9"/>
        <v/>
      </c>
      <c r="K74" s="90">
        <f t="shared" si="3"/>
        <v>0</v>
      </c>
      <c r="M74" s="336"/>
      <c r="N74" s="57"/>
    </row>
    <row r="75">
      <c r="A75" s="86" t="str">
        <f t="shared" ref="A75:A77" si="10">CONCATENATE("TUNKPROG",TEXT(H75,"000"))</f>
        <v>TUNKPROG015</v>
      </c>
      <c r="B75" s="251" t="str">
        <f>VLOOKUP(A75,'ALL Tube Results'!A$2:B91,2,FALSE)</f>
        <v>#N/A</v>
      </c>
      <c r="C75" s="6" t="s">
        <v>564</v>
      </c>
      <c r="D75" s="333">
        <v>4.0</v>
      </c>
      <c r="E75" s="333">
        <v>3.0</v>
      </c>
      <c r="F75" s="333">
        <v>1.0</v>
      </c>
      <c r="H75" s="338">
        <v>15.0</v>
      </c>
      <c r="I75" s="335">
        <f t="shared" si="1"/>
        <v>35</v>
      </c>
      <c r="J75" s="257" t="str">
        <f t="shared" si="9"/>
        <v>R_BEND-035</v>
      </c>
      <c r="K75" s="90">
        <f t="shared" si="3"/>
        <v>1</v>
      </c>
      <c r="M75" s="336"/>
      <c r="N75" s="57"/>
    </row>
    <row r="76">
      <c r="A76" s="86" t="str">
        <f t="shared" si="10"/>
        <v>TUNKPROG016</v>
      </c>
      <c r="B76" s="251" t="str">
        <f>VLOOKUP(A76,'ALL Tube Results'!A$2:B91,2,FALSE)</f>
        <v>#N/A</v>
      </c>
      <c r="C76" s="6" t="s">
        <v>565</v>
      </c>
      <c r="D76" s="333">
        <v>4.0</v>
      </c>
      <c r="E76" s="333">
        <v>1.0</v>
      </c>
      <c r="F76" s="333">
        <v>1.0</v>
      </c>
      <c r="G76" s="86" t="s">
        <v>566</v>
      </c>
      <c r="H76" s="338">
        <v>16.0</v>
      </c>
      <c r="I76" s="335">
        <f t="shared" si="1"/>
        <v>36</v>
      </c>
      <c r="J76" s="257" t="str">
        <f t="shared" si="9"/>
        <v>R_BEND-036</v>
      </c>
      <c r="K76" s="90">
        <f t="shared" si="3"/>
        <v>2</v>
      </c>
      <c r="M76" s="336"/>
      <c r="N76" s="57"/>
    </row>
    <row r="77">
      <c r="A77" s="86" t="str">
        <f t="shared" si="10"/>
        <v>TUNKPROG017</v>
      </c>
      <c r="B77" s="251" t="str">
        <f>VLOOKUP(A77,'ALL Tube Results'!A$2:B91,2,FALSE)</f>
        <v>#N/A</v>
      </c>
      <c r="C77" s="6" t="s">
        <v>565</v>
      </c>
      <c r="D77" s="333">
        <v>4.0</v>
      </c>
      <c r="E77" s="333">
        <v>1.0</v>
      </c>
      <c r="F77" s="333">
        <v>1.0</v>
      </c>
      <c r="G77" s="86" t="s">
        <v>566</v>
      </c>
      <c r="H77" s="338">
        <v>17.0</v>
      </c>
      <c r="I77" s="335">
        <f t="shared" si="1"/>
        <v>36</v>
      </c>
      <c r="J77" s="257" t="str">
        <f t="shared" si="9"/>
        <v/>
      </c>
      <c r="K77" s="90">
        <f t="shared" si="3"/>
        <v>0</v>
      </c>
      <c r="M77" s="336"/>
      <c r="N77" s="57"/>
    </row>
    <row r="78">
      <c r="A78" s="322" t="s">
        <v>567</v>
      </c>
      <c r="B78" s="251" t="str">
        <f>VLOOKUP(A78,'ALL Tube Results'!A$2:B91,2,FALSE)</f>
        <v>RUN-BEND_2022-02-22_RFR-038</v>
      </c>
      <c r="C78" s="6" t="s">
        <v>568</v>
      </c>
      <c r="D78" s="333">
        <v>1.0</v>
      </c>
      <c r="E78" s="333">
        <v>7.0</v>
      </c>
      <c r="F78" s="333">
        <v>1.0</v>
      </c>
      <c r="H78" s="259"/>
      <c r="I78" s="335">
        <f t="shared" si="1"/>
        <v>38</v>
      </c>
      <c r="J78" s="257" t="str">
        <f t="shared" si="9"/>
        <v>R_BEND-038</v>
      </c>
      <c r="K78" s="90">
        <f t="shared" si="3"/>
        <v>1</v>
      </c>
      <c r="M78" s="336"/>
      <c r="N78" s="57"/>
    </row>
    <row r="79">
      <c r="A79" s="86" t="str">
        <f>CONCATENATE("TUNKPROG",TEXT(H79,"000"))</f>
        <v>TUNKPROG018</v>
      </c>
      <c r="B79" s="251" t="str">
        <f>VLOOKUP(A79,'ALL Tube Results'!A$2:B91,2,FALSE)</f>
        <v>#N/A</v>
      </c>
      <c r="C79" s="6" t="s">
        <v>569</v>
      </c>
      <c r="D79" s="333">
        <v>4.0</v>
      </c>
      <c r="E79" s="333">
        <v>2.4</v>
      </c>
      <c r="F79" s="333">
        <v>1.0</v>
      </c>
      <c r="G79" s="86" t="s">
        <v>545</v>
      </c>
      <c r="H79" s="338">
        <v>18.0</v>
      </c>
      <c r="I79" s="335">
        <f t="shared" si="1"/>
        <v>40</v>
      </c>
      <c r="J79" s="257" t="str">
        <f t="shared" si="9"/>
        <v>R_BEND-040</v>
      </c>
      <c r="K79" s="90">
        <f t="shared" si="3"/>
        <v>1</v>
      </c>
      <c r="M79" s="336"/>
      <c r="N79" s="57"/>
    </row>
    <row r="80">
      <c r="A80" s="86" t="s">
        <v>570</v>
      </c>
      <c r="B80" s="251" t="str">
        <f>VLOOKUP(A80,'ALL Tube Results'!A$2:B91,2,FALSE)</f>
        <v>RUN-BEND_2022-02-27_RFR-042</v>
      </c>
      <c r="C80" s="6" t="s">
        <v>571</v>
      </c>
      <c r="D80" s="333">
        <v>1.0</v>
      </c>
      <c r="E80" s="333">
        <v>7.0</v>
      </c>
      <c r="F80" s="333">
        <v>1.0</v>
      </c>
      <c r="H80" s="259"/>
      <c r="I80" s="335">
        <f t="shared" si="1"/>
        <v>42</v>
      </c>
      <c r="J80" s="257" t="str">
        <f t="shared" si="9"/>
        <v>R_BEND-042</v>
      </c>
      <c r="K80" s="90">
        <f t="shared" si="3"/>
        <v>2</v>
      </c>
      <c r="M80" s="336"/>
      <c r="N80" s="57"/>
    </row>
    <row r="81">
      <c r="A81" s="322" t="s">
        <v>572</v>
      </c>
      <c r="B81" s="251" t="str">
        <f>VLOOKUP(A81,'ALL Tube Results'!A$2:B91,2,FALSE)</f>
        <v>RUN-BEND_2022-02-27_RFR-042</v>
      </c>
      <c r="C81" s="6" t="s">
        <v>571</v>
      </c>
      <c r="D81" s="333">
        <v>1.0</v>
      </c>
      <c r="E81" s="333">
        <v>7.0</v>
      </c>
      <c r="F81" s="333">
        <v>1.0</v>
      </c>
      <c r="H81" s="259"/>
      <c r="I81" s="335">
        <f t="shared" si="1"/>
        <v>42</v>
      </c>
      <c r="J81" s="257" t="str">
        <f t="shared" si="9"/>
        <v/>
      </c>
      <c r="K81" s="90">
        <f t="shared" si="3"/>
        <v>0</v>
      </c>
      <c r="M81" s="336"/>
      <c r="N81" s="57"/>
    </row>
    <row r="82">
      <c r="A82" s="322" t="s">
        <v>573</v>
      </c>
      <c r="B82" s="251" t="str">
        <f>VLOOKUP(A82,'ALL Tube Results'!A$2:B91,2,FALSE)</f>
        <v>RUN-BEND_2022-03-03_RFR-044</v>
      </c>
      <c r="C82" s="6" t="s">
        <v>574</v>
      </c>
      <c r="D82" s="333">
        <v>1.0</v>
      </c>
      <c r="E82" s="333">
        <v>7.0</v>
      </c>
      <c r="F82" s="333">
        <v>1.0</v>
      </c>
      <c r="H82" s="259"/>
      <c r="I82" s="335">
        <f t="shared" si="1"/>
        <v>44</v>
      </c>
      <c r="J82" s="257" t="str">
        <f t="shared" si="9"/>
        <v>R_BEND-044</v>
      </c>
      <c r="K82" s="90">
        <f t="shared" si="3"/>
        <v>2</v>
      </c>
      <c r="M82" s="336"/>
      <c r="N82" s="57"/>
    </row>
    <row r="83">
      <c r="A83" s="322" t="s">
        <v>575</v>
      </c>
      <c r="B83" s="251" t="str">
        <f>VLOOKUP(A83,'ALL Tube Results'!A$2:B91,2,FALSE)</f>
        <v>RUN-BEND_2022-03-03_RFR-044</v>
      </c>
      <c r="C83" s="6" t="s">
        <v>574</v>
      </c>
      <c r="D83" s="333">
        <v>1.0</v>
      </c>
      <c r="E83" s="333">
        <v>7.0</v>
      </c>
      <c r="F83" s="333">
        <v>1.0</v>
      </c>
      <c r="H83" s="259"/>
      <c r="I83" s="335">
        <f t="shared" si="1"/>
        <v>44</v>
      </c>
      <c r="J83" s="257" t="str">
        <f t="shared" si="9"/>
        <v/>
      </c>
      <c r="K83" s="90">
        <f t="shared" si="3"/>
        <v>0</v>
      </c>
      <c r="M83" s="336"/>
      <c r="N83" s="57"/>
    </row>
    <row r="84">
      <c r="A84" s="86" t="str">
        <f t="shared" ref="A84:A91" si="11">CONCATENATE("TUNKPROG",TEXT(H84,"000"))</f>
        <v>TUNKPROG019</v>
      </c>
      <c r="B84" s="251" t="str">
        <f>VLOOKUP(A84,'ALL Tube Results'!A$2:B91,2,FALSE)</f>
        <v>#N/A</v>
      </c>
      <c r="C84" s="6" t="s">
        <v>576</v>
      </c>
      <c r="D84" s="333">
        <v>4.0</v>
      </c>
      <c r="E84" s="333">
        <v>2.4</v>
      </c>
      <c r="F84" s="333">
        <v>2.0</v>
      </c>
      <c r="G84" s="86" t="s">
        <v>577</v>
      </c>
      <c r="H84" s="338">
        <v>19.0</v>
      </c>
      <c r="I84" s="335">
        <f t="shared" si="1"/>
        <v>45</v>
      </c>
      <c r="J84" s="257" t="str">
        <f t="shared" si="9"/>
        <v>R_BEND-045</v>
      </c>
      <c r="K84" s="90">
        <f t="shared" si="3"/>
        <v>5</v>
      </c>
      <c r="M84" s="336"/>
      <c r="N84" s="57"/>
    </row>
    <row r="85">
      <c r="A85" s="86" t="str">
        <f t="shared" si="11"/>
        <v>TUNKPROG020</v>
      </c>
      <c r="B85" s="251" t="str">
        <f>VLOOKUP(A85,'ALL Tube Results'!A$2:B91,2,FALSE)</f>
        <v>#N/A</v>
      </c>
      <c r="C85" s="6" t="s">
        <v>576</v>
      </c>
      <c r="D85" s="333">
        <v>4.0</v>
      </c>
      <c r="E85" s="333">
        <v>2.4</v>
      </c>
      <c r="F85" s="333">
        <v>2.0</v>
      </c>
      <c r="G85" s="86" t="s">
        <v>578</v>
      </c>
      <c r="H85" s="338">
        <v>20.0</v>
      </c>
      <c r="I85" s="335">
        <f t="shared" si="1"/>
        <v>45</v>
      </c>
      <c r="J85" s="257" t="str">
        <f t="shared" si="9"/>
        <v/>
      </c>
      <c r="K85" s="90">
        <f t="shared" si="3"/>
        <v>0</v>
      </c>
      <c r="M85" s="336"/>
      <c r="N85" s="57"/>
    </row>
    <row r="86">
      <c r="A86" s="86" t="str">
        <f t="shared" si="11"/>
        <v>TUNKPROG021</v>
      </c>
      <c r="B86" s="251" t="str">
        <f>VLOOKUP(A86,'ALL Tube Results'!A$2:B91,2,FALSE)</f>
        <v>#N/A</v>
      </c>
      <c r="C86" s="6" t="s">
        <v>576</v>
      </c>
      <c r="D86" s="333">
        <v>4.0</v>
      </c>
      <c r="E86" s="333">
        <v>2.4</v>
      </c>
      <c r="F86" s="333">
        <v>2.0</v>
      </c>
      <c r="G86" s="86" t="s">
        <v>578</v>
      </c>
      <c r="H86" s="338">
        <v>21.0</v>
      </c>
      <c r="I86" s="335">
        <f t="shared" si="1"/>
        <v>45</v>
      </c>
      <c r="J86" s="257" t="str">
        <f t="shared" si="9"/>
        <v/>
      </c>
      <c r="K86" s="90">
        <f t="shared" si="3"/>
        <v>0</v>
      </c>
      <c r="M86" s="336"/>
      <c r="N86" s="57"/>
    </row>
    <row r="87">
      <c r="A87" s="86" t="str">
        <f t="shared" si="11"/>
        <v>TUNKPROG022</v>
      </c>
      <c r="B87" s="251" t="str">
        <f>VLOOKUP(A87,'ALL Tube Results'!A$2:B91,2,FALSE)</f>
        <v>#N/A</v>
      </c>
      <c r="C87" s="6" t="s">
        <v>576</v>
      </c>
      <c r="D87" s="333">
        <v>4.0</v>
      </c>
      <c r="E87" s="333">
        <v>7.0</v>
      </c>
      <c r="F87" s="333">
        <v>1.0</v>
      </c>
      <c r="G87" s="86"/>
      <c r="H87" s="338">
        <v>22.0</v>
      </c>
      <c r="I87" s="335"/>
      <c r="J87" s="257"/>
      <c r="K87" s="90"/>
      <c r="M87" s="336"/>
      <c r="N87" s="57"/>
    </row>
    <row r="88">
      <c r="A88" s="86" t="str">
        <f t="shared" si="11"/>
        <v>TUNKPROG023</v>
      </c>
      <c r="B88" s="251" t="str">
        <f>VLOOKUP(A88,'ALL Tube Results'!A$2:B91,2,FALSE)</f>
        <v>#N/A</v>
      </c>
      <c r="C88" s="6" t="s">
        <v>576</v>
      </c>
      <c r="D88" s="333">
        <v>4.0</v>
      </c>
      <c r="E88" s="333">
        <v>2.4</v>
      </c>
      <c r="F88" s="333">
        <v>2.0</v>
      </c>
      <c r="G88" s="86" t="s">
        <v>579</v>
      </c>
      <c r="H88" s="338">
        <v>23.0</v>
      </c>
      <c r="I88" s="335">
        <f t="shared" ref="I88:I91" si="12">VALUE(MID(C88,8,3))</f>
        <v>45</v>
      </c>
      <c r="J88" s="257" t="str">
        <f>IF(C88&lt;&gt;C86,C88,"")</f>
        <v/>
      </c>
      <c r="K88" s="90">
        <f t="shared" ref="K88:K91" si="13">COUNTIF($C$2:$C91,$J88)</f>
        <v>0</v>
      </c>
      <c r="M88" s="336"/>
      <c r="N88" s="57"/>
    </row>
    <row r="89">
      <c r="A89" s="86" t="str">
        <f t="shared" si="11"/>
        <v>TUNKPROG024</v>
      </c>
      <c r="B89" s="251" t="str">
        <f>VLOOKUP(A89,'ALL Tube Results'!A$2:B91,2,FALSE)</f>
        <v>#N/A</v>
      </c>
      <c r="C89" s="6" t="s">
        <v>580</v>
      </c>
      <c r="D89" s="333">
        <v>4.0</v>
      </c>
      <c r="E89" s="333">
        <v>2.4</v>
      </c>
      <c r="F89" s="333">
        <v>2.0</v>
      </c>
      <c r="G89" s="86" t="s">
        <v>578</v>
      </c>
      <c r="H89" s="338">
        <v>24.0</v>
      </c>
      <c r="I89" s="335">
        <f t="shared" si="12"/>
        <v>47</v>
      </c>
      <c r="J89" s="257" t="str">
        <f t="shared" ref="J89:J91" si="14">IF(C89&lt;&gt;C88,C89,"")</f>
        <v>R_BEND-047</v>
      </c>
      <c r="K89" s="90">
        <f t="shared" si="13"/>
        <v>3</v>
      </c>
      <c r="M89" s="336"/>
      <c r="N89" s="57"/>
    </row>
    <row r="90">
      <c r="A90" s="86" t="str">
        <f t="shared" si="11"/>
        <v>TUNKPROG025</v>
      </c>
      <c r="B90" s="251" t="str">
        <f>VLOOKUP(A90,'ALL Tube Results'!A$2:B91,2,FALSE)</f>
        <v>#N/A</v>
      </c>
      <c r="C90" s="6" t="s">
        <v>580</v>
      </c>
      <c r="D90" s="333">
        <v>4.0</v>
      </c>
      <c r="E90" s="333">
        <v>2.4</v>
      </c>
      <c r="F90" s="333">
        <v>2.0</v>
      </c>
      <c r="G90" s="86" t="s">
        <v>578</v>
      </c>
      <c r="H90" s="338">
        <v>25.0</v>
      </c>
      <c r="I90" s="335">
        <f t="shared" si="12"/>
        <v>47</v>
      </c>
      <c r="J90" s="257" t="str">
        <f t="shared" si="14"/>
        <v/>
      </c>
      <c r="K90" s="90">
        <f t="shared" si="13"/>
        <v>0</v>
      </c>
      <c r="M90" s="336"/>
      <c r="N90" s="57"/>
    </row>
    <row r="91">
      <c r="A91" s="86" t="str">
        <f t="shared" si="11"/>
        <v>TUNKPROG026</v>
      </c>
      <c r="B91" s="251" t="str">
        <f>VLOOKUP(A91,'ALL Tube Results'!A$2:B91,2,FALSE)</f>
        <v>#N/A</v>
      </c>
      <c r="C91" s="6" t="s">
        <v>580</v>
      </c>
      <c r="D91" s="333">
        <v>4.0</v>
      </c>
      <c r="E91" s="333">
        <v>8.0</v>
      </c>
      <c r="F91" s="333">
        <v>2.0</v>
      </c>
      <c r="G91" s="86" t="s">
        <v>579</v>
      </c>
      <c r="H91" s="338">
        <v>26.0</v>
      </c>
      <c r="I91" s="335">
        <f t="shared" si="12"/>
        <v>47</v>
      </c>
      <c r="J91" s="257" t="str">
        <f t="shared" si="14"/>
        <v/>
      </c>
      <c r="K91" s="90">
        <f t="shared" si="13"/>
        <v>0</v>
      </c>
      <c r="M91" s="336"/>
      <c r="N91" s="57"/>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3" max="3" width="13.13"/>
    <col customWidth="1" min="4" max="4" width="45.75"/>
    <col customWidth="1" min="11" max="11" width="16.75"/>
    <col customWidth="1" min="12" max="12" width="34.5"/>
    <col customWidth="1" min="13" max="13" width="18.75"/>
    <col customWidth="1" min="15" max="15" width="18.63"/>
    <col customWidth="1" min="16" max="16" width="41.63"/>
    <col customWidth="1" min="18" max="18" width="16.63"/>
    <col customWidth="1" min="19" max="26" width="8.63"/>
  </cols>
  <sheetData>
    <row r="1">
      <c r="A1" s="322" t="s">
        <v>581</v>
      </c>
      <c r="B1" s="57"/>
      <c r="C1" s="57"/>
      <c r="D1" s="322"/>
      <c r="E1" s="57"/>
      <c r="F1" s="57"/>
      <c r="G1" s="57"/>
      <c r="H1" s="57"/>
      <c r="I1" s="57"/>
      <c r="J1" s="57"/>
      <c r="K1" s="57"/>
      <c r="L1" s="57"/>
      <c r="M1" s="57"/>
      <c r="N1" s="57"/>
      <c r="O1" s="57"/>
      <c r="P1" s="57"/>
      <c r="Q1" s="57"/>
      <c r="R1" s="57"/>
      <c r="S1" s="57"/>
      <c r="T1" s="57"/>
      <c r="U1" s="57"/>
      <c r="V1" s="57"/>
      <c r="W1" s="57"/>
      <c r="X1" s="57"/>
      <c r="Y1" s="57"/>
      <c r="Z1" s="57"/>
      <c r="AA1" s="57"/>
      <c r="AB1" s="57"/>
      <c r="AC1" s="57"/>
      <c r="AD1" s="57"/>
    </row>
    <row r="2">
      <c r="A2" s="327"/>
      <c r="B2" s="57"/>
      <c r="C2" s="57"/>
      <c r="D2" s="57"/>
      <c r="E2" s="57"/>
      <c r="F2" s="57"/>
      <c r="G2" s="57"/>
      <c r="H2" s="57"/>
      <c r="I2" s="57"/>
      <c r="J2" s="57"/>
      <c r="K2" s="57"/>
      <c r="L2" s="343"/>
      <c r="M2" s="343"/>
      <c r="N2" s="343"/>
      <c r="O2" s="57"/>
      <c r="P2" s="57"/>
      <c r="Q2" s="57"/>
      <c r="R2" s="57"/>
      <c r="S2" s="57"/>
      <c r="T2" s="57"/>
      <c r="U2" s="57"/>
      <c r="V2" s="57"/>
      <c r="W2" s="57"/>
      <c r="X2" s="57"/>
      <c r="Y2" s="57"/>
      <c r="Z2" s="57"/>
      <c r="AA2" s="57"/>
      <c r="AB2" s="57"/>
      <c r="AC2" s="57"/>
      <c r="AD2" s="57"/>
    </row>
    <row r="3">
      <c r="A3" s="57"/>
      <c r="B3" s="344" t="s">
        <v>582</v>
      </c>
      <c r="C3" s="345" t="s">
        <v>583</v>
      </c>
      <c r="D3" s="327"/>
      <c r="E3" s="327"/>
      <c r="F3" s="57"/>
      <c r="G3" s="57"/>
      <c r="H3" s="57"/>
      <c r="I3" s="57"/>
      <c r="J3" s="57"/>
      <c r="K3" s="346"/>
      <c r="L3" s="347" t="s">
        <v>584</v>
      </c>
      <c r="M3" s="348" t="s">
        <v>143</v>
      </c>
      <c r="N3" s="348" t="s">
        <v>585</v>
      </c>
      <c r="O3" s="57"/>
      <c r="P3" s="57"/>
      <c r="Q3" s="57"/>
      <c r="R3" s="349" t="s">
        <v>586</v>
      </c>
      <c r="S3" s="350" t="s">
        <v>173</v>
      </c>
      <c r="T3" s="350" t="s">
        <v>587</v>
      </c>
      <c r="U3" s="351" t="s">
        <v>588</v>
      </c>
      <c r="V3" s="352"/>
      <c r="W3" s="353"/>
      <c r="X3" s="351" t="s">
        <v>589</v>
      </c>
      <c r="Y3" s="352"/>
      <c r="Z3" s="353"/>
      <c r="AA3" s="57"/>
      <c r="AB3" s="57"/>
      <c r="AC3" s="57"/>
      <c r="AD3" s="57"/>
    </row>
    <row r="4">
      <c r="A4" s="57"/>
      <c r="B4" s="354" t="b">
        <v>0</v>
      </c>
      <c r="C4" s="355" t="s">
        <v>590</v>
      </c>
      <c r="D4" s="356"/>
      <c r="E4" s="356"/>
      <c r="F4" s="57"/>
      <c r="G4" s="57"/>
      <c r="H4" s="57"/>
      <c r="I4" s="57"/>
      <c r="J4" s="57"/>
      <c r="K4" s="346"/>
      <c r="L4" s="357" t="s">
        <v>173</v>
      </c>
      <c r="M4" s="358" t="s">
        <v>591</v>
      </c>
      <c r="N4" s="358" t="s">
        <v>592</v>
      </c>
      <c r="O4" s="57"/>
      <c r="P4" s="57"/>
      <c r="Q4" s="57"/>
      <c r="R4" s="359">
        <v>1.0</v>
      </c>
      <c r="S4" s="360" t="s">
        <v>593</v>
      </c>
      <c r="T4" s="360" t="s">
        <v>593</v>
      </c>
      <c r="U4" s="360" t="s">
        <v>594</v>
      </c>
      <c r="V4" s="360"/>
      <c r="W4" s="360"/>
      <c r="X4" s="361"/>
      <c r="Y4" s="361"/>
      <c r="Z4" s="361"/>
      <c r="AA4" s="362" t="s">
        <v>595</v>
      </c>
      <c r="AB4" s="362"/>
      <c r="AC4" s="362"/>
      <c r="AD4" s="362"/>
    </row>
    <row r="5">
      <c r="A5" s="327"/>
      <c r="B5" s="354" t="b">
        <v>0</v>
      </c>
      <c r="C5" s="363" t="s">
        <v>596</v>
      </c>
      <c r="D5" s="356"/>
      <c r="E5" s="356"/>
      <c r="F5" s="57"/>
      <c r="G5" s="57"/>
      <c r="H5" s="57"/>
      <c r="I5" s="57"/>
      <c r="J5" s="57"/>
      <c r="K5" s="346"/>
      <c r="L5" s="357" t="s">
        <v>200</v>
      </c>
      <c r="M5" s="358" t="s">
        <v>597</v>
      </c>
      <c r="N5" s="358" t="s">
        <v>598</v>
      </c>
      <c r="O5" s="327"/>
      <c r="P5" s="57"/>
      <c r="Q5" s="57"/>
      <c r="R5" s="364">
        <v>1.1</v>
      </c>
      <c r="S5" s="365" t="s">
        <v>593</v>
      </c>
      <c r="T5" s="365" t="s">
        <v>593</v>
      </c>
      <c r="U5" s="365" t="s">
        <v>593</v>
      </c>
      <c r="V5" s="365" t="s">
        <v>593</v>
      </c>
      <c r="W5" s="365" t="s">
        <v>593</v>
      </c>
      <c r="X5" s="361"/>
      <c r="Y5" s="361"/>
      <c r="Z5" s="361"/>
      <c r="AA5" s="355" t="s">
        <v>599</v>
      </c>
      <c r="AB5" s="362"/>
      <c r="AC5" s="362"/>
      <c r="AD5" s="362"/>
    </row>
    <row r="6">
      <c r="A6" s="327"/>
      <c r="B6" s="327"/>
      <c r="C6" s="356"/>
      <c r="D6" s="363" t="s">
        <v>600</v>
      </c>
      <c r="E6" s="356"/>
      <c r="F6" s="57"/>
      <c r="G6" s="57"/>
      <c r="H6" s="57"/>
      <c r="I6" s="57"/>
      <c r="J6" s="57"/>
      <c r="K6" s="346"/>
      <c r="L6" s="357"/>
      <c r="M6" s="358" t="s">
        <v>601</v>
      </c>
      <c r="N6" s="358" t="s">
        <v>602</v>
      </c>
      <c r="O6" s="327"/>
      <c r="P6" s="57"/>
      <c r="Q6" s="57"/>
      <c r="R6" s="359">
        <v>2.0</v>
      </c>
      <c r="S6" s="360" t="s">
        <v>17</v>
      </c>
      <c r="T6" s="360" t="s">
        <v>593</v>
      </c>
      <c r="U6" s="360" t="s">
        <v>593</v>
      </c>
      <c r="V6" s="360" t="s">
        <v>593</v>
      </c>
      <c r="W6" s="360" t="s">
        <v>593</v>
      </c>
      <c r="X6" s="361"/>
      <c r="Y6" s="361"/>
      <c r="Z6" s="361"/>
      <c r="AA6" s="362" t="s">
        <v>603</v>
      </c>
      <c r="AB6" s="366"/>
      <c r="AC6" s="366"/>
      <c r="AD6" s="366"/>
    </row>
    <row r="7">
      <c r="A7" s="327"/>
      <c r="B7" s="354" t="b">
        <v>0</v>
      </c>
      <c r="C7" s="355" t="s">
        <v>604</v>
      </c>
      <c r="D7" s="356"/>
      <c r="E7" s="356"/>
      <c r="F7" s="57"/>
      <c r="G7" s="57"/>
      <c r="H7" s="57"/>
      <c r="I7" s="57"/>
      <c r="J7" s="57"/>
      <c r="K7" s="346"/>
      <c r="L7" s="367"/>
      <c r="M7" s="368" t="s">
        <v>605</v>
      </c>
      <c r="N7" s="358" t="s">
        <v>606</v>
      </c>
      <c r="O7" s="327"/>
      <c r="P7" s="57"/>
      <c r="Q7" s="57"/>
      <c r="R7" s="359">
        <v>2.1</v>
      </c>
      <c r="S7" s="360" t="s">
        <v>17</v>
      </c>
      <c r="T7" s="360" t="s">
        <v>593</v>
      </c>
      <c r="U7" s="360" t="s">
        <v>17</v>
      </c>
      <c r="V7" s="360" t="s">
        <v>593</v>
      </c>
      <c r="W7" s="360" t="s">
        <v>593</v>
      </c>
      <c r="X7" s="361"/>
      <c r="Y7" s="361"/>
      <c r="Z7" s="361"/>
      <c r="AA7" s="366" t="s">
        <v>607</v>
      </c>
      <c r="AB7" s="362"/>
      <c r="AC7" s="362"/>
      <c r="AD7" s="362"/>
    </row>
    <row r="8">
      <c r="A8" s="327"/>
      <c r="B8" s="344"/>
      <c r="C8" s="356"/>
      <c r="D8" s="369"/>
      <c r="E8" s="356"/>
      <c r="F8" s="57"/>
      <c r="G8" s="57"/>
      <c r="H8" s="57"/>
      <c r="I8" s="57"/>
      <c r="J8" s="57"/>
      <c r="K8" s="346"/>
      <c r="L8" s="367"/>
      <c r="M8" s="368" t="s">
        <v>608</v>
      </c>
      <c r="N8" s="368"/>
      <c r="O8" s="327"/>
      <c r="P8" s="57"/>
      <c r="Q8" s="57"/>
      <c r="R8" s="359">
        <v>2.2</v>
      </c>
      <c r="S8" s="360" t="s">
        <v>17</v>
      </c>
      <c r="T8" s="360" t="s">
        <v>593</v>
      </c>
      <c r="U8" s="360" t="s">
        <v>609</v>
      </c>
      <c r="V8" s="360" t="s">
        <v>609</v>
      </c>
      <c r="W8" s="360" t="s">
        <v>609</v>
      </c>
      <c r="X8" s="370" t="s">
        <v>593</v>
      </c>
      <c r="Y8" s="370" t="s">
        <v>593</v>
      </c>
      <c r="Z8" s="370" t="s">
        <v>593</v>
      </c>
      <c r="AA8" s="362" t="s">
        <v>610</v>
      </c>
      <c r="AB8" s="366"/>
      <c r="AC8" s="366"/>
      <c r="AD8" s="366"/>
    </row>
    <row r="9">
      <c r="A9" s="327"/>
      <c r="B9" s="344"/>
      <c r="C9" s="356"/>
      <c r="D9" s="356"/>
      <c r="E9" s="356"/>
      <c r="F9" s="57"/>
      <c r="G9" s="57"/>
      <c r="H9" s="57"/>
      <c r="I9" s="57"/>
      <c r="J9" s="57"/>
      <c r="K9" s="346"/>
      <c r="L9" s="371"/>
      <c r="M9" s="372" t="s">
        <v>611</v>
      </c>
      <c r="N9" s="371"/>
      <c r="O9" s="327"/>
      <c r="P9" s="57"/>
      <c r="Q9" s="57"/>
      <c r="R9" s="364">
        <v>2.3</v>
      </c>
      <c r="S9" s="365" t="s">
        <v>612</v>
      </c>
      <c r="T9" s="365" t="s">
        <v>593</v>
      </c>
      <c r="U9" s="360" t="s">
        <v>594</v>
      </c>
      <c r="V9" s="360"/>
      <c r="W9" s="360"/>
      <c r="X9" s="370"/>
      <c r="Y9" s="370"/>
      <c r="Z9" s="370"/>
      <c r="AA9" s="366"/>
      <c r="AB9" s="366"/>
      <c r="AC9" s="366"/>
      <c r="AD9" s="366"/>
    </row>
    <row r="10">
      <c r="A10" s="327"/>
      <c r="B10" s="373" t="s">
        <v>613</v>
      </c>
      <c r="C10" s="356"/>
      <c r="D10" s="356"/>
      <c r="E10" s="356"/>
      <c r="F10" s="57"/>
      <c r="G10" s="57"/>
      <c r="H10" s="57"/>
      <c r="I10" s="57"/>
      <c r="J10" s="57"/>
      <c r="K10" s="57"/>
      <c r="L10" s="57"/>
      <c r="M10" s="322" t="s">
        <v>614</v>
      </c>
      <c r="N10" s="57"/>
      <c r="O10" s="327"/>
      <c r="P10" s="57"/>
      <c r="Q10" s="57"/>
      <c r="R10" s="364">
        <v>2.4</v>
      </c>
      <c r="S10" s="365" t="s">
        <v>17</v>
      </c>
      <c r="T10" s="365" t="s">
        <v>593</v>
      </c>
      <c r="U10" s="374" t="s">
        <v>615</v>
      </c>
      <c r="V10" s="360"/>
      <c r="W10" s="360"/>
      <c r="X10" s="370"/>
      <c r="Y10" s="370"/>
      <c r="Z10" s="370"/>
      <c r="AA10" s="366"/>
      <c r="AB10" s="362"/>
      <c r="AC10" s="362"/>
      <c r="AD10" s="362"/>
    </row>
    <row r="11">
      <c r="A11" s="327"/>
      <c r="B11" s="375" t="b">
        <v>0</v>
      </c>
      <c r="C11" s="363" t="s">
        <v>616</v>
      </c>
      <c r="D11" s="356"/>
      <c r="E11" s="356"/>
      <c r="F11" s="57"/>
      <c r="G11" s="57"/>
      <c r="H11" s="57"/>
      <c r="I11" s="57"/>
      <c r="J11" s="57"/>
      <c r="K11" s="57"/>
      <c r="L11" s="57"/>
      <c r="M11" s="57"/>
      <c r="N11" s="57"/>
      <c r="O11" s="327"/>
      <c r="P11" s="57"/>
      <c r="Q11" s="57"/>
      <c r="R11" s="359">
        <v>3.0</v>
      </c>
      <c r="S11" s="360" t="s">
        <v>17</v>
      </c>
      <c r="T11" s="360" t="s">
        <v>17</v>
      </c>
      <c r="U11" s="360" t="s">
        <v>594</v>
      </c>
      <c r="V11" s="360"/>
      <c r="W11" s="360"/>
      <c r="X11" s="370"/>
      <c r="Y11" s="370"/>
      <c r="Z11" s="370"/>
      <c r="AA11" s="366" t="s">
        <v>617</v>
      </c>
      <c r="AB11" s="362"/>
      <c r="AC11" s="362"/>
      <c r="AD11" s="366"/>
    </row>
    <row r="12">
      <c r="A12" s="327"/>
      <c r="B12" s="327"/>
      <c r="C12" s="366"/>
      <c r="D12" s="363" t="s">
        <v>618</v>
      </c>
      <c r="E12" s="356"/>
      <c r="F12" s="57"/>
      <c r="G12" s="57"/>
      <c r="H12" s="57"/>
      <c r="I12" s="57"/>
      <c r="J12" s="57"/>
      <c r="K12" s="376" t="s">
        <v>619</v>
      </c>
      <c r="L12" s="343"/>
      <c r="M12" s="57"/>
      <c r="N12" s="57"/>
      <c r="O12" s="377" t="s">
        <v>116</v>
      </c>
      <c r="P12" s="378"/>
      <c r="Q12" s="57"/>
      <c r="R12" s="359">
        <v>3.1</v>
      </c>
      <c r="S12" s="360" t="s">
        <v>17</v>
      </c>
      <c r="T12" s="360" t="s">
        <v>17</v>
      </c>
      <c r="U12" s="360" t="s">
        <v>620</v>
      </c>
      <c r="V12" s="360" t="s">
        <v>620</v>
      </c>
      <c r="W12" s="360" t="s">
        <v>620</v>
      </c>
      <c r="X12" s="370"/>
      <c r="Y12" s="370"/>
      <c r="Z12" s="370"/>
      <c r="AA12" s="362" t="s">
        <v>621</v>
      </c>
      <c r="AB12" s="366"/>
      <c r="AC12" s="366"/>
      <c r="AD12" s="362"/>
    </row>
    <row r="13">
      <c r="A13" s="327"/>
      <c r="B13" s="375" t="b">
        <v>0</v>
      </c>
      <c r="C13" s="355" t="s">
        <v>622</v>
      </c>
      <c r="D13" s="356"/>
      <c r="E13" s="356"/>
      <c r="F13" s="57"/>
      <c r="G13" s="57"/>
      <c r="H13" s="57"/>
      <c r="I13" s="57"/>
      <c r="J13" s="379" t="s">
        <v>623</v>
      </c>
      <c r="K13" s="380" t="s">
        <v>624</v>
      </c>
      <c r="L13" s="381" t="s">
        <v>625</v>
      </c>
      <c r="M13" s="57"/>
      <c r="N13" s="57"/>
      <c r="O13" s="382">
        <v>1.1</v>
      </c>
      <c r="P13" s="383" t="s">
        <v>626</v>
      </c>
      <c r="Q13" s="57"/>
      <c r="R13" s="359">
        <v>3.2</v>
      </c>
      <c r="S13" s="360" t="s">
        <v>17</v>
      </c>
      <c r="T13" s="360" t="s">
        <v>17</v>
      </c>
      <c r="U13" s="360" t="s">
        <v>609</v>
      </c>
      <c r="V13" s="360" t="s">
        <v>609</v>
      </c>
      <c r="W13" s="360" t="s">
        <v>609</v>
      </c>
      <c r="X13" s="370"/>
      <c r="Y13" s="370"/>
      <c r="Z13" s="370"/>
      <c r="AA13" s="366" t="s">
        <v>627</v>
      </c>
      <c r="AB13" s="362"/>
      <c r="AC13" s="362"/>
      <c r="AD13" s="366"/>
    </row>
    <row r="14">
      <c r="A14" s="327"/>
      <c r="B14" s="354" t="b">
        <v>0</v>
      </c>
      <c r="C14" s="363" t="s">
        <v>628</v>
      </c>
      <c r="D14" s="356"/>
      <c r="E14" s="356"/>
      <c r="F14" s="57"/>
      <c r="G14" s="57"/>
      <c r="H14" s="57"/>
      <c r="I14" s="57"/>
      <c r="J14" s="384">
        <v>0.0</v>
      </c>
      <c r="K14" s="379">
        <v>1.0</v>
      </c>
      <c r="L14" s="366" t="s">
        <v>629</v>
      </c>
      <c r="M14" s="385"/>
      <c r="N14" s="386"/>
      <c r="O14" s="382">
        <v>1.2</v>
      </c>
      <c r="P14" s="383" t="s">
        <v>630</v>
      </c>
      <c r="Q14" s="57"/>
      <c r="R14" s="359">
        <v>3.3</v>
      </c>
      <c r="S14" s="360" t="s">
        <v>17</v>
      </c>
      <c r="T14" s="360" t="s">
        <v>17</v>
      </c>
      <c r="U14" s="360" t="s">
        <v>609</v>
      </c>
      <c r="V14" s="360" t="s">
        <v>609</v>
      </c>
      <c r="W14" s="360" t="s">
        <v>609</v>
      </c>
      <c r="X14" s="370" t="s">
        <v>609</v>
      </c>
      <c r="Y14" s="370" t="s">
        <v>609</v>
      </c>
      <c r="Z14" s="370" t="s">
        <v>609</v>
      </c>
      <c r="AA14" s="362" t="s">
        <v>631</v>
      </c>
      <c r="AB14" s="366"/>
      <c r="AC14" s="366"/>
      <c r="AD14" s="362"/>
    </row>
    <row r="15">
      <c r="A15" s="327"/>
      <c r="B15" s="375" t="b">
        <v>0</v>
      </c>
      <c r="C15" s="363"/>
      <c r="D15" s="369" t="s">
        <v>632</v>
      </c>
      <c r="E15" s="356"/>
      <c r="F15" s="57"/>
      <c r="G15" s="57"/>
      <c r="H15" s="57"/>
      <c r="I15" s="57"/>
      <c r="J15" s="384">
        <v>0.1</v>
      </c>
      <c r="K15" s="379">
        <v>2.0</v>
      </c>
      <c r="L15" s="366" t="s">
        <v>633</v>
      </c>
      <c r="M15" s="385"/>
      <c r="N15" s="386"/>
      <c r="O15" s="382">
        <v>1.3</v>
      </c>
      <c r="P15" s="383" t="s">
        <v>634</v>
      </c>
      <c r="Q15" s="57"/>
      <c r="R15" s="359">
        <v>4.0</v>
      </c>
      <c r="S15" s="360" t="s">
        <v>17</v>
      </c>
      <c r="T15" s="360" t="s">
        <v>16</v>
      </c>
      <c r="U15" s="360" t="s">
        <v>609</v>
      </c>
      <c r="V15" s="360" t="s">
        <v>609</v>
      </c>
      <c r="W15" s="360" t="s">
        <v>609</v>
      </c>
      <c r="X15" s="370"/>
      <c r="Y15" s="370"/>
      <c r="Z15" s="370"/>
      <c r="AA15" s="366" t="s">
        <v>635</v>
      </c>
      <c r="AB15" s="362"/>
      <c r="AC15" s="362"/>
      <c r="AD15" s="366"/>
    </row>
    <row r="16">
      <c r="A16" s="327"/>
      <c r="B16" s="375" t="b">
        <v>0</v>
      </c>
      <c r="C16" s="363"/>
      <c r="D16" s="369" t="s">
        <v>636</v>
      </c>
      <c r="E16" s="356"/>
      <c r="F16" s="57"/>
      <c r="G16" s="57"/>
      <c r="H16" s="57"/>
      <c r="I16" s="57"/>
      <c r="J16" s="384">
        <v>0.2</v>
      </c>
      <c r="K16" s="379">
        <v>3.0</v>
      </c>
      <c r="L16" s="366" t="s">
        <v>637</v>
      </c>
      <c r="M16" s="385"/>
      <c r="N16" s="386"/>
      <c r="O16" s="382">
        <v>1.4</v>
      </c>
      <c r="P16" s="383" t="s">
        <v>638</v>
      </c>
      <c r="Q16" s="57"/>
      <c r="R16" s="359">
        <v>4.1</v>
      </c>
      <c r="S16" s="360" t="s">
        <v>17</v>
      </c>
      <c r="T16" s="360" t="s">
        <v>16</v>
      </c>
      <c r="U16" s="360" t="s">
        <v>609</v>
      </c>
      <c r="V16" s="360" t="s">
        <v>609</v>
      </c>
      <c r="W16" s="360" t="s">
        <v>609</v>
      </c>
      <c r="X16" s="370" t="s">
        <v>609</v>
      </c>
      <c r="Y16" s="370" t="s">
        <v>609</v>
      </c>
      <c r="Z16" s="370" t="s">
        <v>609</v>
      </c>
      <c r="AA16" s="362" t="s">
        <v>639</v>
      </c>
      <c r="AB16" s="366"/>
      <c r="AC16" s="366"/>
      <c r="AD16" s="366"/>
    </row>
    <row r="17">
      <c r="A17" s="327"/>
      <c r="B17" s="354" t="b">
        <v>0</v>
      </c>
      <c r="C17" s="363" t="s">
        <v>640</v>
      </c>
      <c r="D17" s="356"/>
      <c r="E17" s="356"/>
      <c r="F17" s="57"/>
      <c r="G17" s="57"/>
      <c r="H17" s="57"/>
      <c r="I17" s="57"/>
      <c r="J17" s="384">
        <v>0.3</v>
      </c>
      <c r="K17" s="379">
        <v>4.0</v>
      </c>
      <c r="L17" s="366" t="s">
        <v>641</v>
      </c>
      <c r="M17" s="385"/>
      <c r="N17" s="386"/>
      <c r="O17" s="382">
        <v>1.5</v>
      </c>
      <c r="P17" s="387" t="s">
        <v>642</v>
      </c>
      <c r="Q17" s="57"/>
      <c r="R17" s="359">
        <v>5.0</v>
      </c>
      <c r="S17" s="360" t="s">
        <v>16</v>
      </c>
      <c r="T17" s="360" t="s">
        <v>593</v>
      </c>
      <c r="U17" s="360" t="s">
        <v>593</v>
      </c>
      <c r="V17" s="360" t="s">
        <v>593</v>
      </c>
      <c r="W17" s="360" t="s">
        <v>593</v>
      </c>
      <c r="X17" s="370"/>
      <c r="Y17" s="370"/>
      <c r="Z17" s="370"/>
      <c r="AA17" s="366" t="s">
        <v>643</v>
      </c>
      <c r="AB17" s="366"/>
      <c r="AC17" s="366"/>
      <c r="AD17" s="362"/>
    </row>
    <row r="18">
      <c r="A18" s="327"/>
      <c r="B18" s="327"/>
      <c r="C18" s="356"/>
      <c r="D18" s="363" t="s">
        <v>644</v>
      </c>
      <c r="E18" s="356"/>
      <c r="F18" s="57"/>
      <c r="G18" s="57"/>
      <c r="H18" s="57"/>
      <c r="I18" s="57"/>
      <c r="J18" s="346"/>
      <c r="K18" s="379">
        <v>5.0</v>
      </c>
      <c r="L18" s="369" t="s">
        <v>645</v>
      </c>
      <c r="M18" s="385"/>
      <c r="N18" s="386"/>
      <c r="O18" s="382">
        <v>1.6</v>
      </c>
      <c r="P18" s="383" t="s">
        <v>646</v>
      </c>
      <c r="Q18" s="57"/>
      <c r="R18" s="359">
        <v>6.0</v>
      </c>
      <c r="S18" s="360" t="s">
        <v>16</v>
      </c>
      <c r="T18" s="360" t="s">
        <v>17</v>
      </c>
      <c r="U18" s="360" t="s">
        <v>609</v>
      </c>
      <c r="V18" s="360" t="s">
        <v>609</v>
      </c>
      <c r="W18" s="360" t="s">
        <v>609</v>
      </c>
      <c r="X18" s="370"/>
      <c r="Y18" s="370"/>
      <c r="Z18" s="370"/>
      <c r="AA18" s="366" t="s">
        <v>647</v>
      </c>
      <c r="AB18" s="362"/>
      <c r="AC18" s="362"/>
      <c r="AD18" s="362"/>
    </row>
    <row r="19">
      <c r="A19" s="327"/>
      <c r="B19" s="354" t="b">
        <v>0</v>
      </c>
      <c r="C19" s="355" t="s">
        <v>648</v>
      </c>
      <c r="D19" s="356"/>
      <c r="E19" s="356"/>
      <c r="F19" s="57"/>
      <c r="G19" s="57"/>
      <c r="H19" s="57"/>
      <c r="I19" s="57"/>
      <c r="J19" s="346"/>
      <c r="K19" s="379">
        <v>6.0</v>
      </c>
      <c r="L19" s="369" t="s">
        <v>649</v>
      </c>
      <c r="M19" s="385"/>
      <c r="N19" s="386"/>
      <c r="O19" s="382">
        <v>1.7</v>
      </c>
      <c r="P19" s="383" t="s">
        <v>650</v>
      </c>
      <c r="Q19" s="57"/>
      <c r="R19" s="359">
        <v>6.1</v>
      </c>
      <c r="S19" s="360" t="s">
        <v>16</v>
      </c>
      <c r="T19" s="360" t="s">
        <v>17</v>
      </c>
      <c r="U19" s="360" t="s">
        <v>609</v>
      </c>
      <c r="V19" s="360" t="s">
        <v>609</v>
      </c>
      <c r="W19" s="360" t="s">
        <v>609</v>
      </c>
      <c r="X19" s="370" t="s">
        <v>609</v>
      </c>
      <c r="Y19" s="370" t="s">
        <v>609</v>
      </c>
      <c r="Z19" s="370" t="s">
        <v>609</v>
      </c>
      <c r="AA19" s="362" t="s">
        <v>651</v>
      </c>
      <c r="AB19" s="362"/>
      <c r="AC19" s="362"/>
      <c r="AD19" s="366"/>
    </row>
    <row r="20">
      <c r="A20" s="327"/>
      <c r="B20" s="354" t="b">
        <v>0</v>
      </c>
      <c r="C20" s="363" t="s">
        <v>652</v>
      </c>
      <c r="D20" s="356"/>
      <c r="E20" s="356"/>
      <c r="F20" s="57"/>
      <c r="G20" s="57"/>
      <c r="H20" s="57"/>
      <c r="I20" s="57"/>
      <c r="J20" s="346"/>
      <c r="K20" s="379">
        <v>7.0</v>
      </c>
      <c r="L20" s="369" t="s">
        <v>653</v>
      </c>
      <c r="M20" s="385"/>
      <c r="N20" s="386"/>
      <c r="O20" s="382">
        <v>1.8</v>
      </c>
      <c r="P20" s="387" t="s">
        <v>654</v>
      </c>
      <c r="Q20" s="57"/>
      <c r="R20" s="359">
        <v>7.0</v>
      </c>
      <c r="S20" s="360" t="s">
        <v>16</v>
      </c>
      <c r="T20" s="360" t="s">
        <v>16</v>
      </c>
      <c r="U20" s="360" t="s">
        <v>594</v>
      </c>
      <c r="V20" s="360"/>
      <c r="W20" s="360"/>
      <c r="X20" s="361"/>
      <c r="Y20" s="361"/>
      <c r="Z20" s="361"/>
      <c r="AA20" s="362" t="s">
        <v>655</v>
      </c>
      <c r="AB20" s="366"/>
      <c r="AC20" s="366"/>
      <c r="AD20" s="366"/>
    </row>
    <row r="21">
      <c r="A21" s="327"/>
      <c r="B21" s="327"/>
      <c r="C21" s="366"/>
      <c r="D21" s="363" t="s">
        <v>656</v>
      </c>
      <c r="E21" s="356"/>
      <c r="F21" s="57"/>
      <c r="G21" s="57"/>
      <c r="H21" s="57"/>
      <c r="I21" s="57"/>
      <c r="J21" s="346"/>
      <c r="K21" s="379">
        <v>8.0</v>
      </c>
      <c r="L21" s="369" t="s">
        <v>657</v>
      </c>
      <c r="M21" s="385"/>
      <c r="N21" s="388"/>
      <c r="O21" s="382">
        <v>1.9</v>
      </c>
      <c r="P21" s="387" t="s">
        <v>658</v>
      </c>
      <c r="Q21" s="57"/>
      <c r="R21" s="359">
        <v>7.1</v>
      </c>
      <c r="S21" s="360" t="s">
        <v>16</v>
      </c>
      <c r="T21" s="360" t="s">
        <v>16</v>
      </c>
      <c r="U21" s="360" t="s">
        <v>16</v>
      </c>
      <c r="V21" s="360" t="s">
        <v>16</v>
      </c>
      <c r="W21" s="360" t="s">
        <v>16</v>
      </c>
      <c r="X21" s="361"/>
      <c r="Y21" s="361"/>
      <c r="Z21" s="361"/>
      <c r="AA21" s="366" t="s">
        <v>659</v>
      </c>
      <c r="AB21" s="366"/>
      <c r="AC21" s="366"/>
      <c r="AD21" s="366"/>
    </row>
    <row r="22">
      <c r="A22" s="327"/>
      <c r="B22" s="327"/>
      <c r="C22" s="366"/>
      <c r="D22" s="363" t="s">
        <v>660</v>
      </c>
      <c r="E22" s="356"/>
      <c r="F22" s="57"/>
      <c r="G22" s="57"/>
      <c r="H22" s="57"/>
      <c r="I22" s="57"/>
      <c r="J22" s="346"/>
      <c r="K22" s="379">
        <v>9.0</v>
      </c>
      <c r="L22" s="369" t="s">
        <v>661</v>
      </c>
      <c r="M22" s="385"/>
      <c r="N22" s="386"/>
      <c r="O22" s="382" t="s">
        <v>662</v>
      </c>
      <c r="P22" s="389" t="s">
        <v>663</v>
      </c>
      <c r="Q22" s="57"/>
      <c r="R22" s="364">
        <v>7.15</v>
      </c>
      <c r="S22" s="365" t="s">
        <v>16</v>
      </c>
      <c r="T22" s="365" t="s">
        <v>16</v>
      </c>
      <c r="U22" s="374" t="s">
        <v>664</v>
      </c>
      <c r="V22" s="360"/>
      <c r="W22" s="360"/>
      <c r="X22" s="361"/>
      <c r="Y22" s="361"/>
      <c r="Z22" s="361"/>
      <c r="AA22" s="366"/>
      <c r="AB22" s="366"/>
      <c r="AC22" s="366"/>
      <c r="AD22" s="366"/>
    </row>
    <row r="23">
      <c r="A23" s="327"/>
      <c r="B23" s="354" t="b">
        <v>0</v>
      </c>
      <c r="C23" s="363"/>
      <c r="D23" s="369" t="s">
        <v>665</v>
      </c>
      <c r="E23" s="356"/>
      <c r="F23" s="57"/>
      <c r="G23" s="57"/>
      <c r="H23" s="57"/>
      <c r="I23" s="57"/>
      <c r="J23" s="346"/>
      <c r="K23" s="379"/>
      <c r="L23" s="369"/>
      <c r="M23" s="385"/>
      <c r="N23" s="386"/>
      <c r="O23" s="377" t="s">
        <v>117</v>
      </c>
      <c r="P23" s="378"/>
      <c r="Q23" s="57"/>
      <c r="R23" s="359">
        <v>7.2</v>
      </c>
      <c r="S23" s="360" t="s">
        <v>16</v>
      </c>
      <c r="T23" s="360" t="s">
        <v>16</v>
      </c>
      <c r="U23" s="360" t="s">
        <v>16</v>
      </c>
      <c r="V23" s="360" t="s">
        <v>16</v>
      </c>
      <c r="W23" s="360" t="s">
        <v>17</v>
      </c>
      <c r="X23" s="361"/>
      <c r="Y23" s="361"/>
      <c r="Z23" s="361"/>
      <c r="AA23" s="366" t="s">
        <v>666</v>
      </c>
      <c r="AB23" s="366"/>
      <c r="AC23" s="366"/>
      <c r="AD23" s="366"/>
    </row>
    <row r="24">
      <c r="A24" s="327"/>
      <c r="B24" s="354" t="b">
        <v>0</v>
      </c>
      <c r="C24" s="363" t="s">
        <v>667</v>
      </c>
      <c r="D24" s="356"/>
      <c r="E24" s="356"/>
      <c r="F24" s="57"/>
      <c r="G24" s="57"/>
      <c r="H24" s="57"/>
      <c r="I24" s="57"/>
      <c r="J24" s="346"/>
      <c r="K24" s="390"/>
      <c r="L24" s="366"/>
      <c r="M24" s="385"/>
      <c r="N24" s="386"/>
      <c r="O24" s="382">
        <v>2.1</v>
      </c>
      <c r="P24" s="383" t="s">
        <v>668</v>
      </c>
      <c r="Q24" s="57"/>
      <c r="R24" s="359">
        <v>7.3</v>
      </c>
      <c r="S24" s="360" t="s">
        <v>16</v>
      </c>
      <c r="T24" s="360" t="s">
        <v>16</v>
      </c>
      <c r="U24" s="360" t="s">
        <v>16</v>
      </c>
      <c r="V24" s="360" t="s">
        <v>16</v>
      </c>
      <c r="W24" s="360" t="s">
        <v>593</v>
      </c>
      <c r="X24" s="361"/>
      <c r="Y24" s="361"/>
      <c r="Z24" s="361"/>
      <c r="AA24" s="366" t="s">
        <v>669</v>
      </c>
      <c r="AB24" s="366"/>
      <c r="AC24" s="366"/>
      <c r="AD24" s="366"/>
    </row>
    <row r="25">
      <c r="A25" s="327"/>
      <c r="B25" s="354" t="b">
        <v>0</v>
      </c>
      <c r="C25" s="363" t="s">
        <v>670</v>
      </c>
      <c r="D25" s="356"/>
      <c r="E25" s="356"/>
      <c r="F25" s="57"/>
      <c r="G25" s="57"/>
      <c r="H25" s="57"/>
      <c r="I25" s="57"/>
      <c r="J25" s="57"/>
      <c r="K25" s="391"/>
      <c r="L25" s="343"/>
      <c r="M25" s="385"/>
      <c r="N25" s="386"/>
      <c r="O25" s="382">
        <v>2.2</v>
      </c>
      <c r="P25" s="383" t="s">
        <v>671</v>
      </c>
      <c r="Q25" s="57"/>
      <c r="R25" s="359">
        <v>7.4</v>
      </c>
      <c r="S25" s="360" t="s">
        <v>16</v>
      </c>
      <c r="T25" s="360" t="s">
        <v>16</v>
      </c>
      <c r="U25" s="360" t="s">
        <v>609</v>
      </c>
      <c r="V25" s="360" t="s">
        <v>609</v>
      </c>
      <c r="W25" s="360" t="s">
        <v>609</v>
      </c>
      <c r="X25" s="361"/>
      <c r="Y25" s="361"/>
      <c r="Z25" s="361"/>
      <c r="AA25" s="362" t="s">
        <v>672</v>
      </c>
      <c r="AB25" s="366"/>
      <c r="AC25" s="366"/>
      <c r="AD25" s="366"/>
    </row>
    <row r="26">
      <c r="A26" s="327"/>
      <c r="B26" s="344"/>
      <c r="C26" s="344"/>
      <c r="D26" s="344"/>
      <c r="E26" s="344"/>
      <c r="F26" s="344"/>
      <c r="G26" s="344"/>
      <c r="H26" s="344"/>
      <c r="I26" s="57"/>
      <c r="J26" s="57"/>
      <c r="K26" s="392"/>
      <c r="L26" s="57"/>
      <c r="M26" s="57"/>
      <c r="N26" s="386"/>
      <c r="O26" s="382">
        <v>2.3</v>
      </c>
      <c r="P26" s="383" t="s">
        <v>673</v>
      </c>
      <c r="Q26" s="57"/>
      <c r="R26" s="364">
        <v>7.5</v>
      </c>
      <c r="S26" s="365" t="s">
        <v>674</v>
      </c>
      <c r="T26" s="365" t="s">
        <v>16</v>
      </c>
      <c r="U26" s="365" t="s">
        <v>594</v>
      </c>
      <c r="V26" s="360"/>
      <c r="W26" s="360"/>
      <c r="X26" s="361"/>
      <c r="Y26" s="361"/>
      <c r="Z26" s="361"/>
      <c r="AA26" s="366"/>
      <c r="AB26" s="366"/>
      <c r="AC26" s="366"/>
      <c r="AD26" s="366"/>
    </row>
    <row r="27">
      <c r="A27" s="327"/>
      <c r="B27" s="373" t="s">
        <v>675</v>
      </c>
      <c r="C27" s="366"/>
      <c r="D27" s="356"/>
      <c r="E27" s="356"/>
      <c r="F27" s="57"/>
      <c r="G27" s="57"/>
      <c r="H27" s="57"/>
      <c r="I27" s="57"/>
      <c r="J27" s="57"/>
      <c r="K27" s="393"/>
      <c r="L27" s="343"/>
      <c r="M27" s="57"/>
      <c r="N27" s="386"/>
      <c r="O27" s="382">
        <v>2.4</v>
      </c>
      <c r="P27" s="383" t="s">
        <v>676</v>
      </c>
      <c r="Q27" s="57"/>
      <c r="R27" s="86">
        <v>7.6</v>
      </c>
      <c r="S27" s="365" t="s">
        <v>16</v>
      </c>
      <c r="T27" s="365" t="s">
        <v>593</v>
      </c>
      <c r="U27" s="374" t="s">
        <v>615</v>
      </c>
      <c r="V27" s="360"/>
      <c r="W27" s="360"/>
      <c r="X27" s="361"/>
      <c r="Y27" s="361"/>
      <c r="Z27" s="361"/>
      <c r="AA27" s="366"/>
      <c r="AB27" s="366"/>
      <c r="AC27" s="366"/>
      <c r="AD27" s="362"/>
    </row>
    <row r="28">
      <c r="A28" s="327"/>
      <c r="B28" s="375" t="b">
        <v>0</v>
      </c>
      <c r="C28" s="363" t="s">
        <v>677</v>
      </c>
      <c r="D28" s="356"/>
      <c r="E28" s="369"/>
      <c r="F28" s="57"/>
      <c r="G28" s="57"/>
      <c r="H28" s="57"/>
      <c r="I28" s="57"/>
      <c r="J28" s="57"/>
      <c r="K28" s="394" t="s">
        <v>678</v>
      </c>
      <c r="L28" s="395" t="s">
        <v>679</v>
      </c>
      <c r="M28" s="385"/>
      <c r="N28" s="386"/>
      <c r="O28" s="382">
        <v>2.5</v>
      </c>
      <c r="P28" s="383" t="s">
        <v>680</v>
      </c>
      <c r="Q28" s="57"/>
      <c r="R28" s="359">
        <v>8.0</v>
      </c>
      <c r="S28" s="360" t="s">
        <v>681</v>
      </c>
      <c r="T28" s="360"/>
      <c r="U28" s="360"/>
      <c r="V28" s="360"/>
      <c r="W28" s="360"/>
      <c r="X28" s="361"/>
      <c r="Y28" s="361"/>
      <c r="Z28" s="361"/>
      <c r="AA28" s="366"/>
      <c r="AB28" s="362"/>
      <c r="AC28" s="362"/>
      <c r="AD28" s="366"/>
    </row>
    <row r="29">
      <c r="A29" s="327"/>
      <c r="B29" s="375" t="b">
        <v>0</v>
      </c>
      <c r="C29" s="396" t="s">
        <v>682</v>
      </c>
      <c r="D29" s="356"/>
      <c r="E29" s="356"/>
      <c r="F29" s="57"/>
      <c r="G29" s="57"/>
      <c r="H29" s="57"/>
      <c r="I29" s="57"/>
      <c r="J29" s="379"/>
      <c r="K29" s="397">
        <v>0.0</v>
      </c>
      <c r="L29" s="398" t="s">
        <v>683</v>
      </c>
      <c r="M29" s="399"/>
      <c r="N29" s="386"/>
      <c r="O29" s="382">
        <v>2.6</v>
      </c>
      <c r="P29" s="383" t="s">
        <v>684</v>
      </c>
      <c r="Q29" s="57"/>
      <c r="R29" s="359"/>
      <c r="S29" s="360"/>
      <c r="T29" s="360"/>
      <c r="U29" s="360"/>
      <c r="V29" s="360"/>
      <c r="W29" s="360"/>
      <c r="X29" s="361"/>
      <c r="Y29" s="361"/>
      <c r="Z29" s="361"/>
      <c r="AA29" s="362"/>
      <c r="AB29" s="366"/>
      <c r="AC29" s="366"/>
      <c r="AD29" s="366"/>
    </row>
    <row r="30" ht="16.5" customHeight="1">
      <c r="A30" s="327"/>
      <c r="B30" s="354" t="b">
        <v>0</v>
      </c>
      <c r="C30" s="355" t="s">
        <v>685</v>
      </c>
      <c r="D30" s="356"/>
      <c r="E30" s="356"/>
      <c r="F30" s="57"/>
      <c r="G30" s="57"/>
      <c r="H30" s="57"/>
      <c r="I30" s="57"/>
      <c r="J30" s="322"/>
      <c r="K30" s="400">
        <v>1.0</v>
      </c>
      <c r="L30" s="401" t="s">
        <v>686</v>
      </c>
      <c r="M30" s="399"/>
      <c r="N30" s="386"/>
      <c r="O30" s="382">
        <v>3.1</v>
      </c>
      <c r="P30" s="383" t="s">
        <v>687</v>
      </c>
      <c r="Q30" s="57"/>
      <c r="R30" s="359"/>
      <c r="S30" s="360"/>
      <c r="T30" s="360"/>
      <c r="U30" s="360"/>
      <c r="V30" s="360"/>
      <c r="W30" s="360"/>
      <c r="X30" s="361"/>
      <c r="Y30" s="361"/>
      <c r="Z30" s="361"/>
      <c r="AA30" s="366"/>
      <c r="AB30" s="366"/>
      <c r="AC30" s="366"/>
      <c r="AD30" s="57"/>
    </row>
    <row r="31">
      <c r="A31" s="327"/>
      <c r="B31" s="354" t="b">
        <v>0</v>
      </c>
      <c r="C31" s="355" t="s">
        <v>688</v>
      </c>
      <c r="D31" s="356"/>
      <c r="E31" s="356"/>
      <c r="F31" s="57"/>
      <c r="G31" s="57"/>
      <c r="H31" s="57"/>
      <c r="I31" s="57"/>
      <c r="J31" s="57"/>
      <c r="K31" s="402">
        <v>1.1</v>
      </c>
      <c r="L31" s="403" t="s">
        <v>689</v>
      </c>
      <c r="M31" s="404"/>
      <c r="N31" s="386"/>
      <c r="O31" s="382">
        <v>4.1</v>
      </c>
      <c r="P31" s="383" t="s">
        <v>690</v>
      </c>
      <c r="Q31" s="57"/>
      <c r="R31" s="359"/>
      <c r="S31" s="360"/>
      <c r="T31" s="360"/>
      <c r="U31" s="360"/>
      <c r="V31" s="360"/>
      <c r="W31" s="360"/>
      <c r="X31" s="361"/>
      <c r="Y31" s="361"/>
      <c r="Z31" s="361"/>
      <c r="AA31" s="366"/>
      <c r="AB31" s="57"/>
      <c r="AC31" s="57"/>
      <c r="AD31" s="57"/>
    </row>
    <row r="32" ht="29.25" customHeight="1">
      <c r="A32" s="327"/>
      <c r="B32" s="354" t="b">
        <v>0</v>
      </c>
      <c r="C32" s="363" t="s">
        <v>691</v>
      </c>
      <c r="D32" s="356"/>
      <c r="E32" s="356"/>
      <c r="F32" s="57"/>
      <c r="G32" s="57"/>
      <c r="H32" s="57"/>
      <c r="I32" s="57"/>
      <c r="J32" s="57"/>
      <c r="K32" s="402">
        <v>1.2</v>
      </c>
      <c r="L32" s="403" t="s">
        <v>692</v>
      </c>
      <c r="M32" s="404"/>
      <c r="N32" s="388"/>
      <c r="O32" s="405">
        <v>5.0</v>
      </c>
      <c r="P32" s="406" t="s">
        <v>693</v>
      </c>
      <c r="Q32" s="57"/>
      <c r="R32" s="57"/>
      <c r="S32" s="57"/>
      <c r="T32" s="57"/>
      <c r="U32" s="57"/>
      <c r="V32" s="57"/>
      <c r="W32" s="57"/>
      <c r="X32" s="57"/>
      <c r="Y32" s="57"/>
      <c r="Z32" s="57"/>
      <c r="AA32" s="57"/>
      <c r="AB32" s="57"/>
      <c r="AC32" s="57"/>
      <c r="AD32" s="57"/>
    </row>
    <row r="33">
      <c r="A33" s="327"/>
      <c r="B33" s="327"/>
      <c r="C33" s="366"/>
      <c r="D33" s="356"/>
      <c r="E33" s="356"/>
      <c r="F33" s="57"/>
      <c r="G33" s="57"/>
      <c r="H33" s="57"/>
      <c r="I33" s="322">
        <v>2.0</v>
      </c>
      <c r="J33" s="57"/>
      <c r="K33" s="407">
        <v>1.3</v>
      </c>
      <c r="L33" s="408" t="s">
        <v>694</v>
      </c>
      <c r="M33" s="404"/>
      <c r="N33" s="388"/>
      <c r="O33" s="382">
        <v>5.1</v>
      </c>
      <c r="P33" s="406" t="s">
        <v>695</v>
      </c>
      <c r="Q33" s="57"/>
      <c r="R33" s="57"/>
      <c r="S33" s="57"/>
      <c r="T33" s="57"/>
      <c r="U33" s="57"/>
      <c r="V33" s="57"/>
      <c r="W33" s="57"/>
      <c r="X33" s="57"/>
      <c r="Y33" s="57"/>
      <c r="Z33" s="57"/>
      <c r="AA33" s="57"/>
      <c r="AB33" s="57"/>
      <c r="AC33" s="57"/>
      <c r="AD33" s="57"/>
    </row>
    <row r="34">
      <c r="A34" s="327"/>
      <c r="B34" s="409" t="s">
        <v>696</v>
      </c>
      <c r="E34" s="356"/>
      <c r="F34" s="57"/>
      <c r="G34" s="57"/>
      <c r="H34" s="57"/>
      <c r="I34" s="57"/>
      <c r="J34" s="57"/>
      <c r="K34" s="410">
        <v>1.4</v>
      </c>
      <c r="L34" s="403" t="s">
        <v>697</v>
      </c>
      <c r="M34" s="57"/>
      <c r="N34" s="388"/>
      <c r="O34" s="405">
        <v>6.0</v>
      </c>
      <c r="P34" s="406" t="s">
        <v>698</v>
      </c>
      <c r="Q34" s="57"/>
      <c r="R34" s="57"/>
      <c r="S34" s="411" t="s">
        <v>699</v>
      </c>
      <c r="T34" s="412"/>
      <c r="U34" s="413"/>
      <c r="V34" s="57"/>
      <c r="W34" s="57"/>
      <c r="X34" s="57"/>
      <c r="Y34" s="57"/>
      <c r="Z34" s="57"/>
      <c r="AA34" s="57"/>
      <c r="AB34" s="57"/>
      <c r="AC34" s="57"/>
      <c r="AD34" s="57"/>
    </row>
    <row r="35">
      <c r="A35" s="327"/>
      <c r="B35" s="354" t="b">
        <v>0</v>
      </c>
      <c r="C35" s="414" t="s">
        <v>700</v>
      </c>
      <c r="E35" s="356"/>
      <c r="F35" s="57"/>
      <c r="G35" s="57"/>
      <c r="H35" s="57"/>
      <c r="I35" s="57"/>
      <c r="J35" s="57"/>
      <c r="K35" s="400">
        <v>2.0</v>
      </c>
      <c r="L35" s="403" t="s">
        <v>701</v>
      </c>
      <c r="M35" s="57"/>
      <c r="N35" s="57"/>
      <c r="O35" s="415" t="s">
        <v>702</v>
      </c>
      <c r="P35" s="413"/>
      <c r="Q35" s="57"/>
      <c r="R35" s="57"/>
      <c r="S35" s="416">
        <v>1.0</v>
      </c>
      <c r="T35" s="417" t="s">
        <v>703</v>
      </c>
      <c r="U35" s="413"/>
      <c r="V35" s="57"/>
      <c r="W35" s="57"/>
      <c r="X35" s="57"/>
      <c r="Y35" s="57"/>
      <c r="Z35" s="57"/>
      <c r="AA35" s="57"/>
      <c r="AB35" s="57"/>
      <c r="AC35" s="57"/>
      <c r="AD35" s="57"/>
    </row>
    <row r="36">
      <c r="A36" s="327"/>
      <c r="B36" s="354" t="b">
        <v>0</v>
      </c>
      <c r="C36" s="86" t="s">
        <v>704</v>
      </c>
      <c r="E36" s="356"/>
      <c r="F36" s="57"/>
      <c r="G36" s="57"/>
      <c r="H36" s="57"/>
      <c r="I36" s="57"/>
      <c r="J36" s="57"/>
      <c r="K36" s="400">
        <v>4.0</v>
      </c>
      <c r="L36" s="403" t="s">
        <v>705</v>
      </c>
      <c r="M36" s="57"/>
      <c r="N36" s="57"/>
      <c r="O36" s="418"/>
      <c r="P36" s="388"/>
      <c r="Q36" s="57"/>
      <c r="R36" s="57"/>
      <c r="S36" s="419">
        <v>2.1</v>
      </c>
      <c r="T36" s="417" t="s">
        <v>706</v>
      </c>
      <c r="U36" s="413"/>
      <c r="V36" s="57"/>
      <c r="W36" s="57"/>
      <c r="X36" s="57"/>
      <c r="Y36" s="57"/>
      <c r="Z36" s="57"/>
      <c r="AA36" s="57"/>
      <c r="AB36" s="57"/>
      <c r="AC36" s="57"/>
      <c r="AD36" s="57"/>
    </row>
    <row r="37">
      <c r="A37" s="57"/>
      <c r="B37" s="409"/>
      <c r="C37" s="366"/>
      <c r="D37" s="356"/>
      <c r="E37" s="356"/>
      <c r="F37" s="57"/>
      <c r="G37" s="57"/>
      <c r="H37" s="57"/>
      <c r="I37" s="57"/>
      <c r="J37" s="57"/>
      <c r="K37" s="400">
        <v>5.0</v>
      </c>
      <c r="L37" s="420" t="s">
        <v>707</v>
      </c>
      <c r="M37" s="57"/>
      <c r="N37" s="57"/>
      <c r="O37" s="322"/>
      <c r="P37" s="322"/>
      <c r="Q37" s="57"/>
      <c r="R37" s="57"/>
      <c r="S37" s="421">
        <v>2.2</v>
      </c>
      <c r="T37" s="417" t="s">
        <v>708</v>
      </c>
      <c r="U37" s="413"/>
      <c r="V37" s="57"/>
      <c r="W37" s="57"/>
      <c r="X37" s="57"/>
      <c r="Y37" s="57"/>
      <c r="Z37" s="57"/>
      <c r="AA37" s="57"/>
      <c r="AB37" s="57"/>
      <c r="AC37" s="57"/>
      <c r="AD37" s="57"/>
    </row>
    <row r="38">
      <c r="A38" s="57"/>
      <c r="B38" s="409" t="s">
        <v>709</v>
      </c>
      <c r="C38" s="366"/>
      <c r="D38" s="356"/>
      <c r="E38" s="356"/>
      <c r="F38" s="57"/>
      <c r="G38" s="57"/>
      <c r="H38" s="57"/>
      <c r="I38" s="57"/>
      <c r="J38" s="57"/>
      <c r="K38" s="422" t="s">
        <v>710</v>
      </c>
      <c r="L38" s="423"/>
      <c r="M38" s="57"/>
      <c r="N38" s="57"/>
      <c r="O38" s="322"/>
      <c r="P38" s="322"/>
      <c r="Q38" s="57"/>
      <c r="R38" s="57"/>
      <c r="S38" s="421">
        <v>2.3</v>
      </c>
      <c r="T38" s="417" t="s">
        <v>711</v>
      </c>
      <c r="U38" s="413"/>
      <c r="V38" s="57"/>
      <c r="W38" s="57"/>
      <c r="X38" s="57"/>
      <c r="Y38" s="57"/>
      <c r="Z38" s="57"/>
      <c r="AA38" s="57"/>
      <c r="AB38" s="57"/>
      <c r="AC38" s="57"/>
      <c r="AD38" s="57"/>
    </row>
    <row r="39">
      <c r="A39" s="57"/>
      <c r="B39" s="354" t="b">
        <v>0</v>
      </c>
      <c r="C39" s="424" t="s">
        <v>712</v>
      </c>
      <c r="J39" s="57"/>
      <c r="K39" s="57"/>
      <c r="L39" s="425" t="s">
        <v>713</v>
      </c>
      <c r="M39" s="426"/>
      <c r="N39" s="57"/>
      <c r="O39" s="327"/>
      <c r="P39" s="57"/>
      <c r="Q39" s="57"/>
      <c r="R39" s="57"/>
      <c r="S39" s="427">
        <v>3.0</v>
      </c>
      <c r="T39" s="417" t="s">
        <v>714</v>
      </c>
      <c r="U39" s="413"/>
      <c r="V39" s="57"/>
      <c r="W39" s="57"/>
      <c r="X39" s="57"/>
      <c r="Y39" s="57"/>
      <c r="Z39" s="57"/>
      <c r="AA39" s="57"/>
      <c r="AB39" s="57"/>
      <c r="AC39" s="57"/>
      <c r="AD39" s="57"/>
    </row>
    <row r="40">
      <c r="A40" s="57"/>
      <c r="J40" s="57"/>
      <c r="K40" s="428" t="s">
        <v>715</v>
      </c>
      <c r="L40" s="429"/>
      <c r="M40" s="426"/>
      <c r="N40" s="57"/>
      <c r="O40" s="388"/>
      <c r="P40" s="57"/>
      <c r="Q40" s="57"/>
      <c r="R40" s="57"/>
      <c r="S40" s="421">
        <v>4.0</v>
      </c>
      <c r="T40" s="417" t="s">
        <v>716</v>
      </c>
      <c r="U40" s="413"/>
      <c r="V40" s="57"/>
      <c r="W40" s="57"/>
      <c r="X40" s="57"/>
      <c r="Y40" s="57"/>
      <c r="Z40" s="57"/>
      <c r="AA40" s="57"/>
      <c r="AB40" s="57"/>
      <c r="AC40" s="57"/>
      <c r="AD40" s="57"/>
    </row>
    <row r="41">
      <c r="A41" s="57"/>
      <c r="B41" s="354" t="b">
        <v>0</v>
      </c>
      <c r="C41" s="363" t="s">
        <v>717</v>
      </c>
      <c r="D41" s="356"/>
      <c r="E41" s="356"/>
      <c r="F41" s="57"/>
      <c r="G41" s="57"/>
      <c r="H41" s="57"/>
      <c r="I41" s="57"/>
      <c r="J41" s="57"/>
      <c r="K41" s="430" t="s">
        <v>718</v>
      </c>
      <c r="L41" s="431"/>
      <c r="M41" s="426"/>
      <c r="N41" s="57"/>
      <c r="O41" s="432" t="s">
        <v>719</v>
      </c>
      <c r="P41" s="433" t="s">
        <v>720</v>
      </c>
      <c r="Q41" s="57"/>
      <c r="R41" s="57"/>
      <c r="S41" s="434"/>
      <c r="T41" s="366"/>
      <c r="U41" s="57"/>
      <c r="V41" s="57"/>
      <c r="W41" s="57"/>
      <c r="X41" s="57"/>
      <c r="Y41" s="57"/>
      <c r="Z41" s="57"/>
      <c r="AA41" s="57"/>
      <c r="AB41" s="57"/>
      <c r="AC41" s="57"/>
      <c r="AD41" s="57"/>
    </row>
    <row r="42">
      <c r="A42" s="57"/>
      <c r="B42" s="327"/>
      <c r="C42" s="356"/>
      <c r="D42" s="435" t="s">
        <v>721</v>
      </c>
      <c r="E42" s="366"/>
      <c r="F42" s="57"/>
      <c r="G42" s="57"/>
      <c r="H42" s="57"/>
      <c r="I42" s="57"/>
      <c r="J42" s="57"/>
      <c r="K42" s="436">
        <v>0.0</v>
      </c>
      <c r="L42" s="437" t="s">
        <v>722</v>
      </c>
      <c r="M42" s="57"/>
      <c r="N42" s="57"/>
      <c r="O42" s="438">
        <v>0.0</v>
      </c>
      <c r="P42" s="368" t="s">
        <v>723</v>
      </c>
      <c r="Q42" s="57"/>
      <c r="R42" s="57"/>
      <c r="U42" s="57"/>
      <c r="V42" s="57"/>
      <c r="W42" s="57"/>
      <c r="X42" s="57"/>
      <c r="Y42" s="57"/>
      <c r="Z42" s="57"/>
      <c r="AA42" s="57"/>
      <c r="AB42" s="57"/>
      <c r="AC42" s="57"/>
      <c r="AD42" s="57"/>
    </row>
    <row r="43">
      <c r="A43" s="57"/>
      <c r="B43" s="354" t="b">
        <v>0</v>
      </c>
      <c r="C43" s="355" t="s">
        <v>724</v>
      </c>
      <c r="D43" s="356"/>
      <c r="E43" s="366"/>
      <c r="F43" s="57"/>
      <c r="G43" s="57"/>
      <c r="H43" s="57"/>
      <c r="I43" s="57"/>
      <c r="J43" s="57"/>
      <c r="K43" s="439">
        <v>1.0</v>
      </c>
      <c r="L43" s="437" t="s">
        <v>725</v>
      </c>
      <c r="M43" s="57"/>
      <c r="N43" s="57"/>
      <c r="O43" s="438">
        <v>1.0</v>
      </c>
      <c r="P43" s="440" t="s">
        <v>726</v>
      </c>
      <c r="Q43" s="57"/>
      <c r="R43" s="57"/>
      <c r="S43" s="366"/>
      <c r="T43" s="366"/>
      <c r="U43" s="57"/>
      <c r="V43" s="57"/>
      <c r="W43" s="57"/>
      <c r="X43" s="57"/>
      <c r="Y43" s="57"/>
      <c r="Z43" s="57"/>
      <c r="AA43" s="57"/>
      <c r="AB43" s="57"/>
      <c r="AC43" s="57"/>
      <c r="AD43" s="57"/>
    </row>
    <row r="44">
      <c r="A44" s="57"/>
      <c r="B44" s="327"/>
      <c r="C44" s="366"/>
      <c r="D44" s="441" t="s">
        <v>727</v>
      </c>
      <c r="E44" s="366"/>
      <c r="F44" s="57"/>
      <c r="G44" s="57"/>
      <c r="H44" s="57"/>
      <c r="I44" s="57"/>
      <c r="J44" s="57"/>
      <c r="K44" s="442">
        <v>1.1</v>
      </c>
      <c r="L44" s="443" t="s">
        <v>728</v>
      </c>
      <c r="M44" s="57"/>
      <c r="N44" s="57"/>
      <c r="O44" s="444"/>
      <c r="P44" s="368"/>
      <c r="Q44" s="57"/>
      <c r="R44" s="57"/>
      <c r="U44" s="57"/>
      <c r="V44" s="57"/>
      <c r="W44" s="57"/>
      <c r="X44" s="57"/>
      <c r="Y44" s="57"/>
      <c r="Z44" s="57"/>
      <c r="AA44" s="57"/>
      <c r="AB44" s="57"/>
      <c r="AC44" s="57"/>
      <c r="AD44" s="57"/>
    </row>
    <row r="45">
      <c r="A45" s="57"/>
      <c r="B45" s="327"/>
      <c r="C45" s="366"/>
      <c r="D45" s="435" t="s">
        <v>729</v>
      </c>
      <c r="E45" s="366"/>
      <c r="F45" s="57"/>
      <c r="G45" s="57"/>
      <c r="H45" s="57"/>
      <c r="I45" s="57"/>
      <c r="J45" s="57"/>
      <c r="K45" s="442">
        <v>1.2</v>
      </c>
      <c r="L45" s="445" t="s">
        <v>730</v>
      </c>
      <c r="M45" s="57"/>
      <c r="N45" s="386"/>
      <c r="O45" s="444">
        <v>2.0</v>
      </c>
      <c r="P45" s="368" t="s">
        <v>731</v>
      </c>
      <c r="Q45" s="57"/>
      <c r="R45" s="57"/>
      <c r="S45" s="57"/>
      <c r="T45" s="57"/>
      <c r="U45" s="57"/>
      <c r="V45" s="57"/>
      <c r="W45" s="57"/>
      <c r="X45" s="57"/>
      <c r="Y45" s="57"/>
      <c r="Z45" s="57"/>
      <c r="AA45" s="57"/>
      <c r="AB45" s="57"/>
      <c r="AC45" s="57"/>
      <c r="AD45" s="57"/>
    </row>
    <row r="46">
      <c r="A46" s="57"/>
      <c r="B46" s="327"/>
      <c r="C46" s="366"/>
      <c r="D46" s="435" t="s">
        <v>732</v>
      </c>
      <c r="E46" s="366"/>
      <c r="F46" s="57"/>
      <c r="G46" s="57"/>
      <c r="H46" s="57"/>
      <c r="I46" s="57"/>
      <c r="J46" s="57"/>
      <c r="K46" s="439">
        <v>2.0</v>
      </c>
      <c r="L46" s="437" t="s">
        <v>733</v>
      </c>
      <c r="M46" s="57"/>
      <c r="N46" s="386"/>
      <c r="O46" s="446">
        <v>3.0</v>
      </c>
      <c r="P46" s="447" t="s">
        <v>734</v>
      </c>
      <c r="Q46" s="57"/>
      <c r="R46" s="57"/>
      <c r="S46" s="57"/>
      <c r="T46" s="57"/>
      <c r="U46" s="57"/>
      <c r="V46" s="57"/>
      <c r="W46" s="57"/>
      <c r="X46" s="57"/>
      <c r="Y46" s="57"/>
      <c r="Z46" s="57"/>
      <c r="AA46" s="57"/>
      <c r="AB46" s="57"/>
      <c r="AC46" s="57"/>
      <c r="AD46" s="57"/>
    </row>
    <row r="47" ht="17.25" customHeight="1">
      <c r="A47" s="57"/>
      <c r="B47" s="354" t="b">
        <v>0</v>
      </c>
      <c r="C47" s="363" t="s">
        <v>735</v>
      </c>
      <c r="D47" s="366"/>
      <c r="E47" s="366"/>
      <c r="F47" s="57"/>
      <c r="G47" s="57"/>
      <c r="H47" s="57"/>
      <c r="I47" s="57"/>
      <c r="J47" s="57"/>
      <c r="K47" s="439">
        <v>3.0</v>
      </c>
      <c r="L47" s="448" t="s">
        <v>736</v>
      </c>
      <c r="M47" s="57"/>
      <c r="N47" s="386"/>
      <c r="O47" s="57"/>
      <c r="P47" s="57"/>
      <c r="Q47" s="57"/>
      <c r="R47" s="57"/>
      <c r="S47" s="449"/>
      <c r="U47" s="57"/>
      <c r="V47" s="57"/>
      <c r="W47" s="57"/>
      <c r="X47" s="57"/>
      <c r="Y47" s="57"/>
      <c r="Z47" s="57"/>
      <c r="AA47" s="57"/>
      <c r="AB47" s="57"/>
      <c r="AC47" s="57"/>
      <c r="AD47" s="57"/>
    </row>
    <row r="48">
      <c r="A48" s="57"/>
      <c r="B48" s="57"/>
      <c r="C48" s="356"/>
      <c r="D48" s="363" t="s">
        <v>737</v>
      </c>
      <c r="E48" s="366"/>
      <c r="F48" s="57"/>
      <c r="G48" s="57"/>
      <c r="H48" s="57"/>
      <c r="I48" s="57"/>
      <c r="J48" s="57"/>
      <c r="K48" s="439">
        <v>4.0</v>
      </c>
      <c r="L48" s="448" t="s">
        <v>738</v>
      </c>
      <c r="M48" s="57"/>
      <c r="N48" s="386"/>
      <c r="O48" s="57"/>
      <c r="P48" s="57"/>
      <c r="Q48" s="57"/>
      <c r="R48" s="57"/>
      <c r="S48" s="450"/>
      <c r="T48" s="355"/>
      <c r="U48" s="57"/>
      <c r="V48" s="57"/>
      <c r="W48" s="57"/>
      <c r="X48" s="57"/>
      <c r="Y48" s="57"/>
      <c r="Z48" s="57"/>
      <c r="AA48" s="57"/>
      <c r="AB48" s="57"/>
      <c r="AC48" s="57"/>
      <c r="AD48" s="57"/>
    </row>
    <row r="49">
      <c r="A49" s="57"/>
      <c r="B49" s="354" t="b">
        <v>0</v>
      </c>
      <c r="C49" s="414" t="s">
        <v>739</v>
      </c>
      <c r="D49" s="356"/>
      <c r="E49" s="366"/>
      <c r="F49" s="57"/>
      <c r="G49" s="57"/>
      <c r="H49" s="57"/>
      <c r="I49" s="57"/>
      <c r="J49" s="57"/>
      <c r="K49" s="451">
        <v>5.0</v>
      </c>
      <c r="L49" s="452" t="s">
        <v>707</v>
      </c>
      <c r="M49" s="57"/>
      <c r="N49" s="386"/>
      <c r="O49" s="424" t="s">
        <v>740</v>
      </c>
      <c r="Q49" s="57"/>
      <c r="R49" s="57"/>
      <c r="S49" s="450"/>
      <c r="T49" s="355"/>
      <c r="U49" s="57"/>
      <c r="V49" s="57"/>
      <c r="W49" s="57"/>
      <c r="X49" s="57"/>
      <c r="Y49" s="57"/>
      <c r="Z49" s="57"/>
      <c r="AA49" s="57"/>
      <c r="AB49" s="57"/>
      <c r="AC49" s="57"/>
      <c r="AD49" s="57"/>
    </row>
    <row r="50">
      <c r="A50" s="57"/>
      <c r="B50" s="373"/>
      <c r="C50" s="356"/>
      <c r="D50" s="366"/>
      <c r="E50" s="366"/>
      <c r="F50" s="57"/>
      <c r="G50" s="57"/>
      <c r="H50" s="57"/>
      <c r="I50" s="57"/>
      <c r="J50" s="57"/>
      <c r="K50" s="57"/>
      <c r="L50" s="57"/>
      <c r="M50" s="57"/>
      <c r="N50" s="386"/>
      <c r="O50" s="453"/>
      <c r="P50" s="355"/>
      <c r="Q50" s="57"/>
      <c r="R50" s="57"/>
      <c r="S50" s="450"/>
      <c r="T50" s="355"/>
      <c r="U50" s="57"/>
      <c r="V50" s="57"/>
      <c r="W50" s="57"/>
      <c r="X50" s="57"/>
      <c r="Y50" s="57"/>
      <c r="Z50" s="57"/>
      <c r="AA50" s="57"/>
      <c r="AB50" s="57"/>
      <c r="AC50" s="57"/>
      <c r="AD50" s="57"/>
    </row>
    <row r="51">
      <c r="A51" s="57"/>
      <c r="B51" s="373" t="s">
        <v>741</v>
      </c>
      <c r="C51" s="356"/>
      <c r="D51" s="366"/>
      <c r="E51" s="366"/>
      <c r="F51" s="57"/>
      <c r="G51" s="57"/>
      <c r="H51" s="57"/>
      <c r="I51" s="57"/>
      <c r="J51" s="57"/>
      <c r="K51" s="57"/>
      <c r="L51" s="57"/>
      <c r="M51" s="57"/>
      <c r="N51" s="388"/>
      <c r="O51" s="454"/>
      <c r="P51" s="355"/>
      <c r="Q51" s="57"/>
      <c r="R51" s="57"/>
      <c r="S51" s="450"/>
      <c r="T51" s="355"/>
      <c r="U51" s="57"/>
      <c r="V51" s="57"/>
      <c r="W51" s="57"/>
      <c r="X51" s="57"/>
      <c r="Y51" s="57"/>
      <c r="Z51" s="57"/>
      <c r="AA51" s="57"/>
      <c r="AB51" s="57"/>
      <c r="AC51" s="57"/>
      <c r="AD51" s="57"/>
    </row>
    <row r="52" ht="16.5" customHeight="1">
      <c r="A52" s="57"/>
      <c r="B52" s="354" t="b">
        <v>0</v>
      </c>
      <c r="C52" s="363" t="s">
        <v>742</v>
      </c>
      <c r="D52" s="327"/>
      <c r="E52" s="366"/>
      <c r="F52" s="57"/>
      <c r="G52" s="57"/>
      <c r="H52" s="57"/>
      <c r="I52" s="57"/>
      <c r="J52" s="57"/>
      <c r="L52" s="57"/>
      <c r="M52" s="57"/>
      <c r="N52" s="386"/>
      <c r="O52" s="454"/>
      <c r="P52" s="366"/>
      <c r="Q52" s="57"/>
      <c r="R52" s="57"/>
      <c r="S52" s="450"/>
      <c r="T52" s="455"/>
      <c r="U52" s="57"/>
      <c r="V52" s="57"/>
      <c r="W52" s="57"/>
      <c r="X52" s="57"/>
      <c r="Y52" s="57"/>
      <c r="Z52" s="57"/>
      <c r="AA52" s="57"/>
      <c r="AB52" s="57"/>
      <c r="AC52" s="57"/>
      <c r="AD52" s="57"/>
    </row>
    <row r="53">
      <c r="A53" s="57"/>
      <c r="B53" s="354" t="b">
        <v>0</v>
      </c>
      <c r="C53" s="363" t="s">
        <v>743</v>
      </c>
      <c r="D53" s="327"/>
      <c r="E53" s="366"/>
      <c r="F53" s="57"/>
      <c r="G53" s="57"/>
      <c r="H53" s="57"/>
      <c r="I53" s="57"/>
      <c r="J53" s="57"/>
      <c r="L53" s="57"/>
      <c r="M53" s="57"/>
      <c r="N53" s="386"/>
      <c r="O53" s="454"/>
      <c r="P53" s="355"/>
      <c r="Q53" s="57"/>
      <c r="R53" s="57"/>
      <c r="S53" s="449"/>
      <c r="U53" s="57"/>
      <c r="V53" s="57"/>
      <c r="W53" s="57"/>
      <c r="X53" s="57"/>
      <c r="Y53" s="57"/>
      <c r="Z53" s="57"/>
      <c r="AA53" s="57"/>
      <c r="AB53" s="57"/>
      <c r="AC53" s="57"/>
      <c r="AD53" s="57"/>
    </row>
    <row r="54">
      <c r="A54" s="57"/>
      <c r="B54" s="354" t="b">
        <v>0</v>
      </c>
      <c r="C54" s="456" t="s">
        <v>744</v>
      </c>
      <c r="D54" s="327"/>
      <c r="E54" s="366"/>
      <c r="F54" s="57"/>
      <c r="G54" s="57"/>
      <c r="H54" s="57"/>
      <c r="I54" s="57"/>
      <c r="J54" s="57"/>
      <c r="L54" s="57"/>
      <c r="M54" s="57"/>
      <c r="N54" s="386"/>
      <c r="O54" s="457"/>
      <c r="P54" s="369"/>
      <c r="Q54" s="57"/>
      <c r="R54" s="57"/>
      <c r="S54" s="450"/>
      <c r="T54" s="355"/>
      <c r="U54" s="57"/>
      <c r="V54" s="57"/>
      <c r="W54" s="57"/>
      <c r="X54" s="57"/>
      <c r="Y54" s="57"/>
      <c r="Z54" s="57"/>
      <c r="AA54" s="57"/>
      <c r="AB54" s="57"/>
      <c r="AC54" s="57"/>
      <c r="AD54" s="57"/>
    </row>
    <row r="55">
      <c r="A55" s="57"/>
      <c r="B55" s="354" t="b">
        <v>0</v>
      </c>
      <c r="C55" s="363" t="s">
        <v>745</v>
      </c>
      <c r="D55" s="327"/>
      <c r="E55" s="366"/>
      <c r="F55" s="57"/>
      <c r="G55" s="57"/>
      <c r="H55" s="57"/>
      <c r="I55" s="57"/>
      <c r="J55" s="57"/>
      <c r="L55" s="57"/>
      <c r="M55" s="57"/>
      <c r="N55" s="386"/>
      <c r="O55" s="458"/>
      <c r="P55" s="369"/>
      <c r="Q55" s="57"/>
      <c r="R55" s="57"/>
      <c r="S55" s="450"/>
      <c r="T55" s="355"/>
      <c r="U55" s="57"/>
      <c r="V55" s="57"/>
      <c r="W55" s="57"/>
      <c r="X55" s="57"/>
      <c r="Y55" s="57"/>
      <c r="Z55" s="57"/>
      <c r="AA55" s="57"/>
      <c r="AB55" s="57"/>
      <c r="AC55" s="57"/>
      <c r="AD55" s="57"/>
    </row>
    <row r="56">
      <c r="A56" s="57"/>
      <c r="B56" s="354" t="b">
        <v>0</v>
      </c>
      <c r="C56" s="363" t="s">
        <v>746</v>
      </c>
      <c r="D56" s="327"/>
      <c r="E56" s="366"/>
      <c r="F56" s="57"/>
      <c r="G56" s="57"/>
      <c r="H56" s="57"/>
      <c r="I56" s="57"/>
      <c r="J56" s="57"/>
      <c r="L56" s="57"/>
      <c r="M56" s="57"/>
      <c r="N56" s="386"/>
      <c r="O56" s="458"/>
      <c r="P56" s="459"/>
      <c r="Q56" s="57"/>
      <c r="R56" s="57"/>
      <c r="S56" s="450"/>
      <c r="T56" s="355"/>
      <c r="U56" s="57"/>
      <c r="V56" s="57"/>
      <c r="W56" s="57"/>
      <c r="X56" s="57"/>
      <c r="Y56" s="57"/>
      <c r="Z56" s="57"/>
      <c r="AA56" s="57"/>
      <c r="AB56" s="57"/>
      <c r="AC56" s="57"/>
      <c r="AD56" s="57"/>
    </row>
    <row r="57">
      <c r="A57" s="57"/>
      <c r="B57" s="354" t="b">
        <v>0</v>
      </c>
      <c r="C57" s="363" t="s">
        <v>747</v>
      </c>
      <c r="D57" s="327"/>
      <c r="E57" s="366"/>
      <c r="F57" s="57"/>
      <c r="G57" s="57"/>
      <c r="H57" s="57"/>
      <c r="I57" s="57"/>
      <c r="J57" s="57"/>
      <c r="L57" s="57"/>
      <c r="M57" s="57"/>
      <c r="N57" s="386"/>
      <c r="O57" s="424"/>
      <c r="P57" s="366"/>
      <c r="Q57" s="57"/>
      <c r="R57" s="57"/>
      <c r="S57" s="450"/>
      <c r="T57" s="355"/>
      <c r="U57" s="57"/>
      <c r="V57" s="57"/>
      <c r="W57" s="57"/>
      <c r="X57" s="57"/>
      <c r="Y57" s="57"/>
      <c r="Z57" s="57"/>
      <c r="AA57" s="57"/>
      <c r="AB57" s="57"/>
      <c r="AC57" s="57"/>
      <c r="AD57" s="57"/>
    </row>
    <row r="58">
      <c r="A58" s="57"/>
      <c r="B58" s="57"/>
      <c r="C58" s="57"/>
      <c r="D58" s="327"/>
      <c r="E58" s="57"/>
      <c r="F58" s="57"/>
      <c r="G58" s="57"/>
      <c r="H58" s="57"/>
      <c r="I58" s="57"/>
      <c r="J58" s="57"/>
      <c r="L58" s="57"/>
      <c r="M58" s="57"/>
      <c r="N58" s="386"/>
      <c r="O58" s="453"/>
      <c r="P58" s="366"/>
      <c r="Q58" s="57"/>
      <c r="R58" s="57"/>
      <c r="S58" s="450"/>
      <c r="T58" s="355"/>
      <c r="U58" s="57"/>
      <c r="V58" s="57"/>
      <c r="W58" s="57"/>
      <c r="X58" s="57"/>
      <c r="Y58" s="57"/>
      <c r="Z58" s="57"/>
      <c r="AA58" s="57"/>
      <c r="AB58" s="57"/>
      <c r="AC58" s="57"/>
      <c r="AD58" s="57"/>
    </row>
    <row r="59">
      <c r="A59" s="57"/>
      <c r="B59" s="460" t="s">
        <v>748</v>
      </c>
      <c r="C59" s="57"/>
      <c r="D59" s="327"/>
      <c r="E59" s="57"/>
      <c r="F59" s="57"/>
      <c r="G59" s="57"/>
      <c r="H59" s="57"/>
      <c r="I59" s="57"/>
      <c r="J59" s="57"/>
      <c r="L59" s="57"/>
      <c r="M59" s="57"/>
      <c r="N59" s="386"/>
      <c r="O59" s="454"/>
      <c r="P59" s="362"/>
      <c r="Q59" s="57"/>
      <c r="R59" s="57"/>
      <c r="S59" s="450"/>
      <c r="T59" s="355"/>
      <c r="U59" s="57"/>
      <c r="V59" s="57"/>
      <c r="W59" s="57"/>
      <c r="X59" s="57"/>
      <c r="Y59" s="57"/>
      <c r="Z59" s="57"/>
      <c r="AA59" s="57"/>
      <c r="AB59" s="57"/>
      <c r="AC59" s="57"/>
      <c r="AD59" s="57"/>
    </row>
    <row r="60">
      <c r="A60" s="57"/>
      <c r="B60" s="461" t="s">
        <v>749</v>
      </c>
      <c r="C60" s="57"/>
      <c r="D60" s="327"/>
      <c r="E60" s="57"/>
      <c r="F60" s="57"/>
      <c r="G60" s="57"/>
      <c r="H60" s="57"/>
      <c r="I60" s="57"/>
      <c r="J60" s="57"/>
      <c r="L60" s="57"/>
      <c r="M60" s="57"/>
      <c r="N60" s="386"/>
      <c r="O60" s="454"/>
      <c r="P60" s="362"/>
      <c r="Q60" s="57"/>
      <c r="R60" s="57"/>
      <c r="S60" s="450"/>
      <c r="T60" s="355"/>
      <c r="U60" s="57"/>
      <c r="V60" s="57"/>
      <c r="W60" s="57"/>
      <c r="X60" s="57"/>
      <c r="Y60" s="57"/>
      <c r="Z60" s="57"/>
      <c r="AA60" s="57"/>
      <c r="AB60" s="57"/>
      <c r="AC60" s="57"/>
      <c r="AD60" s="57"/>
    </row>
    <row r="61">
      <c r="A61" s="57"/>
      <c r="B61" s="6" t="b">
        <v>0</v>
      </c>
      <c r="C61" s="414" t="s">
        <v>750</v>
      </c>
      <c r="D61" s="327"/>
      <c r="E61" s="57"/>
      <c r="F61" s="57"/>
      <c r="G61" s="57"/>
      <c r="H61" s="57"/>
      <c r="I61" s="57"/>
      <c r="J61" s="57"/>
      <c r="L61" s="57"/>
      <c r="M61" s="57"/>
      <c r="N61" s="386"/>
      <c r="O61" s="454"/>
      <c r="P61" s="362"/>
      <c r="Q61" s="57"/>
      <c r="R61" s="57"/>
      <c r="S61" s="450"/>
      <c r="T61" s="355"/>
      <c r="U61" s="57"/>
      <c r="V61" s="57"/>
      <c r="W61" s="57"/>
      <c r="X61" s="57"/>
      <c r="Y61" s="57"/>
      <c r="Z61" s="57"/>
      <c r="AA61" s="57"/>
      <c r="AB61" s="57"/>
      <c r="AC61" s="57"/>
      <c r="AD61" s="57"/>
    </row>
    <row r="62">
      <c r="A62" s="57"/>
      <c r="B62" s="6" t="b">
        <v>0</v>
      </c>
      <c r="C62" s="414" t="s">
        <v>751</v>
      </c>
      <c r="D62" s="57"/>
      <c r="E62" s="57"/>
      <c r="F62" s="57"/>
      <c r="G62" s="57"/>
      <c r="H62" s="57"/>
      <c r="I62" s="57"/>
      <c r="J62" s="57"/>
      <c r="L62" s="57"/>
      <c r="M62" s="57"/>
      <c r="N62" s="388"/>
      <c r="O62" s="454"/>
      <c r="P62" s="362"/>
      <c r="Q62" s="57"/>
      <c r="R62" s="57"/>
      <c r="S62" s="462"/>
      <c r="T62" s="355"/>
      <c r="U62" s="57"/>
      <c r="V62" s="57"/>
      <c r="W62" s="57"/>
      <c r="X62" s="57"/>
      <c r="Y62" s="57"/>
      <c r="Z62" s="57"/>
      <c r="AA62" s="57"/>
      <c r="AB62" s="57"/>
      <c r="AC62" s="57"/>
      <c r="AD62" s="57"/>
    </row>
    <row r="63" ht="21.75" customHeight="1">
      <c r="A63" s="57"/>
      <c r="B63" s="6" t="b">
        <v>0</v>
      </c>
      <c r="C63" s="414" t="s">
        <v>752</v>
      </c>
      <c r="D63" s="57"/>
      <c r="E63" s="57"/>
      <c r="F63" s="57"/>
      <c r="G63" s="57"/>
      <c r="H63" s="57"/>
      <c r="I63" s="57"/>
      <c r="J63" s="57"/>
      <c r="L63" s="57"/>
      <c r="M63" s="57"/>
      <c r="N63" s="388"/>
      <c r="O63" s="454"/>
      <c r="P63" s="362"/>
      <c r="Q63" s="57"/>
      <c r="R63" s="57"/>
      <c r="S63" s="462"/>
      <c r="T63" s="355"/>
      <c r="U63" s="57"/>
      <c r="V63" s="57"/>
      <c r="W63" s="57"/>
      <c r="X63" s="57"/>
      <c r="Y63" s="57"/>
      <c r="Z63" s="57"/>
      <c r="AA63" s="57"/>
      <c r="AB63" s="57"/>
      <c r="AC63" s="57"/>
      <c r="AD63" s="57"/>
    </row>
    <row r="64" ht="23.25" customHeight="1">
      <c r="A64" s="57"/>
      <c r="B64" s="6" t="b">
        <v>0</v>
      </c>
      <c r="C64" s="414" t="s">
        <v>753</v>
      </c>
      <c r="D64" s="57"/>
      <c r="E64" s="57"/>
      <c r="F64" s="57"/>
      <c r="G64" s="57"/>
      <c r="H64" s="57"/>
      <c r="I64" s="57"/>
      <c r="J64" s="57"/>
      <c r="L64" s="57"/>
      <c r="M64" s="57"/>
      <c r="N64" s="57"/>
      <c r="O64" s="454"/>
      <c r="P64" s="362"/>
      <c r="Q64" s="57"/>
      <c r="R64" s="57"/>
      <c r="S64" s="449"/>
      <c r="U64" s="57"/>
      <c r="V64" s="57"/>
      <c r="W64" s="57"/>
      <c r="X64" s="57"/>
      <c r="Y64" s="57"/>
      <c r="Z64" s="57"/>
      <c r="AA64" s="57"/>
      <c r="AB64" s="57"/>
      <c r="AC64" s="57"/>
      <c r="AD64" s="57"/>
    </row>
    <row r="65">
      <c r="A65" s="57"/>
      <c r="B65" s="6" t="b">
        <v>0</v>
      </c>
      <c r="C65" s="414" t="s">
        <v>754</v>
      </c>
      <c r="D65" s="57"/>
      <c r="E65" s="57"/>
      <c r="F65" s="57"/>
      <c r="G65" s="57"/>
      <c r="H65" s="57"/>
      <c r="I65" s="57"/>
      <c r="J65" s="57"/>
      <c r="L65" s="57"/>
      <c r="M65" s="57"/>
      <c r="N65" s="57"/>
      <c r="O65" s="418"/>
      <c r="P65" s="388"/>
      <c r="Q65" s="57"/>
      <c r="R65" s="57"/>
      <c r="S65" s="57"/>
      <c r="T65" s="57"/>
      <c r="U65" s="57"/>
      <c r="V65" s="57"/>
      <c r="W65" s="57"/>
      <c r="X65" s="57"/>
      <c r="Y65" s="57"/>
      <c r="Z65" s="57"/>
      <c r="AA65" s="57"/>
      <c r="AB65" s="57"/>
      <c r="AC65" s="57"/>
      <c r="AD65" s="57"/>
    </row>
    <row r="66">
      <c r="A66" s="57"/>
      <c r="B66" s="463"/>
      <c r="C66" s="57"/>
      <c r="D66" s="327"/>
      <c r="E66" s="57"/>
      <c r="F66" s="57"/>
      <c r="G66" s="57"/>
      <c r="H66" s="57"/>
      <c r="I66" s="57"/>
      <c r="J66" s="57"/>
      <c r="L66" s="57"/>
      <c r="M66" s="57"/>
      <c r="N66" s="57"/>
      <c r="O66" s="418"/>
      <c r="P66" s="388"/>
      <c r="Q66" s="57"/>
      <c r="R66" s="57"/>
      <c r="S66" s="57"/>
      <c r="T66" s="57"/>
      <c r="U66" s="57"/>
      <c r="V66" s="57"/>
      <c r="W66" s="57"/>
      <c r="X66" s="57"/>
      <c r="Y66" s="57"/>
      <c r="Z66" s="57"/>
      <c r="AA66" s="57"/>
      <c r="AB66" s="57"/>
      <c r="AC66" s="57"/>
      <c r="AD66" s="57"/>
    </row>
    <row r="67">
      <c r="A67" s="57"/>
      <c r="B67" s="461" t="s">
        <v>755</v>
      </c>
      <c r="C67" s="57"/>
      <c r="D67" s="57"/>
      <c r="E67" s="57"/>
      <c r="F67" s="57"/>
      <c r="G67" s="57"/>
      <c r="H67" s="57"/>
      <c r="I67" s="57"/>
      <c r="J67" s="57"/>
      <c r="L67" s="57"/>
      <c r="M67" s="57"/>
      <c r="N67" s="57"/>
      <c r="O67" s="322"/>
      <c r="Q67" s="57"/>
      <c r="R67" s="57"/>
      <c r="S67" s="57"/>
      <c r="T67" s="57"/>
      <c r="U67" s="57"/>
      <c r="V67" s="57"/>
      <c r="W67" s="57"/>
      <c r="X67" s="57"/>
      <c r="Y67" s="57"/>
      <c r="Z67" s="57"/>
      <c r="AA67" s="57"/>
      <c r="AB67" s="57"/>
      <c r="AC67" s="57"/>
      <c r="AD67" s="57"/>
    </row>
    <row r="68">
      <c r="A68" s="57"/>
      <c r="B68" s="6" t="b">
        <v>0</v>
      </c>
      <c r="C68" s="414" t="s">
        <v>756</v>
      </c>
      <c r="D68" s="57"/>
      <c r="E68" s="57"/>
      <c r="F68" s="57"/>
      <c r="G68" s="57"/>
      <c r="H68" s="57"/>
      <c r="I68" s="57"/>
      <c r="J68" s="57"/>
      <c r="L68" s="57"/>
      <c r="M68" s="57"/>
      <c r="N68" s="57"/>
      <c r="Q68" s="57"/>
      <c r="R68" s="57"/>
      <c r="S68" s="57"/>
      <c r="T68" s="57"/>
      <c r="U68" s="57"/>
      <c r="V68" s="57"/>
      <c r="W68" s="57"/>
      <c r="X68" s="57"/>
      <c r="Y68" s="57"/>
      <c r="Z68" s="57"/>
      <c r="AA68" s="57"/>
      <c r="AB68" s="57"/>
      <c r="AC68" s="57"/>
      <c r="AD68" s="57"/>
    </row>
    <row r="69">
      <c r="A69" s="57"/>
      <c r="B69" s="6" t="b">
        <v>0</v>
      </c>
      <c r="C69" s="414" t="s">
        <v>757</v>
      </c>
      <c r="D69" s="57"/>
      <c r="E69" s="57"/>
      <c r="F69" s="57"/>
      <c r="G69" s="57"/>
      <c r="H69" s="57"/>
      <c r="I69" s="57"/>
      <c r="J69" s="57"/>
      <c r="L69" s="57"/>
      <c r="M69" s="57"/>
      <c r="N69" s="57"/>
      <c r="O69" s="57"/>
      <c r="P69" s="57"/>
      <c r="Q69" s="57"/>
      <c r="R69" s="57"/>
      <c r="S69" s="57"/>
      <c r="T69" s="57"/>
      <c r="U69" s="57"/>
      <c r="V69" s="57"/>
      <c r="W69" s="57"/>
      <c r="X69" s="57"/>
      <c r="Y69" s="57"/>
      <c r="Z69" s="57"/>
      <c r="AA69" s="57"/>
      <c r="AB69" s="57"/>
      <c r="AC69" s="57"/>
      <c r="AD69" s="57"/>
    </row>
    <row r="70">
      <c r="A70" s="57"/>
      <c r="B70" s="6" t="b">
        <v>0</v>
      </c>
      <c r="C70" s="414" t="s">
        <v>758</v>
      </c>
      <c r="D70" s="57"/>
      <c r="E70" s="57"/>
      <c r="F70" s="57"/>
      <c r="G70" s="57"/>
      <c r="H70" s="57"/>
      <c r="I70" s="57"/>
      <c r="J70" s="57"/>
      <c r="L70" s="57"/>
      <c r="M70" s="57"/>
      <c r="N70" s="57"/>
      <c r="O70" s="57"/>
      <c r="P70" s="57"/>
      <c r="Q70" s="57"/>
      <c r="R70" s="57"/>
      <c r="S70" s="57"/>
      <c r="T70" s="57"/>
      <c r="U70" s="57"/>
      <c r="V70" s="57"/>
      <c r="W70" s="57"/>
      <c r="X70" s="57"/>
      <c r="Y70" s="57"/>
      <c r="Z70" s="57"/>
      <c r="AA70" s="57"/>
      <c r="AB70" s="57"/>
      <c r="AC70" s="57"/>
      <c r="AD70" s="57"/>
    </row>
    <row r="71">
      <c r="A71" s="57"/>
      <c r="B71" s="6" t="b">
        <v>0</v>
      </c>
      <c r="C71" s="414" t="s">
        <v>759</v>
      </c>
      <c r="D71" s="57"/>
      <c r="E71" s="57"/>
      <c r="F71" s="57"/>
      <c r="G71" s="57"/>
      <c r="H71" s="57"/>
      <c r="I71" s="57"/>
      <c r="J71" s="57"/>
      <c r="L71" s="57"/>
      <c r="M71" s="57"/>
      <c r="N71" s="57"/>
      <c r="O71" s="57"/>
      <c r="P71" s="57"/>
      <c r="Q71" s="57"/>
      <c r="R71" s="57"/>
      <c r="S71" s="57"/>
      <c r="T71" s="57"/>
      <c r="U71" s="57"/>
      <c r="V71" s="57"/>
      <c r="W71" s="57"/>
      <c r="X71" s="57"/>
      <c r="Y71" s="57"/>
      <c r="Z71" s="57"/>
      <c r="AA71" s="57"/>
      <c r="AB71" s="57"/>
      <c r="AC71" s="57"/>
      <c r="AD71" s="57"/>
    </row>
    <row r="72">
      <c r="A72" s="57"/>
      <c r="B72" s="6" t="b">
        <v>0</v>
      </c>
      <c r="C72" s="414" t="s">
        <v>760</v>
      </c>
      <c r="D72" s="57"/>
      <c r="E72" s="57"/>
      <c r="F72" s="57"/>
      <c r="G72" s="57"/>
      <c r="H72" s="57"/>
      <c r="I72" s="57"/>
      <c r="J72" s="57"/>
      <c r="L72" s="57"/>
      <c r="M72" s="57"/>
      <c r="N72" s="57"/>
      <c r="O72" s="57"/>
      <c r="P72" s="57"/>
      <c r="Q72" s="57"/>
      <c r="R72" s="57"/>
      <c r="S72" s="57"/>
      <c r="T72" s="57"/>
      <c r="U72" s="57"/>
      <c r="V72" s="57"/>
      <c r="W72" s="57"/>
      <c r="X72" s="57"/>
      <c r="Y72" s="57"/>
      <c r="Z72" s="57"/>
      <c r="AA72" s="57"/>
      <c r="AB72" s="57"/>
      <c r="AC72" s="57"/>
      <c r="AD72" s="57"/>
    </row>
    <row r="73">
      <c r="A73" s="57"/>
      <c r="B73" s="6" t="b">
        <v>0</v>
      </c>
      <c r="C73" s="414" t="s">
        <v>761</v>
      </c>
      <c r="D73" s="57"/>
      <c r="E73" s="57"/>
      <c r="F73" s="57"/>
      <c r="G73" s="57"/>
      <c r="H73" s="57"/>
      <c r="I73" s="57"/>
      <c r="J73" s="57"/>
      <c r="L73" s="57"/>
      <c r="M73" s="57"/>
      <c r="N73" s="57"/>
      <c r="O73" s="57"/>
      <c r="P73" s="57"/>
      <c r="Q73" s="57"/>
      <c r="R73" s="57"/>
      <c r="S73" s="57"/>
      <c r="T73" s="57"/>
      <c r="U73" s="57"/>
      <c r="V73" s="57"/>
      <c r="W73" s="57"/>
      <c r="X73" s="57"/>
      <c r="Y73" s="57"/>
      <c r="Z73" s="57"/>
      <c r="AA73" s="57"/>
      <c r="AB73" s="57"/>
      <c r="AC73" s="57"/>
      <c r="AD73" s="57"/>
    </row>
    <row r="74">
      <c r="A74" s="57"/>
      <c r="E74" s="57"/>
      <c r="F74" s="57"/>
      <c r="G74" s="57"/>
      <c r="H74" s="57"/>
      <c r="I74" s="57"/>
      <c r="J74" s="57"/>
      <c r="L74" s="57"/>
      <c r="M74" s="57"/>
      <c r="N74" s="57"/>
      <c r="O74" s="57"/>
      <c r="P74" s="57"/>
      <c r="Q74" s="57"/>
      <c r="R74" s="57"/>
      <c r="S74" s="57"/>
      <c r="T74" s="57"/>
      <c r="U74" s="57"/>
      <c r="V74" s="57"/>
      <c r="W74" s="57"/>
      <c r="X74" s="57"/>
      <c r="Y74" s="57"/>
      <c r="Z74" s="57"/>
      <c r="AA74" s="57"/>
      <c r="AB74" s="57"/>
      <c r="AC74" s="57"/>
      <c r="AD74" s="57"/>
    </row>
    <row r="75">
      <c r="A75" s="57"/>
      <c r="B75" s="327"/>
      <c r="D75" s="57"/>
      <c r="E75" s="57"/>
      <c r="F75" s="57"/>
      <c r="G75" s="57"/>
      <c r="H75" s="57"/>
      <c r="I75" s="57"/>
      <c r="J75" s="57"/>
      <c r="L75" s="57"/>
      <c r="M75" s="57"/>
      <c r="N75" s="57"/>
      <c r="O75" s="57"/>
      <c r="P75" s="57"/>
      <c r="Q75" s="57"/>
      <c r="R75" s="57"/>
      <c r="S75" s="57"/>
      <c r="T75" s="57"/>
      <c r="U75" s="57"/>
      <c r="V75" s="57"/>
      <c r="W75" s="57"/>
      <c r="X75" s="57"/>
      <c r="Y75" s="57"/>
      <c r="Z75" s="57"/>
      <c r="AA75" s="57"/>
      <c r="AB75" s="57"/>
      <c r="AC75" s="57"/>
      <c r="AD75" s="57"/>
    </row>
    <row r="76">
      <c r="A76" s="57"/>
      <c r="B76" s="464" t="s">
        <v>762</v>
      </c>
      <c r="C76" s="327"/>
      <c r="D76" s="57"/>
      <c r="E76" s="57"/>
      <c r="F76" s="465" t="s">
        <v>763</v>
      </c>
      <c r="G76" s="57"/>
      <c r="H76" s="57"/>
      <c r="I76" s="57"/>
      <c r="J76" s="57"/>
      <c r="L76" s="57"/>
      <c r="M76" s="57"/>
      <c r="N76" s="57"/>
      <c r="O76" s="57"/>
      <c r="P76" s="57"/>
      <c r="Q76" s="57"/>
      <c r="R76" s="57"/>
      <c r="S76" s="57"/>
      <c r="T76" s="57"/>
      <c r="U76" s="57"/>
      <c r="V76" s="57"/>
      <c r="W76" s="57"/>
      <c r="X76" s="57"/>
      <c r="Y76" s="57"/>
      <c r="Z76" s="57"/>
      <c r="AA76" s="57"/>
      <c r="AB76" s="57"/>
      <c r="AC76" s="57"/>
      <c r="AD76" s="57"/>
    </row>
    <row r="77">
      <c r="A77" s="57"/>
      <c r="B77" s="57"/>
      <c r="C77" s="327"/>
      <c r="D77" s="57"/>
      <c r="E77" s="57"/>
      <c r="F77" s="57"/>
      <c r="G77" s="57"/>
      <c r="H77" s="57"/>
      <c r="I77" s="57"/>
      <c r="J77" s="57"/>
      <c r="L77" s="57"/>
      <c r="M77" s="57"/>
      <c r="N77" s="57"/>
      <c r="O77" s="57"/>
      <c r="P77" s="57"/>
      <c r="Q77" s="57"/>
      <c r="R77" s="57"/>
      <c r="S77" s="57"/>
      <c r="T77" s="57"/>
      <c r="U77" s="57"/>
      <c r="V77" s="57"/>
      <c r="W77" s="57"/>
      <c r="X77" s="57"/>
      <c r="Y77" s="57"/>
      <c r="Z77" s="57"/>
      <c r="AA77" s="57"/>
      <c r="AB77" s="57"/>
      <c r="AC77" s="57"/>
      <c r="AD77" s="57"/>
    </row>
    <row r="78">
      <c r="A78" s="318">
        <v>0.0</v>
      </c>
      <c r="B78" s="466" t="s">
        <v>764</v>
      </c>
      <c r="E78" s="322"/>
      <c r="F78" s="322" t="s">
        <v>765</v>
      </c>
      <c r="G78" s="57"/>
      <c r="H78" s="57"/>
      <c r="I78" s="57"/>
      <c r="J78" s="57"/>
      <c r="L78" s="57"/>
      <c r="M78" s="57"/>
      <c r="N78" s="57"/>
      <c r="O78" s="57"/>
      <c r="P78" s="57"/>
      <c r="Q78" s="57"/>
      <c r="R78" s="57"/>
      <c r="S78" s="57"/>
      <c r="T78" s="57"/>
      <c r="U78" s="57"/>
      <c r="V78" s="57"/>
      <c r="W78" s="57"/>
      <c r="X78" s="57"/>
      <c r="Y78" s="57"/>
      <c r="Z78" s="57"/>
      <c r="AA78" s="57"/>
      <c r="AB78" s="57"/>
      <c r="AC78" s="57"/>
      <c r="AD78" s="57"/>
    </row>
    <row r="79">
      <c r="A79" s="318">
        <v>0.1</v>
      </c>
      <c r="B79" s="466" t="s">
        <v>766</v>
      </c>
      <c r="E79" s="322"/>
      <c r="F79" s="322" t="s">
        <v>767</v>
      </c>
      <c r="G79" s="57"/>
      <c r="H79" s="57"/>
      <c r="I79" s="57"/>
      <c r="J79" s="57"/>
      <c r="L79" s="57"/>
      <c r="M79" s="57"/>
      <c r="N79" s="57"/>
      <c r="O79" s="57"/>
      <c r="P79" s="57"/>
      <c r="Q79" s="57"/>
      <c r="R79" s="57"/>
      <c r="S79" s="57"/>
      <c r="T79" s="57"/>
      <c r="U79" s="57"/>
      <c r="V79" s="57"/>
      <c r="W79" s="57"/>
      <c r="X79" s="57"/>
      <c r="Y79" s="57"/>
      <c r="Z79" s="57"/>
      <c r="AA79" s="57"/>
      <c r="AB79" s="57"/>
      <c r="AC79" s="57"/>
      <c r="AD79" s="57"/>
    </row>
    <row r="80">
      <c r="A80" s="318">
        <v>0.2</v>
      </c>
      <c r="B80" s="466" t="s">
        <v>768</v>
      </c>
      <c r="E80" s="322"/>
      <c r="F80" s="322" t="s">
        <v>769</v>
      </c>
      <c r="G80" s="57"/>
      <c r="H80" s="57"/>
      <c r="I80" s="57"/>
      <c r="J80" s="57"/>
      <c r="K80" s="57"/>
      <c r="L80" s="57"/>
      <c r="M80" s="57"/>
      <c r="N80" s="57"/>
      <c r="O80" s="57"/>
      <c r="P80" s="57"/>
      <c r="Q80" s="57"/>
      <c r="R80" s="57"/>
      <c r="S80" s="57"/>
      <c r="T80" s="57"/>
      <c r="U80" s="57"/>
      <c r="V80" s="57"/>
      <c r="W80" s="57"/>
      <c r="X80" s="57"/>
      <c r="Y80" s="57"/>
      <c r="Z80" s="57"/>
      <c r="AA80" s="57"/>
      <c r="AB80" s="57"/>
      <c r="AC80" s="57"/>
      <c r="AD80" s="57"/>
    </row>
    <row r="81">
      <c r="A81" s="318">
        <v>0.3</v>
      </c>
      <c r="B81" s="466" t="s">
        <v>770</v>
      </c>
      <c r="E81" s="322"/>
      <c r="F81" s="322" t="s">
        <v>771</v>
      </c>
      <c r="G81" s="57"/>
      <c r="H81" s="57"/>
      <c r="I81" s="57"/>
      <c r="J81" s="57"/>
      <c r="K81" s="57"/>
      <c r="L81" s="57"/>
      <c r="M81" s="57"/>
      <c r="N81" s="57"/>
      <c r="O81" s="57"/>
      <c r="P81" s="57"/>
      <c r="Q81" s="57"/>
      <c r="R81" s="57"/>
      <c r="S81" s="57"/>
      <c r="T81" s="57"/>
      <c r="U81" s="57"/>
      <c r="V81" s="57"/>
      <c r="W81" s="57"/>
      <c r="X81" s="57"/>
      <c r="Y81" s="57"/>
      <c r="Z81" s="57"/>
      <c r="AA81" s="57"/>
      <c r="AB81" s="57"/>
      <c r="AC81" s="57"/>
      <c r="AD81" s="57"/>
    </row>
    <row r="82">
      <c r="A82" s="318">
        <v>0.4</v>
      </c>
      <c r="B82" s="466" t="s">
        <v>772</v>
      </c>
      <c r="E82" s="322"/>
      <c r="F82" s="322" t="s">
        <v>773</v>
      </c>
      <c r="G82" s="57"/>
      <c r="H82" s="57"/>
      <c r="I82" s="57"/>
      <c r="J82" s="57"/>
      <c r="K82" s="57"/>
      <c r="L82" s="57"/>
      <c r="M82" s="57"/>
      <c r="N82" s="57"/>
      <c r="O82" s="57"/>
      <c r="P82" s="57"/>
      <c r="Q82" s="57"/>
      <c r="R82" s="57"/>
      <c r="S82" s="57"/>
      <c r="T82" s="57"/>
      <c r="U82" s="57"/>
      <c r="V82" s="57"/>
      <c r="W82" s="57"/>
      <c r="X82" s="57"/>
      <c r="Y82" s="57"/>
      <c r="Z82" s="57"/>
      <c r="AA82" s="57"/>
      <c r="AB82" s="57"/>
      <c r="AC82" s="57"/>
      <c r="AD82" s="57"/>
    </row>
    <row r="83">
      <c r="A83" s="318">
        <v>1.0</v>
      </c>
      <c r="B83" s="466" t="s">
        <v>774</v>
      </c>
      <c r="E83" s="322"/>
      <c r="F83" s="322" t="s">
        <v>775</v>
      </c>
      <c r="G83" s="57"/>
      <c r="H83" s="57"/>
      <c r="I83" s="57"/>
      <c r="J83" s="57"/>
      <c r="K83" s="57"/>
      <c r="L83" s="57"/>
      <c r="M83" s="57"/>
      <c r="N83" s="57"/>
      <c r="O83" s="57"/>
      <c r="P83" s="57"/>
      <c r="Q83" s="57"/>
      <c r="R83" s="57"/>
      <c r="S83" s="57"/>
      <c r="T83" s="57"/>
      <c r="U83" s="57"/>
      <c r="V83" s="57"/>
      <c r="W83" s="57"/>
      <c r="X83" s="57"/>
      <c r="Y83" s="57"/>
      <c r="Z83" s="57"/>
      <c r="AA83" s="57"/>
      <c r="AB83" s="57"/>
      <c r="AC83" s="57"/>
      <c r="AD83" s="57"/>
    </row>
    <row r="84">
      <c r="A84" s="318">
        <v>1.1</v>
      </c>
      <c r="B84" s="466" t="s">
        <v>776</v>
      </c>
      <c r="E84" s="322"/>
      <c r="F84" s="322" t="s">
        <v>777</v>
      </c>
      <c r="G84" s="57"/>
      <c r="H84" s="57"/>
      <c r="I84" s="57"/>
      <c r="J84" s="57"/>
      <c r="K84" s="57"/>
      <c r="L84" s="57"/>
      <c r="M84" s="57"/>
      <c r="N84" s="57"/>
      <c r="O84" s="57"/>
      <c r="P84" s="57"/>
      <c r="Q84" s="57"/>
      <c r="R84" s="57"/>
      <c r="S84" s="57"/>
      <c r="T84" s="57"/>
      <c r="U84" s="57"/>
      <c r="V84" s="57"/>
      <c r="W84" s="57"/>
      <c r="X84" s="57"/>
      <c r="Y84" s="57"/>
      <c r="Z84" s="57"/>
      <c r="AA84" s="57"/>
      <c r="AB84" s="57"/>
      <c r="AC84" s="57"/>
      <c r="AD84" s="57"/>
    </row>
    <row r="85">
      <c r="A85" s="467">
        <v>1.4</v>
      </c>
      <c r="B85" s="468" t="s">
        <v>778</v>
      </c>
      <c r="C85" s="468"/>
      <c r="D85" s="468"/>
      <c r="E85" s="322"/>
      <c r="F85" s="322"/>
      <c r="G85" s="57"/>
      <c r="H85" s="57"/>
      <c r="I85" s="57"/>
      <c r="J85" s="57"/>
      <c r="K85" s="57"/>
      <c r="L85" s="57"/>
      <c r="M85" s="57"/>
      <c r="N85" s="57"/>
      <c r="O85" s="57"/>
      <c r="P85" s="57"/>
      <c r="Q85" s="57"/>
      <c r="R85" s="57"/>
      <c r="S85" s="57"/>
      <c r="T85" s="57"/>
      <c r="U85" s="57"/>
      <c r="V85" s="57"/>
      <c r="W85" s="57"/>
      <c r="X85" s="57"/>
      <c r="Y85" s="57"/>
      <c r="Z85" s="57"/>
      <c r="AA85" s="57"/>
      <c r="AB85" s="57"/>
      <c r="AC85" s="57"/>
      <c r="AD85" s="57"/>
    </row>
    <row r="86">
      <c r="A86" s="323">
        <v>2.0</v>
      </c>
      <c r="B86" s="469" t="s">
        <v>779</v>
      </c>
      <c r="E86" s="322"/>
      <c r="F86" s="322" t="s">
        <v>780</v>
      </c>
      <c r="G86" s="57"/>
      <c r="H86" s="57"/>
      <c r="I86" s="57"/>
      <c r="J86" s="57"/>
      <c r="K86" s="57"/>
      <c r="L86" s="57"/>
      <c r="M86" s="57"/>
      <c r="N86" s="57"/>
      <c r="O86" s="57"/>
      <c r="P86" s="57"/>
      <c r="Q86" s="57"/>
      <c r="R86" s="57"/>
      <c r="S86" s="57"/>
      <c r="T86" s="57"/>
      <c r="U86" s="57"/>
      <c r="V86" s="57"/>
      <c r="W86" s="57"/>
      <c r="X86" s="57"/>
      <c r="Y86" s="57"/>
      <c r="Z86" s="57"/>
      <c r="AA86" s="57"/>
      <c r="AB86" s="57"/>
      <c r="AC86" s="57"/>
      <c r="AD86" s="57"/>
    </row>
    <row r="87">
      <c r="A87" s="323">
        <v>2.1</v>
      </c>
      <c r="B87" s="469" t="s">
        <v>781</v>
      </c>
      <c r="E87" s="322"/>
      <c r="F87" s="322" t="s">
        <v>782</v>
      </c>
      <c r="G87" s="57"/>
      <c r="H87" s="57"/>
      <c r="I87" s="57"/>
      <c r="J87" s="57"/>
      <c r="K87" s="57"/>
      <c r="L87" s="57"/>
      <c r="M87" s="57"/>
      <c r="N87" s="57"/>
      <c r="O87" s="57"/>
      <c r="P87" s="57"/>
      <c r="Q87" s="57"/>
      <c r="R87" s="57"/>
      <c r="S87" s="57"/>
      <c r="T87" s="57"/>
      <c r="U87" s="57"/>
      <c r="V87" s="57"/>
      <c r="W87" s="57"/>
      <c r="X87" s="57"/>
      <c r="Y87" s="57"/>
      <c r="Z87" s="57"/>
      <c r="AA87" s="57"/>
      <c r="AB87" s="57"/>
      <c r="AC87" s="57"/>
      <c r="AD87" s="57"/>
    </row>
    <row r="88">
      <c r="A88" s="318">
        <v>3.0</v>
      </c>
      <c r="B88" s="466" t="s">
        <v>783</v>
      </c>
      <c r="E88" s="322"/>
      <c r="F88" s="322" t="s">
        <v>784</v>
      </c>
      <c r="G88" s="57"/>
      <c r="H88" s="57"/>
      <c r="I88" s="57"/>
      <c r="J88" s="57"/>
      <c r="K88" s="57"/>
      <c r="L88" s="57"/>
      <c r="M88" s="57"/>
      <c r="N88" s="57"/>
      <c r="O88" s="57"/>
      <c r="P88" s="57"/>
      <c r="Q88" s="57"/>
      <c r="R88" s="57"/>
      <c r="S88" s="57"/>
      <c r="T88" s="57"/>
      <c r="U88" s="57"/>
      <c r="V88" s="57"/>
      <c r="W88" s="57"/>
      <c r="X88" s="57"/>
      <c r="Y88" s="57"/>
      <c r="Z88" s="57"/>
      <c r="AA88" s="57"/>
      <c r="AB88" s="57"/>
      <c r="AC88" s="57"/>
      <c r="AD88" s="57"/>
    </row>
    <row r="89">
      <c r="A89" s="318">
        <v>3.1</v>
      </c>
      <c r="B89" s="466" t="s">
        <v>785</v>
      </c>
      <c r="E89" s="322"/>
      <c r="F89" s="86" t="s">
        <v>786</v>
      </c>
      <c r="I89" s="57"/>
      <c r="J89" s="57"/>
      <c r="K89" s="57"/>
      <c r="L89" s="57"/>
      <c r="M89" s="57"/>
      <c r="N89" s="57"/>
      <c r="O89" s="57"/>
      <c r="P89" s="57"/>
      <c r="Q89" s="57"/>
      <c r="R89" s="57"/>
      <c r="S89" s="57"/>
      <c r="T89" s="57"/>
      <c r="U89" s="57"/>
      <c r="V89" s="57"/>
      <c r="W89" s="57"/>
      <c r="X89" s="57"/>
      <c r="Y89" s="57"/>
      <c r="Z89" s="57"/>
      <c r="AA89" s="57"/>
      <c r="AB89" s="57"/>
      <c r="AC89" s="57"/>
      <c r="AD89" s="57"/>
    </row>
    <row r="90">
      <c r="A90" s="470">
        <v>3.4</v>
      </c>
      <c r="B90" s="471" t="s">
        <v>787</v>
      </c>
      <c r="C90" s="471"/>
      <c r="D90" s="471"/>
      <c r="E90" s="322"/>
      <c r="F90" s="322" t="s">
        <v>788</v>
      </c>
      <c r="G90" s="57"/>
      <c r="H90" s="57"/>
      <c r="I90" s="57"/>
      <c r="J90" s="57"/>
      <c r="K90" s="57"/>
      <c r="L90" s="57"/>
      <c r="M90" s="57"/>
      <c r="N90" s="57"/>
      <c r="O90" s="57"/>
      <c r="P90" s="57"/>
      <c r="Q90" s="57"/>
      <c r="R90" s="57"/>
      <c r="S90" s="57"/>
      <c r="T90" s="57"/>
      <c r="U90" s="57"/>
      <c r="V90" s="57"/>
      <c r="W90" s="57"/>
      <c r="X90" s="57"/>
      <c r="Y90" s="57"/>
      <c r="Z90" s="57"/>
      <c r="AA90" s="57"/>
      <c r="AB90" s="57"/>
      <c r="AC90" s="57"/>
      <c r="AD90" s="57"/>
    </row>
    <row r="91">
      <c r="A91" s="472">
        <v>3.5</v>
      </c>
      <c r="B91" s="473" t="s">
        <v>789</v>
      </c>
      <c r="C91" s="471"/>
      <c r="D91" s="471"/>
      <c r="E91" s="322"/>
      <c r="F91" s="322"/>
      <c r="G91" s="57"/>
      <c r="H91" s="57"/>
      <c r="I91" s="57"/>
      <c r="J91" s="57"/>
      <c r="K91" s="57"/>
      <c r="L91" s="57"/>
      <c r="M91" s="57"/>
      <c r="N91" s="57"/>
      <c r="O91" s="57"/>
      <c r="P91" s="57"/>
      <c r="Q91" s="57"/>
      <c r="R91" s="57"/>
      <c r="S91" s="57"/>
      <c r="T91" s="57"/>
      <c r="U91" s="57"/>
      <c r="V91" s="57"/>
      <c r="W91" s="57"/>
      <c r="X91" s="57"/>
      <c r="Y91" s="57"/>
      <c r="Z91" s="57"/>
      <c r="AA91" s="57"/>
      <c r="AB91" s="57"/>
      <c r="AC91" s="57"/>
      <c r="AD91" s="57"/>
    </row>
    <row r="92">
      <c r="A92" s="315">
        <v>3.6</v>
      </c>
      <c r="B92" s="474" t="s">
        <v>790</v>
      </c>
      <c r="E92" s="322"/>
      <c r="F92" s="322" t="s">
        <v>791</v>
      </c>
      <c r="G92" s="57"/>
      <c r="H92" s="57"/>
      <c r="I92" s="57"/>
      <c r="J92" s="57"/>
      <c r="K92" s="57"/>
      <c r="L92" s="57"/>
      <c r="M92" s="57"/>
      <c r="N92" s="57"/>
      <c r="O92" s="57"/>
      <c r="P92" s="57"/>
      <c r="Q92" s="57"/>
      <c r="R92" s="57"/>
      <c r="S92" s="57"/>
      <c r="T92" s="57"/>
      <c r="U92" s="57"/>
      <c r="V92" s="57"/>
      <c r="W92" s="57"/>
      <c r="X92" s="57"/>
      <c r="Y92" s="57"/>
      <c r="Z92" s="57"/>
      <c r="AA92" s="57"/>
      <c r="AB92" s="57"/>
      <c r="AC92" s="57"/>
      <c r="AD92" s="57"/>
    </row>
    <row r="93">
      <c r="A93" s="475">
        <v>4.0</v>
      </c>
      <c r="B93" s="476" t="s">
        <v>792</v>
      </c>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row>
    <row r="94">
      <c r="A94" s="57"/>
      <c r="B94" s="327"/>
      <c r="C94" s="327"/>
      <c r="D94" s="327"/>
      <c r="E94" s="322"/>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row>
    <row r="95">
      <c r="A95" s="327"/>
      <c r="B95" s="464" t="s">
        <v>793</v>
      </c>
      <c r="E95" s="322"/>
      <c r="F95" s="322" t="s">
        <v>793</v>
      </c>
      <c r="G95" s="57"/>
      <c r="H95" s="57"/>
      <c r="I95" s="57"/>
      <c r="J95" s="57"/>
      <c r="K95" s="57"/>
      <c r="L95" s="57"/>
      <c r="M95" s="57"/>
      <c r="N95" s="57"/>
      <c r="O95" s="57"/>
      <c r="P95" s="57"/>
      <c r="Q95" s="57"/>
      <c r="R95" s="57"/>
      <c r="S95" s="57"/>
      <c r="T95" s="57"/>
      <c r="U95" s="57"/>
      <c r="V95" s="57"/>
      <c r="W95" s="57"/>
      <c r="X95" s="57"/>
      <c r="Y95" s="57"/>
      <c r="Z95" s="57"/>
      <c r="AA95" s="57"/>
      <c r="AB95" s="57"/>
      <c r="AC95" s="57"/>
      <c r="AD95" s="57"/>
    </row>
    <row r="96">
      <c r="A96" s="327"/>
      <c r="B96" s="327"/>
      <c r="E96" s="322"/>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row>
    <row r="97">
      <c r="A97" s="477">
        <v>4.8</v>
      </c>
      <c r="B97" s="478" t="s">
        <v>794</v>
      </c>
      <c r="C97" s="478"/>
      <c r="D97" s="478"/>
      <c r="E97" s="322"/>
      <c r="F97" s="322" t="s">
        <v>795</v>
      </c>
      <c r="G97" s="57"/>
      <c r="H97" s="57"/>
      <c r="I97" s="57"/>
      <c r="J97" s="57"/>
      <c r="K97" s="57"/>
      <c r="L97" s="57"/>
      <c r="M97" s="57"/>
      <c r="N97" s="57"/>
      <c r="O97" s="57"/>
      <c r="P97" s="57"/>
      <c r="Q97" s="57"/>
      <c r="R97" s="57"/>
      <c r="S97" s="57"/>
      <c r="T97" s="57"/>
      <c r="U97" s="57"/>
      <c r="V97" s="57"/>
      <c r="W97" s="57"/>
      <c r="X97" s="57"/>
      <c r="Y97" s="57"/>
      <c r="Z97" s="57"/>
      <c r="AA97" s="57"/>
      <c r="AB97" s="57"/>
      <c r="AC97" s="57"/>
      <c r="AD97" s="57"/>
    </row>
    <row r="98">
      <c r="A98" s="479">
        <v>4.9</v>
      </c>
      <c r="B98" s="480" t="s">
        <v>796</v>
      </c>
      <c r="C98" s="480"/>
      <c r="D98" s="480"/>
      <c r="E98" s="322"/>
      <c r="F98" s="322" t="s">
        <v>797</v>
      </c>
      <c r="G98" s="57"/>
      <c r="H98" s="57"/>
      <c r="I98" s="57"/>
      <c r="J98" s="57"/>
      <c r="K98" s="57"/>
      <c r="L98" s="57"/>
      <c r="M98" s="57"/>
      <c r="N98" s="57"/>
      <c r="O98" s="57"/>
      <c r="P98" s="57"/>
      <c r="Q98" s="57"/>
      <c r="R98" s="57"/>
      <c r="S98" s="57"/>
      <c r="T98" s="57"/>
      <c r="U98" s="57"/>
      <c r="V98" s="57"/>
      <c r="W98" s="57"/>
      <c r="X98" s="57"/>
      <c r="Y98" s="57"/>
      <c r="Z98" s="57"/>
      <c r="AA98" s="57"/>
      <c r="AB98" s="57"/>
      <c r="AC98" s="57"/>
      <c r="AD98" s="57"/>
    </row>
    <row r="99">
      <c r="A99" s="481">
        <v>5.0</v>
      </c>
      <c r="B99" s="482" t="s">
        <v>798</v>
      </c>
      <c r="E99" s="322"/>
      <c r="F99" s="322" t="s">
        <v>799</v>
      </c>
      <c r="G99" s="57"/>
      <c r="H99" s="57"/>
      <c r="I99" s="57"/>
      <c r="J99" s="57"/>
      <c r="K99" s="57"/>
      <c r="L99" s="57"/>
      <c r="M99" s="57"/>
      <c r="N99" s="57"/>
      <c r="O99" s="57"/>
      <c r="P99" s="57"/>
      <c r="Q99" s="57"/>
      <c r="R99" s="57"/>
      <c r="S99" s="57"/>
      <c r="T99" s="57"/>
      <c r="U99" s="57"/>
      <c r="V99" s="57"/>
      <c r="W99" s="57"/>
      <c r="X99" s="57"/>
      <c r="Y99" s="57"/>
      <c r="Z99" s="57"/>
      <c r="AA99" s="57"/>
      <c r="AB99" s="57"/>
      <c r="AC99" s="57"/>
      <c r="AD99" s="57"/>
    </row>
    <row r="100">
      <c r="A100" s="481">
        <v>5.1</v>
      </c>
      <c r="B100" s="482" t="s">
        <v>800</v>
      </c>
      <c r="E100" s="322"/>
      <c r="F100" s="322" t="s">
        <v>801</v>
      </c>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row>
    <row r="101">
      <c r="A101" s="483">
        <v>6.0</v>
      </c>
      <c r="B101" s="484" t="s">
        <v>802</v>
      </c>
      <c r="E101" s="322"/>
      <c r="F101" s="322" t="s">
        <v>803</v>
      </c>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row>
    <row r="102">
      <c r="A102" s="485">
        <v>6.1</v>
      </c>
      <c r="B102" s="486" t="s">
        <v>804</v>
      </c>
      <c r="C102" s="486"/>
      <c r="D102" s="486"/>
      <c r="E102" s="322"/>
      <c r="F102" s="322" t="s">
        <v>805</v>
      </c>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row>
    <row r="103">
      <c r="A103" s="485">
        <v>6.2</v>
      </c>
      <c r="B103" s="486" t="s">
        <v>806</v>
      </c>
      <c r="C103" s="486"/>
      <c r="D103" s="486"/>
      <c r="E103" s="322"/>
      <c r="F103" s="322" t="s">
        <v>807</v>
      </c>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row>
    <row r="104">
      <c r="A104" s="481">
        <v>7.0</v>
      </c>
      <c r="B104" s="482" t="s">
        <v>808</v>
      </c>
      <c r="E104" s="322"/>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row>
    <row r="105">
      <c r="A105" s="481">
        <v>7.1</v>
      </c>
      <c r="B105" s="482" t="s">
        <v>809</v>
      </c>
      <c r="E105" s="322"/>
      <c r="F105" s="322" t="s">
        <v>810</v>
      </c>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row>
    <row r="106">
      <c r="A106" s="487">
        <v>8.0</v>
      </c>
      <c r="B106" s="488" t="s">
        <v>811</v>
      </c>
      <c r="E106" s="322"/>
      <c r="F106" s="322" t="s">
        <v>812</v>
      </c>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row>
    <row r="107">
      <c r="A107" s="489">
        <v>8.1</v>
      </c>
      <c r="B107" s="490" t="s">
        <v>813</v>
      </c>
      <c r="E107" s="322"/>
      <c r="F107" s="322" t="s">
        <v>814</v>
      </c>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row>
    <row r="108">
      <c r="A108" s="489">
        <v>8.2</v>
      </c>
      <c r="B108" s="490" t="s">
        <v>815</v>
      </c>
      <c r="E108" s="322"/>
      <c r="F108" s="322" t="s">
        <v>816</v>
      </c>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row>
    <row r="109">
      <c r="A109" s="491">
        <v>9.0</v>
      </c>
      <c r="B109" s="492" t="s">
        <v>817</v>
      </c>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row>
    <row r="110">
      <c r="A110" s="61">
        <v>9.4</v>
      </c>
      <c r="B110" s="57" t="s">
        <v>818</v>
      </c>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row>
    <row r="111">
      <c r="A111" s="61">
        <v>10.0</v>
      </c>
      <c r="B111" s="327" t="s">
        <v>819</v>
      </c>
      <c r="C111" s="57"/>
      <c r="D111" s="57"/>
      <c r="E111" s="322"/>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row>
    <row r="112">
      <c r="A112" s="57"/>
      <c r="B112" s="327"/>
      <c r="C112" s="57"/>
      <c r="D112" s="57"/>
      <c r="E112" s="322"/>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row>
    <row r="113">
      <c r="A113" s="57"/>
      <c r="B113" s="327" t="s">
        <v>810</v>
      </c>
      <c r="C113" s="57"/>
      <c r="D113" s="57"/>
      <c r="E113" s="322"/>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row>
    <row r="114">
      <c r="A114" s="57"/>
      <c r="B114" s="327" t="s">
        <v>812</v>
      </c>
      <c r="C114" s="57"/>
      <c r="D114" s="57"/>
      <c r="E114" s="322"/>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row>
    <row r="115">
      <c r="A115" s="57"/>
      <c r="B115" s="57" t="s">
        <v>814</v>
      </c>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row>
    <row r="116">
      <c r="A116" s="57"/>
      <c r="B116" s="57" t="s">
        <v>816</v>
      </c>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row>
    <row r="118">
      <c r="A118" s="57"/>
      <c r="B118" s="57" t="str">
        <f>"=IF(ISBLANK($P664), IF($Q664,INDEX('Run Reconcile'!A$2:A,MATCH($B664+1,'Run Reconcile'!B$2:B,0),1),IF($R664,INDEX('RFR Data - preExcl'!$BF$2:$BG,MATCH($B664,'RFR Data - preExcl'!$BF$2:$BF,0)+1,2),VLOOKUP($B664,'RFR Data - preExcl'!$BF$2:$BG,2,FALSE))),IFE"&amp;"RROR(0/0))"</f>
        <v>=IF(ISBLANK($P664), IF($Q664,INDEX('Run Reconcile'!A$2:A,MATCH($B664+1,'Run Reconcile'!B$2:B,0),1),IF($R664,INDEX('RFR Data - preExcl'!$BF$2:$BG,MATCH($B664,'RFR Data - preExcl'!$BF$2:$BF,0)+1,2),VLOOKUP($B664,'RFR Data - preExcl'!$BF$2:$BG,2,FALSE))),IFERROR(0/0))</v>
      </c>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row>
    <row r="119">
      <c r="A119" s="57"/>
      <c r="B119" s="57" t="str">
        <f>"=IF(ISBLANK($P372), IF($Q372,VLOOKUP($B372+1,'RFR Data - preExcl'!$BF$2:$BG,2,FALSE),IF($R372,INDEX('RFR Data - preExcl'!$BF$2:$BG,MATCH($B372,'RFR Data - preExcl'!$BF$2:$BF,0)+1,2),VLOOKUP($B372,'RFR Data - preExcl'!$BF$2:$BG,2,FALSE))),IFERROR(0/0))"</f>
        <v>=IF(ISBLANK($P372), IF($Q372,VLOOKUP($B372+1,'RFR Data - preExcl'!$BF$2:$BG,2,FALSE),IF($R372,INDEX('RFR Data - preExcl'!$BF$2:$BG,MATCH($B372,'RFR Data - preExcl'!$BF$2:$BF,0)+1,2),VLOOKUP($B372,'RFR Data - preExcl'!$BF$2:$BG,2,FALSE))),IFERROR(0/0))</v>
      </c>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row>
    <row r="972">
      <c r="A972" s="57"/>
      <c r="B972" s="57"/>
      <c r="C972" s="57"/>
      <c r="D972" s="57"/>
      <c r="E972" s="57"/>
      <c r="F972" s="57"/>
      <c r="G972" s="57"/>
      <c r="H972" s="57"/>
      <c r="I972" s="57"/>
      <c r="J972" s="57"/>
      <c r="M972" s="57"/>
      <c r="N972" s="57"/>
      <c r="O972" s="57"/>
      <c r="P972" s="57"/>
      <c r="Q972" s="57"/>
      <c r="R972" s="57"/>
      <c r="S972" s="57"/>
      <c r="T972" s="57"/>
      <c r="U972" s="57"/>
      <c r="V972" s="57"/>
      <c r="W972" s="57"/>
      <c r="X972" s="57"/>
      <c r="Y972" s="57"/>
      <c r="Z972" s="57"/>
      <c r="AA972" s="57"/>
      <c r="AB972" s="57"/>
      <c r="AC972" s="57"/>
      <c r="AD972" s="57"/>
    </row>
    <row r="973">
      <c r="A973" s="57"/>
      <c r="B973" s="57"/>
      <c r="C973" s="57"/>
      <c r="D973" s="57"/>
      <c r="E973" s="57"/>
      <c r="F973" s="57"/>
      <c r="G973" s="57"/>
      <c r="H973" s="57"/>
      <c r="I973" s="57"/>
      <c r="J973" s="57"/>
      <c r="M973" s="57"/>
      <c r="N973" s="57"/>
      <c r="O973" s="57"/>
      <c r="P973" s="57"/>
      <c r="Q973" s="57"/>
      <c r="R973" s="57"/>
      <c r="S973" s="57"/>
      <c r="T973" s="57"/>
      <c r="U973" s="57"/>
      <c r="V973" s="57"/>
      <c r="W973" s="57"/>
      <c r="X973" s="57"/>
      <c r="Y973" s="57"/>
      <c r="Z973" s="57"/>
      <c r="AA973" s="57"/>
      <c r="AB973" s="57"/>
      <c r="AC973" s="57"/>
      <c r="AD973" s="57"/>
    </row>
    <row r="974">
      <c r="A974" s="57"/>
      <c r="B974" s="57"/>
      <c r="C974" s="57"/>
      <c r="D974" s="57"/>
      <c r="E974" s="57"/>
      <c r="F974" s="57"/>
      <c r="G974" s="57"/>
      <c r="H974" s="57"/>
      <c r="I974" s="57"/>
      <c r="J974" s="57"/>
      <c r="M974" s="57"/>
      <c r="N974" s="57"/>
      <c r="O974" s="57"/>
      <c r="P974" s="57"/>
      <c r="Q974" s="57"/>
      <c r="R974" s="57"/>
      <c r="S974" s="57"/>
      <c r="T974" s="57"/>
      <c r="U974" s="57"/>
      <c r="V974" s="57"/>
      <c r="W974" s="57"/>
      <c r="X974" s="57"/>
      <c r="Y974" s="57"/>
      <c r="Z974" s="57"/>
      <c r="AA974" s="57"/>
      <c r="AB974" s="57"/>
      <c r="AC974" s="57"/>
      <c r="AD974" s="57"/>
    </row>
    <row r="975">
      <c r="A975" s="57"/>
      <c r="B975" s="57"/>
      <c r="C975" s="57"/>
      <c r="D975" s="57"/>
      <c r="E975" s="57"/>
      <c r="F975" s="57"/>
      <c r="G975" s="57"/>
      <c r="H975" s="57"/>
      <c r="I975" s="57"/>
      <c r="J975" s="57"/>
      <c r="M975" s="57"/>
      <c r="N975" s="57"/>
      <c r="O975" s="57"/>
      <c r="P975" s="57"/>
      <c r="Q975" s="57"/>
      <c r="R975" s="57"/>
      <c r="S975" s="57"/>
      <c r="T975" s="57"/>
      <c r="U975" s="57"/>
      <c r="V975" s="57"/>
      <c r="W975" s="57"/>
      <c r="X975" s="57"/>
      <c r="Y975" s="57"/>
      <c r="Z975" s="57"/>
      <c r="AA975" s="57"/>
      <c r="AB975" s="57"/>
      <c r="AC975" s="57"/>
      <c r="AD975" s="57"/>
    </row>
    <row r="976">
      <c r="A976" s="57"/>
      <c r="B976" s="57"/>
      <c r="C976" s="57"/>
      <c r="D976" s="57"/>
      <c r="E976" s="57"/>
      <c r="F976" s="57"/>
      <c r="G976" s="57"/>
      <c r="H976" s="57"/>
      <c r="I976" s="57"/>
      <c r="J976" s="57"/>
      <c r="M976" s="57"/>
      <c r="N976" s="57"/>
      <c r="O976" s="57"/>
      <c r="P976" s="57"/>
      <c r="Q976" s="57"/>
      <c r="R976" s="57"/>
      <c r="S976" s="57"/>
      <c r="T976" s="57"/>
      <c r="U976" s="57"/>
      <c r="V976" s="57"/>
      <c r="W976" s="57"/>
      <c r="X976" s="57"/>
      <c r="Y976" s="57"/>
      <c r="Z976" s="57"/>
      <c r="AA976" s="57"/>
      <c r="AB976" s="57"/>
      <c r="AC976" s="57"/>
      <c r="AD976" s="57"/>
    </row>
    <row r="977">
      <c r="A977" s="57"/>
      <c r="B977" s="57"/>
      <c r="C977" s="57"/>
      <c r="D977" s="57"/>
      <c r="E977" s="57"/>
      <c r="F977" s="57"/>
      <c r="G977" s="57"/>
      <c r="H977" s="57"/>
      <c r="I977" s="57"/>
      <c r="J977" s="57"/>
      <c r="M977" s="57"/>
      <c r="N977" s="57"/>
      <c r="O977" s="57"/>
      <c r="P977" s="57"/>
      <c r="Q977" s="57"/>
      <c r="R977" s="57"/>
      <c r="S977" s="57"/>
      <c r="T977" s="57"/>
      <c r="U977" s="57"/>
      <c r="V977" s="57"/>
      <c r="W977" s="57"/>
      <c r="X977" s="57"/>
      <c r="Y977" s="57"/>
      <c r="Z977" s="57"/>
      <c r="AA977" s="57"/>
      <c r="AB977" s="57"/>
      <c r="AC977" s="57"/>
      <c r="AD977" s="57"/>
    </row>
    <row r="978">
      <c r="A978" s="57"/>
      <c r="B978" s="57"/>
      <c r="C978" s="57"/>
      <c r="D978" s="57"/>
      <c r="E978" s="57"/>
      <c r="F978" s="57"/>
      <c r="G978" s="57"/>
      <c r="H978" s="57"/>
      <c r="I978" s="57"/>
      <c r="J978" s="57"/>
      <c r="M978" s="57"/>
      <c r="N978" s="57"/>
      <c r="O978" s="57"/>
      <c r="P978" s="57"/>
      <c r="Q978" s="57"/>
      <c r="R978" s="57"/>
      <c r="S978" s="57"/>
      <c r="T978" s="57"/>
      <c r="U978" s="57"/>
      <c r="V978" s="57"/>
      <c r="W978" s="57"/>
      <c r="X978" s="57"/>
      <c r="Y978" s="57"/>
      <c r="Z978" s="57"/>
      <c r="AA978" s="57"/>
      <c r="AB978" s="57"/>
      <c r="AC978" s="57"/>
      <c r="AD978" s="57"/>
    </row>
    <row r="979">
      <c r="A979" s="57"/>
      <c r="B979" s="57"/>
      <c r="C979" s="57"/>
      <c r="D979" s="57"/>
      <c r="E979" s="57"/>
      <c r="F979" s="57"/>
      <c r="G979" s="57"/>
      <c r="H979" s="57"/>
      <c r="I979" s="57"/>
      <c r="J979" s="57"/>
      <c r="M979" s="57"/>
      <c r="N979" s="57"/>
      <c r="O979" s="57"/>
      <c r="P979" s="57"/>
      <c r="Q979" s="57"/>
      <c r="R979" s="57"/>
      <c r="S979" s="57"/>
      <c r="T979" s="57"/>
      <c r="U979" s="57"/>
      <c r="V979" s="57"/>
      <c r="W979" s="57"/>
      <c r="X979" s="57"/>
      <c r="Y979" s="57"/>
      <c r="Z979" s="57"/>
      <c r="AA979" s="57"/>
      <c r="AB979" s="57"/>
      <c r="AC979" s="57"/>
      <c r="AD979" s="57"/>
    </row>
    <row r="980">
      <c r="A980" s="57"/>
      <c r="I980" s="57"/>
      <c r="J980" s="57"/>
      <c r="M980" s="57"/>
      <c r="N980" s="57"/>
      <c r="O980" s="57"/>
      <c r="P980" s="57"/>
      <c r="Q980" s="57"/>
      <c r="R980" s="57"/>
      <c r="S980" s="57"/>
      <c r="T980" s="57"/>
      <c r="U980" s="57"/>
      <c r="V980" s="57"/>
      <c r="W980" s="57"/>
      <c r="X980" s="57"/>
      <c r="Y980" s="57"/>
      <c r="Z980" s="57"/>
      <c r="AA980" s="57"/>
      <c r="AB980" s="57"/>
      <c r="AC980" s="57"/>
      <c r="AD980" s="57"/>
    </row>
    <row r="981">
      <c r="A981" s="57"/>
      <c r="I981" s="57"/>
      <c r="J981" s="57"/>
      <c r="M981" s="57"/>
      <c r="N981" s="57"/>
      <c r="O981" s="57"/>
      <c r="P981" s="57"/>
      <c r="Q981" s="57"/>
      <c r="R981" s="57"/>
      <c r="S981" s="57"/>
      <c r="T981" s="57"/>
      <c r="U981" s="57"/>
      <c r="V981" s="57"/>
      <c r="W981" s="57"/>
      <c r="X981" s="57"/>
      <c r="Y981" s="57"/>
      <c r="Z981" s="57"/>
      <c r="AA981" s="57"/>
      <c r="AB981" s="57"/>
      <c r="AC981" s="57"/>
      <c r="AD981" s="57"/>
    </row>
    <row r="982">
      <c r="A982" s="57"/>
      <c r="I982" s="57"/>
      <c r="J982" s="57"/>
      <c r="M982" s="57"/>
      <c r="N982" s="57"/>
      <c r="O982" s="57"/>
      <c r="P982" s="57"/>
      <c r="Q982" s="57"/>
      <c r="R982" s="57"/>
      <c r="U982" s="57"/>
      <c r="V982" s="57"/>
      <c r="W982" s="57"/>
      <c r="X982" s="57"/>
      <c r="Y982" s="57"/>
      <c r="Z982" s="57"/>
      <c r="AA982" s="57"/>
      <c r="AB982" s="57"/>
      <c r="AC982" s="57"/>
      <c r="AD982" s="57"/>
    </row>
    <row r="983">
      <c r="A983" s="57"/>
      <c r="I983" s="57"/>
      <c r="J983" s="57"/>
      <c r="M983" s="57"/>
      <c r="N983" s="57"/>
      <c r="O983" s="57"/>
      <c r="P983" s="57"/>
      <c r="Q983" s="57"/>
      <c r="R983" s="57"/>
      <c r="U983" s="57"/>
      <c r="V983" s="57"/>
      <c r="W983" s="57"/>
      <c r="X983" s="57"/>
      <c r="Y983" s="57"/>
      <c r="Z983" s="57"/>
      <c r="AA983" s="57"/>
      <c r="AB983" s="57"/>
      <c r="AC983" s="57"/>
      <c r="AD983" s="57"/>
    </row>
    <row r="984">
      <c r="A984" s="57"/>
      <c r="I984" s="57"/>
      <c r="J984" s="57"/>
      <c r="M984" s="57"/>
      <c r="N984" s="57"/>
      <c r="O984" s="57"/>
      <c r="P984" s="57"/>
      <c r="Q984" s="57"/>
      <c r="R984" s="57"/>
      <c r="U984" s="57"/>
      <c r="V984" s="57"/>
      <c r="W984" s="57"/>
      <c r="X984" s="57"/>
      <c r="Y984" s="57"/>
      <c r="Z984" s="57"/>
      <c r="AA984" s="57"/>
      <c r="AB984" s="57"/>
      <c r="AC984" s="57"/>
      <c r="AD984" s="57"/>
    </row>
    <row r="985">
      <c r="A985" s="57"/>
      <c r="J985" s="57"/>
      <c r="M985" s="57"/>
      <c r="N985" s="57"/>
      <c r="O985" s="57"/>
      <c r="P985" s="57"/>
      <c r="Q985" s="57"/>
      <c r="R985" s="57"/>
      <c r="U985" s="57"/>
      <c r="V985" s="57"/>
      <c r="W985" s="57"/>
      <c r="X985" s="57"/>
      <c r="Y985" s="57"/>
      <c r="Z985" s="57"/>
      <c r="AA985" s="57"/>
      <c r="AB985" s="57"/>
      <c r="AC985" s="57"/>
      <c r="AD985" s="57"/>
    </row>
    <row r="986">
      <c r="A986" s="57"/>
      <c r="J986" s="57"/>
      <c r="M986" s="57"/>
      <c r="N986" s="57"/>
      <c r="O986" s="57"/>
      <c r="P986" s="57"/>
      <c r="Q986" s="57"/>
      <c r="R986" s="57"/>
      <c r="U986" s="57"/>
      <c r="V986" s="57"/>
      <c r="W986" s="57"/>
      <c r="X986" s="57"/>
      <c r="Y986" s="57"/>
      <c r="Z986" s="57"/>
      <c r="AA986" s="57"/>
      <c r="AB986" s="57"/>
      <c r="AC986" s="57"/>
      <c r="AD986" s="57"/>
    </row>
    <row r="987">
      <c r="A987" s="57"/>
      <c r="J987" s="57"/>
      <c r="M987" s="57"/>
      <c r="N987" s="57"/>
      <c r="O987" s="57"/>
      <c r="P987" s="57"/>
      <c r="Q987" s="57"/>
      <c r="R987" s="57"/>
      <c r="U987" s="57"/>
      <c r="V987" s="57"/>
      <c r="W987" s="57"/>
      <c r="X987" s="57"/>
      <c r="Y987" s="57"/>
      <c r="Z987" s="57"/>
      <c r="AA987" s="57"/>
      <c r="AB987" s="57"/>
      <c r="AC987" s="57"/>
      <c r="AD987" s="57"/>
    </row>
    <row r="988">
      <c r="A988" s="57"/>
      <c r="J988" s="57"/>
      <c r="M988" s="57"/>
      <c r="N988" s="57"/>
      <c r="O988" s="57"/>
      <c r="P988" s="57"/>
      <c r="Q988" s="57"/>
      <c r="R988" s="57"/>
      <c r="U988" s="57"/>
      <c r="V988" s="57"/>
      <c r="W988" s="57"/>
      <c r="X988" s="57"/>
      <c r="Y988" s="57"/>
      <c r="Z988" s="57"/>
      <c r="AA988" s="57"/>
      <c r="AB988" s="57"/>
      <c r="AC988" s="57"/>
      <c r="AD988" s="57"/>
    </row>
    <row r="989">
      <c r="A989" s="57"/>
      <c r="J989" s="57"/>
      <c r="M989" s="57"/>
      <c r="N989" s="57"/>
      <c r="O989" s="57"/>
      <c r="P989" s="57"/>
      <c r="Q989" s="57"/>
      <c r="R989" s="57"/>
      <c r="U989" s="57"/>
      <c r="V989" s="57"/>
      <c r="W989" s="57"/>
      <c r="X989" s="57"/>
      <c r="Y989" s="57"/>
      <c r="Z989" s="57"/>
      <c r="AA989" s="57"/>
      <c r="AB989" s="57"/>
      <c r="AC989" s="57"/>
      <c r="AD989" s="57"/>
    </row>
    <row r="990">
      <c r="A990" s="57"/>
      <c r="J990" s="57"/>
      <c r="M990" s="57"/>
      <c r="N990" s="57"/>
      <c r="O990" s="57"/>
      <c r="P990" s="57"/>
      <c r="Q990" s="57"/>
      <c r="R990" s="57"/>
      <c r="U990" s="57"/>
      <c r="V990" s="57"/>
      <c r="W990" s="57"/>
      <c r="X990" s="57"/>
      <c r="Y990" s="57"/>
      <c r="Z990" s="57"/>
      <c r="AA990" s="57"/>
      <c r="AB990" s="57"/>
      <c r="AC990" s="57"/>
      <c r="AD990" s="57"/>
    </row>
    <row r="991">
      <c r="A991" s="57"/>
      <c r="J991" s="57"/>
      <c r="M991" s="57"/>
      <c r="N991" s="57"/>
      <c r="O991" s="57"/>
      <c r="P991" s="57"/>
      <c r="Q991" s="57"/>
      <c r="R991" s="57"/>
      <c r="U991" s="57"/>
      <c r="V991" s="57"/>
      <c r="W991" s="57"/>
      <c r="X991" s="57"/>
      <c r="Y991" s="57"/>
      <c r="Z991" s="57"/>
      <c r="AA991" s="57"/>
      <c r="AB991" s="57"/>
      <c r="AC991" s="57"/>
      <c r="AD991" s="57"/>
    </row>
    <row r="992">
      <c r="A992" s="57"/>
      <c r="J992" s="57"/>
      <c r="M992" s="57"/>
      <c r="N992" s="57"/>
      <c r="O992" s="57"/>
      <c r="P992" s="57"/>
      <c r="Q992" s="57"/>
      <c r="R992" s="57"/>
      <c r="U992" s="57"/>
      <c r="V992" s="57"/>
      <c r="W992" s="57"/>
      <c r="X992" s="57"/>
      <c r="Y992" s="57"/>
      <c r="Z992" s="57"/>
      <c r="AA992" s="57"/>
      <c r="AB992" s="57"/>
      <c r="AC992" s="57"/>
      <c r="AD992" s="57"/>
    </row>
    <row r="993">
      <c r="M993" s="57"/>
      <c r="N993" s="57"/>
      <c r="O993" s="57"/>
      <c r="P993" s="57"/>
      <c r="Q993" s="57"/>
      <c r="R993" s="57"/>
      <c r="U993" s="57"/>
      <c r="V993" s="57"/>
      <c r="W993" s="57"/>
      <c r="X993" s="57"/>
      <c r="Y993" s="57"/>
      <c r="Z993" s="57"/>
      <c r="AA993" s="57"/>
      <c r="AB993" s="57"/>
      <c r="AC993" s="57"/>
      <c r="AD993" s="57"/>
    </row>
    <row r="994">
      <c r="M994" s="57"/>
      <c r="N994" s="57"/>
      <c r="O994" s="57"/>
      <c r="P994" s="57"/>
      <c r="Q994" s="57"/>
      <c r="R994" s="57"/>
      <c r="U994" s="57"/>
      <c r="V994" s="57"/>
      <c r="W994" s="57"/>
      <c r="X994" s="57"/>
      <c r="Y994" s="57"/>
      <c r="Z994" s="57"/>
      <c r="AA994" s="57"/>
      <c r="AB994" s="57"/>
      <c r="AC994" s="57"/>
      <c r="AD994" s="57"/>
    </row>
    <row r="995">
      <c r="M995" s="57"/>
      <c r="N995" s="57"/>
      <c r="O995" s="57"/>
      <c r="P995" s="57"/>
      <c r="Q995" s="57"/>
      <c r="R995" s="57"/>
      <c r="U995" s="57"/>
      <c r="V995" s="57"/>
      <c r="W995" s="57"/>
      <c r="X995" s="57"/>
      <c r="Y995" s="57"/>
      <c r="Z995" s="57"/>
      <c r="AA995" s="57"/>
      <c r="AB995" s="57"/>
      <c r="AC995" s="57"/>
      <c r="AD995" s="57"/>
    </row>
  </sheetData>
  <mergeCells count="43">
    <mergeCell ref="U3:W3"/>
    <mergeCell ref="X3:Z3"/>
    <mergeCell ref="O12:P12"/>
    <mergeCell ref="O23:P23"/>
    <mergeCell ref="S34:U34"/>
    <mergeCell ref="O35:P35"/>
    <mergeCell ref="T35:U35"/>
    <mergeCell ref="T36:U36"/>
    <mergeCell ref="T37:U37"/>
    <mergeCell ref="T38:U38"/>
    <mergeCell ref="B39:B40"/>
    <mergeCell ref="C39:I40"/>
    <mergeCell ref="T39:U39"/>
    <mergeCell ref="T40:U40"/>
    <mergeCell ref="S47:T47"/>
    <mergeCell ref="O49:P49"/>
    <mergeCell ref="S53:T53"/>
    <mergeCell ref="S64:T64"/>
    <mergeCell ref="O67:P68"/>
    <mergeCell ref="B78:D78"/>
    <mergeCell ref="B79:D79"/>
    <mergeCell ref="B80:D80"/>
    <mergeCell ref="B81:D81"/>
    <mergeCell ref="B82:D82"/>
    <mergeCell ref="B83:D83"/>
    <mergeCell ref="B84:D84"/>
    <mergeCell ref="B86:D86"/>
    <mergeCell ref="B87:D87"/>
    <mergeCell ref="B100:D100"/>
    <mergeCell ref="B101:D101"/>
    <mergeCell ref="B104:D104"/>
    <mergeCell ref="B105:D105"/>
    <mergeCell ref="B106:D106"/>
    <mergeCell ref="B107:D107"/>
    <mergeCell ref="B108:D108"/>
    <mergeCell ref="B109:D109"/>
    <mergeCell ref="B88:D88"/>
    <mergeCell ref="B89:D89"/>
    <mergeCell ref="B92:D92"/>
    <mergeCell ref="B93:D93"/>
    <mergeCell ref="B95:D95"/>
    <mergeCell ref="B96:D96"/>
    <mergeCell ref="B99:D99"/>
  </mergeCells>
  <drawing r:id="rId2"/>
  <legacyDrawing r:id="rId3"/>
</worksheet>
</file>