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SR Weekly" sheetId="1" r:id="rId4"/>
    <sheet state="visible" name="Compiled Tables" sheetId="2" r:id="rId5"/>
    <sheet state="visible" name="Missing - RAW Form Response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No data available regarding inconclusives</t>
      </text>
    </comment>
  </commentList>
</comments>
</file>

<file path=xl/sharedStrings.xml><?xml version="1.0" encoding="utf-8"?>
<sst xmlns="http://schemas.openxmlformats.org/spreadsheetml/2006/main" count="92" uniqueCount="40">
  <si>
    <t>Week Start Date</t>
  </si>
  <si>
    <t>Week End Date</t>
  </si>
  <si>
    <t>% Positive</t>
  </si>
  <si>
    <t>Day of the Week Start</t>
  </si>
  <si>
    <t>Start Date</t>
  </si>
  <si>
    <t>End Date</t>
  </si>
  <si>
    <t>Org</t>
  </si>
  <si>
    <t>People Screened</t>
  </si>
  <si>
    <t>Unknown Positives</t>
  </si>
  <si>
    <t>Week</t>
  </si>
  <si>
    <t>Participants</t>
  </si>
  <si>
    <t>Negative Per Week</t>
  </si>
  <si>
    <t>Positive Per Week</t>
  </si>
  <si>
    <t>Other Per Week</t>
  </si>
  <si>
    <t>Total Weekly</t>
  </si>
  <si>
    <t>% Pos</t>
  </si>
  <si>
    <t>Date Start</t>
  </si>
  <si>
    <t>Date End</t>
  </si>
  <si>
    <t>Pools</t>
  </si>
  <si>
    <t>Positives</t>
  </si>
  <si>
    <t>% Positivity</t>
  </si>
  <si>
    <t>Negatives</t>
  </si>
  <si>
    <t>Coral Springs</t>
  </si>
  <si>
    <t>From File: Data Stats - Compilation PRE DP - Coral Springs Chart tab</t>
  </si>
  <si>
    <t>Timestamp</t>
  </si>
  <si>
    <t>Email Address</t>
  </si>
  <si>
    <t>People</t>
  </si>
  <si>
    <t>Known Positives</t>
  </si>
  <si>
    <t>Inconclusives 1st</t>
  </si>
  <si>
    <t>Inconclusives Final</t>
  </si>
  <si>
    <t>Use App</t>
  </si>
  <si>
    <t>Comments</t>
  </si>
  <si>
    <t>Coral Springs Fire</t>
  </si>
  <si>
    <t>No</t>
  </si>
  <si>
    <t>Coral Springs Fire 10/18/21-10/22/21 Run by Davie Fire</t>
  </si>
  <si>
    <t xml:space="preserve">Coral Spring Fire 10/25/21-10/29/21 run by Davie Fire </t>
  </si>
  <si>
    <t>From File: COSP_GWS_2022-10-13_PHI_Raw</t>
  </si>
  <si>
    <t>RT Jan26 - was unable to find the Coral Spring Google Form or gsheet of responses</t>
  </si>
  <si>
    <t>Perhaps they never gave it to us, or a FloodLAMP staff member had it on their personal GDrive</t>
  </si>
  <si>
    <t>The tables in Compiled Tables tab seem complete and accurate compared to APS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</si>
</sst>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0.0%"/>
    <numFmt numFmtId="166" formatCode="m/d/yyyy"/>
    <numFmt numFmtId="167" formatCode="M/d/yyyy"/>
    <numFmt numFmtId="168" formatCode="mm&quot;-&quot;dd"/>
    <numFmt numFmtId="169" formatCode="m/d/yyyy h:mm:ss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2" fontId="3" numFmtId="165" xfId="0" applyFill="1" applyFont="1" applyNumberFormat="1"/>
    <xf borderId="0" fillId="0" fontId="3" numFmtId="165" xfId="0" applyFont="1" applyNumberFormat="1"/>
    <xf borderId="0" fillId="0" fontId="4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vertical="bottom" wrapText="1"/>
    </xf>
    <xf borderId="2" fillId="0" fontId="4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shrinkToFit="0" vertical="bottom" wrapText="1"/>
    </xf>
    <xf borderId="0" fillId="0" fontId="6" numFmtId="166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49" xfId="0" applyAlignment="1" applyFont="1" applyNumberFormat="1">
      <alignment horizontal="right" readingOrder="0" shrinkToFit="0" vertical="bottom" wrapText="0"/>
    </xf>
    <xf borderId="3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6" numFmtId="9" xfId="0" applyAlignment="1" applyBorder="1" applyFont="1" applyNumberFormat="1">
      <alignment horizontal="center" readingOrder="0" shrinkToFit="0" vertical="bottom" wrapText="0"/>
    </xf>
    <xf borderId="0" fillId="0" fontId="2" numFmtId="167" xfId="0" applyAlignment="1" applyFont="1" applyNumberForma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right" vertical="bottom"/>
    </xf>
    <xf borderId="0" fillId="0" fontId="2" numFmtId="168" xfId="0" applyAlignment="1" applyFont="1" applyNumberForma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2" numFmtId="3" xfId="0" applyAlignment="1" applyFont="1" applyNumberFormat="1">
      <alignment vertical="bottom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0" fontId="2" numFmtId="169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tr">
        <f>CONCATENATE("Weekly Participants ",SUM(C2:C1000))</f>
        <v>Weekly Participants 19571</v>
      </c>
      <c r="D1" s="1" t="str">
        <f>CONCATENATE("Weekly Tubes Run ",SUM(D2:D1000))</f>
        <v>Weekly Tubes Run 6693</v>
      </c>
      <c r="E1" s="1" t="str">
        <f>CONCATENATE("Weekly Positive Tubes ",SUM(E2:E1000))</f>
        <v>Weekly Positive Tubes 348</v>
      </c>
      <c r="F1" s="1" t="str">
        <f>CONCATENATE("Weekly Inconclusive Tubes ",SUM(F2:F1000))</f>
        <v>Weekly Inconclusive Tubes 0</v>
      </c>
      <c r="G1" s="1" t="s">
        <v>2</v>
      </c>
      <c r="H1" s="2"/>
      <c r="I1" s="1" t="s">
        <v>3</v>
      </c>
    </row>
    <row r="2">
      <c r="A2" s="3">
        <f>'Compiled Tables'!N2</f>
        <v>44438</v>
      </c>
      <c r="B2" s="3">
        <f>'Compiled Tables'!O2</f>
        <v>44444</v>
      </c>
      <c r="C2" s="4">
        <f>'Compiled Tables'!R2</f>
        <v>99</v>
      </c>
      <c r="D2" s="4">
        <f>'Compiled Tables'!Q2</f>
        <v>29</v>
      </c>
      <c r="E2" s="4">
        <f>'Compiled Tables'!S2</f>
        <v>0</v>
      </c>
      <c r="G2" s="5">
        <f t="shared" ref="G2:G23" si="1">IFERROR(E2/D2,IFERROR(0/0,""))</f>
        <v>0</v>
      </c>
      <c r="I2" s="4" t="str">
        <f t="shared" ref="I2:I23" si="2">TEXT(A2,"ddd")</f>
        <v>Mon</v>
      </c>
    </row>
    <row r="3">
      <c r="A3" s="3">
        <f>'Compiled Tables'!N3</f>
        <v>44445</v>
      </c>
      <c r="B3" s="3">
        <f>'Compiled Tables'!O3</f>
        <v>44451</v>
      </c>
      <c r="C3" s="4">
        <f>'Compiled Tables'!R3</f>
        <v>94</v>
      </c>
      <c r="D3" s="4">
        <f>'Compiled Tables'!Q3</f>
        <v>30</v>
      </c>
      <c r="E3" s="4">
        <f>'Compiled Tables'!S3</f>
        <v>1</v>
      </c>
      <c r="G3" s="5">
        <f t="shared" si="1"/>
        <v>0.03333333333</v>
      </c>
      <c r="I3" s="4" t="str">
        <f t="shared" si="2"/>
        <v>Mon</v>
      </c>
    </row>
    <row r="4">
      <c r="A4" s="3">
        <f>'Compiled Tables'!N4</f>
        <v>44452</v>
      </c>
      <c r="B4" s="3">
        <f>'Compiled Tables'!O4</f>
        <v>44458</v>
      </c>
      <c r="C4" s="4">
        <f>'Compiled Tables'!R4</f>
        <v>92</v>
      </c>
      <c r="D4" s="4">
        <f>'Compiled Tables'!Q4</f>
        <v>28</v>
      </c>
      <c r="E4" s="4">
        <f>'Compiled Tables'!S4</f>
        <v>0</v>
      </c>
      <c r="G4" s="5">
        <f t="shared" si="1"/>
        <v>0</v>
      </c>
      <c r="I4" s="4" t="str">
        <f t="shared" si="2"/>
        <v>Mon</v>
      </c>
    </row>
    <row r="5">
      <c r="A5" s="3">
        <f>'Compiled Tables'!N5</f>
        <v>44459</v>
      </c>
      <c r="B5" s="3">
        <f>'Compiled Tables'!O5</f>
        <v>44465</v>
      </c>
      <c r="C5" s="4">
        <f>'Compiled Tables'!R5</f>
        <v>111</v>
      </c>
      <c r="D5" s="4">
        <f>'Compiled Tables'!Q5</f>
        <v>35</v>
      </c>
      <c r="E5" s="4">
        <f>'Compiled Tables'!S5</f>
        <v>0</v>
      </c>
      <c r="G5" s="5">
        <f t="shared" si="1"/>
        <v>0</v>
      </c>
      <c r="I5" s="4" t="str">
        <f t="shared" si="2"/>
        <v>Mon</v>
      </c>
    </row>
    <row r="6">
      <c r="A6" s="3">
        <f>'Compiled Tables'!N6</f>
        <v>44466</v>
      </c>
      <c r="B6" s="3">
        <f>'Compiled Tables'!O6</f>
        <v>44472</v>
      </c>
      <c r="C6" s="4">
        <f>'Compiled Tables'!R6</f>
        <v>112</v>
      </c>
      <c r="D6" s="4">
        <f>'Compiled Tables'!Q6</f>
        <v>31</v>
      </c>
      <c r="E6" s="4">
        <f>'Compiled Tables'!S6</f>
        <v>0</v>
      </c>
      <c r="G6" s="5">
        <f t="shared" si="1"/>
        <v>0</v>
      </c>
      <c r="I6" s="4" t="str">
        <f t="shared" si="2"/>
        <v>Mon</v>
      </c>
    </row>
    <row r="7">
      <c r="A7" s="3">
        <f>'Compiled Tables'!N7</f>
        <v>44473</v>
      </c>
      <c r="B7" s="3">
        <f>'Compiled Tables'!O7</f>
        <v>44479</v>
      </c>
      <c r="C7" s="4">
        <f>'Compiled Tables'!R7</f>
        <v>56</v>
      </c>
      <c r="D7" s="4">
        <f>'Compiled Tables'!Q7</f>
        <v>17</v>
      </c>
      <c r="E7" s="4">
        <f>'Compiled Tables'!S7</f>
        <v>0</v>
      </c>
      <c r="G7" s="5">
        <f t="shared" si="1"/>
        <v>0</v>
      </c>
      <c r="I7" s="4" t="str">
        <f t="shared" si="2"/>
        <v>Mon</v>
      </c>
    </row>
    <row r="8">
      <c r="A8" s="3">
        <f>'Compiled Tables'!N8</f>
        <v>44480</v>
      </c>
      <c r="B8" s="3">
        <f>'Compiled Tables'!O8</f>
        <v>44486</v>
      </c>
      <c r="C8" s="4">
        <f>'Compiled Tables'!R8</f>
        <v>91</v>
      </c>
      <c r="D8" s="4">
        <f>'Compiled Tables'!Q8</f>
        <v>30</v>
      </c>
      <c r="E8" s="4">
        <f>'Compiled Tables'!S8</f>
        <v>0</v>
      </c>
      <c r="G8" s="5">
        <f t="shared" si="1"/>
        <v>0</v>
      </c>
      <c r="I8" s="4" t="str">
        <f t="shared" si="2"/>
        <v>Mon</v>
      </c>
    </row>
    <row r="9">
      <c r="A9" s="3">
        <f>'Compiled Tables'!N9</f>
        <v>44501</v>
      </c>
      <c r="B9" s="3">
        <f>'Compiled Tables'!O9</f>
        <v>44507</v>
      </c>
      <c r="C9" s="4">
        <f>'Compiled Tables'!R9</f>
        <v>66</v>
      </c>
      <c r="D9" s="4">
        <f>'Compiled Tables'!Q9</f>
        <v>18</v>
      </c>
      <c r="E9" s="4">
        <f>'Compiled Tables'!S9</f>
        <v>0</v>
      </c>
      <c r="G9" s="5">
        <f t="shared" si="1"/>
        <v>0</v>
      </c>
      <c r="I9" s="4" t="str">
        <f t="shared" si="2"/>
        <v>Mon</v>
      </c>
    </row>
    <row r="10">
      <c r="A10" s="3">
        <f>'Compiled Tables'!N10</f>
        <v>44515</v>
      </c>
      <c r="B10" s="3">
        <f>'Compiled Tables'!O10</f>
        <v>44521</v>
      </c>
      <c r="C10" s="4">
        <f>'Compiled Tables'!R10</f>
        <v>47</v>
      </c>
      <c r="D10" s="4">
        <f>'Compiled Tables'!Q10</f>
        <v>13</v>
      </c>
      <c r="E10" s="4">
        <f>'Compiled Tables'!S10</f>
        <v>0</v>
      </c>
      <c r="G10" s="5">
        <f t="shared" si="1"/>
        <v>0</v>
      </c>
      <c r="I10" s="4" t="str">
        <f t="shared" si="2"/>
        <v>Mon</v>
      </c>
    </row>
    <row r="11">
      <c r="A11" s="3">
        <f>'Compiled Tables'!N11</f>
        <v>44529</v>
      </c>
      <c r="B11" s="3">
        <f>'Compiled Tables'!O11</f>
        <v>44535</v>
      </c>
      <c r="C11" s="4">
        <f>'Compiled Tables'!R11</f>
        <v>146</v>
      </c>
      <c r="D11" s="4">
        <f>'Compiled Tables'!Q11</f>
        <v>41</v>
      </c>
      <c r="E11" s="4">
        <f>'Compiled Tables'!S11</f>
        <v>14</v>
      </c>
      <c r="G11" s="5">
        <f t="shared" si="1"/>
        <v>0.3414634146</v>
      </c>
      <c r="I11" s="4" t="str">
        <f t="shared" si="2"/>
        <v>Mon</v>
      </c>
    </row>
    <row r="12">
      <c r="A12" s="3">
        <f>'Compiled Tables'!N12</f>
        <v>44543</v>
      </c>
      <c r="B12" s="3">
        <f>'Compiled Tables'!O12</f>
        <v>44549</v>
      </c>
      <c r="C12" s="4">
        <f>'Compiled Tables'!R12</f>
        <v>148</v>
      </c>
      <c r="D12" s="4">
        <f>'Compiled Tables'!Q12</f>
        <v>52</v>
      </c>
      <c r="E12" s="4">
        <f>'Compiled Tables'!S12</f>
        <v>1</v>
      </c>
      <c r="G12" s="5">
        <f t="shared" si="1"/>
        <v>0.01923076923</v>
      </c>
      <c r="I12" s="4" t="str">
        <f t="shared" si="2"/>
        <v>Mon</v>
      </c>
    </row>
    <row r="13">
      <c r="A13" s="3">
        <f>'Compiled Tables'!N13</f>
        <v>44550</v>
      </c>
      <c r="B13" s="3">
        <f>'Compiled Tables'!O13</f>
        <v>44556</v>
      </c>
      <c r="C13" s="4">
        <f>'Compiled Tables'!R13</f>
        <v>162</v>
      </c>
      <c r="D13" s="4">
        <f>'Compiled Tables'!Q13</f>
        <v>51</v>
      </c>
      <c r="E13" s="4">
        <f>'Compiled Tables'!S13</f>
        <v>8</v>
      </c>
      <c r="G13" s="5">
        <f t="shared" si="1"/>
        <v>0.1568627451</v>
      </c>
      <c r="I13" s="4" t="str">
        <f t="shared" si="2"/>
        <v>Mon</v>
      </c>
    </row>
    <row r="14">
      <c r="A14" s="3">
        <f>'Compiled Tables'!N14</f>
        <v>44557</v>
      </c>
      <c r="B14" s="3">
        <f>'Compiled Tables'!O14</f>
        <v>44563</v>
      </c>
      <c r="C14" s="4">
        <f>'Compiled Tables'!R14</f>
        <v>982</v>
      </c>
      <c r="D14" s="4">
        <f>'Compiled Tables'!Q14</f>
        <v>360</v>
      </c>
      <c r="E14" s="4">
        <f>'Compiled Tables'!S14</f>
        <v>54</v>
      </c>
      <c r="G14" s="5">
        <f t="shared" si="1"/>
        <v>0.15</v>
      </c>
      <c r="I14" s="4" t="str">
        <f t="shared" si="2"/>
        <v>Mon</v>
      </c>
    </row>
    <row r="15">
      <c r="A15" s="3">
        <f>'Compiled Tables'!N15</f>
        <v>44564</v>
      </c>
      <c r="B15" s="3">
        <f>'Compiled Tables'!O15</f>
        <v>44570</v>
      </c>
      <c r="C15" s="4">
        <f>'Compiled Tables'!R15</f>
        <v>2158</v>
      </c>
      <c r="D15" s="4">
        <f>'Compiled Tables'!Q15</f>
        <v>794</v>
      </c>
      <c r="E15" s="4">
        <f>'Compiled Tables'!S15</f>
        <v>93</v>
      </c>
      <c r="G15" s="5">
        <f t="shared" si="1"/>
        <v>0.1171284635</v>
      </c>
      <c r="I15" s="4" t="str">
        <f t="shared" si="2"/>
        <v>Mon</v>
      </c>
    </row>
    <row r="16">
      <c r="A16" s="3">
        <f>'Compiled Tables'!N16</f>
        <v>44571</v>
      </c>
      <c r="B16" s="3">
        <f>'Compiled Tables'!O16</f>
        <v>44577</v>
      </c>
      <c r="C16" s="4">
        <f>'Compiled Tables'!R16</f>
        <v>2198</v>
      </c>
      <c r="D16" s="4">
        <f>'Compiled Tables'!Q16</f>
        <v>788</v>
      </c>
      <c r="E16" s="4">
        <f>'Compiled Tables'!S16</f>
        <v>74</v>
      </c>
      <c r="G16" s="5">
        <f t="shared" si="1"/>
        <v>0.09390862944</v>
      </c>
      <c r="I16" s="4" t="str">
        <f t="shared" si="2"/>
        <v>Mon</v>
      </c>
    </row>
    <row r="17">
      <c r="A17" s="3">
        <f>'Compiled Tables'!N17</f>
        <v>44578</v>
      </c>
      <c r="B17" s="3">
        <f>'Compiled Tables'!O17</f>
        <v>44584</v>
      </c>
      <c r="C17" s="4">
        <f>'Compiled Tables'!R17</f>
        <v>2090</v>
      </c>
      <c r="D17" s="4">
        <f>'Compiled Tables'!Q17</f>
        <v>729</v>
      </c>
      <c r="E17" s="4">
        <f>'Compiled Tables'!S17</f>
        <v>43</v>
      </c>
      <c r="G17" s="5">
        <f t="shared" si="1"/>
        <v>0.05898491084</v>
      </c>
      <c r="I17" s="4" t="str">
        <f t="shared" si="2"/>
        <v>Mon</v>
      </c>
    </row>
    <row r="18">
      <c r="A18" s="3">
        <f>'Compiled Tables'!N18</f>
        <v>44585</v>
      </c>
      <c r="B18" s="3">
        <f>'Compiled Tables'!O18</f>
        <v>44591</v>
      </c>
      <c r="C18" s="4">
        <f>'Compiled Tables'!R18</f>
        <v>2350</v>
      </c>
      <c r="D18" s="4">
        <f>'Compiled Tables'!Q18</f>
        <v>811</v>
      </c>
      <c r="E18" s="4">
        <f>'Compiled Tables'!S18</f>
        <v>33</v>
      </c>
      <c r="G18" s="5">
        <f t="shared" si="1"/>
        <v>0.04069050555</v>
      </c>
      <c r="I18" s="4" t="str">
        <f t="shared" si="2"/>
        <v>Mon</v>
      </c>
    </row>
    <row r="19">
      <c r="A19" s="3">
        <f>'Compiled Tables'!N19</f>
        <v>44592</v>
      </c>
      <c r="B19" s="3">
        <f>'Compiled Tables'!O19</f>
        <v>44598</v>
      </c>
      <c r="C19" s="4">
        <f>'Compiled Tables'!R19</f>
        <v>2239</v>
      </c>
      <c r="D19" s="4">
        <f>'Compiled Tables'!Q19</f>
        <v>751</v>
      </c>
      <c r="E19" s="4">
        <f>'Compiled Tables'!S19</f>
        <v>14</v>
      </c>
      <c r="G19" s="5">
        <f t="shared" si="1"/>
        <v>0.01864181092</v>
      </c>
      <c r="I19" s="4" t="str">
        <f t="shared" si="2"/>
        <v>Mon</v>
      </c>
    </row>
    <row r="20">
      <c r="A20" s="3">
        <f>'Compiled Tables'!N20</f>
        <v>44599</v>
      </c>
      <c r="B20" s="3">
        <f>'Compiled Tables'!O20</f>
        <v>44605</v>
      </c>
      <c r="C20" s="4">
        <f>'Compiled Tables'!R20</f>
        <v>2169</v>
      </c>
      <c r="D20" s="4">
        <f>'Compiled Tables'!Q20</f>
        <v>720</v>
      </c>
      <c r="E20" s="4">
        <f>'Compiled Tables'!S20</f>
        <v>9</v>
      </c>
      <c r="G20" s="5">
        <f t="shared" si="1"/>
        <v>0.0125</v>
      </c>
      <c r="I20" s="4" t="str">
        <f t="shared" si="2"/>
        <v>Mon</v>
      </c>
    </row>
    <row r="21">
      <c r="A21" s="3">
        <f>'Compiled Tables'!N21</f>
        <v>44606</v>
      </c>
      <c r="B21" s="3">
        <f>'Compiled Tables'!O21</f>
        <v>44612</v>
      </c>
      <c r="C21" s="4">
        <f>'Compiled Tables'!R21</f>
        <v>2178</v>
      </c>
      <c r="D21" s="4">
        <f>'Compiled Tables'!Q21</f>
        <v>713</v>
      </c>
      <c r="E21" s="4">
        <f>'Compiled Tables'!S21</f>
        <v>3</v>
      </c>
      <c r="G21" s="5">
        <f t="shared" si="1"/>
        <v>0.004207573633</v>
      </c>
      <c r="I21" s="4" t="str">
        <f t="shared" si="2"/>
        <v>Mon</v>
      </c>
    </row>
    <row r="22">
      <c r="A22" s="3">
        <f>'Compiled Tables'!N22</f>
        <v>44613</v>
      </c>
      <c r="B22" s="3">
        <f>'Compiled Tables'!O22</f>
        <v>44619</v>
      </c>
      <c r="C22" s="4">
        <f>'Compiled Tables'!R22</f>
        <v>1679</v>
      </c>
      <c r="D22" s="4">
        <f>'Compiled Tables'!Q22</f>
        <v>552</v>
      </c>
      <c r="E22" s="4">
        <f>'Compiled Tables'!S22</f>
        <v>1</v>
      </c>
      <c r="G22" s="5">
        <f t="shared" si="1"/>
        <v>0.001811594203</v>
      </c>
      <c r="I22" s="4" t="str">
        <f t="shared" si="2"/>
        <v>Mon</v>
      </c>
    </row>
    <row r="23">
      <c r="A23" s="3">
        <f>'Compiled Tables'!N23</f>
        <v>44620</v>
      </c>
      <c r="B23" s="3">
        <f>'Compiled Tables'!O23</f>
        <v>44626</v>
      </c>
      <c r="C23" s="4">
        <f>'Compiled Tables'!R23</f>
        <v>304</v>
      </c>
      <c r="D23" s="4">
        <f>'Compiled Tables'!Q23</f>
        <v>100</v>
      </c>
      <c r="E23" s="4">
        <f>'Compiled Tables'!S23</f>
        <v>0</v>
      </c>
      <c r="G23" s="5">
        <f t="shared" si="1"/>
        <v>0</v>
      </c>
      <c r="I23" s="4" t="str">
        <f t="shared" si="2"/>
        <v>Mon</v>
      </c>
    </row>
    <row r="24">
      <c r="A24" s="3"/>
      <c r="B24" s="3"/>
      <c r="G24" s="6"/>
    </row>
    <row r="25">
      <c r="A25" s="3"/>
      <c r="B25" s="3"/>
      <c r="G25" s="6"/>
    </row>
    <row r="26">
      <c r="A26" s="3"/>
      <c r="B26" s="3"/>
      <c r="G26" s="6"/>
    </row>
    <row r="27">
      <c r="A27" s="3"/>
      <c r="B27" s="3"/>
      <c r="G27" s="6"/>
    </row>
    <row r="28">
      <c r="A28" s="3"/>
      <c r="B28" s="3"/>
      <c r="G28" s="6"/>
    </row>
    <row r="29">
      <c r="A29" s="3"/>
      <c r="B29" s="3"/>
      <c r="G29" s="6"/>
    </row>
    <row r="30">
      <c r="A30" s="3"/>
      <c r="B30" s="3"/>
      <c r="G30" s="6"/>
    </row>
    <row r="31">
      <c r="A31" s="3"/>
      <c r="B31" s="3"/>
      <c r="G31" s="6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63"/>
    <col customWidth="1" min="9" max="9" width="15.5"/>
  </cols>
  <sheetData>
    <row r="1">
      <c r="A1" s="7" t="s">
        <v>4</v>
      </c>
      <c r="B1" s="7" t="s">
        <v>5</v>
      </c>
      <c r="C1" s="7" t="s">
        <v>6</v>
      </c>
      <c r="D1" s="8" t="s">
        <v>7</v>
      </c>
      <c r="E1" s="8" t="s">
        <v>8</v>
      </c>
      <c r="F1" s="9" t="s">
        <v>9</v>
      </c>
      <c r="G1" s="10" t="s">
        <v>10</v>
      </c>
      <c r="H1" s="10" t="s">
        <v>11</v>
      </c>
      <c r="I1" s="10" t="s">
        <v>12</v>
      </c>
      <c r="J1" s="10" t="s">
        <v>13</v>
      </c>
      <c r="K1" s="10" t="s">
        <v>14</v>
      </c>
      <c r="L1" s="10" t="s">
        <v>15</v>
      </c>
      <c r="M1" s="11"/>
      <c r="N1" s="12" t="s">
        <v>16</v>
      </c>
      <c r="O1" s="12" t="s">
        <v>17</v>
      </c>
      <c r="P1" s="12" t="s">
        <v>6</v>
      </c>
      <c r="Q1" s="12" t="s">
        <v>18</v>
      </c>
      <c r="R1" s="12" t="s">
        <v>7</v>
      </c>
      <c r="S1" s="12" t="s">
        <v>19</v>
      </c>
      <c r="T1" s="12" t="s">
        <v>20</v>
      </c>
      <c r="U1" s="12" t="s">
        <v>21</v>
      </c>
      <c r="V1" s="11"/>
      <c r="W1" s="11"/>
      <c r="X1" s="11"/>
      <c r="Y1" s="11"/>
      <c r="Z1" s="11"/>
      <c r="AA1" s="11"/>
      <c r="AB1" s="11"/>
      <c r="AC1" s="11"/>
      <c r="AD1" s="11"/>
    </row>
    <row r="2">
      <c r="A2" s="13">
        <v>44438.0</v>
      </c>
      <c r="B2" s="13">
        <v>44444.0</v>
      </c>
      <c r="C2" s="14" t="s">
        <v>22</v>
      </c>
      <c r="D2" s="15">
        <f t="shared" ref="D2:D24" si="2">G2</f>
        <v>99</v>
      </c>
      <c r="E2" s="15">
        <f t="shared" ref="E2:E24" si="3">I2</f>
        <v>0</v>
      </c>
      <c r="F2" s="16">
        <v>36.0</v>
      </c>
      <c r="G2" s="17">
        <v>99.0</v>
      </c>
      <c r="H2" s="17">
        <v>29.0</v>
      </c>
      <c r="I2" s="17">
        <v>0.0</v>
      </c>
      <c r="J2" s="17">
        <v>0.0</v>
      </c>
      <c r="K2" s="17">
        <f t="shared" ref="K2:K24" si="4">SUM(H2:J2)</f>
        <v>29</v>
      </c>
      <c r="L2" s="18">
        <f t="shared" ref="L2:L24" si="5">I2/K2</f>
        <v>0</v>
      </c>
      <c r="N2" s="19">
        <v>44438.0</v>
      </c>
      <c r="O2" s="19">
        <v>44444.0</v>
      </c>
      <c r="P2" s="20" t="s">
        <v>22</v>
      </c>
      <c r="Q2" s="21">
        <v>29.0</v>
      </c>
      <c r="R2" s="21">
        <v>99.0</v>
      </c>
      <c r="S2" s="21">
        <v>0.0</v>
      </c>
      <c r="T2" s="22">
        <v>0.0</v>
      </c>
      <c r="U2" s="21">
        <v>99.0</v>
      </c>
      <c r="W2" s="4" t="str">
        <f t="shared" ref="W2:X2" si="1">TEXT(N2,"ddd")</f>
        <v>Mon</v>
      </c>
      <c r="X2" s="4" t="str">
        <f t="shared" si="1"/>
        <v>Sun</v>
      </c>
    </row>
    <row r="3">
      <c r="A3" s="13">
        <v>44445.0</v>
      </c>
      <c r="B3" s="13">
        <v>44451.0</v>
      </c>
      <c r="C3" s="14" t="s">
        <v>22</v>
      </c>
      <c r="D3" s="15">
        <f t="shared" si="2"/>
        <v>94</v>
      </c>
      <c r="E3" s="15">
        <f t="shared" si="3"/>
        <v>1</v>
      </c>
      <c r="F3" s="16">
        <v>37.0</v>
      </c>
      <c r="G3" s="17">
        <v>94.0</v>
      </c>
      <c r="H3" s="17">
        <v>29.0</v>
      </c>
      <c r="I3" s="17">
        <v>1.0</v>
      </c>
      <c r="J3" s="17">
        <v>0.0</v>
      </c>
      <c r="K3" s="17">
        <f t="shared" si="4"/>
        <v>30</v>
      </c>
      <c r="L3" s="18">
        <f t="shared" si="5"/>
        <v>0.03333333333</v>
      </c>
      <c r="N3" s="19">
        <v>44445.0</v>
      </c>
      <c r="O3" s="19">
        <v>44451.0</v>
      </c>
      <c r="P3" s="20" t="s">
        <v>22</v>
      </c>
      <c r="Q3" s="21">
        <v>30.0</v>
      </c>
      <c r="R3" s="21">
        <v>94.0</v>
      </c>
      <c r="S3" s="21">
        <v>1.0</v>
      </c>
      <c r="T3" s="22">
        <v>0.011</v>
      </c>
      <c r="U3" s="21">
        <v>93.0</v>
      </c>
      <c r="W3" s="4" t="str">
        <f t="shared" ref="W3:X3" si="6">TEXT(N3,"ddd")</f>
        <v>Mon</v>
      </c>
      <c r="X3" s="4" t="str">
        <f t="shared" si="6"/>
        <v>Sun</v>
      </c>
    </row>
    <row r="4">
      <c r="A4" s="13">
        <v>44452.0</v>
      </c>
      <c r="B4" s="13">
        <v>44458.0</v>
      </c>
      <c r="C4" s="14" t="s">
        <v>22</v>
      </c>
      <c r="D4" s="15">
        <f t="shared" si="2"/>
        <v>92</v>
      </c>
      <c r="E4" s="15">
        <f t="shared" si="3"/>
        <v>0</v>
      </c>
      <c r="F4" s="16">
        <v>38.0</v>
      </c>
      <c r="G4" s="17">
        <v>92.0</v>
      </c>
      <c r="H4" s="17">
        <v>28.0</v>
      </c>
      <c r="I4" s="17">
        <v>0.0</v>
      </c>
      <c r="J4" s="17">
        <v>0.0</v>
      </c>
      <c r="K4" s="17">
        <f t="shared" si="4"/>
        <v>28</v>
      </c>
      <c r="L4" s="18">
        <f t="shared" si="5"/>
        <v>0</v>
      </c>
      <c r="N4" s="19">
        <v>44452.0</v>
      </c>
      <c r="O4" s="19">
        <v>44458.0</v>
      </c>
      <c r="P4" s="20" t="s">
        <v>22</v>
      </c>
      <c r="Q4" s="21">
        <v>28.0</v>
      </c>
      <c r="R4" s="21">
        <v>92.0</v>
      </c>
      <c r="S4" s="21">
        <v>0.0</v>
      </c>
      <c r="T4" s="22">
        <v>0.0</v>
      </c>
      <c r="U4" s="21">
        <v>92.0</v>
      </c>
      <c r="W4" s="4" t="str">
        <f t="shared" ref="W4:X4" si="7">TEXT(N4,"ddd")</f>
        <v>Mon</v>
      </c>
      <c r="X4" s="4" t="str">
        <f t="shared" si="7"/>
        <v>Sun</v>
      </c>
    </row>
    <row r="5">
      <c r="A5" s="13">
        <v>44459.0</v>
      </c>
      <c r="B5" s="13">
        <v>44465.0</v>
      </c>
      <c r="C5" s="14" t="s">
        <v>22</v>
      </c>
      <c r="D5" s="15">
        <f t="shared" si="2"/>
        <v>111</v>
      </c>
      <c r="E5" s="15">
        <f t="shared" si="3"/>
        <v>0</v>
      </c>
      <c r="F5" s="16">
        <v>39.0</v>
      </c>
      <c r="G5" s="17">
        <v>111.0</v>
      </c>
      <c r="H5" s="17">
        <v>35.0</v>
      </c>
      <c r="I5" s="17">
        <v>0.0</v>
      </c>
      <c r="J5" s="17">
        <v>0.0</v>
      </c>
      <c r="K5" s="17">
        <f t="shared" si="4"/>
        <v>35</v>
      </c>
      <c r="L5" s="18">
        <f t="shared" si="5"/>
        <v>0</v>
      </c>
      <c r="N5" s="19">
        <v>44459.0</v>
      </c>
      <c r="O5" s="19">
        <v>44465.0</v>
      </c>
      <c r="P5" s="20" t="s">
        <v>22</v>
      </c>
      <c r="Q5" s="21">
        <v>35.0</v>
      </c>
      <c r="R5" s="21">
        <v>111.0</v>
      </c>
      <c r="S5" s="21">
        <v>0.0</v>
      </c>
      <c r="T5" s="22">
        <v>0.0</v>
      </c>
      <c r="U5" s="21">
        <v>111.0</v>
      </c>
      <c r="W5" s="4" t="str">
        <f t="shared" ref="W5:X5" si="8">TEXT(N5,"ddd")</f>
        <v>Mon</v>
      </c>
      <c r="X5" s="4" t="str">
        <f t="shared" si="8"/>
        <v>Sun</v>
      </c>
    </row>
    <row r="6">
      <c r="A6" s="13">
        <v>44466.0</v>
      </c>
      <c r="B6" s="13">
        <v>44472.0</v>
      </c>
      <c r="C6" s="14" t="s">
        <v>22</v>
      </c>
      <c r="D6" s="15">
        <f t="shared" si="2"/>
        <v>112</v>
      </c>
      <c r="E6" s="15">
        <f t="shared" si="3"/>
        <v>0</v>
      </c>
      <c r="F6" s="16">
        <v>40.0</v>
      </c>
      <c r="G6" s="17">
        <v>112.0</v>
      </c>
      <c r="H6" s="17">
        <v>31.0</v>
      </c>
      <c r="I6" s="17">
        <v>0.0</v>
      </c>
      <c r="J6" s="17">
        <v>0.0</v>
      </c>
      <c r="K6" s="17">
        <f t="shared" si="4"/>
        <v>31</v>
      </c>
      <c r="L6" s="18">
        <f t="shared" si="5"/>
        <v>0</v>
      </c>
      <c r="N6" s="19">
        <v>44466.0</v>
      </c>
      <c r="O6" s="19">
        <v>44472.0</v>
      </c>
      <c r="P6" s="20" t="s">
        <v>22</v>
      </c>
      <c r="Q6" s="21">
        <v>31.0</v>
      </c>
      <c r="R6" s="21">
        <v>112.0</v>
      </c>
      <c r="S6" s="21">
        <v>0.0</v>
      </c>
      <c r="T6" s="22">
        <v>0.0</v>
      </c>
      <c r="U6" s="21">
        <v>112.0</v>
      </c>
      <c r="W6" s="4" t="str">
        <f t="shared" ref="W6:X6" si="9">TEXT(N6,"ddd")</f>
        <v>Mon</v>
      </c>
      <c r="X6" s="4" t="str">
        <f t="shared" si="9"/>
        <v>Sun</v>
      </c>
    </row>
    <row r="7">
      <c r="A7" s="13">
        <v>44473.0</v>
      </c>
      <c r="B7" s="13">
        <v>44479.0</v>
      </c>
      <c r="C7" s="14" t="s">
        <v>22</v>
      </c>
      <c r="D7" s="15">
        <f t="shared" si="2"/>
        <v>56</v>
      </c>
      <c r="E7" s="15">
        <f t="shared" si="3"/>
        <v>0</v>
      </c>
      <c r="F7" s="16">
        <v>41.0</v>
      </c>
      <c r="G7" s="17">
        <v>56.0</v>
      </c>
      <c r="H7" s="17">
        <v>17.0</v>
      </c>
      <c r="I7" s="17">
        <v>0.0</v>
      </c>
      <c r="J7" s="17">
        <v>0.0</v>
      </c>
      <c r="K7" s="17">
        <f t="shared" si="4"/>
        <v>17</v>
      </c>
      <c r="L7" s="18">
        <f t="shared" si="5"/>
        <v>0</v>
      </c>
      <c r="N7" s="19">
        <v>44473.0</v>
      </c>
      <c r="O7" s="19">
        <v>44479.0</v>
      </c>
      <c r="P7" s="20" t="s">
        <v>22</v>
      </c>
      <c r="Q7" s="21">
        <v>17.0</v>
      </c>
      <c r="R7" s="21">
        <v>56.0</v>
      </c>
      <c r="S7" s="21">
        <v>0.0</v>
      </c>
      <c r="T7" s="22">
        <v>0.0</v>
      </c>
      <c r="U7" s="21">
        <v>56.0</v>
      </c>
      <c r="W7" s="4" t="str">
        <f t="shared" ref="W7:X7" si="10">TEXT(N7,"ddd")</f>
        <v>Mon</v>
      </c>
      <c r="X7" s="4" t="str">
        <f t="shared" si="10"/>
        <v>Sun</v>
      </c>
    </row>
    <row r="8">
      <c r="A8" s="13">
        <v>44480.0</v>
      </c>
      <c r="B8" s="13">
        <v>44486.0</v>
      </c>
      <c r="C8" s="14" t="s">
        <v>22</v>
      </c>
      <c r="D8" s="15">
        <f t="shared" si="2"/>
        <v>91</v>
      </c>
      <c r="E8" s="15">
        <f t="shared" si="3"/>
        <v>0</v>
      </c>
      <c r="F8" s="16">
        <v>42.0</v>
      </c>
      <c r="G8" s="17">
        <v>91.0</v>
      </c>
      <c r="H8" s="17">
        <v>29.0</v>
      </c>
      <c r="I8" s="17">
        <v>0.0</v>
      </c>
      <c r="J8" s="17">
        <v>1.0</v>
      </c>
      <c r="K8" s="17">
        <f t="shared" si="4"/>
        <v>30</v>
      </c>
      <c r="L8" s="18">
        <f t="shared" si="5"/>
        <v>0</v>
      </c>
      <c r="N8" s="19">
        <v>44480.0</v>
      </c>
      <c r="O8" s="19">
        <v>44486.0</v>
      </c>
      <c r="P8" s="20" t="s">
        <v>22</v>
      </c>
      <c r="Q8" s="21">
        <v>30.0</v>
      </c>
      <c r="R8" s="21">
        <v>91.0</v>
      </c>
      <c r="S8" s="21">
        <v>0.0</v>
      </c>
      <c r="T8" s="22">
        <v>0.0</v>
      </c>
      <c r="U8" s="21">
        <v>91.0</v>
      </c>
      <c r="W8" s="4" t="str">
        <f t="shared" ref="W8:X8" si="11">TEXT(N8,"ddd")</f>
        <v>Mon</v>
      </c>
      <c r="X8" s="4" t="str">
        <f t="shared" si="11"/>
        <v>Sun</v>
      </c>
    </row>
    <row r="9">
      <c r="A9" s="13">
        <v>44501.0</v>
      </c>
      <c r="B9" s="13">
        <v>44507.0</v>
      </c>
      <c r="C9" s="14" t="s">
        <v>22</v>
      </c>
      <c r="D9" s="15">
        <f t="shared" si="2"/>
        <v>66</v>
      </c>
      <c r="E9" s="15">
        <f t="shared" si="3"/>
        <v>0</v>
      </c>
      <c r="F9" s="16">
        <v>45.0</v>
      </c>
      <c r="G9" s="17">
        <v>66.0</v>
      </c>
      <c r="H9" s="17">
        <v>18.0</v>
      </c>
      <c r="I9" s="17">
        <v>0.0</v>
      </c>
      <c r="J9" s="17">
        <v>0.0</v>
      </c>
      <c r="K9" s="17">
        <f t="shared" si="4"/>
        <v>18</v>
      </c>
      <c r="L9" s="18">
        <f t="shared" si="5"/>
        <v>0</v>
      </c>
      <c r="N9" s="19">
        <v>44501.0</v>
      </c>
      <c r="O9" s="19">
        <v>44507.0</v>
      </c>
      <c r="P9" s="20" t="s">
        <v>22</v>
      </c>
      <c r="Q9" s="21">
        <v>18.0</v>
      </c>
      <c r="R9" s="21">
        <v>66.0</v>
      </c>
      <c r="S9" s="21">
        <v>0.0</v>
      </c>
      <c r="T9" s="22">
        <v>0.0</v>
      </c>
      <c r="U9" s="21">
        <v>66.0</v>
      </c>
      <c r="W9" s="4" t="str">
        <f t="shared" ref="W9:X9" si="12">TEXT(N9,"ddd")</f>
        <v>Mon</v>
      </c>
      <c r="X9" s="4" t="str">
        <f t="shared" si="12"/>
        <v>Sun</v>
      </c>
    </row>
    <row r="10">
      <c r="A10" s="13">
        <v>44515.0</v>
      </c>
      <c r="B10" s="13">
        <v>44521.0</v>
      </c>
      <c r="C10" s="14" t="s">
        <v>22</v>
      </c>
      <c r="D10" s="15">
        <f t="shared" si="2"/>
        <v>47</v>
      </c>
      <c r="E10" s="15">
        <f t="shared" si="3"/>
        <v>0</v>
      </c>
      <c r="F10" s="16">
        <v>47.0</v>
      </c>
      <c r="G10" s="17">
        <v>47.0</v>
      </c>
      <c r="H10" s="17">
        <v>13.0</v>
      </c>
      <c r="I10" s="17">
        <v>0.0</v>
      </c>
      <c r="J10" s="17">
        <v>0.0</v>
      </c>
      <c r="K10" s="17">
        <f t="shared" si="4"/>
        <v>13</v>
      </c>
      <c r="L10" s="18">
        <f t="shared" si="5"/>
        <v>0</v>
      </c>
      <c r="N10" s="19">
        <v>44515.0</v>
      </c>
      <c r="O10" s="19">
        <v>44521.0</v>
      </c>
      <c r="P10" s="20" t="s">
        <v>22</v>
      </c>
      <c r="Q10" s="21">
        <v>13.0</v>
      </c>
      <c r="R10" s="21">
        <v>47.0</v>
      </c>
      <c r="S10" s="21">
        <v>0.0</v>
      </c>
      <c r="T10" s="22">
        <v>0.0</v>
      </c>
      <c r="U10" s="21">
        <v>47.0</v>
      </c>
      <c r="W10" s="4" t="str">
        <f t="shared" ref="W10:X10" si="13">TEXT(N10,"ddd")</f>
        <v>Mon</v>
      </c>
      <c r="X10" s="4" t="str">
        <f t="shared" si="13"/>
        <v>Sun</v>
      </c>
    </row>
    <row r="11">
      <c r="A11" s="13">
        <v>44529.0</v>
      </c>
      <c r="B11" s="13">
        <v>44535.0</v>
      </c>
      <c r="C11" s="14" t="s">
        <v>22</v>
      </c>
      <c r="D11" s="15">
        <f t="shared" si="2"/>
        <v>146</v>
      </c>
      <c r="E11" s="15">
        <f t="shared" si="3"/>
        <v>14</v>
      </c>
      <c r="F11" s="16">
        <v>49.0</v>
      </c>
      <c r="G11" s="17">
        <v>146.0</v>
      </c>
      <c r="H11" s="17">
        <v>26.0</v>
      </c>
      <c r="I11" s="17">
        <v>14.0</v>
      </c>
      <c r="J11" s="17">
        <v>1.0</v>
      </c>
      <c r="K11" s="17">
        <f t="shared" si="4"/>
        <v>41</v>
      </c>
      <c r="L11" s="18">
        <f t="shared" si="5"/>
        <v>0.3414634146</v>
      </c>
      <c r="N11" s="19">
        <v>44529.0</v>
      </c>
      <c r="O11" s="19">
        <v>44535.0</v>
      </c>
      <c r="P11" s="20" t="s">
        <v>22</v>
      </c>
      <c r="Q11" s="21">
        <v>41.0</v>
      </c>
      <c r="R11" s="21">
        <v>146.0</v>
      </c>
      <c r="S11" s="21">
        <v>14.0</v>
      </c>
      <c r="T11" s="22">
        <v>0.096</v>
      </c>
      <c r="U11" s="21">
        <v>132.0</v>
      </c>
      <c r="W11" s="4" t="str">
        <f t="shared" ref="W11:X11" si="14">TEXT(N11,"ddd")</f>
        <v>Mon</v>
      </c>
      <c r="X11" s="4" t="str">
        <f t="shared" si="14"/>
        <v>Sun</v>
      </c>
    </row>
    <row r="12">
      <c r="A12" s="13">
        <v>44543.0</v>
      </c>
      <c r="B12" s="13">
        <v>44549.0</v>
      </c>
      <c r="C12" s="14" t="s">
        <v>22</v>
      </c>
      <c r="D12" s="15">
        <f t="shared" si="2"/>
        <v>148</v>
      </c>
      <c r="E12" s="15">
        <f t="shared" si="3"/>
        <v>1</v>
      </c>
      <c r="F12" s="16">
        <v>51.0</v>
      </c>
      <c r="G12" s="17">
        <v>148.0</v>
      </c>
      <c r="H12" s="17">
        <v>42.0</v>
      </c>
      <c r="I12" s="17">
        <v>1.0</v>
      </c>
      <c r="J12" s="17">
        <v>9.0</v>
      </c>
      <c r="K12" s="17">
        <f t="shared" si="4"/>
        <v>52</v>
      </c>
      <c r="L12" s="18">
        <f t="shared" si="5"/>
        <v>0.01923076923</v>
      </c>
      <c r="N12" s="19">
        <v>44543.0</v>
      </c>
      <c r="O12" s="19">
        <v>44549.0</v>
      </c>
      <c r="P12" s="20" t="s">
        <v>22</v>
      </c>
      <c r="Q12" s="21">
        <v>52.0</v>
      </c>
      <c r="R12" s="21">
        <v>148.0</v>
      </c>
      <c r="S12" s="21">
        <v>1.0</v>
      </c>
      <c r="T12" s="22">
        <v>0.007</v>
      </c>
      <c r="U12" s="21">
        <v>147.0</v>
      </c>
      <c r="W12" s="4" t="str">
        <f t="shared" ref="W12:X12" si="15">TEXT(N12,"ddd")</f>
        <v>Mon</v>
      </c>
      <c r="X12" s="4" t="str">
        <f t="shared" si="15"/>
        <v>Sun</v>
      </c>
    </row>
    <row r="13">
      <c r="A13" s="13">
        <v>44550.0</v>
      </c>
      <c r="B13" s="13">
        <v>44556.0</v>
      </c>
      <c r="C13" s="14" t="s">
        <v>22</v>
      </c>
      <c r="D13" s="15">
        <f t="shared" si="2"/>
        <v>162</v>
      </c>
      <c r="E13" s="15">
        <f t="shared" si="3"/>
        <v>8</v>
      </c>
      <c r="F13" s="16">
        <v>52.0</v>
      </c>
      <c r="G13" s="17">
        <v>162.0</v>
      </c>
      <c r="H13" s="17">
        <v>43.0</v>
      </c>
      <c r="I13" s="17">
        <v>8.0</v>
      </c>
      <c r="J13" s="17">
        <v>0.0</v>
      </c>
      <c r="K13" s="17">
        <f t="shared" si="4"/>
        <v>51</v>
      </c>
      <c r="L13" s="18">
        <f t="shared" si="5"/>
        <v>0.1568627451</v>
      </c>
      <c r="N13" s="19">
        <v>44550.0</v>
      </c>
      <c r="O13" s="19">
        <v>44556.0</v>
      </c>
      <c r="P13" s="20" t="s">
        <v>22</v>
      </c>
      <c r="Q13" s="21">
        <v>51.0</v>
      </c>
      <c r="R13" s="21">
        <v>162.0</v>
      </c>
      <c r="S13" s="21">
        <v>8.0</v>
      </c>
      <c r="T13" s="22">
        <v>0.049</v>
      </c>
      <c r="U13" s="21">
        <v>154.0</v>
      </c>
      <c r="W13" s="4" t="str">
        <f t="shared" ref="W13:X13" si="16">TEXT(N13,"ddd")</f>
        <v>Mon</v>
      </c>
      <c r="X13" s="4" t="str">
        <f t="shared" si="16"/>
        <v>Sun</v>
      </c>
    </row>
    <row r="14">
      <c r="A14" s="13">
        <v>44557.0</v>
      </c>
      <c r="B14" s="13">
        <v>44561.0</v>
      </c>
      <c r="C14" s="14" t="s">
        <v>22</v>
      </c>
      <c r="D14" s="15">
        <f t="shared" si="2"/>
        <v>946</v>
      </c>
      <c r="E14" s="15">
        <f t="shared" si="3"/>
        <v>51</v>
      </c>
      <c r="F14" s="16">
        <v>53.0</v>
      </c>
      <c r="G14" s="17">
        <v>946.0</v>
      </c>
      <c r="H14" s="17">
        <v>291.0</v>
      </c>
      <c r="I14" s="17">
        <v>51.0</v>
      </c>
      <c r="J14" s="17">
        <v>1.0</v>
      </c>
      <c r="K14" s="17">
        <f t="shared" si="4"/>
        <v>343</v>
      </c>
      <c r="L14" s="18">
        <f t="shared" si="5"/>
        <v>0.1486880466</v>
      </c>
      <c r="N14" s="19">
        <v>44557.0</v>
      </c>
      <c r="O14" s="19">
        <v>44563.0</v>
      </c>
      <c r="P14" s="20" t="s">
        <v>22</v>
      </c>
      <c r="Q14" s="21">
        <v>360.0</v>
      </c>
      <c r="R14" s="21">
        <v>982.0</v>
      </c>
      <c r="S14" s="21">
        <v>54.0</v>
      </c>
      <c r="T14" s="22">
        <v>0.055</v>
      </c>
      <c r="U14" s="21">
        <v>928.0</v>
      </c>
      <c r="W14" s="4" t="str">
        <f t="shared" ref="W14:X14" si="17">TEXT(N14,"ddd")</f>
        <v>Mon</v>
      </c>
      <c r="X14" s="4" t="str">
        <f t="shared" si="17"/>
        <v>Sun</v>
      </c>
    </row>
    <row r="15">
      <c r="A15" s="13">
        <v>44562.0</v>
      </c>
      <c r="B15" s="13">
        <v>44563.0</v>
      </c>
      <c r="C15" s="14" t="s">
        <v>22</v>
      </c>
      <c r="D15" s="15">
        <f t="shared" si="2"/>
        <v>36</v>
      </c>
      <c r="E15" s="15">
        <f t="shared" si="3"/>
        <v>3</v>
      </c>
      <c r="F15" s="16">
        <v>1.0</v>
      </c>
      <c r="G15" s="17">
        <v>36.0</v>
      </c>
      <c r="H15" s="17">
        <v>14.0</v>
      </c>
      <c r="I15" s="17">
        <v>3.0</v>
      </c>
      <c r="J15" s="17">
        <v>0.0</v>
      </c>
      <c r="K15" s="17">
        <f t="shared" si="4"/>
        <v>17</v>
      </c>
      <c r="L15" s="18">
        <f t="shared" si="5"/>
        <v>0.1764705882</v>
      </c>
      <c r="N15" s="19">
        <v>44564.0</v>
      </c>
      <c r="O15" s="19">
        <v>44570.0</v>
      </c>
      <c r="P15" s="20" t="s">
        <v>22</v>
      </c>
      <c r="Q15" s="21">
        <v>794.0</v>
      </c>
      <c r="R15" s="21">
        <v>2158.0</v>
      </c>
      <c r="S15" s="21">
        <v>93.0</v>
      </c>
      <c r="T15" s="22">
        <v>0.043</v>
      </c>
      <c r="U15" s="21">
        <v>2065.0</v>
      </c>
      <c r="W15" s="4" t="str">
        <f t="shared" ref="W15:X15" si="18">TEXT(N15,"ddd")</f>
        <v>Mon</v>
      </c>
      <c r="X15" s="4" t="str">
        <f t="shared" si="18"/>
        <v>Sun</v>
      </c>
    </row>
    <row r="16">
      <c r="A16" s="13">
        <v>44564.0</v>
      </c>
      <c r="B16" s="13">
        <v>44570.0</v>
      </c>
      <c r="C16" s="14" t="s">
        <v>22</v>
      </c>
      <c r="D16" s="15">
        <f t="shared" si="2"/>
        <v>2158</v>
      </c>
      <c r="E16" s="15">
        <f t="shared" si="3"/>
        <v>93</v>
      </c>
      <c r="F16" s="16">
        <v>2.0</v>
      </c>
      <c r="G16" s="17">
        <v>2158.0</v>
      </c>
      <c r="H16" s="17">
        <v>701.0</v>
      </c>
      <c r="I16" s="17">
        <v>93.0</v>
      </c>
      <c r="J16" s="17">
        <v>0.0</v>
      </c>
      <c r="K16" s="17">
        <f t="shared" si="4"/>
        <v>794</v>
      </c>
      <c r="L16" s="18">
        <f t="shared" si="5"/>
        <v>0.1171284635</v>
      </c>
      <c r="N16" s="19">
        <v>44571.0</v>
      </c>
      <c r="O16" s="19">
        <v>44577.0</v>
      </c>
      <c r="P16" s="20" t="s">
        <v>22</v>
      </c>
      <c r="Q16" s="21">
        <v>788.0</v>
      </c>
      <c r="R16" s="21">
        <v>2198.0</v>
      </c>
      <c r="S16" s="21">
        <v>74.0</v>
      </c>
      <c r="T16" s="22">
        <v>0.034</v>
      </c>
      <c r="U16" s="21">
        <v>2124.0</v>
      </c>
      <c r="W16" s="4" t="str">
        <f t="shared" ref="W16:X16" si="19">TEXT(N16,"ddd")</f>
        <v>Mon</v>
      </c>
      <c r="X16" s="4" t="str">
        <f t="shared" si="19"/>
        <v>Sun</v>
      </c>
    </row>
    <row r="17">
      <c r="A17" s="13">
        <v>44571.0</v>
      </c>
      <c r="B17" s="13">
        <v>44577.0</v>
      </c>
      <c r="C17" s="14" t="s">
        <v>22</v>
      </c>
      <c r="D17" s="15">
        <f t="shared" si="2"/>
        <v>2198</v>
      </c>
      <c r="E17" s="15">
        <f t="shared" si="3"/>
        <v>74</v>
      </c>
      <c r="F17" s="16">
        <v>3.0</v>
      </c>
      <c r="G17" s="17">
        <v>2198.0</v>
      </c>
      <c r="H17" s="17">
        <v>714.0</v>
      </c>
      <c r="I17" s="17">
        <v>74.0</v>
      </c>
      <c r="J17" s="17">
        <v>0.0</v>
      </c>
      <c r="K17" s="17">
        <f t="shared" si="4"/>
        <v>788</v>
      </c>
      <c r="L17" s="18">
        <f t="shared" si="5"/>
        <v>0.09390862944</v>
      </c>
      <c r="N17" s="19">
        <v>44578.0</v>
      </c>
      <c r="O17" s="19">
        <v>44584.0</v>
      </c>
      <c r="P17" s="20" t="s">
        <v>22</v>
      </c>
      <c r="Q17" s="21">
        <v>729.0</v>
      </c>
      <c r="R17" s="21">
        <v>2090.0</v>
      </c>
      <c r="S17" s="21">
        <v>43.0</v>
      </c>
      <c r="T17" s="22">
        <v>0.021</v>
      </c>
      <c r="U17" s="21">
        <v>2047.0</v>
      </c>
      <c r="W17" s="4" t="str">
        <f t="shared" ref="W17:X17" si="20">TEXT(N17,"ddd")</f>
        <v>Mon</v>
      </c>
      <c r="X17" s="4" t="str">
        <f t="shared" si="20"/>
        <v>Sun</v>
      </c>
    </row>
    <row r="18">
      <c r="A18" s="13">
        <v>44578.0</v>
      </c>
      <c r="B18" s="13">
        <v>44584.0</v>
      </c>
      <c r="C18" s="14" t="s">
        <v>22</v>
      </c>
      <c r="D18" s="15">
        <f t="shared" si="2"/>
        <v>2090</v>
      </c>
      <c r="E18" s="15">
        <f t="shared" si="3"/>
        <v>43</v>
      </c>
      <c r="F18" s="16">
        <v>4.0</v>
      </c>
      <c r="G18" s="17">
        <v>2090.0</v>
      </c>
      <c r="H18" s="17">
        <v>686.0</v>
      </c>
      <c r="I18" s="17">
        <v>43.0</v>
      </c>
      <c r="J18" s="17">
        <v>0.0</v>
      </c>
      <c r="K18" s="17">
        <f t="shared" si="4"/>
        <v>729</v>
      </c>
      <c r="L18" s="18">
        <f t="shared" si="5"/>
        <v>0.05898491084</v>
      </c>
      <c r="N18" s="19">
        <v>44585.0</v>
      </c>
      <c r="O18" s="19">
        <v>44591.0</v>
      </c>
      <c r="P18" s="20" t="s">
        <v>22</v>
      </c>
      <c r="Q18" s="21">
        <v>811.0</v>
      </c>
      <c r="R18" s="21">
        <v>2350.0</v>
      </c>
      <c r="S18" s="21">
        <v>33.0</v>
      </c>
      <c r="T18" s="22">
        <v>0.014</v>
      </c>
      <c r="U18" s="21">
        <v>2317.0</v>
      </c>
      <c r="W18" s="4" t="str">
        <f t="shared" ref="W18:X18" si="21">TEXT(N18,"ddd")</f>
        <v>Mon</v>
      </c>
      <c r="X18" s="4" t="str">
        <f t="shared" si="21"/>
        <v>Sun</v>
      </c>
    </row>
    <row r="19">
      <c r="A19" s="13">
        <v>44585.0</v>
      </c>
      <c r="B19" s="13">
        <v>44591.0</v>
      </c>
      <c r="C19" s="14" t="s">
        <v>22</v>
      </c>
      <c r="D19" s="15">
        <f t="shared" si="2"/>
        <v>2350</v>
      </c>
      <c r="E19" s="15">
        <f t="shared" si="3"/>
        <v>33</v>
      </c>
      <c r="F19" s="16">
        <v>5.0</v>
      </c>
      <c r="G19" s="17">
        <v>2350.0</v>
      </c>
      <c r="H19" s="17">
        <v>778.0</v>
      </c>
      <c r="I19" s="17">
        <v>33.0</v>
      </c>
      <c r="J19" s="17">
        <v>0.0</v>
      </c>
      <c r="K19" s="17">
        <f t="shared" si="4"/>
        <v>811</v>
      </c>
      <c r="L19" s="18">
        <f t="shared" si="5"/>
        <v>0.04069050555</v>
      </c>
      <c r="N19" s="19">
        <v>44592.0</v>
      </c>
      <c r="O19" s="19">
        <v>44598.0</v>
      </c>
      <c r="P19" s="20" t="s">
        <v>22</v>
      </c>
      <c r="Q19" s="21">
        <v>751.0</v>
      </c>
      <c r="R19" s="21">
        <v>2239.0</v>
      </c>
      <c r="S19" s="21">
        <v>14.0</v>
      </c>
      <c r="T19" s="22">
        <v>0.006</v>
      </c>
      <c r="U19" s="21">
        <v>2225.0</v>
      </c>
      <c r="W19" s="4" t="str">
        <f t="shared" ref="W19:X19" si="22">TEXT(N19,"ddd")</f>
        <v>Mon</v>
      </c>
      <c r="X19" s="4" t="str">
        <f t="shared" si="22"/>
        <v>Sun</v>
      </c>
    </row>
    <row r="20">
      <c r="A20" s="13">
        <v>44592.0</v>
      </c>
      <c r="B20" s="13">
        <v>44598.0</v>
      </c>
      <c r="C20" s="14" t="s">
        <v>22</v>
      </c>
      <c r="D20" s="15">
        <f t="shared" si="2"/>
        <v>2239</v>
      </c>
      <c r="E20" s="15">
        <f t="shared" si="3"/>
        <v>14</v>
      </c>
      <c r="F20" s="16">
        <v>6.0</v>
      </c>
      <c r="G20" s="17">
        <v>2239.0</v>
      </c>
      <c r="H20" s="17">
        <v>737.0</v>
      </c>
      <c r="I20" s="17">
        <v>14.0</v>
      </c>
      <c r="J20" s="17">
        <v>0.0</v>
      </c>
      <c r="K20" s="17">
        <f t="shared" si="4"/>
        <v>751</v>
      </c>
      <c r="L20" s="18">
        <f t="shared" si="5"/>
        <v>0.01864181092</v>
      </c>
      <c r="N20" s="19">
        <v>44599.0</v>
      </c>
      <c r="O20" s="19">
        <v>44605.0</v>
      </c>
      <c r="P20" s="20" t="s">
        <v>22</v>
      </c>
      <c r="Q20" s="21">
        <v>720.0</v>
      </c>
      <c r="R20" s="21">
        <v>2169.0</v>
      </c>
      <c r="S20" s="21">
        <v>9.0</v>
      </c>
      <c r="T20" s="22">
        <v>0.004</v>
      </c>
      <c r="U20" s="21">
        <v>2160.0</v>
      </c>
      <c r="W20" s="4" t="str">
        <f t="shared" ref="W20:X20" si="23">TEXT(N20,"ddd")</f>
        <v>Mon</v>
      </c>
      <c r="X20" s="4" t="str">
        <f t="shared" si="23"/>
        <v>Sun</v>
      </c>
    </row>
    <row r="21">
      <c r="A21" s="13">
        <v>44599.0</v>
      </c>
      <c r="B21" s="13">
        <v>44605.0</v>
      </c>
      <c r="C21" s="14" t="s">
        <v>22</v>
      </c>
      <c r="D21" s="15">
        <f t="shared" si="2"/>
        <v>2169</v>
      </c>
      <c r="E21" s="15">
        <f t="shared" si="3"/>
        <v>9</v>
      </c>
      <c r="F21" s="16">
        <v>7.0</v>
      </c>
      <c r="G21" s="17">
        <v>2169.0</v>
      </c>
      <c r="H21" s="17">
        <v>711.0</v>
      </c>
      <c r="I21" s="17">
        <v>9.0</v>
      </c>
      <c r="J21" s="17">
        <v>0.0</v>
      </c>
      <c r="K21" s="17">
        <f t="shared" si="4"/>
        <v>720</v>
      </c>
      <c r="L21" s="18">
        <f t="shared" si="5"/>
        <v>0.0125</v>
      </c>
      <c r="N21" s="19">
        <v>44606.0</v>
      </c>
      <c r="O21" s="19">
        <v>44612.0</v>
      </c>
      <c r="P21" s="20" t="s">
        <v>22</v>
      </c>
      <c r="Q21" s="21">
        <v>713.0</v>
      </c>
      <c r="R21" s="21">
        <v>2178.0</v>
      </c>
      <c r="S21" s="21">
        <v>3.0</v>
      </c>
      <c r="T21" s="22">
        <v>0.001</v>
      </c>
      <c r="U21" s="21">
        <v>2175.0</v>
      </c>
      <c r="W21" s="4" t="str">
        <f t="shared" ref="W21:X21" si="24">TEXT(N21,"ddd")</f>
        <v>Mon</v>
      </c>
      <c r="X21" s="4" t="str">
        <f t="shared" si="24"/>
        <v>Sun</v>
      </c>
    </row>
    <row r="22">
      <c r="A22" s="13">
        <v>44606.0</v>
      </c>
      <c r="B22" s="13">
        <v>44612.0</v>
      </c>
      <c r="C22" s="14" t="s">
        <v>22</v>
      </c>
      <c r="D22" s="15">
        <f t="shared" si="2"/>
        <v>2178</v>
      </c>
      <c r="E22" s="15">
        <f t="shared" si="3"/>
        <v>3</v>
      </c>
      <c r="F22" s="16">
        <v>8.0</v>
      </c>
      <c r="G22" s="17">
        <v>2178.0</v>
      </c>
      <c r="H22" s="17">
        <v>710.0</v>
      </c>
      <c r="I22" s="17">
        <v>3.0</v>
      </c>
      <c r="J22" s="17">
        <v>0.0</v>
      </c>
      <c r="K22" s="17">
        <f t="shared" si="4"/>
        <v>713</v>
      </c>
      <c r="L22" s="18">
        <f t="shared" si="5"/>
        <v>0.004207573633</v>
      </c>
      <c r="N22" s="19">
        <v>44613.0</v>
      </c>
      <c r="O22" s="19">
        <v>44619.0</v>
      </c>
      <c r="P22" s="20" t="s">
        <v>22</v>
      </c>
      <c r="Q22" s="21">
        <v>552.0</v>
      </c>
      <c r="R22" s="21">
        <v>1679.0</v>
      </c>
      <c r="S22" s="21">
        <v>1.0</v>
      </c>
      <c r="T22" s="22">
        <v>0.001</v>
      </c>
      <c r="U22" s="21">
        <v>1678.0</v>
      </c>
      <c r="W22" s="4" t="str">
        <f t="shared" ref="W22:X22" si="25">TEXT(N22,"ddd")</f>
        <v>Mon</v>
      </c>
      <c r="X22" s="4" t="str">
        <f t="shared" si="25"/>
        <v>Sun</v>
      </c>
    </row>
    <row r="23">
      <c r="A23" s="13">
        <v>44613.0</v>
      </c>
      <c r="B23" s="13">
        <v>44619.0</v>
      </c>
      <c r="C23" s="14" t="s">
        <v>22</v>
      </c>
      <c r="D23" s="15">
        <f t="shared" si="2"/>
        <v>1679</v>
      </c>
      <c r="E23" s="15">
        <f t="shared" si="3"/>
        <v>1</v>
      </c>
      <c r="F23" s="16">
        <v>9.0</v>
      </c>
      <c r="G23" s="17">
        <v>1679.0</v>
      </c>
      <c r="H23" s="17">
        <v>551.0</v>
      </c>
      <c r="I23" s="17">
        <v>1.0</v>
      </c>
      <c r="J23" s="17">
        <v>0.0</v>
      </c>
      <c r="K23" s="17">
        <f t="shared" si="4"/>
        <v>552</v>
      </c>
      <c r="L23" s="18">
        <f t="shared" si="5"/>
        <v>0.001811594203</v>
      </c>
      <c r="N23" s="19">
        <v>44620.0</v>
      </c>
      <c r="O23" s="19">
        <v>44626.0</v>
      </c>
      <c r="P23" s="20" t="s">
        <v>22</v>
      </c>
      <c r="Q23" s="21">
        <v>100.0</v>
      </c>
      <c r="R23" s="21">
        <v>304.0</v>
      </c>
      <c r="S23" s="21">
        <v>0.0</v>
      </c>
      <c r="T23" s="22">
        <v>0.0</v>
      </c>
      <c r="U23" s="21">
        <v>304.0</v>
      </c>
      <c r="W23" s="4" t="str">
        <f t="shared" ref="W23:X23" si="26">TEXT(N23,"ddd")</f>
        <v>Mon</v>
      </c>
      <c r="X23" s="4" t="str">
        <f t="shared" si="26"/>
        <v>Sun</v>
      </c>
    </row>
    <row r="24">
      <c r="A24" s="13">
        <v>44620.0</v>
      </c>
      <c r="B24" s="13">
        <v>44626.0</v>
      </c>
      <c r="C24" s="14" t="s">
        <v>22</v>
      </c>
      <c r="D24" s="15">
        <f t="shared" si="2"/>
        <v>304</v>
      </c>
      <c r="E24" s="15">
        <f t="shared" si="3"/>
        <v>0</v>
      </c>
      <c r="F24" s="16">
        <v>10.0</v>
      </c>
      <c r="G24" s="17">
        <v>304.0</v>
      </c>
      <c r="H24" s="17">
        <v>100.0</v>
      </c>
      <c r="I24" s="17">
        <v>0.0</v>
      </c>
      <c r="J24" s="17">
        <v>0.0</v>
      </c>
      <c r="K24" s="17">
        <f t="shared" si="4"/>
        <v>100</v>
      </c>
      <c r="L24" s="18">
        <f t="shared" si="5"/>
        <v>0</v>
      </c>
      <c r="N24" s="23"/>
      <c r="O24" s="23"/>
      <c r="P24" s="2"/>
      <c r="Q24" s="2"/>
      <c r="R24" s="2"/>
      <c r="S24" s="2"/>
      <c r="T24" s="2"/>
      <c r="U24" s="2"/>
    </row>
    <row r="25">
      <c r="N25" s="23"/>
      <c r="O25" s="23"/>
      <c r="P25" s="2"/>
      <c r="Q25" s="24">
        <v>6693.0</v>
      </c>
      <c r="R25" s="24">
        <v>19571.0</v>
      </c>
      <c r="S25" s="24">
        <v>348.0</v>
      </c>
      <c r="T25" s="25"/>
      <c r="U25" s="24">
        <v>19223.0</v>
      </c>
    </row>
    <row r="26">
      <c r="G26" s="24">
        <f t="shared" ref="G26:K26" si="27">SUM(G2:G24)</f>
        <v>19571</v>
      </c>
      <c r="H26" s="24">
        <f t="shared" si="27"/>
        <v>6333</v>
      </c>
      <c r="I26" s="24">
        <f t="shared" si="27"/>
        <v>348</v>
      </c>
      <c r="J26" s="24">
        <f t="shared" si="27"/>
        <v>12</v>
      </c>
      <c r="K26" s="24">
        <f t="shared" si="27"/>
        <v>6693</v>
      </c>
      <c r="N26" s="26"/>
    </row>
    <row r="29">
      <c r="A29" s="27" t="s">
        <v>23</v>
      </c>
      <c r="N29" s="27" t="s">
        <v>23</v>
      </c>
    </row>
    <row r="36">
      <c r="A36" s="28" t="s">
        <v>24</v>
      </c>
      <c r="B36" s="28" t="s">
        <v>25</v>
      </c>
      <c r="C36" s="29" t="s">
        <v>6</v>
      </c>
      <c r="D36" s="29" t="s">
        <v>18</v>
      </c>
      <c r="E36" s="29" t="s">
        <v>26</v>
      </c>
      <c r="F36" s="30" t="s">
        <v>8</v>
      </c>
      <c r="G36" s="30" t="s">
        <v>27</v>
      </c>
      <c r="H36" s="30" t="s">
        <v>28</v>
      </c>
      <c r="I36" s="30" t="s">
        <v>29</v>
      </c>
      <c r="J36" s="29" t="s">
        <v>30</v>
      </c>
      <c r="K36" s="28" t="s">
        <v>31</v>
      </c>
    </row>
    <row r="37">
      <c r="A37" s="31">
        <v>44491.468231273146</v>
      </c>
      <c r="B37" s="2"/>
      <c r="C37" s="2" t="s">
        <v>32</v>
      </c>
      <c r="D37" s="32">
        <v>11.0</v>
      </c>
      <c r="E37" s="32">
        <v>35.0</v>
      </c>
      <c r="F37" s="32">
        <v>0.0</v>
      </c>
      <c r="G37" s="32">
        <v>0.0</v>
      </c>
      <c r="H37" s="32">
        <v>0.0</v>
      </c>
      <c r="I37" s="32">
        <v>0.0</v>
      </c>
      <c r="J37" s="2" t="s">
        <v>33</v>
      </c>
      <c r="K37" s="2" t="s">
        <v>34</v>
      </c>
    </row>
    <row r="38">
      <c r="A38" s="31">
        <v>44498.3922918287</v>
      </c>
      <c r="B38" s="2"/>
      <c r="C38" s="2" t="s">
        <v>32</v>
      </c>
      <c r="D38" s="32">
        <v>28.0</v>
      </c>
      <c r="E38" s="32">
        <v>103.0</v>
      </c>
      <c r="F38" s="32">
        <v>0.0</v>
      </c>
      <c r="G38" s="32">
        <v>0.0</v>
      </c>
      <c r="H38" s="32">
        <v>0.0</v>
      </c>
      <c r="I38" s="32">
        <v>0.0</v>
      </c>
      <c r="J38" s="2" t="s">
        <v>33</v>
      </c>
      <c r="K38" s="2" t="s">
        <v>35</v>
      </c>
    </row>
    <row r="40">
      <c r="A40" s="27" t="s">
        <v>36</v>
      </c>
    </row>
  </sheetData>
  <mergeCells count="3">
    <mergeCell ref="A29:F29"/>
    <mergeCell ref="N29:S29"/>
    <mergeCell ref="A40:F4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37</v>
      </c>
    </row>
    <row r="2">
      <c r="A2" s="33" t="s">
        <v>38</v>
      </c>
    </row>
    <row r="3">
      <c r="A3" s="33" t="s">
        <v>39</v>
      </c>
    </row>
  </sheetData>
  <drawing r:id="rId1"/>
</worksheet>
</file>